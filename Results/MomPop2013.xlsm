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2015_16TeamFolders\MomPop\Results\"/>
    </mc:Choice>
  </mc:AlternateContent>
  <bookViews>
    <workbookView xWindow="0" yWindow="0" windowWidth="18795" windowHeight="768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39" i="20" l="1"/>
  <c r="S16" i="20"/>
  <c r="S15" i="20"/>
  <c r="T19" i="20" s="1"/>
  <c r="S14" i="20"/>
  <c r="H40" i="20"/>
  <c r="H39" i="20"/>
  <c r="H38" i="20"/>
  <c r="H35" i="20"/>
  <c r="S42" i="20" s="1"/>
  <c r="H34" i="20"/>
  <c r="H33" i="20"/>
  <c r="S36" i="20" s="1"/>
  <c r="H30" i="20"/>
  <c r="H29" i="20"/>
  <c r="H28" i="20"/>
  <c r="H27" i="20"/>
  <c r="S37" i="20" s="1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D109" i="10"/>
  <c r="D120" i="10" s="1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D121" i="10" s="1"/>
  <c r="E110" i="10"/>
  <c r="F110" i="10"/>
  <c r="G110" i="10"/>
  <c r="H110" i="10"/>
  <c r="H121" i="10" s="1"/>
  <c r="I110" i="10"/>
  <c r="J110" i="10"/>
  <c r="K110" i="10"/>
  <c r="L110" i="10"/>
  <c r="L121" i="10" s="1"/>
  <c r="M110" i="10"/>
  <c r="N110" i="10"/>
  <c r="O110" i="10"/>
  <c r="D111" i="10"/>
  <c r="D122" i="10" s="1"/>
  <c r="E111" i="10"/>
  <c r="F111" i="10"/>
  <c r="G111" i="10"/>
  <c r="H111" i="10"/>
  <c r="I111" i="10"/>
  <c r="J111" i="10"/>
  <c r="K111" i="10"/>
  <c r="L111" i="10"/>
  <c r="L122" i="10" s="1"/>
  <c r="M111" i="10"/>
  <c r="N111" i="10"/>
  <c r="O111" i="10"/>
  <c r="O122" i="10" s="1"/>
  <c r="D112" i="10"/>
  <c r="D123" i="10" s="1"/>
  <c r="D127" i="10" s="1"/>
  <c r="E112" i="10"/>
  <c r="F112" i="10"/>
  <c r="G112" i="10"/>
  <c r="H112" i="10"/>
  <c r="H123" i="10" s="1"/>
  <c r="I112" i="10"/>
  <c r="J112" i="10"/>
  <c r="K112" i="10"/>
  <c r="K123" i="10" s="1"/>
  <c r="L112" i="10"/>
  <c r="L123" i="10" s="1"/>
  <c r="M112" i="10"/>
  <c r="N112" i="10"/>
  <c r="O112" i="10"/>
  <c r="D113" i="10"/>
  <c r="D124" i="10" s="1"/>
  <c r="E113" i="10"/>
  <c r="F113" i="10"/>
  <c r="G113" i="10"/>
  <c r="G124" i="10" s="1"/>
  <c r="H113" i="10"/>
  <c r="H124" i="10" s="1"/>
  <c r="I113" i="10"/>
  <c r="J113" i="10"/>
  <c r="K113" i="10"/>
  <c r="L113" i="10"/>
  <c r="L124" i="10" s="1"/>
  <c r="M113" i="10"/>
  <c r="N113" i="10"/>
  <c r="O113" i="10"/>
  <c r="D114" i="10"/>
  <c r="D125" i="10" s="1"/>
  <c r="E114" i="10"/>
  <c r="F114" i="10"/>
  <c r="G114" i="10"/>
  <c r="H114" i="10"/>
  <c r="H125" i="10" s="1"/>
  <c r="I114" i="10"/>
  <c r="J114" i="10"/>
  <c r="K114" i="10"/>
  <c r="K125" i="10" s="1"/>
  <c r="L114" i="10"/>
  <c r="L125" i="10" s="1"/>
  <c r="M114" i="10"/>
  <c r="N114" i="10"/>
  <c r="O114" i="10"/>
  <c r="D115" i="10"/>
  <c r="D126" i="10" s="1"/>
  <c r="E115" i="10"/>
  <c r="F115" i="10"/>
  <c r="G115" i="10"/>
  <c r="H115" i="10"/>
  <c r="H126" i="10" s="1"/>
  <c r="I115" i="10"/>
  <c r="J115" i="10"/>
  <c r="K115" i="10"/>
  <c r="L115" i="10"/>
  <c r="L126" i="10" s="1"/>
  <c r="M115" i="10"/>
  <c r="N115" i="10"/>
  <c r="O115" i="10"/>
  <c r="D116" i="10"/>
  <c r="E116" i="10"/>
  <c r="F116" i="10"/>
  <c r="I116" i="10"/>
  <c r="M116" i="10"/>
  <c r="N116" i="10"/>
  <c r="E120" i="10"/>
  <c r="F120" i="10"/>
  <c r="H120" i="10"/>
  <c r="I120" i="10"/>
  <c r="J120" i="10"/>
  <c r="K120" i="10"/>
  <c r="M120" i="10"/>
  <c r="N120" i="10"/>
  <c r="O120" i="10"/>
  <c r="E121" i="10"/>
  <c r="F121" i="10"/>
  <c r="G121" i="10"/>
  <c r="I121" i="10"/>
  <c r="J121" i="10"/>
  <c r="K121" i="10"/>
  <c r="K127" i="10" s="1"/>
  <c r="M121" i="10"/>
  <c r="N121" i="10"/>
  <c r="O121" i="10"/>
  <c r="E122" i="10"/>
  <c r="F122" i="10"/>
  <c r="G122" i="10"/>
  <c r="H122" i="10"/>
  <c r="I122" i="10"/>
  <c r="J122" i="10"/>
  <c r="K122" i="10"/>
  <c r="M122" i="10"/>
  <c r="N122" i="10"/>
  <c r="E123" i="10"/>
  <c r="F123" i="10"/>
  <c r="G123" i="10"/>
  <c r="I123" i="10"/>
  <c r="J123" i="10"/>
  <c r="M123" i="10"/>
  <c r="N123" i="10"/>
  <c r="O123" i="10"/>
  <c r="E124" i="10"/>
  <c r="F124" i="10"/>
  <c r="I124" i="10"/>
  <c r="J124" i="10"/>
  <c r="K124" i="10"/>
  <c r="M124" i="10"/>
  <c r="N124" i="10"/>
  <c r="O124" i="10"/>
  <c r="E125" i="10"/>
  <c r="F125" i="10"/>
  <c r="G125" i="10"/>
  <c r="I125" i="10"/>
  <c r="J125" i="10"/>
  <c r="M125" i="10"/>
  <c r="N125" i="10"/>
  <c r="O125" i="10"/>
  <c r="E126" i="10"/>
  <c r="E127" i="10" s="1"/>
  <c r="F126" i="10"/>
  <c r="G126" i="10"/>
  <c r="I126" i="10"/>
  <c r="J126" i="10"/>
  <c r="K126" i="10"/>
  <c r="M126" i="10"/>
  <c r="N126" i="10"/>
  <c r="O126" i="10"/>
  <c r="O127" i="10" s="1"/>
  <c r="F127" i="10"/>
  <c r="I127" i="10"/>
  <c r="M127" i="10"/>
  <c r="N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L138" i="10" s="1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M138" i="10" s="1"/>
  <c r="N137" i="10"/>
  <c r="O137" i="10"/>
  <c r="D138" i="10"/>
  <c r="E138" i="10"/>
  <c r="F138" i="10"/>
  <c r="G138" i="10"/>
  <c r="I138" i="10"/>
  <c r="N138" i="10"/>
  <c r="D109" i="11"/>
  <c r="E109" i="11"/>
  <c r="F109" i="11"/>
  <c r="G109" i="11"/>
  <c r="H109" i="11"/>
  <c r="I109" i="11"/>
  <c r="J109" i="11"/>
  <c r="K109" i="11"/>
  <c r="K120" i="11" s="1"/>
  <c r="L109" i="11"/>
  <c r="M109" i="11"/>
  <c r="N109" i="11"/>
  <c r="O109" i="11"/>
  <c r="D110" i="11"/>
  <c r="E110" i="11"/>
  <c r="F110" i="11"/>
  <c r="F121" i="11" s="1"/>
  <c r="G110" i="11"/>
  <c r="G121" i="11" s="1"/>
  <c r="H110" i="11"/>
  <c r="H121" i="11" s="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J122" i="11" s="1"/>
  <c r="K111" i="11"/>
  <c r="K122" i="11" s="1"/>
  <c r="L111" i="11"/>
  <c r="M111" i="11"/>
  <c r="N111" i="11"/>
  <c r="O111" i="11"/>
  <c r="D112" i="11"/>
  <c r="E112" i="11"/>
  <c r="F112" i="11"/>
  <c r="F123" i="11" s="1"/>
  <c r="G112" i="11"/>
  <c r="G123" i="11" s="1"/>
  <c r="H112" i="11"/>
  <c r="H123" i="11" s="1"/>
  <c r="I112" i="11"/>
  <c r="J112" i="11"/>
  <c r="K112" i="11"/>
  <c r="L112" i="11"/>
  <c r="M112" i="11"/>
  <c r="N112" i="11"/>
  <c r="N123" i="11" s="1"/>
  <c r="O112" i="11"/>
  <c r="O123" i="11" s="1"/>
  <c r="D113" i="11"/>
  <c r="D124" i="11" s="1"/>
  <c r="E113" i="11"/>
  <c r="F113" i="11"/>
  <c r="G113" i="11"/>
  <c r="H113" i="11"/>
  <c r="I113" i="11"/>
  <c r="J113" i="11"/>
  <c r="J124" i="11" s="1"/>
  <c r="K113" i="11"/>
  <c r="K124" i="11" s="1"/>
  <c r="L113" i="11"/>
  <c r="M113" i="11"/>
  <c r="N113" i="11"/>
  <c r="O113" i="11"/>
  <c r="D114" i="11"/>
  <c r="E114" i="11"/>
  <c r="F114" i="11"/>
  <c r="F125" i="11" s="1"/>
  <c r="G114" i="11"/>
  <c r="G125" i="11" s="1"/>
  <c r="H114" i="11"/>
  <c r="I114" i="11"/>
  <c r="J114" i="11"/>
  <c r="K114" i="11"/>
  <c r="L114" i="11"/>
  <c r="M114" i="11"/>
  <c r="N114" i="11"/>
  <c r="N125" i="11" s="1"/>
  <c r="O114" i="11"/>
  <c r="O125" i="11" s="1"/>
  <c r="D115" i="11"/>
  <c r="D126" i="11" s="1"/>
  <c r="E115" i="11"/>
  <c r="E116" i="11" s="1"/>
  <c r="F115" i="11"/>
  <c r="G115" i="11"/>
  <c r="H115" i="11"/>
  <c r="I115" i="11"/>
  <c r="J115" i="11"/>
  <c r="J126" i="11" s="1"/>
  <c r="K115" i="11"/>
  <c r="K126" i="11" s="1"/>
  <c r="L115" i="11"/>
  <c r="L126" i="11" s="1"/>
  <c r="M115" i="11"/>
  <c r="M116" i="11" s="1"/>
  <c r="N115" i="11"/>
  <c r="O115" i="11"/>
  <c r="F116" i="11"/>
  <c r="H116" i="11"/>
  <c r="I116" i="11"/>
  <c r="K116" i="11"/>
  <c r="D120" i="11"/>
  <c r="E120" i="11"/>
  <c r="F120" i="11"/>
  <c r="G120" i="11"/>
  <c r="H120" i="11"/>
  <c r="I120" i="11"/>
  <c r="M120" i="11"/>
  <c r="N120" i="11"/>
  <c r="O120" i="11"/>
  <c r="D121" i="11"/>
  <c r="E121" i="11"/>
  <c r="I121" i="11"/>
  <c r="J121" i="11"/>
  <c r="K121" i="11"/>
  <c r="L121" i="11"/>
  <c r="M121" i="11"/>
  <c r="D122" i="11"/>
  <c r="E122" i="11"/>
  <c r="F122" i="11"/>
  <c r="G122" i="11"/>
  <c r="H122" i="11"/>
  <c r="I122" i="11"/>
  <c r="L122" i="11"/>
  <c r="M122" i="11"/>
  <c r="N122" i="11"/>
  <c r="O122" i="11"/>
  <c r="D123" i="11"/>
  <c r="E123" i="11"/>
  <c r="I123" i="11"/>
  <c r="J123" i="11"/>
  <c r="K123" i="11"/>
  <c r="L123" i="11"/>
  <c r="M123" i="11"/>
  <c r="E124" i="11"/>
  <c r="F124" i="11"/>
  <c r="G124" i="11"/>
  <c r="H124" i="11"/>
  <c r="I124" i="11"/>
  <c r="L124" i="11"/>
  <c r="M124" i="11"/>
  <c r="N124" i="11"/>
  <c r="O124" i="11"/>
  <c r="D125" i="11"/>
  <c r="E125" i="11"/>
  <c r="H125" i="11"/>
  <c r="I125" i="11"/>
  <c r="J125" i="11"/>
  <c r="K125" i="11"/>
  <c r="L125" i="11"/>
  <c r="M125" i="11"/>
  <c r="E126" i="11"/>
  <c r="F126" i="11"/>
  <c r="G126" i="11"/>
  <c r="H126" i="11"/>
  <c r="I126" i="11"/>
  <c r="M126" i="11"/>
  <c r="N126" i="11"/>
  <c r="O126" i="11"/>
  <c r="E127" i="11"/>
  <c r="I127" i="11"/>
  <c r="M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I138" i="11"/>
  <c r="L138" i="11"/>
  <c r="M138" i="11"/>
  <c r="N138" i="11"/>
  <c r="D109" i="12"/>
  <c r="E109" i="12"/>
  <c r="F109" i="12"/>
  <c r="G109" i="12"/>
  <c r="G120" i="12" s="1"/>
  <c r="H109" i="12"/>
  <c r="I109" i="12"/>
  <c r="J109" i="12"/>
  <c r="K109" i="12"/>
  <c r="K116" i="12" s="1"/>
  <c r="L109" i="12"/>
  <c r="M109" i="12"/>
  <c r="N109" i="12"/>
  <c r="O109" i="12"/>
  <c r="O120" i="12" s="1"/>
  <c r="D110" i="12"/>
  <c r="D121" i="12" s="1"/>
  <c r="E110" i="12"/>
  <c r="F110" i="12"/>
  <c r="F121" i="12" s="1"/>
  <c r="G110" i="12"/>
  <c r="H110" i="12"/>
  <c r="I110" i="12"/>
  <c r="J110" i="12"/>
  <c r="K110" i="12"/>
  <c r="K121" i="12" s="1"/>
  <c r="L110" i="12"/>
  <c r="L121" i="12" s="1"/>
  <c r="M110" i="12"/>
  <c r="N110" i="12"/>
  <c r="O110" i="12"/>
  <c r="D111" i="12"/>
  <c r="E111" i="12"/>
  <c r="F111" i="12"/>
  <c r="G111" i="12"/>
  <c r="G122" i="12" s="1"/>
  <c r="H111" i="12"/>
  <c r="H122" i="12" s="1"/>
  <c r="I111" i="12"/>
  <c r="J111" i="12"/>
  <c r="J122" i="12" s="1"/>
  <c r="K111" i="12"/>
  <c r="L111" i="12"/>
  <c r="M111" i="12"/>
  <c r="N111" i="12"/>
  <c r="O111" i="12"/>
  <c r="O122" i="12" s="1"/>
  <c r="D112" i="12"/>
  <c r="D123" i="12" s="1"/>
  <c r="E112" i="12"/>
  <c r="F112" i="12"/>
  <c r="G112" i="12"/>
  <c r="H112" i="12"/>
  <c r="I112" i="12"/>
  <c r="J112" i="12"/>
  <c r="K112" i="12"/>
  <c r="K123" i="12" s="1"/>
  <c r="L112" i="12"/>
  <c r="M112" i="12"/>
  <c r="N112" i="12"/>
  <c r="N123" i="12" s="1"/>
  <c r="O112" i="12"/>
  <c r="D113" i="12"/>
  <c r="E113" i="12"/>
  <c r="F113" i="12"/>
  <c r="G113" i="12"/>
  <c r="G124" i="12" s="1"/>
  <c r="H113" i="12"/>
  <c r="H124" i="12" s="1"/>
  <c r="I113" i="12"/>
  <c r="J113" i="12"/>
  <c r="K113" i="12"/>
  <c r="L113" i="12"/>
  <c r="M113" i="12"/>
  <c r="N113" i="12"/>
  <c r="O113" i="12"/>
  <c r="O124" i="12" s="1"/>
  <c r="D114" i="12"/>
  <c r="D125" i="12" s="1"/>
  <c r="E114" i="12"/>
  <c r="F114" i="12"/>
  <c r="F125" i="12" s="1"/>
  <c r="G114" i="12"/>
  <c r="H114" i="12"/>
  <c r="I114" i="12"/>
  <c r="J114" i="12"/>
  <c r="K114" i="12"/>
  <c r="K125" i="12" s="1"/>
  <c r="L114" i="12"/>
  <c r="L125" i="12" s="1"/>
  <c r="M114" i="12"/>
  <c r="N114" i="12"/>
  <c r="N125" i="12" s="1"/>
  <c r="O114" i="12"/>
  <c r="D115" i="12"/>
  <c r="E115" i="12"/>
  <c r="E116" i="12" s="1"/>
  <c r="F115" i="12"/>
  <c r="G115" i="12"/>
  <c r="G126" i="12" s="1"/>
  <c r="H115" i="12"/>
  <c r="H126" i="12" s="1"/>
  <c r="I115" i="12"/>
  <c r="J115" i="12"/>
  <c r="K115" i="12"/>
  <c r="L115" i="12"/>
  <c r="M115" i="12"/>
  <c r="M116" i="12" s="1"/>
  <c r="N115" i="12"/>
  <c r="O115" i="12"/>
  <c r="O126" i="12" s="1"/>
  <c r="D116" i="12"/>
  <c r="F116" i="12"/>
  <c r="G116" i="12"/>
  <c r="I116" i="12"/>
  <c r="O116" i="12"/>
  <c r="D120" i="12"/>
  <c r="E120" i="12"/>
  <c r="F120" i="12"/>
  <c r="I120" i="12"/>
  <c r="J120" i="12"/>
  <c r="K120" i="12"/>
  <c r="L120" i="12"/>
  <c r="M120" i="12"/>
  <c r="N120" i="12"/>
  <c r="E121" i="12"/>
  <c r="G121" i="12"/>
  <c r="H121" i="12"/>
  <c r="I121" i="12"/>
  <c r="J121" i="12"/>
  <c r="M121" i="12"/>
  <c r="O121" i="12"/>
  <c r="D122" i="12"/>
  <c r="E122" i="12"/>
  <c r="F122" i="12"/>
  <c r="I122" i="12"/>
  <c r="K122" i="12"/>
  <c r="L122" i="12"/>
  <c r="M122" i="12"/>
  <c r="N122" i="12"/>
  <c r="E123" i="12"/>
  <c r="F123" i="12"/>
  <c r="G123" i="12"/>
  <c r="H123" i="12"/>
  <c r="I123" i="12"/>
  <c r="J123" i="12"/>
  <c r="M123" i="12"/>
  <c r="O123" i="12"/>
  <c r="D124" i="12"/>
  <c r="E124" i="12"/>
  <c r="E127" i="12" s="1"/>
  <c r="F124" i="12"/>
  <c r="I124" i="12"/>
  <c r="J124" i="12"/>
  <c r="K124" i="12"/>
  <c r="L124" i="12"/>
  <c r="M124" i="12"/>
  <c r="M127" i="12" s="1"/>
  <c r="N124" i="12"/>
  <c r="E125" i="12"/>
  <c r="G125" i="12"/>
  <c r="H125" i="12"/>
  <c r="I125" i="12"/>
  <c r="J125" i="12"/>
  <c r="M125" i="12"/>
  <c r="O125" i="12"/>
  <c r="D126" i="12"/>
  <c r="E126" i="12"/>
  <c r="F126" i="12"/>
  <c r="I126" i="12"/>
  <c r="J126" i="12"/>
  <c r="K126" i="12"/>
  <c r="L126" i="12"/>
  <c r="M126" i="12"/>
  <c r="N126" i="12"/>
  <c r="I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F138" i="12" s="1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E138" i="12" s="1"/>
  <c r="F137" i="12"/>
  <c r="G137" i="12"/>
  <c r="H137" i="12"/>
  <c r="I137" i="12"/>
  <c r="J137" i="12"/>
  <c r="K137" i="12"/>
  <c r="L137" i="12"/>
  <c r="M137" i="12"/>
  <c r="M138" i="12" s="1"/>
  <c r="N137" i="12"/>
  <c r="O137" i="12"/>
  <c r="I138" i="12"/>
  <c r="K138" i="12"/>
  <c r="N138" i="12"/>
  <c r="O138" i="12"/>
  <c r="D109" i="13"/>
  <c r="E109" i="13"/>
  <c r="F109" i="13"/>
  <c r="G109" i="13"/>
  <c r="G120" i="13" s="1"/>
  <c r="H109" i="13"/>
  <c r="H120" i="13" s="1"/>
  <c r="I109" i="13"/>
  <c r="J109" i="13"/>
  <c r="K109" i="13"/>
  <c r="L109" i="13"/>
  <c r="M109" i="13"/>
  <c r="N109" i="13"/>
  <c r="O109" i="13"/>
  <c r="O120" i="13" s="1"/>
  <c r="D110" i="13"/>
  <c r="D121" i="13" s="1"/>
  <c r="E110" i="13"/>
  <c r="F110" i="13"/>
  <c r="G110" i="13"/>
  <c r="H110" i="13"/>
  <c r="I110" i="13"/>
  <c r="J110" i="13"/>
  <c r="K110" i="13"/>
  <c r="K121" i="13" s="1"/>
  <c r="L110" i="13"/>
  <c r="L121" i="13" s="1"/>
  <c r="M110" i="13"/>
  <c r="N110" i="13"/>
  <c r="O110" i="13"/>
  <c r="D111" i="13"/>
  <c r="E111" i="13"/>
  <c r="F111" i="13"/>
  <c r="G111" i="13"/>
  <c r="G122" i="13" s="1"/>
  <c r="H111" i="13"/>
  <c r="H122" i="13" s="1"/>
  <c r="H127" i="13" s="1"/>
  <c r="I111" i="13"/>
  <c r="J111" i="13"/>
  <c r="K111" i="13"/>
  <c r="K122" i="13" s="1"/>
  <c r="L111" i="13"/>
  <c r="M111" i="13"/>
  <c r="N111" i="13"/>
  <c r="O111" i="13"/>
  <c r="O122" i="13" s="1"/>
  <c r="D112" i="13"/>
  <c r="D123" i="13" s="1"/>
  <c r="E112" i="13"/>
  <c r="F112" i="13"/>
  <c r="F123" i="13" s="1"/>
  <c r="G112" i="13"/>
  <c r="G123" i="13" s="1"/>
  <c r="H112" i="13"/>
  <c r="I112" i="13"/>
  <c r="J112" i="13"/>
  <c r="K112" i="13"/>
  <c r="K123" i="13" s="1"/>
  <c r="L112" i="13"/>
  <c r="L123" i="13" s="1"/>
  <c r="M112" i="13"/>
  <c r="N112" i="13"/>
  <c r="N123" i="13" s="1"/>
  <c r="O112" i="13"/>
  <c r="D113" i="13"/>
  <c r="E113" i="13"/>
  <c r="F113" i="13"/>
  <c r="G113" i="13"/>
  <c r="G124" i="13" s="1"/>
  <c r="H113" i="13"/>
  <c r="H124" i="13" s="1"/>
  <c r="I113" i="13"/>
  <c r="J113" i="13"/>
  <c r="J124" i="13" s="1"/>
  <c r="K113" i="13"/>
  <c r="L113" i="13"/>
  <c r="M113" i="13"/>
  <c r="N113" i="13"/>
  <c r="O113" i="13"/>
  <c r="O124" i="13" s="1"/>
  <c r="D114" i="13"/>
  <c r="D125" i="13" s="1"/>
  <c r="E114" i="13"/>
  <c r="F114" i="13"/>
  <c r="F125" i="13" s="1"/>
  <c r="G114" i="13"/>
  <c r="G125" i="13" s="1"/>
  <c r="H114" i="13"/>
  <c r="I114" i="13"/>
  <c r="J114" i="13"/>
  <c r="K114" i="13"/>
  <c r="K125" i="13" s="1"/>
  <c r="L114" i="13"/>
  <c r="L125" i="13" s="1"/>
  <c r="M114" i="13"/>
  <c r="N114" i="13"/>
  <c r="N125" i="13" s="1"/>
  <c r="O114" i="13"/>
  <c r="O125" i="13" s="1"/>
  <c r="D115" i="13"/>
  <c r="E115" i="13"/>
  <c r="E116" i="13" s="1"/>
  <c r="F115" i="13"/>
  <c r="G115" i="13"/>
  <c r="G126" i="13" s="1"/>
  <c r="H115" i="13"/>
  <c r="H126" i="13" s="1"/>
  <c r="I115" i="13"/>
  <c r="J115" i="13"/>
  <c r="J126" i="13" s="1"/>
  <c r="K115" i="13"/>
  <c r="L115" i="13"/>
  <c r="M115" i="13"/>
  <c r="M116" i="13" s="1"/>
  <c r="N115" i="13"/>
  <c r="O115" i="13"/>
  <c r="O126" i="13" s="1"/>
  <c r="D116" i="13"/>
  <c r="H116" i="13"/>
  <c r="I116" i="13"/>
  <c r="O116" i="13"/>
  <c r="D120" i="13"/>
  <c r="E120" i="13"/>
  <c r="F120" i="13"/>
  <c r="I120" i="13"/>
  <c r="L120" i="13"/>
  <c r="L127" i="13" s="1"/>
  <c r="M120" i="13"/>
  <c r="N120" i="13"/>
  <c r="E121" i="13"/>
  <c r="H121" i="13"/>
  <c r="I121" i="13"/>
  <c r="J121" i="13"/>
  <c r="M121" i="13"/>
  <c r="N121" i="13"/>
  <c r="N127" i="13" s="1"/>
  <c r="O121" i="13"/>
  <c r="D122" i="13"/>
  <c r="E122" i="13"/>
  <c r="E127" i="13" s="1"/>
  <c r="F122" i="13"/>
  <c r="I122" i="13"/>
  <c r="J122" i="13"/>
  <c r="L122" i="13"/>
  <c r="M122" i="13"/>
  <c r="M127" i="13" s="1"/>
  <c r="N122" i="13"/>
  <c r="E123" i="13"/>
  <c r="H123" i="13"/>
  <c r="I123" i="13"/>
  <c r="J123" i="13"/>
  <c r="M123" i="13"/>
  <c r="O123" i="13"/>
  <c r="D124" i="13"/>
  <c r="E124" i="13"/>
  <c r="F124" i="13"/>
  <c r="I124" i="13"/>
  <c r="K124" i="13"/>
  <c r="L124" i="13"/>
  <c r="M124" i="13"/>
  <c r="N124" i="13"/>
  <c r="E125" i="13"/>
  <c r="H125" i="13"/>
  <c r="I125" i="13"/>
  <c r="J125" i="13"/>
  <c r="M125" i="13"/>
  <c r="D126" i="13"/>
  <c r="E126" i="13"/>
  <c r="F126" i="13"/>
  <c r="I126" i="13"/>
  <c r="K126" i="13"/>
  <c r="L126" i="13"/>
  <c r="M126" i="13"/>
  <c r="N126" i="13"/>
  <c r="I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E138" i="13" s="1"/>
  <c r="F137" i="13"/>
  <c r="G137" i="13"/>
  <c r="H137" i="13"/>
  <c r="I137" i="13"/>
  <c r="J137" i="13"/>
  <c r="K137" i="13"/>
  <c r="L137" i="13"/>
  <c r="M137" i="13"/>
  <c r="M138" i="13" s="1"/>
  <c r="N137" i="13"/>
  <c r="O137" i="13"/>
  <c r="D138" i="13"/>
  <c r="F138" i="13"/>
  <c r="I138" i="13"/>
  <c r="K138" i="13"/>
  <c r="L138" i="13"/>
  <c r="N138" i="13"/>
  <c r="O138" i="13"/>
  <c r="AZ14" i="14"/>
  <c r="AY259" i="14" s="1"/>
  <c r="AY181" i="14"/>
  <c r="AY179" i="14"/>
  <c r="AY177" i="14"/>
  <c r="AY175" i="14"/>
  <c r="AY260" i="14" s="1"/>
  <c r="AX260" i="14"/>
  <c r="AX259" i="14"/>
  <c r="AY14" i="14"/>
  <c r="AX181" i="14"/>
  <c r="AX179" i="14"/>
  <c r="AX177" i="14"/>
  <c r="AX175" i="14"/>
  <c r="AW260" i="14"/>
  <c r="AX14" i="14"/>
  <c r="AW259" i="14" s="1"/>
  <c r="AW181" i="14"/>
  <c r="AW179" i="14"/>
  <c r="AW177" i="14"/>
  <c r="AW175" i="14"/>
  <c r="AW14" i="14"/>
  <c r="AV259" i="14" s="1"/>
  <c r="AV181" i="14"/>
  <c r="AV179" i="14"/>
  <c r="AV177" i="14"/>
  <c r="AV175" i="14"/>
  <c r="AV14" i="14"/>
  <c r="AU259" i="14" s="1"/>
  <c r="AU181" i="14"/>
  <c r="AU179" i="14"/>
  <c r="AU260" i="14" s="1"/>
  <c r="AU177" i="14"/>
  <c r="AU175" i="14"/>
  <c r="AT259" i="14"/>
  <c r="AU14" i="14"/>
  <c r="AT181" i="14"/>
  <c r="AT179" i="14"/>
  <c r="AT177" i="14"/>
  <c r="AT260" i="14" s="1"/>
  <c r="AT175" i="14"/>
  <c r="AT14" i="14"/>
  <c r="AS259" i="14" s="1"/>
  <c r="AS181" i="14"/>
  <c r="AS179" i="14"/>
  <c r="AS177" i="14"/>
  <c r="AS175" i="14"/>
  <c r="AS260" i="14" s="1"/>
  <c r="AS14" i="14"/>
  <c r="AR259" i="14" s="1"/>
  <c r="AR181" i="14"/>
  <c r="AR179" i="14"/>
  <c r="AR177" i="14"/>
  <c r="AR175" i="14"/>
  <c r="AR14" i="14"/>
  <c r="AQ259" i="14" s="1"/>
  <c r="AQ181" i="14"/>
  <c r="AQ179" i="14"/>
  <c r="AQ177" i="14"/>
  <c r="AQ175" i="14"/>
  <c r="AP259" i="14"/>
  <c r="AQ14" i="14"/>
  <c r="AP181" i="14"/>
  <c r="AP179" i="14"/>
  <c r="AP177" i="14"/>
  <c r="AP260" i="14" s="1"/>
  <c r="AP175" i="14"/>
  <c r="AO259" i="14"/>
  <c r="AP14" i="14"/>
  <c r="AO181" i="14"/>
  <c r="AO179" i="14"/>
  <c r="AO177" i="14"/>
  <c r="AO175" i="14"/>
  <c r="AN259" i="14"/>
  <c r="AO14" i="14"/>
  <c r="AN181" i="14"/>
  <c r="AN179" i="14"/>
  <c r="AN177" i="14"/>
  <c r="AN175" i="14"/>
  <c r="AM260" i="14"/>
  <c r="AN14" i="14"/>
  <c r="AM259" i="14" s="1"/>
  <c r="AM181" i="14"/>
  <c r="AM179" i="14"/>
  <c r="AM177" i="14"/>
  <c r="AM175" i="14"/>
  <c r="AL259" i="14"/>
  <c r="AM14" i="14"/>
  <c r="AL181" i="14"/>
  <c r="AL179" i="14"/>
  <c r="AL177" i="14"/>
  <c r="AL175" i="14"/>
  <c r="AK259" i="14"/>
  <c r="AL14" i="14"/>
  <c r="AK181" i="14"/>
  <c r="AK179" i="14"/>
  <c r="AK177" i="14"/>
  <c r="AK175" i="14"/>
  <c r="AK14" i="14"/>
  <c r="AJ259" i="14" s="1"/>
  <c r="AJ181" i="14"/>
  <c r="AJ179" i="14"/>
  <c r="AJ177" i="14"/>
  <c r="AJ175" i="14"/>
  <c r="AJ14" i="14"/>
  <c r="AI259" i="14" s="1"/>
  <c r="AI181" i="14"/>
  <c r="AI179" i="14"/>
  <c r="AI177" i="14"/>
  <c r="AI175" i="14"/>
  <c r="AH259" i="14"/>
  <c r="AI14" i="14"/>
  <c r="AH181" i="14"/>
  <c r="AH179" i="14"/>
  <c r="AH177" i="14"/>
  <c r="AH260" i="14" s="1"/>
  <c r="AH175" i="14"/>
  <c r="AG259" i="14"/>
  <c r="AH14" i="14"/>
  <c r="AG181" i="14"/>
  <c r="AG179" i="14"/>
  <c r="AG177" i="14"/>
  <c r="AG175" i="14"/>
  <c r="AG260" i="14" s="1"/>
  <c r="AF259" i="14"/>
  <c r="AG14" i="14"/>
  <c r="AF181" i="14"/>
  <c r="AF179" i="14"/>
  <c r="AF177" i="14"/>
  <c r="AF175" i="14"/>
  <c r="AF260" i="14" s="1"/>
  <c r="AF14" i="14"/>
  <c r="AE259" i="14" s="1"/>
  <c r="AE181" i="14"/>
  <c r="AE260" i="14" s="1"/>
  <c r="AE179" i="14"/>
  <c r="AE177" i="14"/>
  <c r="AE175" i="14"/>
  <c r="AD260" i="14"/>
  <c r="AD259" i="14"/>
  <c r="AE14" i="14"/>
  <c r="AD181" i="14"/>
  <c r="AD179" i="14"/>
  <c r="AD177" i="14"/>
  <c r="AD175" i="14"/>
  <c r="AD14" i="14"/>
  <c r="AC259" i="14" s="1"/>
  <c r="AC181" i="14"/>
  <c r="AC179" i="14"/>
  <c r="AC177" i="14"/>
  <c r="AC175" i="14"/>
  <c r="AC260" i="14" s="1"/>
  <c r="AC14" i="14"/>
  <c r="AB259" i="14" s="1"/>
  <c r="AB181" i="14"/>
  <c r="AB179" i="14"/>
  <c r="AB177" i="14"/>
  <c r="AB175" i="14"/>
  <c r="AB260" i="14" s="1"/>
  <c r="AB14" i="14"/>
  <c r="AA259" i="14" s="1"/>
  <c r="AA181" i="14"/>
  <c r="AA260" i="14" s="1"/>
  <c r="AA179" i="14"/>
  <c r="AA177" i="14"/>
  <c r="AA175" i="14"/>
  <c r="Z259" i="14"/>
  <c r="AA14" i="14"/>
  <c r="Z181" i="14"/>
  <c r="Z179" i="14"/>
  <c r="Z260" i="14" s="1"/>
  <c r="Z177" i="14"/>
  <c r="Z175" i="14"/>
  <c r="Y259" i="14"/>
  <c r="Z14" i="14"/>
  <c r="Y181" i="14"/>
  <c r="Y179" i="14"/>
  <c r="Y177" i="14"/>
  <c r="Y175" i="14"/>
  <c r="X259" i="14"/>
  <c r="Y14" i="14"/>
  <c r="X181" i="14"/>
  <c r="X179" i="14"/>
  <c r="X177" i="14"/>
  <c r="X175" i="14"/>
  <c r="X260" i="14" s="1"/>
  <c r="W260" i="14"/>
  <c r="X14" i="14"/>
  <c r="W259" i="14" s="1"/>
  <c r="W181" i="14"/>
  <c r="W179" i="14"/>
  <c r="W177" i="14"/>
  <c r="W175" i="14"/>
  <c r="V260" i="14"/>
  <c r="V259" i="14"/>
  <c r="W14" i="14"/>
  <c r="V181" i="14"/>
  <c r="V179" i="14"/>
  <c r="V177" i="14"/>
  <c r="V175" i="14"/>
  <c r="V14" i="14"/>
  <c r="U259" i="14" s="1"/>
  <c r="U181" i="14"/>
  <c r="U179" i="14"/>
  <c r="U177" i="14"/>
  <c r="U175" i="14"/>
  <c r="U14" i="14"/>
  <c r="T259" i="14" s="1"/>
  <c r="T181" i="14"/>
  <c r="T179" i="14"/>
  <c r="T177" i="14"/>
  <c r="T175" i="14"/>
  <c r="S260" i="14"/>
  <c r="T14" i="14"/>
  <c r="S259" i="14" s="1"/>
  <c r="S181" i="14"/>
  <c r="S179" i="14"/>
  <c r="S177" i="14"/>
  <c r="S175" i="14"/>
  <c r="R260" i="14"/>
  <c r="R259" i="14"/>
  <c r="S14" i="14"/>
  <c r="R181" i="14"/>
  <c r="R179" i="14"/>
  <c r="R177" i="14"/>
  <c r="R175" i="14"/>
  <c r="Q260" i="14"/>
  <c r="R14" i="14"/>
  <c r="Q259" i="14" s="1"/>
  <c r="Q181" i="14"/>
  <c r="Q179" i="14"/>
  <c r="Q177" i="14"/>
  <c r="Q175" i="14"/>
  <c r="P259" i="14"/>
  <c r="Q14" i="14"/>
  <c r="P181" i="14"/>
  <c r="P179" i="14"/>
  <c r="P177" i="14"/>
  <c r="P175" i="14"/>
  <c r="P14" i="14"/>
  <c r="O259" i="14" s="1"/>
  <c r="O181" i="14"/>
  <c r="O179" i="14"/>
  <c r="O260" i="14" s="1"/>
  <c r="O177" i="14"/>
  <c r="O175" i="14"/>
  <c r="N260" i="14"/>
  <c r="N259" i="14"/>
  <c r="O14" i="14"/>
  <c r="N181" i="14"/>
  <c r="N179" i="14"/>
  <c r="N177" i="14"/>
  <c r="N175" i="14"/>
  <c r="N14" i="14"/>
  <c r="M259" i="14" s="1"/>
  <c r="M181" i="14"/>
  <c r="M179" i="14"/>
  <c r="M177" i="14"/>
  <c r="M175" i="14"/>
  <c r="M260" i="14" s="1"/>
  <c r="M14" i="14"/>
  <c r="L259" i="14" s="1"/>
  <c r="L181" i="14"/>
  <c r="L179" i="14"/>
  <c r="L177" i="14"/>
  <c r="L175" i="14"/>
  <c r="L14" i="14"/>
  <c r="K259" i="14" s="1"/>
  <c r="K181" i="14"/>
  <c r="K179" i="14"/>
  <c r="K177" i="14"/>
  <c r="K175" i="14"/>
  <c r="J259" i="14"/>
  <c r="K14" i="14"/>
  <c r="J181" i="14"/>
  <c r="J179" i="14"/>
  <c r="J177" i="14"/>
  <c r="J260" i="14" s="1"/>
  <c r="J175" i="14"/>
  <c r="I259" i="14"/>
  <c r="J14" i="14"/>
  <c r="I181" i="14"/>
  <c r="I179" i="14"/>
  <c r="I177" i="14"/>
  <c r="I175" i="14"/>
  <c r="H259" i="14"/>
  <c r="I14" i="14"/>
  <c r="H181" i="14"/>
  <c r="H179" i="14"/>
  <c r="H177" i="14"/>
  <c r="H175" i="14"/>
  <c r="G260" i="14"/>
  <c r="H14" i="14"/>
  <c r="G259" i="14" s="1"/>
  <c r="G181" i="14"/>
  <c r="G179" i="14"/>
  <c r="G177" i="14"/>
  <c r="G175" i="14"/>
  <c r="F259" i="14"/>
  <c r="G14" i="14"/>
  <c r="F181" i="14"/>
  <c r="F179" i="14"/>
  <c r="F177" i="14"/>
  <c r="F175" i="14"/>
  <c r="E259" i="14"/>
  <c r="F14" i="14"/>
  <c r="E181" i="14"/>
  <c r="E179" i="14"/>
  <c r="E177" i="14"/>
  <c r="E175" i="14"/>
  <c r="E14" i="14"/>
  <c r="D181" i="14"/>
  <c r="D179" i="14"/>
  <c r="D177" i="14"/>
  <c r="D175" i="14"/>
  <c r="AZ14" i="15"/>
  <c r="AY259" i="15" s="1"/>
  <c r="AY181" i="15"/>
  <c r="AY179" i="15"/>
  <c r="AY260" i="15" s="1"/>
  <c r="AY177" i="15"/>
  <c r="AY175" i="15"/>
  <c r="AX259" i="15"/>
  <c r="AY14" i="15"/>
  <c r="AX181" i="15"/>
  <c r="AX179" i="15"/>
  <c r="AX177" i="15"/>
  <c r="AX175" i="15"/>
  <c r="AW259" i="15"/>
  <c r="AX14" i="15"/>
  <c r="AW181" i="15"/>
  <c r="AW179" i="15"/>
  <c r="AW177" i="15"/>
  <c r="AW175" i="15"/>
  <c r="AW260" i="15" s="1"/>
  <c r="AV259" i="15"/>
  <c r="AW14" i="15"/>
  <c r="AV181" i="15"/>
  <c r="AV179" i="15"/>
  <c r="AV177" i="15"/>
  <c r="AV175" i="15"/>
  <c r="AV260" i="15" s="1"/>
  <c r="AU260" i="15"/>
  <c r="AV14" i="15"/>
  <c r="AU259" i="15" s="1"/>
  <c r="AU181" i="15"/>
  <c r="AU179" i="15"/>
  <c r="AU177" i="15"/>
  <c r="AU175" i="15"/>
  <c r="AT259" i="15"/>
  <c r="AU14" i="15"/>
  <c r="AT181" i="15"/>
  <c r="AT260" i="15" s="1"/>
  <c r="AT179" i="15"/>
  <c r="AT177" i="15"/>
  <c r="AT175" i="15"/>
  <c r="AT14" i="15"/>
  <c r="AS259" i="15" s="1"/>
  <c r="AS181" i="15"/>
  <c r="AS179" i="15"/>
  <c r="AS177" i="15"/>
  <c r="AS175" i="15"/>
  <c r="AS14" i="15"/>
  <c r="AR259" i="15" s="1"/>
  <c r="AR181" i="15"/>
  <c r="AR179" i="15"/>
  <c r="AR177" i="15"/>
  <c r="AR175" i="15"/>
  <c r="AR14" i="15"/>
  <c r="AQ259" i="15" s="1"/>
  <c r="AQ181" i="15"/>
  <c r="AQ260" i="15" s="1"/>
  <c r="AQ179" i="15"/>
  <c r="AQ177" i="15"/>
  <c r="AQ175" i="15"/>
  <c r="AP259" i="15"/>
  <c r="AQ14" i="15"/>
  <c r="AP181" i="15"/>
  <c r="AP179" i="15"/>
  <c r="AP260" i="15" s="1"/>
  <c r="AP177" i="15"/>
  <c r="AP175" i="15"/>
  <c r="AP14" i="15"/>
  <c r="AO259" i="15" s="1"/>
  <c r="AO181" i="15"/>
  <c r="AO179" i="15"/>
  <c r="AO177" i="15"/>
  <c r="AO175" i="15"/>
  <c r="AO260" i="15" s="1"/>
  <c r="AN259" i="15"/>
  <c r="AO14" i="15"/>
  <c r="AN181" i="15"/>
  <c r="AN179" i="15"/>
  <c r="AN177" i="15"/>
  <c r="AN175" i="15"/>
  <c r="AN260" i="15" s="1"/>
  <c r="AM260" i="15"/>
  <c r="AN14" i="15"/>
  <c r="AM259" i="15" s="1"/>
  <c r="AM181" i="15"/>
  <c r="AM179" i="15"/>
  <c r="AM177" i="15"/>
  <c r="AM175" i="15"/>
  <c r="AL260" i="15"/>
  <c r="AL259" i="15"/>
  <c r="AM14" i="15"/>
  <c r="AL181" i="15"/>
  <c r="AL179" i="15"/>
  <c r="AL177" i="15"/>
  <c r="AL175" i="15"/>
  <c r="AK259" i="15"/>
  <c r="AL14" i="15"/>
  <c r="AK181" i="15"/>
  <c r="AK179" i="15"/>
  <c r="AK177" i="15"/>
  <c r="AK175" i="15"/>
  <c r="AK14" i="15"/>
  <c r="AJ259" i="15" s="1"/>
  <c r="AJ181" i="15"/>
  <c r="AJ179" i="15"/>
  <c r="AJ177" i="15"/>
  <c r="AJ175" i="15"/>
  <c r="AJ14" i="15"/>
  <c r="AI259" i="15" s="1"/>
  <c r="AI181" i="15"/>
  <c r="AI179" i="15"/>
  <c r="AI177" i="15"/>
  <c r="AI175" i="15"/>
  <c r="AI260" i="15" s="1"/>
  <c r="AH260" i="15"/>
  <c r="AH259" i="15"/>
  <c r="AI14" i="15"/>
  <c r="AH181" i="15"/>
  <c r="AH179" i="15"/>
  <c r="AH177" i="15"/>
  <c r="AH175" i="15"/>
  <c r="AG260" i="15"/>
  <c r="AG259" i="15"/>
  <c r="AH14" i="15"/>
  <c r="AG181" i="15"/>
  <c r="AG179" i="15"/>
  <c r="AG177" i="15"/>
  <c r="AG175" i="15"/>
  <c r="AG14" i="15"/>
  <c r="AF259" i="15" s="1"/>
  <c r="AF181" i="15"/>
  <c r="AF179" i="15"/>
  <c r="AF177" i="15"/>
  <c r="AF175" i="15"/>
  <c r="AF14" i="15"/>
  <c r="AE259" i="15" s="1"/>
  <c r="AE181" i="15"/>
  <c r="AE179" i="15"/>
  <c r="AE177" i="15"/>
  <c r="AE175" i="15"/>
  <c r="AD259" i="15"/>
  <c r="AE14" i="15"/>
  <c r="AD181" i="15"/>
  <c r="AD179" i="15"/>
  <c r="AD260" i="15" s="1"/>
  <c r="AD177" i="15"/>
  <c r="AD175" i="15"/>
  <c r="AC259" i="15"/>
  <c r="AD14" i="15"/>
  <c r="AC181" i="15"/>
  <c r="AC179" i="15"/>
  <c r="AC177" i="15"/>
  <c r="AC175" i="15"/>
  <c r="AC260" i="15" s="1"/>
  <c r="AC14" i="15"/>
  <c r="AB259" i="15" s="1"/>
  <c r="AB181" i="15"/>
  <c r="AB179" i="15"/>
  <c r="AB177" i="15"/>
  <c r="AB175" i="15"/>
  <c r="AB14" i="15"/>
  <c r="AA259" i="15" s="1"/>
  <c r="AA181" i="15"/>
  <c r="AA179" i="15"/>
  <c r="AA177" i="15"/>
  <c r="AA175" i="15"/>
  <c r="Z259" i="15"/>
  <c r="AA14" i="15"/>
  <c r="Z181" i="15"/>
  <c r="Z179" i="15"/>
  <c r="Z260" i="15" s="1"/>
  <c r="Z177" i="15"/>
  <c r="Z175" i="15"/>
  <c r="Y259" i="15"/>
  <c r="Z14" i="15"/>
  <c r="Y181" i="15"/>
  <c r="Y179" i="15"/>
  <c r="Y177" i="15"/>
  <c r="Y260" i="15" s="1"/>
  <c r="Y175" i="15"/>
  <c r="Y14" i="15"/>
  <c r="X259" i="15" s="1"/>
  <c r="X181" i="15"/>
  <c r="X179" i="15"/>
  <c r="X177" i="15"/>
  <c r="X175" i="15"/>
  <c r="W260" i="15"/>
  <c r="X14" i="15"/>
  <c r="W259" i="15" s="1"/>
  <c r="W181" i="15"/>
  <c r="W179" i="15"/>
  <c r="W177" i="15"/>
  <c r="W175" i="15"/>
  <c r="V259" i="15"/>
  <c r="W14" i="15"/>
  <c r="V181" i="15"/>
  <c r="V179" i="15"/>
  <c r="V177" i="15"/>
  <c r="V175" i="15"/>
  <c r="U259" i="15"/>
  <c r="V14" i="15"/>
  <c r="U181" i="15"/>
  <c r="U179" i="15"/>
  <c r="U177" i="15"/>
  <c r="U175" i="15"/>
  <c r="U260" i="15" s="1"/>
  <c r="U14" i="15"/>
  <c r="T259" i="15" s="1"/>
  <c r="T181" i="15"/>
  <c r="T179" i="15"/>
  <c r="T177" i="15"/>
  <c r="T175" i="15"/>
  <c r="T14" i="15"/>
  <c r="S259" i="15" s="1"/>
  <c r="S181" i="15"/>
  <c r="S260" i="15" s="1"/>
  <c r="S179" i="15"/>
  <c r="S177" i="15"/>
  <c r="S175" i="15"/>
  <c r="R259" i="15"/>
  <c r="S14" i="15"/>
  <c r="R181" i="15"/>
  <c r="R179" i="15"/>
  <c r="R177" i="15"/>
  <c r="R260" i="15" s="1"/>
  <c r="R175" i="15"/>
  <c r="Q259" i="15"/>
  <c r="R14" i="15"/>
  <c r="Q181" i="15"/>
  <c r="Q179" i="15"/>
  <c r="Q177" i="15"/>
  <c r="Q175" i="15"/>
  <c r="Q260" i="15" s="1"/>
  <c r="P259" i="15"/>
  <c r="Q14" i="15"/>
  <c r="P181" i="15"/>
  <c r="P179" i="15"/>
  <c r="P177" i="15"/>
  <c r="P175" i="15"/>
  <c r="P260" i="15" s="1"/>
  <c r="P14" i="15"/>
  <c r="O259" i="15" s="1"/>
  <c r="O181" i="15"/>
  <c r="O260" i="15" s="1"/>
  <c r="O179" i="15"/>
  <c r="O177" i="15"/>
  <c r="O175" i="15"/>
  <c r="N260" i="15"/>
  <c r="N259" i="15"/>
  <c r="O14" i="15"/>
  <c r="N181" i="15"/>
  <c r="N179" i="15"/>
  <c r="N177" i="15"/>
  <c r="N175" i="15"/>
  <c r="N14" i="15"/>
  <c r="M259" i="15" s="1"/>
  <c r="M181" i="15"/>
  <c r="M179" i="15"/>
  <c r="M177" i="15"/>
  <c r="M175" i="15"/>
  <c r="M14" i="15"/>
  <c r="L259" i="15" s="1"/>
  <c r="L181" i="15"/>
  <c r="L179" i="15"/>
  <c r="L177" i="15"/>
  <c r="L175" i="15"/>
  <c r="K260" i="15"/>
  <c r="L14" i="15"/>
  <c r="K259" i="15" s="1"/>
  <c r="K181" i="15"/>
  <c r="K179" i="15"/>
  <c r="K177" i="15"/>
  <c r="K175" i="15"/>
  <c r="J260" i="15"/>
  <c r="J259" i="15"/>
  <c r="K14" i="15"/>
  <c r="J181" i="15"/>
  <c r="J179" i="15"/>
  <c r="J177" i="15"/>
  <c r="J175" i="15"/>
  <c r="J14" i="15"/>
  <c r="I259" i="15" s="1"/>
  <c r="I181" i="15"/>
  <c r="I179" i="15"/>
  <c r="I177" i="15"/>
  <c r="I175" i="15"/>
  <c r="I260" i="15" s="1"/>
  <c r="H259" i="15"/>
  <c r="I14" i="15"/>
  <c r="H181" i="15"/>
  <c r="H179" i="15"/>
  <c r="H177" i="15"/>
  <c r="H175" i="15"/>
  <c r="H260" i="15" s="1"/>
  <c r="G260" i="15"/>
  <c r="H14" i="15"/>
  <c r="G259" i="15" s="1"/>
  <c r="G181" i="15"/>
  <c r="G179" i="15"/>
  <c r="G177" i="15"/>
  <c r="G175" i="15"/>
  <c r="F259" i="15"/>
  <c r="G14" i="15"/>
  <c r="F181" i="15"/>
  <c r="F260" i="15" s="1"/>
  <c r="F179" i="15"/>
  <c r="F177" i="15"/>
  <c r="F175" i="15"/>
  <c r="E259" i="15"/>
  <c r="F14" i="15"/>
  <c r="E181" i="15"/>
  <c r="E179" i="15"/>
  <c r="E177" i="15"/>
  <c r="E175" i="15"/>
  <c r="E14" i="15"/>
  <c r="D259" i="15" s="1"/>
  <c r="D181" i="15"/>
  <c r="D179" i="15"/>
  <c r="D177" i="15"/>
  <c r="D175" i="15"/>
  <c r="AY14" i="16"/>
  <c r="AY10" i="16" s="1"/>
  <c r="AY13" i="16" s="1"/>
  <c r="AY15" i="16"/>
  <c r="AY16" i="16"/>
  <c r="AY17" i="16"/>
  <c r="AY29" i="16"/>
  <c r="AX14" i="16"/>
  <c r="AX10" i="16" s="1"/>
  <c r="AX15" i="16"/>
  <c r="AX16" i="16"/>
  <c r="AX13" i="16"/>
  <c r="AX17" i="16"/>
  <c r="AX29" i="16"/>
  <c r="AW14" i="16"/>
  <c r="AW15" i="16"/>
  <c r="AW16" i="16"/>
  <c r="AW17" i="16"/>
  <c r="AW29" i="16"/>
  <c r="AV14" i="16"/>
  <c r="AV15" i="16"/>
  <c r="AV16" i="16"/>
  <c r="AV10" i="16"/>
  <c r="AV13" i="16" s="1"/>
  <c r="AV17" i="16"/>
  <c r="AV29" i="16"/>
  <c r="AU14" i="16"/>
  <c r="AU15" i="16"/>
  <c r="AU16" i="16"/>
  <c r="AU10" i="16"/>
  <c r="AU13" i="16"/>
  <c r="AU17" i="16"/>
  <c r="AU29" i="16"/>
  <c r="AT14" i="16"/>
  <c r="AT15" i="16"/>
  <c r="AT16" i="16"/>
  <c r="AT10" i="16"/>
  <c r="AT13" i="16" s="1"/>
  <c r="AU21" i="16" s="1"/>
  <c r="AT17" i="16"/>
  <c r="AT29" i="16"/>
  <c r="AS15" i="16"/>
  <c r="AS16" i="16"/>
  <c r="AS21" i="16"/>
  <c r="AS22" i="16"/>
  <c r="AS24" i="16"/>
  <c r="AS29" i="16"/>
  <c r="AS34" i="16"/>
  <c r="AS40" i="16" s="1"/>
  <c r="AS45" i="16"/>
  <c r="AS51" i="16"/>
  <c r="AR14" i="16"/>
  <c r="AR15" i="16"/>
  <c r="AR16" i="16"/>
  <c r="AS17" i="16" s="1"/>
  <c r="AR10" i="16"/>
  <c r="AR13" i="16" s="1"/>
  <c r="AS14" i="16" s="1"/>
  <c r="AR17" i="16"/>
  <c r="AR29" i="16"/>
  <c r="AQ21" i="16"/>
  <c r="AQ22" i="16"/>
  <c r="AQ23" i="16"/>
  <c r="AQ29" i="16"/>
  <c r="AP14" i="16"/>
  <c r="AP15" i="16"/>
  <c r="AQ16" i="16" s="1"/>
  <c r="AP16" i="16"/>
  <c r="AQ17" i="16" s="1"/>
  <c r="AP17" i="16"/>
  <c r="AP29" i="16"/>
  <c r="AO14" i="16"/>
  <c r="AO15" i="16"/>
  <c r="AO16" i="16"/>
  <c r="AO17" i="16"/>
  <c r="AO29" i="16"/>
  <c r="AN14" i="16"/>
  <c r="AN15" i="16"/>
  <c r="AN16" i="16"/>
  <c r="AN10" i="16"/>
  <c r="AN13" i="16" s="1"/>
  <c r="AN17" i="16"/>
  <c r="AN29" i="16"/>
  <c r="AM14" i="16"/>
  <c r="AM10" i="16" s="1"/>
  <c r="AM13" i="16" s="1"/>
  <c r="AM15" i="16"/>
  <c r="AM16" i="16"/>
  <c r="AM17" i="16"/>
  <c r="AM29" i="16"/>
  <c r="AL14" i="16"/>
  <c r="AL15" i="16"/>
  <c r="AL16" i="16"/>
  <c r="AL10" i="16"/>
  <c r="AL13" i="16" s="1"/>
  <c r="AL17" i="16"/>
  <c r="AL29" i="16"/>
  <c r="AK15" i="16"/>
  <c r="AK16" i="16"/>
  <c r="AK21" i="16"/>
  <c r="AK22" i="16"/>
  <c r="AK24" i="16"/>
  <c r="AK29" i="16"/>
  <c r="AK34" i="16"/>
  <c r="AK40" i="16"/>
  <c r="AK44" i="16"/>
  <c r="AK45" i="16"/>
  <c r="AK46" i="16"/>
  <c r="AK50" i="16"/>
  <c r="AK51" i="16"/>
  <c r="AJ14" i="16"/>
  <c r="AJ15" i="16"/>
  <c r="AJ16" i="16"/>
  <c r="AJ17" i="16"/>
  <c r="AJ29" i="16"/>
  <c r="AI14" i="16"/>
  <c r="AI15" i="16"/>
  <c r="AI16" i="16"/>
  <c r="AI10" i="16"/>
  <c r="AI13" i="16"/>
  <c r="AI17" i="16"/>
  <c r="AI29" i="16"/>
  <c r="AH14" i="16"/>
  <c r="AH10" i="16" s="1"/>
  <c r="AH13" i="16" s="1"/>
  <c r="AH15" i="16"/>
  <c r="AH16" i="16"/>
  <c r="AH17" i="16"/>
  <c r="AH29" i="16"/>
  <c r="AG14" i="16"/>
  <c r="AG15" i="16"/>
  <c r="AG16" i="16"/>
  <c r="AG10" i="16"/>
  <c r="AG13" i="16" s="1"/>
  <c r="AG17" i="16"/>
  <c r="AG29" i="16"/>
  <c r="AF14" i="16"/>
  <c r="AF15" i="16"/>
  <c r="AF16" i="16"/>
  <c r="AF17" i="16"/>
  <c r="AF29" i="16"/>
  <c r="AE14" i="16"/>
  <c r="AE15" i="16"/>
  <c r="AE16" i="16"/>
  <c r="AE17" i="16"/>
  <c r="AE29" i="16"/>
  <c r="AD14" i="16"/>
  <c r="AD15" i="16"/>
  <c r="AD16" i="16"/>
  <c r="AD10" i="16" s="1"/>
  <c r="AD13" i="16" s="1"/>
  <c r="AD17" i="16"/>
  <c r="AD29" i="16"/>
  <c r="AC14" i="16"/>
  <c r="AC10" i="16" s="1"/>
  <c r="AC13" i="16" s="1"/>
  <c r="AC15" i="16"/>
  <c r="AC16" i="16"/>
  <c r="AC17" i="16"/>
  <c r="AC22" i="16"/>
  <c r="AC29" i="16"/>
  <c r="AB14" i="16"/>
  <c r="AB15" i="16"/>
  <c r="AB16" i="16"/>
  <c r="AB10" i="16"/>
  <c r="AB13" i="16" s="1"/>
  <c r="AC21" i="16" s="1"/>
  <c r="AB17" i="16"/>
  <c r="AB29" i="16"/>
  <c r="AA14" i="16"/>
  <c r="AA15" i="16"/>
  <c r="AA16" i="16"/>
  <c r="AA17" i="16"/>
  <c r="AA29" i="16"/>
  <c r="Z14" i="16"/>
  <c r="Z10" i="16" s="1"/>
  <c r="Z13" i="16" s="1"/>
  <c r="Z15" i="16"/>
  <c r="Z16" i="16"/>
  <c r="Z17" i="16"/>
  <c r="Z29" i="16"/>
  <c r="Y14" i="16"/>
  <c r="Y15" i="16"/>
  <c r="Y16" i="16"/>
  <c r="Y10" i="16" s="1"/>
  <c r="Y13" i="16" s="1"/>
  <c r="Y17" i="16"/>
  <c r="Y29" i="16"/>
  <c r="X14" i="16"/>
  <c r="X10" i="16" s="1"/>
  <c r="X13" i="16" s="1"/>
  <c r="X15" i="16"/>
  <c r="X16" i="16"/>
  <c r="X17" i="16"/>
  <c r="X29" i="16"/>
  <c r="W14" i="16"/>
  <c r="W10" i="16" s="1"/>
  <c r="W15" i="16"/>
  <c r="W16" i="16"/>
  <c r="W13" i="16"/>
  <c r="W17" i="16"/>
  <c r="W29" i="16"/>
  <c r="V16" i="16"/>
  <c r="V21" i="16"/>
  <c r="V22" i="16"/>
  <c r="V24" i="16" s="1"/>
  <c r="V29" i="16"/>
  <c r="V34" i="16"/>
  <c r="V40" i="16" s="1"/>
  <c r="U14" i="16"/>
  <c r="U15" i="16"/>
  <c r="U16" i="16"/>
  <c r="V17" i="16" s="1"/>
  <c r="U17" i="16"/>
  <c r="U29" i="16"/>
  <c r="T14" i="16"/>
  <c r="T15" i="16"/>
  <c r="T16" i="16"/>
  <c r="T10" i="16" s="1"/>
  <c r="T13" i="16" s="1"/>
  <c r="T17" i="16"/>
  <c r="T29" i="16"/>
  <c r="S14" i="16"/>
  <c r="S15" i="16"/>
  <c r="S10" i="16" s="1"/>
  <c r="S13" i="16" s="1"/>
  <c r="S16" i="16"/>
  <c r="S17" i="16"/>
  <c r="S29" i="16"/>
  <c r="R14" i="16"/>
  <c r="R10" i="16" s="1"/>
  <c r="R13" i="16" s="1"/>
  <c r="R15" i="16"/>
  <c r="R16" i="16"/>
  <c r="R17" i="16"/>
  <c r="R29" i="16"/>
  <c r="Q14" i="16"/>
  <c r="Q15" i="16"/>
  <c r="Q16" i="16"/>
  <c r="Q10" i="16"/>
  <c r="Q13" i="16"/>
  <c r="Q17" i="16"/>
  <c r="Q29" i="16"/>
  <c r="P14" i="16"/>
  <c r="P15" i="16"/>
  <c r="P16" i="16"/>
  <c r="P17" i="16"/>
  <c r="P22" i="16"/>
  <c r="P29" i="16"/>
  <c r="O14" i="16"/>
  <c r="O15" i="16"/>
  <c r="O10" i="16" s="1"/>
  <c r="O13" i="16" s="1"/>
  <c r="O16" i="16"/>
  <c r="O17" i="16"/>
  <c r="O29" i="16"/>
  <c r="N14" i="16"/>
  <c r="N10" i="16" s="1"/>
  <c r="N13" i="16" s="1"/>
  <c r="N15" i="16"/>
  <c r="N16" i="16"/>
  <c r="N17" i="16"/>
  <c r="N29" i="16"/>
  <c r="M14" i="16"/>
  <c r="M15" i="16"/>
  <c r="M16" i="16"/>
  <c r="M10" i="16"/>
  <c r="M13" i="16" s="1"/>
  <c r="M17" i="16"/>
  <c r="M29" i="16"/>
  <c r="L14" i="16"/>
  <c r="L10" i="16" s="1"/>
  <c r="L13" i="16" s="1"/>
  <c r="L15" i="16"/>
  <c r="L16" i="16"/>
  <c r="L17" i="16"/>
  <c r="L29" i="16"/>
  <c r="K14" i="16"/>
  <c r="K15" i="16"/>
  <c r="K10" i="16" s="1"/>
  <c r="K13" i="16" s="1"/>
  <c r="K16" i="16"/>
  <c r="K17" i="16"/>
  <c r="K22" i="16"/>
  <c r="K29" i="16"/>
  <c r="J14" i="16"/>
  <c r="J15" i="16"/>
  <c r="J16" i="16"/>
  <c r="J10" i="16" s="1"/>
  <c r="J13" i="16" s="1"/>
  <c r="J17" i="16"/>
  <c r="J29" i="16"/>
  <c r="I14" i="16"/>
  <c r="I10" i="16" s="1"/>
  <c r="I13" i="16" s="1"/>
  <c r="I15" i="16"/>
  <c r="I16" i="16"/>
  <c r="I17" i="16"/>
  <c r="I29" i="16"/>
  <c r="H14" i="16"/>
  <c r="H15" i="16"/>
  <c r="H16" i="16"/>
  <c r="H17" i="16"/>
  <c r="H29" i="16"/>
  <c r="G14" i="16"/>
  <c r="G10" i="16" s="1"/>
  <c r="G13" i="16" s="1"/>
  <c r="G15" i="16"/>
  <c r="G16" i="16"/>
  <c r="G17" i="16"/>
  <c r="G29" i="16"/>
  <c r="F14" i="16"/>
  <c r="F10" i="16" s="1"/>
  <c r="F13" i="16" s="1"/>
  <c r="G21" i="16" s="1"/>
  <c r="F15" i="16"/>
  <c r="F16" i="16"/>
  <c r="F17" i="16"/>
  <c r="F22" i="16"/>
  <c r="F29" i="16"/>
  <c r="E14" i="16"/>
  <c r="E10" i="16" s="1"/>
  <c r="E13" i="16" s="1"/>
  <c r="F21" i="16" s="1"/>
  <c r="E15" i="16"/>
  <c r="E16" i="16"/>
  <c r="E17" i="16"/>
  <c r="E29" i="16"/>
  <c r="D14" i="16"/>
  <c r="D15" i="16"/>
  <c r="D10" i="16" s="1"/>
  <c r="D16" i="16"/>
  <c r="D13" i="16"/>
  <c r="D17" i="16"/>
  <c r="D27" i="16"/>
  <c r="D29" i="16"/>
  <c r="AY17" i="17"/>
  <c r="AY21" i="17"/>
  <c r="AY23" i="17" s="1"/>
  <c r="AY22" i="17"/>
  <c r="AY24" i="17"/>
  <c r="AY29" i="17"/>
  <c r="AY33" i="17"/>
  <c r="AY34" i="17"/>
  <c r="AY40" i="17" s="1"/>
  <c r="AY44" i="17"/>
  <c r="AY45" i="17"/>
  <c r="AY51" i="17" s="1"/>
  <c r="AX16" i="17"/>
  <c r="AX17" i="17"/>
  <c r="AX21" i="17"/>
  <c r="AX22" i="17"/>
  <c r="AX23" i="17"/>
  <c r="AX29" i="17"/>
  <c r="AX33" i="17"/>
  <c r="AX39" i="17" s="1"/>
  <c r="AX44" i="17"/>
  <c r="AW14" i="17"/>
  <c r="AW15" i="17"/>
  <c r="AW16" i="17"/>
  <c r="AW17" i="17"/>
  <c r="AW29" i="17"/>
  <c r="AV14" i="17"/>
  <c r="AV15" i="17"/>
  <c r="AV16" i="17"/>
  <c r="AV17" i="17"/>
  <c r="AV29" i="17"/>
  <c r="AU14" i="17"/>
  <c r="AU15" i="17"/>
  <c r="AU16" i="17"/>
  <c r="AU17" i="17"/>
  <c r="AU29" i="17"/>
  <c r="AT16" i="17"/>
  <c r="AT21" i="17"/>
  <c r="AT22" i="17"/>
  <c r="AT29" i="17"/>
  <c r="AT45" i="17"/>
  <c r="AT51" i="17" s="1"/>
  <c r="AS14" i="17"/>
  <c r="AS15" i="17"/>
  <c r="AS16" i="17"/>
  <c r="AT17" i="17" s="1"/>
  <c r="AS17" i="17"/>
  <c r="AS29" i="17"/>
  <c r="AR14" i="17"/>
  <c r="AR10" i="17" s="1"/>
  <c r="AR13" i="17" s="1"/>
  <c r="AS21" i="17" s="1"/>
  <c r="AR15" i="17"/>
  <c r="AR16" i="17"/>
  <c r="AR17" i="17"/>
  <c r="AR29" i="17"/>
  <c r="AQ14" i="17"/>
  <c r="AQ15" i="17"/>
  <c r="AQ16" i="17"/>
  <c r="AQ17" i="17"/>
  <c r="AQ29" i="17"/>
  <c r="AP14" i="17"/>
  <c r="AP15" i="17"/>
  <c r="AP16" i="17"/>
  <c r="AP10" i="17" s="1"/>
  <c r="AP13" i="17" s="1"/>
  <c r="AP17" i="17"/>
  <c r="AP29" i="17"/>
  <c r="AO14" i="17"/>
  <c r="AO10" i="17" s="1"/>
  <c r="AO13" i="17" s="1"/>
  <c r="AO15" i="17"/>
  <c r="AO16" i="17"/>
  <c r="AO17" i="17"/>
  <c r="AO29" i="17"/>
  <c r="AN14" i="17"/>
  <c r="AN10" i="17" s="1"/>
  <c r="AN13" i="17" s="1"/>
  <c r="AN15" i="17"/>
  <c r="AN16" i="17"/>
  <c r="AN17" i="17"/>
  <c r="AN29" i="17"/>
  <c r="AM14" i="17"/>
  <c r="AM10" i="17" s="1"/>
  <c r="AM13" i="17" s="1"/>
  <c r="AN21" i="17" s="1"/>
  <c r="AM15" i="17"/>
  <c r="AM16" i="17"/>
  <c r="AM17" i="17"/>
  <c r="AM29" i="17"/>
  <c r="AL14" i="17"/>
  <c r="AL15" i="17"/>
  <c r="AL10" i="17" s="1"/>
  <c r="AL13" i="17" s="1"/>
  <c r="AL16" i="17"/>
  <c r="AL17" i="17"/>
  <c r="AL29" i="17"/>
  <c r="AK14" i="17"/>
  <c r="AK10" i="17" s="1"/>
  <c r="AK13" i="17" s="1"/>
  <c r="AL22" i="17" s="1"/>
  <c r="AK15" i="17"/>
  <c r="AK16" i="17"/>
  <c r="AK17" i="17"/>
  <c r="AK29" i="17"/>
  <c r="AJ14" i="17"/>
  <c r="AJ15" i="17"/>
  <c r="AJ16" i="17"/>
  <c r="AJ17" i="17"/>
  <c r="AJ29" i="17"/>
  <c r="AI14" i="17"/>
  <c r="AI15" i="17"/>
  <c r="AI16" i="17"/>
  <c r="AI17" i="17"/>
  <c r="AI21" i="17"/>
  <c r="AI29" i="17"/>
  <c r="AI44" i="17"/>
  <c r="AI50" i="17" s="1"/>
  <c r="AH14" i="17"/>
  <c r="AH15" i="17"/>
  <c r="AH16" i="17"/>
  <c r="AH10" i="17" s="1"/>
  <c r="AH13" i="17" s="1"/>
  <c r="AH17" i="17"/>
  <c r="AH29" i="17"/>
  <c r="AH44" i="17"/>
  <c r="AG14" i="17"/>
  <c r="AG10" i="17" s="1"/>
  <c r="AG13" i="17" s="1"/>
  <c r="AH21" i="17" s="1"/>
  <c r="AG15" i="17"/>
  <c r="AG16" i="17"/>
  <c r="AG17" i="17"/>
  <c r="AG29" i="17"/>
  <c r="AF14" i="17"/>
  <c r="AF10" i="17" s="1"/>
  <c r="AF15" i="17"/>
  <c r="AF16" i="17"/>
  <c r="AF13" i="17"/>
  <c r="AF17" i="17"/>
  <c r="AF29" i="17"/>
  <c r="AE14" i="17"/>
  <c r="AE10" i="17" s="1"/>
  <c r="AE13" i="17" s="1"/>
  <c r="AE15" i="17"/>
  <c r="AE16" i="17"/>
  <c r="AE17" i="17"/>
  <c r="AE29" i="17"/>
  <c r="AD14" i="17"/>
  <c r="AD15" i="17"/>
  <c r="AD16" i="17"/>
  <c r="AD10" i="17"/>
  <c r="AD13" i="17" s="1"/>
  <c r="AD17" i="17"/>
  <c r="AD29" i="17"/>
  <c r="AC14" i="17"/>
  <c r="AC15" i="17"/>
  <c r="AC16" i="17"/>
  <c r="AC10" i="17"/>
  <c r="AC13" i="17"/>
  <c r="AC17" i="17"/>
  <c r="AC29" i="17"/>
  <c r="AB14" i="17"/>
  <c r="AB15" i="17"/>
  <c r="AB16" i="17"/>
  <c r="AB10" i="17"/>
  <c r="AB13" i="17" s="1"/>
  <c r="AB17" i="17"/>
  <c r="AB29" i="17"/>
  <c r="AA14" i="17"/>
  <c r="AA10" i="17" s="1"/>
  <c r="AA15" i="17"/>
  <c r="AA16" i="17"/>
  <c r="AA13" i="17"/>
  <c r="AA17" i="17"/>
  <c r="AA21" i="17"/>
  <c r="AA29" i="17"/>
  <c r="Z14" i="17"/>
  <c r="Z15" i="17"/>
  <c r="Z16" i="17"/>
  <c r="Z10" i="17"/>
  <c r="Z13" i="17" s="1"/>
  <c r="Z17" i="17"/>
  <c r="Z29" i="17"/>
  <c r="Y14" i="17"/>
  <c r="Y15" i="17"/>
  <c r="Y16" i="17"/>
  <c r="Y10" i="17"/>
  <c r="Y13" i="17"/>
  <c r="Z21" i="17" s="1"/>
  <c r="Y17" i="17"/>
  <c r="Y29" i="17"/>
  <c r="X15" i="17"/>
  <c r="X21" i="17"/>
  <c r="X22" i="17"/>
  <c r="X23" i="17"/>
  <c r="X29" i="17"/>
  <c r="X33" i="17"/>
  <c r="X39" i="17" s="1"/>
  <c r="X44" i="17"/>
  <c r="X50" i="17"/>
  <c r="W14" i="17"/>
  <c r="W15" i="17"/>
  <c r="X16" i="17" s="1"/>
  <c r="W16" i="17"/>
  <c r="X17" i="17" s="1"/>
  <c r="W17" i="17"/>
  <c r="W29" i="17"/>
  <c r="V14" i="17"/>
  <c r="V15" i="17"/>
  <c r="V10" i="17" s="1"/>
  <c r="V13" i="17" s="1"/>
  <c r="V16" i="17"/>
  <c r="V17" i="17"/>
  <c r="V29" i="17"/>
  <c r="U14" i="17"/>
  <c r="U15" i="17"/>
  <c r="U16" i="17"/>
  <c r="U10" i="17"/>
  <c r="U13" i="17" s="1"/>
  <c r="U17" i="17"/>
  <c r="U29" i="17"/>
  <c r="T14" i="17"/>
  <c r="T10" i="17" s="1"/>
  <c r="T13" i="17" s="1"/>
  <c r="T15" i="17"/>
  <c r="T16" i="17"/>
  <c r="T17" i="17"/>
  <c r="T29" i="17"/>
  <c r="S14" i="17"/>
  <c r="S10" i="17" s="1"/>
  <c r="S13" i="17" s="1"/>
  <c r="S15" i="17"/>
  <c r="S16" i="17"/>
  <c r="S17" i="17"/>
  <c r="S29" i="17"/>
  <c r="R14" i="17"/>
  <c r="R15" i="17"/>
  <c r="R16" i="17"/>
  <c r="R10" i="17" s="1"/>
  <c r="R13" i="17" s="1"/>
  <c r="R17" i="17"/>
  <c r="R29" i="17"/>
  <c r="Q14" i="17"/>
  <c r="Q15" i="17"/>
  <c r="Q16" i="17"/>
  <c r="Q10" i="17"/>
  <c r="Q13" i="17" s="1"/>
  <c r="Q17" i="17"/>
  <c r="Q29" i="17"/>
  <c r="P14" i="17"/>
  <c r="P15" i="17"/>
  <c r="P16" i="17"/>
  <c r="P17" i="17"/>
  <c r="P29" i="17"/>
  <c r="O14" i="17"/>
  <c r="O10" i="17" s="1"/>
  <c r="O13" i="17" s="1"/>
  <c r="O15" i="17"/>
  <c r="O16" i="17"/>
  <c r="O17" i="17"/>
  <c r="O29" i="17"/>
  <c r="N14" i="17"/>
  <c r="N15" i="17"/>
  <c r="N10" i="17" s="1"/>
  <c r="N13" i="17" s="1"/>
  <c r="N16" i="17"/>
  <c r="N17" i="17"/>
  <c r="N29" i="17"/>
  <c r="M14" i="17"/>
  <c r="M15" i="17"/>
  <c r="M16" i="17"/>
  <c r="M17" i="17"/>
  <c r="M29" i="17"/>
  <c r="L14" i="17"/>
  <c r="L15" i="17"/>
  <c r="L16" i="17"/>
  <c r="L10" i="17"/>
  <c r="L13" i="17"/>
  <c r="L17" i="17"/>
  <c r="L29" i="17"/>
  <c r="K14" i="17"/>
  <c r="K10" i="17" s="1"/>
  <c r="K13" i="17" s="1"/>
  <c r="L21" i="17" s="1"/>
  <c r="K15" i="17"/>
  <c r="K16" i="17"/>
  <c r="K17" i="17"/>
  <c r="K29" i="17"/>
  <c r="J14" i="17"/>
  <c r="J15" i="17"/>
  <c r="J16" i="17"/>
  <c r="J17" i="17"/>
  <c r="J29" i="17"/>
  <c r="I14" i="17"/>
  <c r="I10" i="17" s="1"/>
  <c r="I13" i="17" s="1"/>
  <c r="I15" i="17"/>
  <c r="I16" i="17"/>
  <c r="I17" i="17"/>
  <c r="I29" i="17"/>
  <c r="H14" i="17"/>
  <c r="H15" i="17"/>
  <c r="H16" i="17"/>
  <c r="H17" i="17"/>
  <c r="H29" i="17"/>
  <c r="G14" i="17"/>
  <c r="G10" i="17" s="1"/>
  <c r="G15" i="17"/>
  <c r="G16" i="17"/>
  <c r="G13" i="17"/>
  <c r="G17" i="17"/>
  <c r="G29" i="17"/>
  <c r="F14" i="17"/>
  <c r="F15" i="17"/>
  <c r="F16" i="17"/>
  <c r="F10" i="17"/>
  <c r="F13" i="17" s="1"/>
  <c r="G21" i="17" s="1"/>
  <c r="F17" i="17"/>
  <c r="F29" i="17"/>
  <c r="E14" i="17"/>
  <c r="E15" i="17"/>
  <c r="E16" i="17"/>
  <c r="E10" i="17"/>
  <c r="E13" i="17"/>
  <c r="F21" i="17" s="1"/>
  <c r="E17" i="17"/>
  <c r="E29" i="17"/>
  <c r="E30" i="17"/>
  <c r="D14" i="17"/>
  <c r="D15" i="17"/>
  <c r="D16" i="17"/>
  <c r="D17" i="17"/>
  <c r="D21" i="17"/>
  <c r="D22" i="17"/>
  <c r="D34" i="17" s="1"/>
  <c r="D40" i="17" s="1"/>
  <c r="D23" i="17"/>
  <c r="D27" i="17"/>
  <c r="D29" i="17"/>
  <c r="E27" i="17" s="1"/>
  <c r="F27" i="17" s="1"/>
  <c r="D30" i="17"/>
  <c r="AY14" i="18"/>
  <c r="AY15" i="18"/>
  <c r="AY16" i="18"/>
  <c r="AY17" i="18"/>
  <c r="AY29" i="18"/>
  <c r="AX14" i="18"/>
  <c r="AX15" i="18"/>
  <c r="AX16" i="18"/>
  <c r="AX10" i="18" s="1"/>
  <c r="AX13" i="18" s="1"/>
  <c r="AX17" i="18"/>
  <c r="AX29" i="18"/>
  <c r="AW21" i="18"/>
  <c r="AW22" i="18"/>
  <c r="AW23" i="18"/>
  <c r="AW29" i="18"/>
  <c r="AW33" i="18"/>
  <c r="AW39" i="18"/>
  <c r="AW44" i="18"/>
  <c r="AV14" i="18"/>
  <c r="AW15" i="18" s="1"/>
  <c r="AV15" i="18"/>
  <c r="AW16" i="18" s="1"/>
  <c r="AV16" i="18"/>
  <c r="AW17" i="18" s="1"/>
  <c r="AV17" i="18"/>
  <c r="AV29" i="18"/>
  <c r="AU14" i="18"/>
  <c r="AU15" i="18"/>
  <c r="AU10" i="18" s="1"/>
  <c r="AU13" i="18" s="1"/>
  <c r="AU16" i="18"/>
  <c r="AU17" i="18"/>
  <c r="AU29" i="18"/>
  <c r="AT14" i="18"/>
  <c r="AT15" i="18"/>
  <c r="AT16" i="18"/>
  <c r="AT10" i="18"/>
  <c r="AT13" i="18"/>
  <c r="AT17" i="18"/>
  <c r="AT29" i="18"/>
  <c r="AS14" i="18"/>
  <c r="AS15" i="18"/>
  <c r="AS16" i="18"/>
  <c r="AS10" i="18"/>
  <c r="AS13" i="18"/>
  <c r="AS17" i="18"/>
  <c r="AS29" i="18"/>
  <c r="AR14" i="18"/>
  <c r="AR10" i="18" s="1"/>
  <c r="AR15" i="18"/>
  <c r="AR16" i="18"/>
  <c r="AR13" i="18"/>
  <c r="AR17" i="18"/>
  <c r="AR29" i="18"/>
  <c r="AQ14" i="18"/>
  <c r="AQ15" i="18"/>
  <c r="AQ16" i="18"/>
  <c r="AQ17" i="18"/>
  <c r="AQ29" i="18"/>
  <c r="AP14" i="18"/>
  <c r="AP15" i="18"/>
  <c r="AP16" i="18"/>
  <c r="AP17" i="18"/>
  <c r="AP29" i="18"/>
  <c r="AO14" i="18"/>
  <c r="AO10" i="18" s="1"/>
  <c r="AO13" i="18" s="1"/>
  <c r="AO15" i="18"/>
  <c r="AO16" i="18"/>
  <c r="AO17" i="18"/>
  <c r="AO29" i="18"/>
  <c r="AN14" i="18"/>
  <c r="AN15" i="18"/>
  <c r="AN16" i="18"/>
  <c r="AN10" i="18" s="1"/>
  <c r="AN13" i="18" s="1"/>
  <c r="AN17" i="18"/>
  <c r="AN29" i="18"/>
  <c r="AM14" i="18"/>
  <c r="AM15" i="18"/>
  <c r="AM16" i="18"/>
  <c r="AM10" i="18" s="1"/>
  <c r="AM13" i="18" s="1"/>
  <c r="AM17" i="18"/>
  <c r="AM29" i="18"/>
  <c r="AL14" i="18"/>
  <c r="AL15" i="18"/>
  <c r="AL16" i="18"/>
  <c r="AL10" i="18" s="1"/>
  <c r="AL13" i="18" s="1"/>
  <c r="AL17" i="18"/>
  <c r="AL29" i="18"/>
  <c r="AK14" i="18"/>
  <c r="AK15" i="18"/>
  <c r="AK16" i="18"/>
  <c r="AK10" i="18"/>
  <c r="AK13" i="18"/>
  <c r="AK17" i="18"/>
  <c r="AK21" i="18"/>
  <c r="AK29" i="18"/>
  <c r="AJ14" i="18"/>
  <c r="AJ10" i="18" s="1"/>
  <c r="AJ13" i="18" s="1"/>
  <c r="AJ15" i="18"/>
  <c r="AJ16" i="18"/>
  <c r="AJ17" i="18"/>
  <c r="AJ29" i="18"/>
  <c r="AI14" i="18"/>
  <c r="AI10" i="18" s="1"/>
  <c r="AI13" i="18" s="1"/>
  <c r="AJ21" i="18" s="1"/>
  <c r="AI15" i="18"/>
  <c r="AI16" i="18"/>
  <c r="AI17" i="18"/>
  <c r="AI21" i="18"/>
  <c r="AI29" i="18"/>
  <c r="AH14" i="18"/>
  <c r="AH10" i="18" s="1"/>
  <c r="AH13" i="18" s="1"/>
  <c r="AH15" i="18"/>
  <c r="AH16" i="18"/>
  <c r="AH17" i="18"/>
  <c r="AH29" i="18"/>
  <c r="AG14" i="18"/>
  <c r="AG15" i="18"/>
  <c r="AG16" i="18"/>
  <c r="AG10" i="18"/>
  <c r="AG13" i="18" s="1"/>
  <c r="AH21" i="18" s="1"/>
  <c r="AG17" i="18"/>
  <c r="AG29" i="18"/>
  <c r="AF14" i="18"/>
  <c r="AF15" i="18"/>
  <c r="AF16" i="18"/>
  <c r="AF17" i="18"/>
  <c r="AF29" i="18"/>
  <c r="AE14" i="18"/>
  <c r="AE15" i="18"/>
  <c r="AE10" i="18" s="1"/>
  <c r="AE16" i="18"/>
  <c r="AE13" i="18"/>
  <c r="AE17" i="18"/>
  <c r="AE29" i="18"/>
  <c r="AD14" i="18"/>
  <c r="AD15" i="18"/>
  <c r="AD16" i="18"/>
  <c r="AD10" i="18"/>
  <c r="AD13" i="18"/>
  <c r="AD17" i="18"/>
  <c r="AD29" i="18"/>
  <c r="AC14" i="18"/>
  <c r="AC15" i="18"/>
  <c r="AC16" i="18"/>
  <c r="AC10" i="18"/>
  <c r="AC13" i="18"/>
  <c r="AC17" i="18"/>
  <c r="AC29" i="18"/>
  <c r="AB14" i="18"/>
  <c r="AB10" i="18" s="1"/>
  <c r="AB15" i="18"/>
  <c r="AB16" i="18"/>
  <c r="AB13" i="18"/>
  <c r="AB17" i="18"/>
  <c r="AB29" i="18"/>
  <c r="AA14" i="18"/>
  <c r="AA15" i="18"/>
  <c r="AA16" i="18"/>
  <c r="AA17" i="18"/>
  <c r="AA29" i="18"/>
  <c r="Z14" i="18"/>
  <c r="Z15" i="18"/>
  <c r="Z16" i="18"/>
  <c r="Z17" i="18"/>
  <c r="Z29" i="18"/>
  <c r="Y14" i="18"/>
  <c r="Y15" i="18"/>
  <c r="Y16" i="18"/>
  <c r="Y17" i="18"/>
  <c r="Y29" i="18"/>
  <c r="X14" i="18"/>
  <c r="X15" i="18"/>
  <c r="X16" i="18"/>
  <c r="X10" i="18"/>
  <c r="X13" i="18" s="1"/>
  <c r="X17" i="18"/>
  <c r="X29" i="18"/>
  <c r="W14" i="18"/>
  <c r="W15" i="18"/>
  <c r="W16" i="18"/>
  <c r="W10" i="18"/>
  <c r="W13" i="18" s="1"/>
  <c r="W17" i="18"/>
  <c r="W29" i="18"/>
  <c r="V14" i="18"/>
  <c r="V10" i="18" s="1"/>
  <c r="V13" i="18" s="1"/>
  <c r="V15" i="18"/>
  <c r="V16" i="18"/>
  <c r="V17" i="18"/>
  <c r="V29" i="18"/>
  <c r="U14" i="18"/>
  <c r="U15" i="18"/>
  <c r="U16" i="18"/>
  <c r="U17" i="18"/>
  <c r="U29" i="18"/>
  <c r="T14" i="18"/>
  <c r="T15" i="18"/>
  <c r="T16" i="18"/>
  <c r="T17" i="18"/>
  <c r="T29" i="18"/>
  <c r="S14" i="18"/>
  <c r="S15" i="18"/>
  <c r="S16" i="18"/>
  <c r="S10" i="18"/>
  <c r="S13" i="18" s="1"/>
  <c r="T21" i="18" s="1"/>
  <c r="S17" i="18"/>
  <c r="S29" i="18"/>
  <c r="R14" i="18"/>
  <c r="R10" i="18" s="1"/>
  <c r="R13" i="18" s="1"/>
  <c r="R15" i="18"/>
  <c r="R16" i="18"/>
  <c r="R17" i="18"/>
  <c r="R29" i="18"/>
  <c r="Q14" i="18"/>
  <c r="Q15" i="18"/>
  <c r="Q16" i="18"/>
  <c r="Q17" i="18"/>
  <c r="Q29" i="18"/>
  <c r="P14" i="18"/>
  <c r="P15" i="18"/>
  <c r="P16" i="18"/>
  <c r="P17" i="18"/>
  <c r="P29" i="18"/>
  <c r="O14" i="18"/>
  <c r="O15" i="18"/>
  <c r="O16" i="18"/>
  <c r="O10" i="18"/>
  <c r="O13" i="18" s="1"/>
  <c r="P21" i="18" s="1"/>
  <c r="O17" i="18"/>
  <c r="O29" i="18"/>
  <c r="N14" i="18"/>
  <c r="N10" i="18" s="1"/>
  <c r="N13" i="18" s="1"/>
  <c r="N15" i="18"/>
  <c r="N16" i="18"/>
  <c r="N17" i="18"/>
  <c r="N29" i="18"/>
  <c r="M14" i="18"/>
  <c r="M15" i="18"/>
  <c r="M16" i="18"/>
  <c r="M17" i="18"/>
  <c r="M29" i="18"/>
  <c r="L14" i="18"/>
  <c r="L15" i="18"/>
  <c r="L16" i="18"/>
  <c r="L17" i="18"/>
  <c r="L29" i="18"/>
  <c r="K14" i="18"/>
  <c r="K15" i="18"/>
  <c r="K16" i="18"/>
  <c r="K10" i="18"/>
  <c r="K13" i="18" s="1"/>
  <c r="L21" i="18" s="1"/>
  <c r="K17" i="18"/>
  <c r="K29" i="18"/>
  <c r="J14" i="18"/>
  <c r="J10" i="18" s="1"/>
  <c r="J13" i="18" s="1"/>
  <c r="J15" i="18"/>
  <c r="J16" i="18"/>
  <c r="J17" i="18"/>
  <c r="J29" i="18"/>
  <c r="I14" i="18"/>
  <c r="I15" i="18"/>
  <c r="I16" i="18"/>
  <c r="I17" i="18"/>
  <c r="I29" i="18"/>
  <c r="H14" i="18"/>
  <c r="H15" i="18"/>
  <c r="H16" i="18"/>
  <c r="H17" i="18"/>
  <c r="H29" i="18"/>
  <c r="G14" i="18"/>
  <c r="G15" i="18"/>
  <c r="G16" i="18"/>
  <c r="G10" i="18"/>
  <c r="G13" i="18" s="1"/>
  <c r="H21" i="18" s="1"/>
  <c r="G17" i="18"/>
  <c r="G29" i="18"/>
  <c r="F14" i="18"/>
  <c r="F10" i="18" s="1"/>
  <c r="F13" i="18" s="1"/>
  <c r="F15" i="18"/>
  <c r="F16" i="18"/>
  <c r="F17" i="18"/>
  <c r="F29" i="18"/>
  <c r="E14" i="18"/>
  <c r="E15" i="18"/>
  <c r="E16" i="18"/>
  <c r="E17" i="18"/>
  <c r="E29" i="18"/>
  <c r="D14" i="18"/>
  <c r="D15" i="18"/>
  <c r="D16" i="18"/>
  <c r="D17" i="18"/>
  <c r="D21" i="18"/>
  <c r="D27" i="18"/>
  <c r="D29" i="18"/>
  <c r="B21" i="16"/>
  <c r="B21" i="17"/>
  <c r="B21" i="18"/>
  <c r="AL21" i="18" s="1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J28" i="19"/>
  <c r="E29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B22" i="17"/>
  <c r="B22" i="16"/>
  <c r="O21" i="18" l="1"/>
  <c r="T23" i="18"/>
  <c r="T33" i="18"/>
  <c r="T44" i="18"/>
  <c r="AV21" i="18"/>
  <c r="AV22" i="18"/>
  <c r="H23" i="18"/>
  <c r="H33" i="18"/>
  <c r="H44" i="18"/>
  <c r="G27" i="17"/>
  <c r="F30" i="17"/>
  <c r="U21" i="17"/>
  <c r="U22" i="17"/>
  <c r="W21" i="18"/>
  <c r="W22" i="18"/>
  <c r="AN21" i="18"/>
  <c r="AL23" i="18"/>
  <c r="AL44" i="18"/>
  <c r="AL33" i="18"/>
  <c r="K21" i="18"/>
  <c r="K22" i="18"/>
  <c r="P23" i="18"/>
  <c r="P33" i="18"/>
  <c r="P44" i="18"/>
  <c r="AM21" i="18"/>
  <c r="AM22" i="18"/>
  <c r="G21" i="18"/>
  <c r="G22" i="18"/>
  <c r="L23" i="18"/>
  <c r="L33" i="18"/>
  <c r="L44" i="18"/>
  <c r="S21" i="18"/>
  <c r="S22" i="18"/>
  <c r="AJ44" i="18"/>
  <c r="AJ33" i="18"/>
  <c r="AJ23" i="18"/>
  <c r="AH33" i="18"/>
  <c r="AH23" i="18"/>
  <c r="AH44" i="18"/>
  <c r="AO21" i="18"/>
  <c r="AO22" i="18"/>
  <c r="S21" i="16"/>
  <c r="S22" i="16"/>
  <c r="AN21" i="16"/>
  <c r="AN22" i="16"/>
  <c r="AK23" i="18"/>
  <c r="AK44" i="18"/>
  <c r="AU21" i="18"/>
  <c r="AU22" i="18"/>
  <c r="G33" i="17"/>
  <c r="G44" i="17"/>
  <c r="G23" i="17"/>
  <c r="O22" i="17"/>
  <c r="O21" i="17"/>
  <c r="P21" i="17"/>
  <c r="P22" i="17"/>
  <c r="V21" i="17"/>
  <c r="V22" i="17"/>
  <c r="Z23" i="17"/>
  <c r="Z33" i="17"/>
  <c r="AA23" i="17"/>
  <c r="AA33" i="17"/>
  <c r="AA44" i="17"/>
  <c r="AS33" i="17"/>
  <c r="AS23" i="17"/>
  <c r="AS44" i="17"/>
  <c r="J22" i="16"/>
  <c r="J21" i="16"/>
  <c r="AC24" i="16"/>
  <c r="AC34" i="16"/>
  <c r="AC40" i="16" s="1"/>
  <c r="AC45" i="16"/>
  <c r="AC51" i="16" s="1"/>
  <c r="Z22" i="17"/>
  <c r="AF22" i="17"/>
  <c r="D23" i="18"/>
  <c r="AF10" i="18"/>
  <c r="AF13" i="18" s="1"/>
  <c r="AA22" i="17"/>
  <c r="D30" i="16"/>
  <c r="E27" i="16"/>
  <c r="F34" i="16"/>
  <c r="F40" i="16" s="1"/>
  <c r="F45" i="16"/>
  <c r="F51" i="16" s="1"/>
  <c r="F24" i="16"/>
  <c r="K34" i="16"/>
  <c r="K40" i="16" s="1"/>
  <c r="K24" i="16"/>
  <c r="K45" i="16"/>
  <c r="K51" i="16" s="1"/>
  <c r="N21" i="16"/>
  <c r="N22" i="16"/>
  <c r="P10" i="16"/>
  <c r="P13" i="16" s="1"/>
  <c r="AC33" i="16"/>
  <c r="AC44" i="16"/>
  <c r="AC23" i="16"/>
  <c r="O127" i="11"/>
  <c r="D127" i="11"/>
  <c r="H127" i="11"/>
  <c r="B22" i="18"/>
  <c r="D22" i="18" s="1"/>
  <c r="D44" i="18"/>
  <c r="AZ17" i="18"/>
  <c r="Y21" i="18"/>
  <c r="AK22" i="18"/>
  <c r="H21" i="17"/>
  <c r="H22" i="17"/>
  <c r="L22" i="17"/>
  <c r="W22" i="17"/>
  <c r="W21" i="17"/>
  <c r="AO22" i="17"/>
  <c r="AP21" i="17"/>
  <c r="AP22" i="17"/>
  <c r="AX24" i="17"/>
  <c r="AX34" i="17"/>
  <c r="AX40" i="17" s="1"/>
  <c r="AX45" i="17"/>
  <c r="AX51" i="17" s="1"/>
  <c r="Y22" i="16"/>
  <c r="Y21" i="16"/>
  <c r="AH21" i="16"/>
  <c r="AH22" i="16"/>
  <c r="AU33" i="16"/>
  <c r="AU44" i="16"/>
  <c r="AU23" i="16"/>
  <c r="E10" i="18"/>
  <c r="E13" i="18" s="1"/>
  <c r="I10" i="18"/>
  <c r="I13" i="18" s="1"/>
  <c r="M10" i="18"/>
  <c r="M13" i="18" s="1"/>
  <c r="Q10" i="18"/>
  <c r="Q13" i="18" s="1"/>
  <c r="U10" i="18"/>
  <c r="U13" i="18" s="1"/>
  <c r="Y22" i="18"/>
  <c r="AE21" i="18"/>
  <c r="AE22" i="18"/>
  <c r="R21" i="17"/>
  <c r="R22" i="17"/>
  <c r="S22" i="17"/>
  <c r="S21" i="17"/>
  <c r="AC21" i="17"/>
  <c r="AC22" i="17"/>
  <c r="AH23" i="17"/>
  <c r="AH33" i="17"/>
  <c r="AN44" i="17"/>
  <c r="AN33" i="17"/>
  <c r="AN23" i="17"/>
  <c r="AS22" i="17"/>
  <c r="H22" i="16"/>
  <c r="H21" i="16"/>
  <c r="AD22" i="18"/>
  <c r="AD21" i="18"/>
  <c r="AH22" i="18"/>
  <c r="L22" i="18"/>
  <c r="T22" i="18"/>
  <c r="AP21" i="18"/>
  <c r="AP22" i="18"/>
  <c r="AW34" i="18"/>
  <c r="AW24" i="18"/>
  <c r="AW45" i="18"/>
  <c r="AW51" i="18" s="1"/>
  <c r="M21" i="17"/>
  <c r="M22" i="17"/>
  <c r="T21" i="17"/>
  <c r="T22" i="17"/>
  <c r="AD22" i="17"/>
  <c r="AD21" i="17"/>
  <c r="L22" i="16"/>
  <c r="L21" i="16"/>
  <c r="AI22" i="16"/>
  <c r="AI21" i="16"/>
  <c r="D33" i="18"/>
  <c r="H10" i="18"/>
  <c r="H13" i="18" s="1"/>
  <c r="P10" i="18"/>
  <c r="P13" i="18" s="1"/>
  <c r="AC21" i="18"/>
  <c r="AF21" i="18"/>
  <c r="AF22" i="18"/>
  <c r="AK33" i="18"/>
  <c r="AJ10" i="17"/>
  <c r="AJ13" i="17" s="1"/>
  <c r="AX15" i="17"/>
  <c r="AY16" i="17" s="1"/>
  <c r="AW10" i="17"/>
  <c r="AW13" i="17" s="1"/>
  <c r="AX14" i="17" s="1"/>
  <c r="AC22" i="18"/>
  <c r="AI22" i="18"/>
  <c r="AT22" i="18"/>
  <c r="AT21" i="18"/>
  <c r="AY10" i="18"/>
  <c r="AY13" i="18" s="1"/>
  <c r="H10" i="17"/>
  <c r="H13" i="17" s="1"/>
  <c r="J22" i="17"/>
  <c r="J21" i="17"/>
  <c r="L44" i="17"/>
  <c r="L23" i="17"/>
  <c r="L33" i="17"/>
  <c r="Z44" i="17"/>
  <c r="AE22" i="17"/>
  <c r="AE21" i="17"/>
  <c r="AN22" i="17"/>
  <c r="AO21" i="17"/>
  <c r="AX46" i="17"/>
  <c r="AX50" i="17"/>
  <c r="F33" i="16"/>
  <c r="F23" i="16"/>
  <c r="AQ24" i="16"/>
  <c r="AQ34" i="16"/>
  <c r="AQ40" i="16" s="1"/>
  <c r="AQ45" i="16"/>
  <c r="AQ51" i="16" s="1"/>
  <c r="H22" i="18"/>
  <c r="P22" i="18"/>
  <c r="X21" i="18"/>
  <c r="X22" i="18"/>
  <c r="AI44" i="18"/>
  <c r="AI33" i="18"/>
  <c r="AI23" i="18"/>
  <c r="AY21" i="18"/>
  <c r="AY22" i="18"/>
  <c r="AL34" i="17"/>
  <c r="AL40" i="17" s="1"/>
  <c r="AL45" i="17"/>
  <c r="AL51" i="17" s="1"/>
  <c r="AL24" i="17"/>
  <c r="E21" i="16"/>
  <c r="E22" i="16"/>
  <c r="U22" i="16"/>
  <c r="U21" i="16"/>
  <c r="AD22" i="16"/>
  <c r="AD21" i="16"/>
  <c r="D10" i="18"/>
  <c r="L10" i="18"/>
  <c r="L13" i="18" s="1"/>
  <c r="T10" i="18"/>
  <c r="T13" i="18" s="1"/>
  <c r="AS21" i="18"/>
  <c r="AS22" i="18"/>
  <c r="J10" i="17"/>
  <c r="J13" i="17" s="1"/>
  <c r="AH50" i="17"/>
  <c r="G33" i="16"/>
  <c r="G23" i="16"/>
  <c r="G44" i="16"/>
  <c r="Z22" i="16"/>
  <c r="Z21" i="16"/>
  <c r="E27" i="18"/>
  <c r="D30" i="18"/>
  <c r="Y10" i="18"/>
  <c r="Y13" i="18" s="1"/>
  <c r="AG22" i="17"/>
  <c r="AG21" i="17"/>
  <c r="AH22" i="17"/>
  <c r="AL21" i="17"/>
  <c r="AS10" i="17"/>
  <c r="AS13" i="17" s="1"/>
  <c r="AT14" i="17" s="1"/>
  <c r="AT10" i="17" s="1"/>
  <c r="AT13" i="17" s="1"/>
  <c r="AT15" i="17"/>
  <c r="AY46" i="17"/>
  <c r="AY50" i="17"/>
  <c r="F44" i="16"/>
  <c r="G22" i="16"/>
  <c r="AU22" i="16"/>
  <c r="AP10" i="18"/>
  <c r="AP13" i="18" s="1"/>
  <c r="AQ10" i="18"/>
  <c r="AQ13" i="18" s="1"/>
  <c r="AV10" i="18"/>
  <c r="AV13" i="18" s="1"/>
  <c r="AW14" i="18" s="1"/>
  <c r="AW10" i="18" s="1"/>
  <c r="AW13" i="18" s="1"/>
  <c r="D10" i="17"/>
  <c r="AI23" i="17"/>
  <c r="AI33" i="17"/>
  <c r="D259" i="14"/>
  <c r="AZ259" i="14" s="1"/>
  <c r="BA14" i="14"/>
  <c r="F260" i="14"/>
  <c r="AL260" i="14"/>
  <c r="K127" i="11"/>
  <c r="D24" i="17"/>
  <c r="F22" i="17"/>
  <c r="W10" i="17"/>
  <c r="W13" i="17" s="1"/>
  <c r="X14" i="17" s="1"/>
  <c r="X10" i="17" s="1"/>
  <c r="X13" i="17" s="1"/>
  <c r="AQ10" i="17"/>
  <c r="AQ13" i="17" s="1"/>
  <c r="AU10" i="17"/>
  <c r="AU13" i="17" s="1"/>
  <c r="AZ17" i="16"/>
  <c r="H10" i="16"/>
  <c r="H13" i="16" s="1"/>
  <c r="K21" i="16"/>
  <c r="V23" i="16"/>
  <c r="V44" i="16"/>
  <c r="V33" i="16"/>
  <c r="T260" i="14"/>
  <c r="AI260" i="14"/>
  <c r="AK260" i="14"/>
  <c r="AO260" i="14"/>
  <c r="F23" i="17"/>
  <c r="F33" i="17"/>
  <c r="F44" i="17"/>
  <c r="X45" i="17"/>
  <c r="X34" i="17"/>
  <c r="X24" i="17"/>
  <c r="M21" i="16"/>
  <c r="M22" i="16"/>
  <c r="P45" i="16"/>
  <c r="P51" i="16" s="1"/>
  <c r="P34" i="16"/>
  <c r="P40" i="16" s="1"/>
  <c r="P24" i="16"/>
  <c r="AJ10" i="16"/>
  <c r="AJ13" i="16" s="1"/>
  <c r="AK14" i="16" s="1"/>
  <c r="AK10" i="16" s="1"/>
  <c r="AK13" i="16" s="1"/>
  <c r="AK17" i="16"/>
  <c r="AW10" i="16"/>
  <c r="AW13" i="16" s="1"/>
  <c r="L123" i="12"/>
  <c r="L116" i="12"/>
  <c r="Z10" i="18"/>
  <c r="Z13" i="18" s="1"/>
  <c r="AA10" i="18"/>
  <c r="AA13" i="18" s="1"/>
  <c r="AL22" i="18"/>
  <c r="D44" i="17"/>
  <c r="M10" i="17"/>
  <c r="M13" i="17" s="1"/>
  <c r="AB21" i="17"/>
  <c r="AB22" i="17"/>
  <c r="AI10" i="17"/>
  <c r="AI13" i="17" s="1"/>
  <c r="AT24" i="17"/>
  <c r="AT34" i="17"/>
  <c r="AT40" i="17" s="1"/>
  <c r="R21" i="16"/>
  <c r="R22" i="16"/>
  <c r="U10" i="16"/>
  <c r="U13" i="16" s="1"/>
  <c r="V14" i="16" s="1"/>
  <c r="V15" i="16"/>
  <c r="AE22" i="16"/>
  <c r="AE21" i="16"/>
  <c r="L138" i="12"/>
  <c r="D138" i="12"/>
  <c r="D45" i="17"/>
  <c r="D51" i="17" s="1"/>
  <c r="G22" i="17"/>
  <c r="AQ22" i="17"/>
  <c r="AQ21" i="17"/>
  <c r="D22" i="16"/>
  <c r="AA22" i="16"/>
  <c r="AO21" i="16"/>
  <c r="D21" i="16"/>
  <c r="AV21" i="16"/>
  <c r="T21" i="16"/>
  <c r="AW46" i="18"/>
  <c r="AW50" i="18"/>
  <c r="D33" i="17"/>
  <c r="AZ17" i="17"/>
  <c r="P10" i="17"/>
  <c r="P13" i="17" s="1"/>
  <c r="AI22" i="17"/>
  <c r="AM22" i="17"/>
  <c r="AM21" i="17"/>
  <c r="AT33" i="17"/>
  <c r="AT23" i="17"/>
  <c r="AT44" i="17"/>
  <c r="P21" i="16"/>
  <c r="AQ15" i="16"/>
  <c r="AP10" i="16"/>
  <c r="AP13" i="16" s="1"/>
  <c r="AQ14" i="16" s="1"/>
  <c r="AY21" i="16"/>
  <c r="AY22" i="16"/>
  <c r="G121" i="13"/>
  <c r="G127" i="13" s="1"/>
  <c r="G116" i="13"/>
  <c r="H7" i="20" s="1"/>
  <c r="K116" i="13"/>
  <c r="K120" i="13"/>
  <c r="K127" i="13" s="1"/>
  <c r="G127" i="12"/>
  <c r="AY39" i="17"/>
  <c r="AY35" i="17"/>
  <c r="X21" i="16"/>
  <c r="X22" i="16"/>
  <c r="AA260" i="15"/>
  <c r="N116" i="13"/>
  <c r="F116" i="13"/>
  <c r="F121" i="13"/>
  <c r="F127" i="13" s="1"/>
  <c r="J116" i="13"/>
  <c r="J120" i="13"/>
  <c r="J127" i="13" s="1"/>
  <c r="AF21" i="17"/>
  <c r="O22" i="16"/>
  <c r="O21" i="16"/>
  <c r="AA21" i="16"/>
  <c r="AJ21" i="16"/>
  <c r="AJ22" i="16"/>
  <c r="AM21" i="16"/>
  <c r="AM22" i="16"/>
  <c r="AS260" i="15"/>
  <c r="L120" i="10"/>
  <c r="L127" i="10" s="1"/>
  <c r="L116" i="10"/>
  <c r="T22" i="16"/>
  <c r="AW22" i="16"/>
  <c r="AW21" i="16"/>
  <c r="D260" i="15"/>
  <c r="L260" i="15"/>
  <c r="G138" i="13"/>
  <c r="S31" i="20" s="1"/>
  <c r="T32" i="20" s="1"/>
  <c r="K127" i="12"/>
  <c r="N116" i="12"/>
  <c r="N121" i="12"/>
  <c r="N127" i="12" s="1"/>
  <c r="F127" i="12"/>
  <c r="J116" i="12"/>
  <c r="AV10" i="17"/>
  <c r="AV13" i="17" s="1"/>
  <c r="AS23" i="16"/>
  <c r="AS33" i="16"/>
  <c r="AS44" i="16"/>
  <c r="BA14" i="15"/>
  <c r="D127" i="13"/>
  <c r="J127" i="12"/>
  <c r="O138" i="10"/>
  <c r="K138" i="10"/>
  <c r="H127" i="10"/>
  <c r="H116" i="10"/>
  <c r="V45" i="16"/>
  <c r="V51" i="16" s="1"/>
  <c r="AO22" i="16"/>
  <c r="AV22" i="16"/>
  <c r="J138" i="10"/>
  <c r="K116" i="10"/>
  <c r="O116" i="10"/>
  <c r="G116" i="10"/>
  <c r="H10" i="20" s="1"/>
  <c r="G120" i="10"/>
  <c r="G127" i="10" s="1"/>
  <c r="S10" i="20" s="1"/>
  <c r="AE10" i="16"/>
  <c r="AE13" i="16" s="1"/>
  <c r="AF10" i="16"/>
  <c r="AF13" i="16" s="1"/>
  <c r="AO10" i="16"/>
  <c r="AO13" i="16" s="1"/>
  <c r="AS10" i="16"/>
  <c r="AS13" i="16" s="1"/>
  <c r="AQ260" i="14"/>
  <c r="O127" i="13"/>
  <c r="M260" i="15"/>
  <c r="H138" i="13"/>
  <c r="D127" i="12"/>
  <c r="H138" i="11"/>
  <c r="AA10" i="16"/>
  <c r="AA13" i="16" s="1"/>
  <c r="AX260" i="15"/>
  <c r="E260" i="14"/>
  <c r="I260" i="14"/>
  <c r="Y260" i="14"/>
  <c r="N116" i="11"/>
  <c r="N121" i="11"/>
  <c r="N127" i="11" s="1"/>
  <c r="F127" i="11"/>
  <c r="J116" i="11"/>
  <c r="J120" i="11"/>
  <c r="J127" i="11" s="1"/>
  <c r="H138" i="12"/>
  <c r="K138" i="11"/>
  <c r="O138" i="11"/>
  <c r="G138" i="11"/>
  <c r="G127" i="11"/>
  <c r="AJ260" i="15"/>
  <c r="AR260" i="15"/>
  <c r="G138" i="12"/>
  <c r="AK23" i="16"/>
  <c r="AK33" i="16"/>
  <c r="AQ44" i="16"/>
  <c r="AQ33" i="16"/>
  <c r="V260" i="15"/>
  <c r="AE260" i="15"/>
  <c r="K260" i="14"/>
  <c r="L116" i="13"/>
  <c r="L127" i="12"/>
  <c r="G116" i="11"/>
  <c r="H116" i="12"/>
  <c r="H8" i="20" s="1"/>
  <c r="H120" i="12"/>
  <c r="H127" i="12" s="1"/>
  <c r="L116" i="11"/>
  <c r="D116" i="11"/>
  <c r="H138" i="10"/>
  <c r="O127" i="12"/>
  <c r="L120" i="11"/>
  <c r="L127" i="11" s="1"/>
  <c r="O116" i="11"/>
  <c r="O121" i="11"/>
  <c r="AZ259" i="15"/>
  <c r="T260" i="15"/>
  <c r="X260" i="15"/>
  <c r="D260" i="14"/>
  <c r="H260" i="14"/>
  <c r="AJ260" i="14"/>
  <c r="AN260" i="14"/>
  <c r="E260" i="15"/>
  <c r="AK260" i="15"/>
  <c r="U260" i="14"/>
  <c r="J138" i="12"/>
  <c r="J116" i="10"/>
  <c r="AB260" i="15"/>
  <c r="AF260" i="15"/>
  <c r="L260" i="14"/>
  <c r="P260" i="14"/>
  <c r="AR260" i="14"/>
  <c r="AV260" i="14"/>
  <c r="J138" i="13"/>
  <c r="J138" i="11"/>
  <c r="J127" i="10"/>
  <c r="S40" i="20"/>
  <c r="T43" i="20" s="1"/>
  <c r="AK35" i="16" l="1"/>
  <c r="AK39" i="16"/>
  <c r="AO33" i="16"/>
  <c r="AO23" i="16"/>
  <c r="AO44" i="16"/>
  <c r="Y22" i="17"/>
  <c r="Y21" i="17"/>
  <c r="F46" i="16"/>
  <c r="F50" i="16"/>
  <c r="AZ10" i="18"/>
  <c r="D13" i="18"/>
  <c r="F35" i="16"/>
  <c r="F39" i="16"/>
  <c r="L45" i="16"/>
  <c r="L51" i="16" s="1"/>
  <c r="L34" i="16"/>
  <c r="L40" i="16" s="1"/>
  <c r="L24" i="16"/>
  <c r="AE34" i="18"/>
  <c r="AE40" i="18" s="1"/>
  <c r="AE24" i="18"/>
  <c r="AE45" i="18"/>
  <c r="AE51" i="18" s="1"/>
  <c r="H34" i="17"/>
  <c r="H40" i="17" s="1"/>
  <c r="H45" i="17"/>
  <c r="H51" i="17" s="1"/>
  <c r="H24" i="17"/>
  <c r="AA35" i="17"/>
  <c r="AA39" i="17"/>
  <c r="O23" i="17"/>
  <c r="O44" i="17"/>
  <c r="O33" i="17"/>
  <c r="L35" i="18"/>
  <c r="L39" i="18"/>
  <c r="W24" i="18"/>
  <c r="W34" i="18"/>
  <c r="W40" i="18" s="1"/>
  <c r="W45" i="18"/>
  <c r="W51" i="18" s="1"/>
  <c r="AS50" i="16"/>
  <c r="AS46" i="16"/>
  <c r="O24" i="16"/>
  <c r="O34" i="16"/>
  <c r="O40" i="16" s="1"/>
  <c r="O45" i="16"/>
  <c r="O51" i="16" s="1"/>
  <c r="P33" i="16"/>
  <c r="P23" i="16"/>
  <c r="P44" i="16"/>
  <c r="AA45" i="16"/>
  <c r="AA51" i="16" s="1"/>
  <c r="AA24" i="16"/>
  <c r="AA34" i="16"/>
  <c r="AA40" i="16" s="1"/>
  <c r="AL24" i="18"/>
  <c r="AL45" i="18"/>
  <c r="AL51" i="18" s="1"/>
  <c r="AL34" i="18"/>
  <c r="AL40" i="18" s="1"/>
  <c r="F46" i="17"/>
  <c r="F50" i="17"/>
  <c r="V46" i="16"/>
  <c r="V50" i="16"/>
  <c r="F34" i="17"/>
  <c r="F40" i="17" s="1"/>
  <c r="F24" i="17"/>
  <c r="F45" i="17"/>
  <c r="F51" i="17" s="1"/>
  <c r="Z21" i="18"/>
  <c r="Z22" i="18"/>
  <c r="AD23" i="16"/>
  <c r="AD44" i="16"/>
  <c r="AD33" i="16"/>
  <c r="P45" i="18"/>
  <c r="P51" i="18" s="1"/>
  <c r="P34" i="18"/>
  <c r="P40" i="18" s="1"/>
  <c r="P24" i="18"/>
  <c r="AI45" i="18"/>
  <c r="AI51" i="18" s="1"/>
  <c r="AI34" i="18"/>
  <c r="AI40" i="18" s="1"/>
  <c r="AI24" i="18"/>
  <c r="AC23" i="18"/>
  <c r="AC44" i="18"/>
  <c r="AC33" i="18"/>
  <c r="AD33" i="17"/>
  <c r="AD23" i="17"/>
  <c r="AD44" i="17"/>
  <c r="AW35" i="18"/>
  <c r="AW40" i="18"/>
  <c r="H44" i="16"/>
  <c r="H23" i="16"/>
  <c r="H33" i="16"/>
  <c r="AC34" i="17"/>
  <c r="AC40" i="17" s="1"/>
  <c r="AC24" i="17"/>
  <c r="AC45" i="17"/>
  <c r="AC51" i="17" s="1"/>
  <c r="AE23" i="18"/>
  <c r="AE33" i="18"/>
  <c r="AE44" i="18"/>
  <c r="AU50" i="16"/>
  <c r="H23" i="17"/>
  <c r="H44" i="17"/>
  <c r="H33" i="17"/>
  <c r="S9" i="20"/>
  <c r="AA45" i="17"/>
  <c r="AA51" i="17" s="1"/>
  <c r="AA24" i="17"/>
  <c r="AA34" i="17"/>
  <c r="AA40" i="17" s="1"/>
  <c r="O45" i="17"/>
  <c r="O51" i="17" s="1"/>
  <c r="O24" i="17"/>
  <c r="O34" i="17"/>
  <c r="O40" i="17" s="1"/>
  <c r="AN34" i="16"/>
  <c r="AN40" i="16" s="1"/>
  <c r="AN45" i="16"/>
  <c r="AN51" i="16" s="1"/>
  <c r="AN24" i="16"/>
  <c r="AH39" i="18"/>
  <c r="K24" i="18"/>
  <c r="K34" i="18"/>
  <c r="K40" i="18" s="1"/>
  <c r="K45" i="18"/>
  <c r="K51" i="18" s="1"/>
  <c r="W33" i="18"/>
  <c r="W23" i="18"/>
  <c r="W44" i="18"/>
  <c r="AV34" i="18"/>
  <c r="AV40" i="18" s="1"/>
  <c r="AV45" i="18"/>
  <c r="AV51" i="18" s="1"/>
  <c r="AV24" i="18"/>
  <c r="AS35" i="16"/>
  <c r="AS39" i="16"/>
  <c r="AX35" i="17"/>
  <c r="X34" i="16"/>
  <c r="X40" i="16" s="1"/>
  <c r="X24" i="16"/>
  <c r="X45" i="16"/>
  <c r="X51" i="16" s="1"/>
  <c r="AT50" i="17"/>
  <c r="AT46" i="17"/>
  <c r="D35" i="17"/>
  <c r="D39" i="17"/>
  <c r="D34" i="16"/>
  <c r="D40" i="16" s="1"/>
  <c r="D45" i="16"/>
  <c r="D51" i="16" s="1"/>
  <c r="D24" i="16"/>
  <c r="AB21" i="18"/>
  <c r="AB22" i="18"/>
  <c r="F39" i="17"/>
  <c r="D13" i="17"/>
  <c r="AD24" i="16"/>
  <c r="AD45" i="16"/>
  <c r="AD51" i="16" s="1"/>
  <c r="AD34" i="16"/>
  <c r="AD40" i="16" s="1"/>
  <c r="AY45" i="18"/>
  <c r="AY51" i="18" s="1"/>
  <c r="AY34" i="18"/>
  <c r="AY40" i="18" s="1"/>
  <c r="AY24" i="18"/>
  <c r="H45" i="18"/>
  <c r="H51" i="18" s="1"/>
  <c r="H34" i="18"/>
  <c r="H40" i="18" s="1"/>
  <c r="H24" i="18"/>
  <c r="L50" i="17"/>
  <c r="AC24" i="18"/>
  <c r="AC45" i="18"/>
  <c r="AC51" i="18" s="1"/>
  <c r="AC34" i="18"/>
  <c r="AC40" i="18" s="1"/>
  <c r="Q21" i="18"/>
  <c r="Q22" i="18"/>
  <c r="AD34" i="17"/>
  <c r="AD40" i="17" s="1"/>
  <c r="AD45" i="17"/>
  <c r="AD51" i="17" s="1"/>
  <c r="AD24" i="17"/>
  <c r="AP45" i="18"/>
  <c r="AP51" i="18" s="1"/>
  <c r="AP24" i="18"/>
  <c r="AP34" i="18"/>
  <c r="AP40" i="18" s="1"/>
  <c r="H45" i="16"/>
  <c r="H51" i="16" s="1"/>
  <c r="H34" i="16"/>
  <c r="H40" i="16" s="1"/>
  <c r="H24" i="16"/>
  <c r="AC33" i="17"/>
  <c r="AC23" i="17"/>
  <c r="AC44" i="17"/>
  <c r="Y34" i="18"/>
  <c r="Y40" i="18" s="1"/>
  <c r="Y24" i="18"/>
  <c r="Y45" i="18"/>
  <c r="Y51" i="18" s="1"/>
  <c r="AU39" i="16"/>
  <c r="AP24" i="17"/>
  <c r="AP45" i="17"/>
  <c r="AP51" i="17" s="1"/>
  <c r="AP34" i="17"/>
  <c r="AP40" i="17" s="1"/>
  <c r="AK24" i="18"/>
  <c r="AK34" i="18"/>
  <c r="AK40" i="18" s="1"/>
  <c r="AK45" i="18"/>
  <c r="AK51" i="18" s="1"/>
  <c r="AG21" i="18"/>
  <c r="AG22" i="18"/>
  <c r="J23" i="16"/>
  <c r="J44" i="16"/>
  <c r="J33" i="16"/>
  <c r="Z39" i="17"/>
  <c r="Z35" i="17"/>
  <c r="AN33" i="16"/>
  <c r="AN23" i="16"/>
  <c r="AN44" i="16"/>
  <c r="G24" i="18"/>
  <c r="G34" i="18"/>
  <c r="G40" i="18" s="1"/>
  <c r="G45" i="18"/>
  <c r="G51" i="18" s="1"/>
  <c r="K23" i="18"/>
  <c r="K33" i="18"/>
  <c r="K44" i="18"/>
  <c r="U34" i="17"/>
  <c r="U40" i="17" s="1"/>
  <c r="U24" i="17"/>
  <c r="U45" i="17"/>
  <c r="U51" i="17" s="1"/>
  <c r="AV33" i="18"/>
  <c r="AV23" i="18"/>
  <c r="AV44" i="18"/>
  <c r="AZ260" i="14"/>
  <c r="AB22" i="16"/>
  <c r="AB21" i="16"/>
  <c r="AT21" i="16"/>
  <c r="AT22" i="16"/>
  <c r="AM34" i="16"/>
  <c r="AM40" i="16" s="1"/>
  <c r="AM24" i="16"/>
  <c r="AM45" i="16"/>
  <c r="AM51" i="16" s="1"/>
  <c r="AF44" i="17"/>
  <c r="AF33" i="17"/>
  <c r="AF23" i="17"/>
  <c r="X33" i="16"/>
  <c r="X23" i="16"/>
  <c r="X44" i="16"/>
  <c r="AE33" i="16"/>
  <c r="AE23" i="16"/>
  <c r="AE44" i="16"/>
  <c r="AJ21" i="17"/>
  <c r="AJ22" i="17"/>
  <c r="AA21" i="18"/>
  <c r="AA22" i="18"/>
  <c r="K23" i="16"/>
  <c r="K33" i="16"/>
  <c r="K44" i="16"/>
  <c r="AX21" i="18"/>
  <c r="AX22" i="18"/>
  <c r="F27" i="18"/>
  <c r="E30" i="18"/>
  <c r="K21" i="17"/>
  <c r="K22" i="17"/>
  <c r="U33" i="16"/>
  <c r="U23" i="16"/>
  <c r="U44" i="16"/>
  <c r="AY33" i="18"/>
  <c r="AY44" i="18"/>
  <c r="AY23" i="18"/>
  <c r="AJ22" i="18"/>
  <c r="AO44" i="17"/>
  <c r="AO33" i="17"/>
  <c r="AO23" i="17"/>
  <c r="J23" i="17"/>
  <c r="J44" i="17"/>
  <c r="J33" i="17"/>
  <c r="AX10" i="17"/>
  <c r="AX13" i="17" s="1"/>
  <c r="AY14" i="17" s="1"/>
  <c r="AY15" i="17"/>
  <c r="I21" i="18"/>
  <c r="I22" i="18"/>
  <c r="T34" i="17"/>
  <c r="T40" i="17" s="1"/>
  <c r="T45" i="17"/>
  <c r="T51" i="17" s="1"/>
  <c r="T24" i="17"/>
  <c r="AP33" i="18"/>
  <c r="AP44" i="18"/>
  <c r="AP23" i="18"/>
  <c r="AS34" i="17"/>
  <c r="AS40" i="17" s="1"/>
  <c r="AS45" i="17"/>
  <c r="AS51" i="17" s="1"/>
  <c r="AS24" i="17"/>
  <c r="S23" i="17"/>
  <c r="S44" i="17"/>
  <c r="S33" i="17"/>
  <c r="V21" i="18"/>
  <c r="V22" i="18"/>
  <c r="AH34" i="16"/>
  <c r="AH40" i="16" s="1"/>
  <c r="AH24" i="16"/>
  <c r="AH45" i="16"/>
  <c r="AH51" i="16" s="1"/>
  <c r="AP23" i="17"/>
  <c r="AP44" i="17"/>
  <c r="AP33" i="17"/>
  <c r="Y33" i="18"/>
  <c r="Y44" i="18"/>
  <c r="Y23" i="18"/>
  <c r="J24" i="16"/>
  <c r="J45" i="16"/>
  <c r="J51" i="16" s="1"/>
  <c r="J34" i="16"/>
  <c r="J40" i="16" s="1"/>
  <c r="G50" i="17"/>
  <c r="S34" i="16"/>
  <c r="S40" i="16" s="1"/>
  <c r="S45" i="16"/>
  <c r="S51" i="16" s="1"/>
  <c r="S24" i="16"/>
  <c r="AJ39" i="18"/>
  <c r="G33" i="18"/>
  <c r="G23" i="18"/>
  <c r="G44" i="18"/>
  <c r="AL35" i="18"/>
  <c r="AL39" i="18"/>
  <c r="U33" i="17"/>
  <c r="U44" i="17"/>
  <c r="U23" i="17"/>
  <c r="T46" i="18"/>
  <c r="T50" i="18"/>
  <c r="Q21" i="17"/>
  <c r="Q22" i="17"/>
  <c r="R33" i="16"/>
  <c r="R44" i="16"/>
  <c r="R23" i="16"/>
  <c r="V39" i="16"/>
  <c r="V35" i="16"/>
  <c r="AG24" i="17"/>
  <c r="AG34" i="17"/>
  <c r="AG40" i="17" s="1"/>
  <c r="AG45" i="17"/>
  <c r="AG51" i="17" s="1"/>
  <c r="L39" i="17"/>
  <c r="AF33" i="18"/>
  <c r="AF23" i="18"/>
  <c r="AF44" i="18"/>
  <c r="AD24" i="18"/>
  <c r="AD34" i="18"/>
  <c r="AD40" i="18" s="1"/>
  <c r="AD45" i="18"/>
  <c r="AD51" i="18" s="1"/>
  <c r="AP21" i="16"/>
  <c r="AP22" i="16"/>
  <c r="AW21" i="17"/>
  <c r="AW22" i="17"/>
  <c r="AY24" i="16"/>
  <c r="AY34" i="16"/>
  <c r="AY40" i="16" s="1"/>
  <c r="AY45" i="16"/>
  <c r="AY51" i="16" s="1"/>
  <c r="AE24" i="16"/>
  <c r="AE34" i="16"/>
  <c r="AE40" i="16" s="1"/>
  <c r="AE45" i="16"/>
  <c r="AE51" i="16" s="1"/>
  <c r="AU21" i="17"/>
  <c r="AU22" i="17"/>
  <c r="AS24" i="18"/>
  <c r="AS45" i="18"/>
  <c r="AS51" i="18" s="1"/>
  <c r="AS34" i="18"/>
  <c r="AS40" i="18" s="1"/>
  <c r="AN45" i="17"/>
  <c r="AN51" i="17" s="1"/>
  <c r="AN34" i="17"/>
  <c r="AN40" i="17" s="1"/>
  <c r="AN24" i="17"/>
  <c r="T44" i="17"/>
  <c r="T23" i="17"/>
  <c r="T33" i="17"/>
  <c r="S45" i="17"/>
  <c r="S51" i="17" s="1"/>
  <c r="S24" i="17"/>
  <c r="S34" i="17"/>
  <c r="S40" i="17" s="1"/>
  <c r="AH23" i="16"/>
  <c r="AH33" i="16"/>
  <c r="AH44" i="16"/>
  <c r="AO24" i="17"/>
  <c r="AO34" i="17"/>
  <c r="AO40" i="17" s="1"/>
  <c r="AO45" i="17"/>
  <c r="AO51" i="17" s="1"/>
  <c r="AC46" i="16"/>
  <c r="AC50" i="16"/>
  <c r="V45" i="17"/>
  <c r="V51" i="17" s="1"/>
  <c r="V24" i="17"/>
  <c r="V34" i="17"/>
  <c r="V40" i="17" s="1"/>
  <c r="G39" i="17"/>
  <c r="AJ50" i="18"/>
  <c r="AL50" i="18"/>
  <c r="AL46" i="18"/>
  <c r="AG21" i="16"/>
  <c r="AG22" i="16"/>
  <c r="AW44" i="16"/>
  <c r="AW23" i="16"/>
  <c r="AW33" i="16"/>
  <c r="AY44" i="16"/>
  <c r="AY33" i="16"/>
  <c r="AY23" i="16"/>
  <c r="AM44" i="17"/>
  <c r="AM23" i="17"/>
  <c r="AM33" i="17"/>
  <c r="AQ45" i="17"/>
  <c r="AQ51" i="17" s="1"/>
  <c r="AQ24" i="17"/>
  <c r="AQ34" i="17"/>
  <c r="AQ40" i="17" s="1"/>
  <c r="AB44" i="17"/>
  <c r="AB33" i="17"/>
  <c r="AB23" i="17"/>
  <c r="M23" i="16"/>
  <c r="M33" i="16"/>
  <c r="M44" i="16"/>
  <c r="AQ22" i="18"/>
  <c r="AQ21" i="18"/>
  <c r="Z34" i="16"/>
  <c r="Z40" i="16" s="1"/>
  <c r="Z45" i="16"/>
  <c r="Z51" i="16" s="1"/>
  <c r="Z24" i="16"/>
  <c r="E34" i="16"/>
  <c r="E40" i="16" s="1"/>
  <c r="E24" i="16"/>
  <c r="E45" i="16"/>
  <c r="E51" i="16" s="1"/>
  <c r="AI39" i="18"/>
  <c r="AE33" i="17"/>
  <c r="AE44" i="17"/>
  <c r="AE23" i="17"/>
  <c r="AK21" i="17"/>
  <c r="AK22" i="17"/>
  <c r="L45" i="18"/>
  <c r="L51" i="18" s="1"/>
  <c r="L34" i="18"/>
  <c r="L40" i="18" s="1"/>
  <c r="L24" i="18"/>
  <c r="N21" i="18"/>
  <c r="N22" i="18"/>
  <c r="Y33" i="16"/>
  <c r="Y23" i="16"/>
  <c r="Y44" i="16"/>
  <c r="D50" i="18"/>
  <c r="AC35" i="16"/>
  <c r="AC39" i="16"/>
  <c r="AF45" i="17"/>
  <c r="AF51" i="17" s="1"/>
  <c r="AF34" i="17"/>
  <c r="AF40" i="17" s="1"/>
  <c r="AF24" i="17"/>
  <c r="V33" i="17"/>
  <c r="V23" i="17"/>
  <c r="V44" i="17"/>
  <c r="AO34" i="18"/>
  <c r="AO40" i="18" s="1"/>
  <c r="AO24" i="18"/>
  <c r="AO45" i="18"/>
  <c r="AO51" i="18" s="1"/>
  <c r="AM23" i="18"/>
  <c r="AM44" i="18"/>
  <c r="AM33" i="18"/>
  <c r="G30" i="17"/>
  <c r="H27" i="17"/>
  <c r="AQ35" i="16"/>
  <c r="AQ39" i="16"/>
  <c r="AF21" i="16"/>
  <c r="AF22" i="16"/>
  <c r="AV34" i="16"/>
  <c r="AV40" i="16" s="1"/>
  <c r="AV24" i="16"/>
  <c r="AV45" i="16"/>
  <c r="AV51" i="16" s="1"/>
  <c r="AW45" i="16"/>
  <c r="AW51" i="16" s="1"/>
  <c r="AW34" i="16"/>
  <c r="AW40" i="16" s="1"/>
  <c r="AW24" i="16"/>
  <c r="AJ23" i="16"/>
  <c r="AJ44" i="16"/>
  <c r="AJ33" i="16"/>
  <c r="AQ10" i="16"/>
  <c r="AQ13" i="16" s="1"/>
  <c r="AM45" i="17"/>
  <c r="AM51" i="17" s="1"/>
  <c r="AM34" i="17"/>
  <c r="AM40" i="17" s="1"/>
  <c r="AM24" i="17"/>
  <c r="AV33" i="16"/>
  <c r="AV23" i="16"/>
  <c r="AV44" i="16"/>
  <c r="G45" i="17"/>
  <c r="G51" i="17" s="1"/>
  <c r="G34" i="17"/>
  <c r="G40" i="17" s="1"/>
  <c r="G24" i="17"/>
  <c r="V10" i="16"/>
  <c r="N21" i="17"/>
  <c r="N22" i="17"/>
  <c r="AX21" i="16"/>
  <c r="AX22" i="16"/>
  <c r="AV21" i="17"/>
  <c r="AV22" i="17"/>
  <c r="AU34" i="16"/>
  <c r="AU40" i="16" s="1"/>
  <c r="AU24" i="16"/>
  <c r="AU45" i="16"/>
  <c r="AU51" i="16" s="1"/>
  <c r="AH24" i="17"/>
  <c r="AH34" i="17"/>
  <c r="AH40" i="17" s="1"/>
  <c r="AH45" i="17"/>
  <c r="G46" i="16"/>
  <c r="G50" i="16"/>
  <c r="U21" i="18"/>
  <c r="U22" i="18"/>
  <c r="E33" i="16"/>
  <c r="E23" i="16"/>
  <c r="E44" i="16"/>
  <c r="AI46" i="18"/>
  <c r="AI50" i="18"/>
  <c r="AE45" i="17"/>
  <c r="AE51" i="17" s="1"/>
  <c r="AE34" i="17"/>
  <c r="AE40" i="17" s="1"/>
  <c r="AE24" i="17"/>
  <c r="AK39" i="18"/>
  <c r="AK35" i="18"/>
  <c r="AI24" i="16"/>
  <c r="AI45" i="16"/>
  <c r="AI51" i="16" s="1"/>
  <c r="AI34" i="16"/>
  <c r="AI40" i="16" s="1"/>
  <c r="M33" i="17"/>
  <c r="M44" i="17"/>
  <c r="M23" i="17"/>
  <c r="AH45" i="18"/>
  <c r="AH51" i="18" s="1"/>
  <c r="AH34" i="18"/>
  <c r="AH40" i="18" s="1"/>
  <c r="AH24" i="18"/>
  <c r="AN50" i="17"/>
  <c r="R23" i="17"/>
  <c r="R44" i="17"/>
  <c r="R33" i="17"/>
  <c r="J21" i="18"/>
  <c r="J22" i="18"/>
  <c r="Y24" i="16"/>
  <c r="Y45" i="16"/>
  <c r="Y51" i="16" s="1"/>
  <c r="Y34" i="16"/>
  <c r="Y40" i="16" s="1"/>
  <c r="W45" i="17"/>
  <c r="W51" i="17" s="1"/>
  <c r="W24" i="17"/>
  <c r="W34" i="17"/>
  <c r="W40" i="17" s="1"/>
  <c r="D45" i="18"/>
  <c r="D51" i="18" s="1"/>
  <c r="D24" i="18"/>
  <c r="D34" i="18"/>
  <c r="D40" i="18" s="1"/>
  <c r="Q21" i="16"/>
  <c r="Q22" i="16"/>
  <c r="Z24" i="17"/>
  <c r="Z34" i="17"/>
  <c r="Z40" i="17" s="1"/>
  <c r="Z45" i="17"/>
  <c r="Z51" i="17" s="1"/>
  <c r="AS39" i="17"/>
  <c r="P45" i="17"/>
  <c r="P51" i="17" s="1"/>
  <c r="P34" i="17"/>
  <c r="P40" i="17" s="1"/>
  <c r="P24" i="17"/>
  <c r="AU23" i="18"/>
  <c r="AU33" i="18"/>
  <c r="AU44" i="18"/>
  <c r="AO33" i="18"/>
  <c r="AO23" i="18"/>
  <c r="AO44" i="18"/>
  <c r="S23" i="18"/>
  <c r="S33" i="18"/>
  <c r="S44" i="18"/>
  <c r="P50" i="18"/>
  <c r="AN22" i="18"/>
  <c r="H50" i="18"/>
  <c r="O22" i="18"/>
  <c r="O23" i="16"/>
  <c r="O44" i="16"/>
  <c r="O33" i="16"/>
  <c r="AL21" i="16"/>
  <c r="AL22" i="16"/>
  <c r="X51" i="17"/>
  <c r="X46" i="17"/>
  <c r="AI35" i="17"/>
  <c r="AI39" i="17"/>
  <c r="G39" i="16"/>
  <c r="X33" i="18"/>
  <c r="X44" i="18"/>
  <c r="X23" i="18"/>
  <c r="AT24" i="18"/>
  <c r="AT34" i="18"/>
  <c r="AT40" i="18" s="1"/>
  <c r="AT45" i="18"/>
  <c r="AT51" i="18" s="1"/>
  <c r="N33" i="16"/>
  <c r="N23" i="16"/>
  <c r="N44" i="16"/>
  <c r="H9" i="20"/>
  <c r="AZ260" i="15"/>
  <c r="AM33" i="16"/>
  <c r="AM23" i="16"/>
  <c r="AM44" i="16"/>
  <c r="AT39" i="17"/>
  <c r="AT35" i="17"/>
  <c r="AQ23" i="17"/>
  <c r="AQ44" i="17"/>
  <c r="AQ33" i="17"/>
  <c r="AB34" i="17"/>
  <c r="AB40" i="17" s="1"/>
  <c r="AB45" i="17"/>
  <c r="AB51" i="17" s="1"/>
  <c r="AB24" i="17"/>
  <c r="M34" i="16"/>
  <c r="M40" i="16" s="1"/>
  <c r="M45" i="16"/>
  <c r="M51" i="16" s="1"/>
  <c r="M24" i="16"/>
  <c r="I22" i="16"/>
  <c r="I21" i="16"/>
  <c r="AR21" i="18"/>
  <c r="AR22" i="18"/>
  <c r="Z33" i="16"/>
  <c r="Z44" i="16"/>
  <c r="Z23" i="16"/>
  <c r="U24" i="16"/>
  <c r="U34" i="16"/>
  <c r="U40" i="16" s="1"/>
  <c r="U45" i="16"/>
  <c r="U51" i="16" s="1"/>
  <c r="J24" i="17"/>
  <c r="J45" i="17"/>
  <c r="J51" i="17" s="1"/>
  <c r="J34" i="17"/>
  <c r="J40" i="17" s="1"/>
  <c r="D39" i="18"/>
  <c r="T45" i="18"/>
  <c r="T51" i="18" s="1"/>
  <c r="T34" i="18"/>
  <c r="T40" i="18" s="1"/>
  <c r="T24" i="18"/>
  <c r="R21" i="18"/>
  <c r="R22" i="18"/>
  <c r="AS50" i="17"/>
  <c r="AS46" i="17"/>
  <c r="S23" i="16"/>
  <c r="S33" i="16"/>
  <c r="S44" i="16"/>
  <c r="AM34" i="18"/>
  <c r="AM40" i="18" s="1"/>
  <c r="AM45" i="18"/>
  <c r="AM51" i="18" s="1"/>
  <c r="AM24" i="18"/>
  <c r="T35" i="18"/>
  <c r="T39" i="18"/>
  <c r="S8" i="20"/>
  <c r="AJ24" i="16"/>
  <c r="AJ34" i="16"/>
  <c r="AJ40" i="16" s="1"/>
  <c r="AJ45" i="16"/>
  <c r="AJ51" i="16" s="1"/>
  <c r="T23" i="16"/>
  <c r="T44" i="16"/>
  <c r="T33" i="16"/>
  <c r="AL33" i="17"/>
  <c r="AL23" i="17"/>
  <c r="AL44" i="17"/>
  <c r="AS23" i="18"/>
  <c r="AS44" i="18"/>
  <c r="AS33" i="18"/>
  <c r="I22" i="17"/>
  <c r="I21" i="17"/>
  <c r="AI44" i="16"/>
  <c r="AI33" i="16"/>
  <c r="AI23" i="16"/>
  <c r="M24" i="17"/>
  <c r="M34" i="17"/>
  <c r="M40" i="17" s="1"/>
  <c r="M45" i="17"/>
  <c r="M51" i="17" s="1"/>
  <c r="AN35" i="17"/>
  <c r="AN39" i="17"/>
  <c r="R24" i="17"/>
  <c r="R45" i="17"/>
  <c r="R51" i="17" s="1"/>
  <c r="R34" i="17"/>
  <c r="R40" i="17" s="1"/>
  <c r="W23" i="17"/>
  <c r="W44" i="17"/>
  <c r="W33" i="17"/>
  <c r="AU34" i="18"/>
  <c r="AU40" i="18" s="1"/>
  <c r="AU24" i="18"/>
  <c r="AU45" i="18"/>
  <c r="AU51" i="18" s="1"/>
  <c r="S24" i="18"/>
  <c r="S34" i="18"/>
  <c r="S40" i="18" s="1"/>
  <c r="S45" i="18"/>
  <c r="S51" i="18" s="1"/>
  <c r="AQ50" i="16"/>
  <c r="AQ46" i="16"/>
  <c r="AO45" i="16"/>
  <c r="AO51" i="16" s="1"/>
  <c r="AO34" i="16"/>
  <c r="AO40" i="16" s="1"/>
  <c r="AO24" i="16"/>
  <c r="S7" i="20"/>
  <c r="T24" i="16"/>
  <c r="T45" i="16"/>
  <c r="T51" i="16" s="1"/>
  <c r="T34" i="16"/>
  <c r="T40" i="16" s="1"/>
  <c r="AA33" i="16"/>
  <c r="AA23" i="16"/>
  <c r="AA44" i="16"/>
  <c r="AI45" i="17"/>
  <c r="AI34" i="17"/>
  <c r="AI40" i="17" s="1"/>
  <c r="AI24" i="17"/>
  <c r="D33" i="16"/>
  <c r="D44" i="16"/>
  <c r="D23" i="16"/>
  <c r="R24" i="16"/>
  <c r="R34" i="16"/>
  <c r="R40" i="16" s="1"/>
  <c r="R45" i="16"/>
  <c r="R51" i="16" s="1"/>
  <c r="D46" i="17"/>
  <c r="D50" i="17"/>
  <c r="X40" i="17"/>
  <c r="X35" i="17"/>
  <c r="AR21" i="17"/>
  <c r="AR22" i="17"/>
  <c r="G45" i="16"/>
  <c r="G51" i="16" s="1"/>
  <c r="G34" i="16"/>
  <c r="G40" i="16" s="1"/>
  <c r="G24" i="16"/>
  <c r="AG44" i="17"/>
  <c r="AG33" i="17"/>
  <c r="AG23" i="17"/>
  <c r="M21" i="18"/>
  <c r="M22" i="18"/>
  <c r="X45" i="18"/>
  <c r="X51" i="18" s="1"/>
  <c r="X24" i="18"/>
  <c r="X34" i="18"/>
  <c r="X40" i="18" s="1"/>
  <c r="Z46" i="17"/>
  <c r="Z50" i="17"/>
  <c r="AT23" i="18"/>
  <c r="AT33" i="18"/>
  <c r="AT44" i="18"/>
  <c r="AF34" i="18"/>
  <c r="AF40" i="18" s="1"/>
  <c r="AF45" i="18"/>
  <c r="AF51" i="18" s="1"/>
  <c r="AF24" i="18"/>
  <c r="L33" i="16"/>
  <c r="L44" i="16"/>
  <c r="L23" i="16"/>
  <c r="AD23" i="18"/>
  <c r="AD33" i="18"/>
  <c r="AD44" i="18"/>
  <c r="AH39" i="17"/>
  <c r="AH35" i="17"/>
  <c r="F21" i="18"/>
  <c r="F22" i="18"/>
  <c r="L24" i="17"/>
  <c r="L45" i="17"/>
  <c r="L51" i="17" s="1"/>
  <c r="L34" i="17"/>
  <c r="L40" i="17" s="1"/>
  <c r="N45" i="16"/>
  <c r="N51" i="16" s="1"/>
  <c r="N24" i="16"/>
  <c r="N34" i="16"/>
  <c r="N40" i="16" s="1"/>
  <c r="F27" i="16"/>
  <c r="E30" i="16"/>
  <c r="AA50" i="17"/>
  <c r="P44" i="17"/>
  <c r="P33" i="17"/>
  <c r="P23" i="17"/>
  <c r="AK50" i="18"/>
  <c r="AH50" i="18"/>
  <c r="L46" i="18"/>
  <c r="L50" i="18"/>
  <c r="P39" i="18"/>
  <c r="AN33" i="18"/>
  <c r="AN44" i="18"/>
  <c r="AN23" i="18"/>
  <c r="H35" i="18"/>
  <c r="H39" i="18"/>
  <c r="O33" i="18"/>
  <c r="O23" i="18"/>
  <c r="O44" i="18"/>
  <c r="O39" i="18" l="1"/>
  <c r="AT46" i="18"/>
  <c r="AT50" i="18"/>
  <c r="Z35" i="16"/>
  <c r="Z39" i="16"/>
  <c r="S39" i="18"/>
  <c r="S35" i="18"/>
  <c r="M35" i="17"/>
  <c r="M39" i="17"/>
  <c r="AV45" i="17"/>
  <c r="AV51" i="17" s="1"/>
  <c r="AV24" i="17"/>
  <c r="AV34" i="17"/>
  <c r="AV40" i="17" s="1"/>
  <c r="AK34" i="17"/>
  <c r="AK40" i="17" s="1"/>
  <c r="AK24" i="17"/>
  <c r="AK45" i="17"/>
  <c r="AK51" i="17" s="1"/>
  <c r="AM35" i="17"/>
  <c r="AM39" i="17"/>
  <c r="AF50" i="18"/>
  <c r="AF46" i="18"/>
  <c r="AJ44" i="17"/>
  <c r="AJ33" i="17"/>
  <c r="AJ23" i="17"/>
  <c r="K46" i="18"/>
  <c r="K50" i="18"/>
  <c r="W46" i="18"/>
  <c r="W50" i="18"/>
  <c r="AE35" i="18"/>
  <c r="AE39" i="18"/>
  <c r="P50" i="16"/>
  <c r="P46" i="16"/>
  <c r="AT35" i="18"/>
  <c r="AT39" i="18"/>
  <c r="M44" i="18"/>
  <c r="M23" i="18"/>
  <c r="M33" i="18"/>
  <c r="AR44" i="17"/>
  <c r="AR23" i="17"/>
  <c r="AR33" i="17"/>
  <c r="I45" i="17"/>
  <c r="I51" i="17" s="1"/>
  <c r="I24" i="17"/>
  <c r="I34" i="17"/>
  <c r="I40" i="17" s="1"/>
  <c r="T46" i="16"/>
  <c r="T50" i="16"/>
  <c r="R24" i="18"/>
  <c r="R34" i="18"/>
  <c r="R40" i="18" s="1"/>
  <c r="R45" i="18"/>
  <c r="R51" i="18" s="1"/>
  <c r="AR24" i="18"/>
  <c r="AR45" i="18"/>
  <c r="AR51" i="18" s="1"/>
  <c r="AR34" i="18"/>
  <c r="AR40" i="18" s="1"/>
  <c r="O24" i="18"/>
  <c r="O34" i="18"/>
  <c r="O40" i="18" s="1"/>
  <c r="O45" i="18"/>
  <c r="O51" i="18" s="1"/>
  <c r="Q44" i="16"/>
  <c r="Q23" i="16"/>
  <c r="Q33" i="16"/>
  <c r="AV44" i="17"/>
  <c r="AV33" i="17"/>
  <c r="AV23" i="17"/>
  <c r="AJ39" i="16"/>
  <c r="AJ35" i="16"/>
  <c r="AM46" i="18"/>
  <c r="AM50" i="18"/>
  <c r="AK33" i="17"/>
  <c r="AK23" i="17"/>
  <c r="AK44" i="17"/>
  <c r="AG24" i="16"/>
  <c r="AG34" i="16"/>
  <c r="AG40" i="16" s="1"/>
  <c r="AG45" i="16"/>
  <c r="AG51" i="16" s="1"/>
  <c r="AH46" i="16"/>
  <c r="AH50" i="16"/>
  <c r="T46" i="17"/>
  <c r="T50" i="17"/>
  <c r="AU33" i="17"/>
  <c r="AU23" i="17"/>
  <c r="AU44" i="17"/>
  <c r="AW44" i="17"/>
  <c r="AW33" i="17"/>
  <c r="AW23" i="17"/>
  <c r="U50" i="16"/>
  <c r="U46" i="16"/>
  <c r="AX23" i="18"/>
  <c r="AX44" i="18"/>
  <c r="AX33" i="18"/>
  <c r="AE46" i="16"/>
  <c r="AE50" i="16"/>
  <c r="AF46" i="17"/>
  <c r="AF50" i="17"/>
  <c r="K39" i="18"/>
  <c r="K35" i="18"/>
  <c r="Z45" i="18"/>
  <c r="Z51" i="18" s="1"/>
  <c r="Z24" i="18"/>
  <c r="Z34" i="18"/>
  <c r="Z40" i="18" s="1"/>
  <c r="Y44" i="17"/>
  <c r="Y33" i="17"/>
  <c r="Y23" i="17"/>
  <c r="AA46" i="17"/>
  <c r="D46" i="16"/>
  <c r="D50" i="16"/>
  <c r="AA35" i="16"/>
  <c r="AA39" i="16"/>
  <c r="W35" i="17"/>
  <c r="W39" i="17"/>
  <c r="AS39" i="18"/>
  <c r="AS35" i="18"/>
  <c r="R44" i="18"/>
  <c r="R33" i="18"/>
  <c r="R23" i="18"/>
  <c r="AR44" i="18"/>
  <c r="AR23" i="18"/>
  <c r="AR33" i="18"/>
  <c r="AM39" i="16"/>
  <c r="AM35" i="16"/>
  <c r="AO46" i="18"/>
  <c r="AO50" i="18"/>
  <c r="AN46" i="17"/>
  <c r="AH51" i="17"/>
  <c r="AH46" i="17"/>
  <c r="AX45" i="16"/>
  <c r="AX51" i="16" s="1"/>
  <c r="AX34" i="16"/>
  <c r="AX40" i="16" s="1"/>
  <c r="AX24" i="16"/>
  <c r="AV46" i="16"/>
  <c r="AV50" i="16"/>
  <c r="AJ46" i="16"/>
  <c r="AJ50" i="16"/>
  <c r="AF24" i="16"/>
  <c r="AF45" i="16"/>
  <c r="AF51" i="16" s="1"/>
  <c r="AF34" i="16"/>
  <c r="AF40" i="16" s="1"/>
  <c r="Y39" i="16"/>
  <c r="Y35" i="16"/>
  <c r="AM46" i="17"/>
  <c r="AM50" i="17"/>
  <c r="AG23" i="16"/>
  <c r="AG44" i="16"/>
  <c r="AG33" i="16"/>
  <c r="AH39" i="16"/>
  <c r="AH35" i="16"/>
  <c r="AP45" i="16"/>
  <c r="AP51" i="16" s="1"/>
  <c r="AP34" i="16"/>
  <c r="AP40" i="16" s="1"/>
  <c r="AP24" i="16"/>
  <c r="AF35" i="18"/>
  <c r="AF39" i="18"/>
  <c r="U50" i="17"/>
  <c r="U46" i="17"/>
  <c r="K50" i="16"/>
  <c r="K46" i="16"/>
  <c r="AV50" i="18"/>
  <c r="AV46" i="18"/>
  <c r="W39" i="18"/>
  <c r="W35" i="18"/>
  <c r="H35" i="17"/>
  <c r="H39" i="17"/>
  <c r="AD46" i="17"/>
  <c r="AD50" i="17"/>
  <c r="Z33" i="18"/>
  <c r="Z23" i="18"/>
  <c r="Z44" i="18"/>
  <c r="P39" i="16"/>
  <c r="P35" i="16"/>
  <c r="Y24" i="17"/>
  <c r="Y34" i="17"/>
  <c r="Y40" i="17" s="1"/>
  <c r="Y45" i="17"/>
  <c r="Y51" i="17" s="1"/>
  <c r="AH46" i="18"/>
  <c r="F34" i="18"/>
  <c r="F40" i="18" s="1"/>
  <c r="F24" i="18"/>
  <c r="F45" i="18"/>
  <c r="F51" i="18" s="1"/>
  <c r="L46" i="16"/>
  <c r="L50" i="16"/>
  <c r="AG39" i="17"/>
  <c r="AG35" i="17"/>
  <c r="D35" i="16"/>
  <c r="D39" i="16"/>
  <c r="W46" i="17"/>
  <c r="W50" i="17"/>
  <c r="AS50" i="18"/>
  <c r="AS46" i="18"/>
  <c r="I44" i="16"/>
  <c r="I23" i="16"/>
  <c r="I33" i="16"/>
  <c r="AQ35" i="17"/>
  <c r="AQ39" i="17"/>
  <c r="H46" i="18"/>
  <c r="AS35" i="17"/>
  <c r="E46" i="16"/>
  <c r="E50" i="16"/>
  <c r="AX44" i="16"/>
  <c r="AX33" i="16"/>
  <c r="AX23" i="16"/>
  <c r="AF44" i="16"/>
  <c r="AF33" i="16"/>
  <c r="AF23" i="16"/>
  <c r="N34" i="18"/>
  <c r="N40" i="18" s="1"/>
  <c r="N24" i="18"/>
  <c r="N45" i="18"/>
  <c r="N51" i="18" s="1"/>
  <c r="AE46" i="17"/>
  <c r="AE50" i="17"/>
  <c r="AB35" i="17"/>
  <c r="AB39" i="17"/>
  <c r="AP44" i="16"/>
  <c r="AP33" i="16"/>
  <c r="AP23" i="16"/>
  <c r="L35" i="17"/>
  <c r="R50" i="16"/>
  <c r="R46" i="16"/>
  <c r="U35" i="17"/>
  <c r="U39" i="17"/>
  <c r="I45" i="18"/>
  <c r="I51" i="18" s="1"/>
  <c r="I34" i="18"/>
  <c r="I40" i="18" s="1"/>
  <c r="I24" i="18"/>
  <c r="AO35" i="17"/>
  <c r="AO39" i="17"/>
  <c r="U35" i="16"/>
  <c r="U39" i="16"/>
  <c r="K39" i="16"/>
  <c r="K35" i="16"/>
  <c r="AE35" i="16"/>
  <c r="AE39" i="16"/>
  <c r="J39" i="16"/>
  <c r="J35" i="16"/>
  <c r="AC50" i="17"/>
  <c r="AC46" i="17"/>
  <c r="F35" i="17"/>
  <c r="H46" i="17"/>
  <c r="H50" i="17"/>
  <c r="AO46" i="16"/>
  <c r="AO50" i="16"/>
  <c r="M34" i="18"/>
  <c r="M40" i="18" s="1"/>
  <c r="M45" i="18"/>
  <c r="M51" i="18" s="1"/>
  <c r="M24" i="18"/>
  <c r="I33" i="17"/>
  <c r="I44" i="17"/>
  <c r="I23" i="17"/>
  <c r="AM50" i="16"/>
  <c r="AM46" i="16"/>
  <c r="Q24" i="16"/>
  <c r="Q45" i="16"/>
  <c r="Q51" i="16" s="1"/>
  <c r="Q34" i="16"/>
  <c r="Q40" i="16" s="1"/>
  <c r="AM35" i="18"/>
  <c r="AM39" i="18"/>
  <c r="Y50" i="16"/>
  <c r="Y46" i="16"/>
  <c r="M35" i="16"/>
  <c r="M39" i="16"/>
  <c r="G35" i="17"/>
  <c r="AU34" i="17"/>
  <c r="AU40" i="17" s="1"/>
  <c r="AU45" i="17"/>
  <c r="AU51" i="17" s="1"/>
  <c r="AU24" i="17"/>
  <c r="G39" i="18"/>
  <c r="G35" i="18"/>
  <c r="AP46" i="17"/>
  <c r="AP50" i="17"/>
  <c r="J46" i="17"/>
  <c r="J50" i="17"/>
  <c r="AY35" i="18"/>
  <c r="AY39" i="18"/>
  <c r="AF39" i="17"/>
  <c r="AF35" i="17"/>
  <c r="E22" i="17"/>
  <c r="E21" i="17"/>
  <c r="AK46" i="18"/>
  <c r="F33" i="18"/>
  <c r="F44" i="18"/>
  <c r="F23" i="18"/>
  <c r="L35" i="16"/>
  <c r="L39" i="16"/>
  <c r="AG50" i="17"/>
  <c r="AG46" i="17"/>
  <c r="S46" i="16"/>
  <c r="S50" i="16"/>
  <c r="I24" i="16"/>
  <c r="I45" i="16"/>
  <c r="I51" i="16" s="1"/>
  <c r="I34" i="16"/>
  <c r="I40" i="16" s="1"/>
  <c r="AQ46" i="17"/>
  <c r="AQ50" i="17"/>
  <c r="X46" i="18"/>
  <c r="X50" i="18"/>
  <c r="AL34" i="16"/>
  <c r="AL40" i="16" s="1"/>
  <c r="AL45" i="16"/>
  <c r="AL51" i="16" s="1"/>
  <c r="AL24" i="16"/>
  <c r="AO39" i="18"/>
  <c r="AO35" i="18"/>
  <c r="J24" i="18"/>
  <c r="J34" i="18"/>
  <c r="J40" i="18" s="1"/>
  <c r="J45" i="18"/>
  <c r="J51" i="18" s="1"/>
  <c r="AV39" i="16"/>
  <c r="AV35" i="16"/>
  <c r="N33" i="18"/>
  <c r="N44" i="18"/>
  <c r="N23" i="18"/>
  <c r="AY35" i="16"/>
  <c r="AY39" i="16"/>
  <c r="I44" i="18"/>
  <c r="I23" i="18"/>
  <c r="I33" i="18"/>
  <c r="AO50" i="17"/>
  <c r="AO46" i="17"/>
  <c r="X46" i="16"/>
  <c r="X50" i="16"/>
  <c r="AV35" i="18"/>
  <c r="AV39" i="18"/>
  <c r="AD39" i="17"/>
  <c r="AD35" i="17"/>
  <c r="AN39" i="18"/>
  <c r="AL46" i="17"/>
  <c r="AL50" i="17"/>
  <c r="N50" i="16"/>
  <c r="N46" i="16"/>
  <c r="AL44" i="16"/>
  <c r="AL33" i="16"/>
  <c r="AL23" i="16"/>
  <c r="AU46" i="18"/>
  <c r="AU50" i="18"/>
  <c r="AQ44" i="18"/>
  <c r="AQ23" i="18"/>
  <c r="AQ33" i="18"/>
  <c r="Q24" i="17"/>
  <c r="Q45" i="17"/>
  <c r="Q51" i="17" s="1"/>
  <c r="Q34" i="17"/>
  <c r="Q40" i="17" s="1"/>
  <c r="V34" i="18"/>
  <c r="V40" i="18" s="1"/>
  <c r="V24" i="18"/>
  <c r="V45" i="18"/>
  <c r="V51" i="18" s="1"/>
  <c r="AJ24" i="18"/>
  <c r="AJ45" i="18"/>
  <c r="AJ34" i="18"/>
  <c r="AA45" i="18"/>
  <c r="AA51" i="18" s="1"/>
  <c r="AA24" i="18"/>
  <c r="AA34" i="18"/>
  <c r="AA40" i="18" s="1"/>
  <c r="AC39" i="17"/>
  <c r="AC35" i="17"/>
  <c r="E21" i="18"/>
  <c r="E22" i="18"/>
  <c r="O50" i="18"/>
  <c r="T11" i="20"/>
  <c r="T45" i="20" s="1"/>
  <c r="AI35" i="16"/>
  <c r="AI39" i="16"/>
  <c r="O39" i="16"/>
  <c r="O35" i="16"/>
  <c r="P46" i="18"/>
  <c r="AU35" i="18"/>
  <c r="AU39" i="18"/>
  <c r="R39" i="17"/>
  <c r="R35" i="17"/>
  <c r="U34" i="18"/>
  <c r="U40" i="18" s="1"/>
  <c r="U45" i="18"/>
  <c r="U51" i="18" s="1"/>
  <c r="U24" i="18"/>
  <c r="V13" i="16"/>
  <c r="AZ10" i="16"/>
  <c r="I27" i="17"/>
  <c r="H30" i="17"/>
  <c r="V46" i="17"/>
  <c r="V50" i="17"/>
  <c r="AQ45" i="18"/>
  <c r="AQ51" i="18" s="1"/>
  <c r="AQ24" i="18"/>
  <c r="AQ34" i="18"/>
  <c r="AQ40" i="18" s="1"/>
  <c r="AW35" i="16"/>
  <c r="AW39" i="16"/>
  <c r="Q44" i="17"/>
  <c r="Q33" i="17"/>
  <c r="Q23" i="17"/>
  <c r="G46" i="18"/>
  <c r="G50" i="18"/>
  <c r="Y39" i="18"/>
  <c r="Y35" i="18"/>
  <c r="V33" i="18"/>
  <c r="V44" i="18"/>
  <c r="V23" i="18"/>
  <c r="AP46" i="18"/>
  <c r="AP50" i="18"/>
  <c r="AY10" i="17"/>
  <c r="AA44" i="18"/>
  <c r="AA23" i="18"/>
  <c r="AA33" i="18"/>
  <c r="X35" i="16"/>
  <c r="X39" i="16"/>
  <c r="AT44" i="16"/>
  <c r="AT33" i="16"/>
  <c r="AT23" i="16"/>
  <c r="AN46" i="16"/>
  <c r="AN50" i="16"/>
  <c r="AG34" i="18"/>
  <c r="AG40" i="18" s="1"/>
  <c r="AG45" i="18"/>
  <c r="AG51" i="18" s="1"/>
  <c r="AG24" i="18"/>
  <c r="AU35" i="16"/>
  <c r="AB44" i="18"/>
  <c r="AB33" i="18"/>
  <c r="AB23" i="18"/>
  <c r="AC46" i="18"/>
  <c r="AC50" i="18"/>
  <c r="AD39" i="16"/>
  <c r="AD35" i="16"/>
  <c r="O46" i="17"/>
  <c r="O50" i="17"/>
  <c r="P50" i="17"/>
  <c r="P46" i="17"/>
  <c r="AD35" i="18"/>
  <c r="AD39" i="18"/>
  <c r="AR34" i="17"/>
  <c r="AR40" i="17" s="1"/>
  <c r="AR45" i="17"/>
  <c r="AR51" i="17" s="1"/>
  <c r="AR24" i="17"/>
  <c r="AA46" i="16"/>
  <c r="AA50" i="16"/>
  <c r="T35" i="16"/>
  <c r="T39" i="16"/>
  <c r="AR22" i="16"/>
  <c r="AR21" i="16"/>
  <c r="V39" i="17"/>
  <c r="V35" i="17"/>
  <c r="AW46" i="16"/>
  <c r="AW50" i="16"/>
  <c r="AW34" i="17"/>
  <c r="AW40" i="17" s="1"/>
  <c r="AW24" i="17"/>
  <c r="AW45" i="17"/>
  <c r="AW51" i="17" s="1"/>
  <c r="S46" i="17"/>
  <c r="S50" i="17"/>
  <c r="AX24" i="18"/>
  <c r="AX45" i="18"/>
  <c r="AX51" i="18" s="1"/>
  <c r="AX34" i="18"/>
  <c r="AX40" i="18" s="1"/>
  <c r="AB34" i="16"/>
  <c r="AB40" i="16" s="1"/>
  <c r="AB45" i="16"/>
  <c r="AB51" i="16" s="1"/>
  <c r="AB24" i="16"/>
  <c r="AN39" i="16"/>
  <c r="AN35" i="16"/>
  <c r="Q44" i="18"/>
  <c r="Q23" i="18"/>
  <c r="Q33" i="18"/>
  <c r="AN50" i="18"/>
  <c r="F30" i="16"/>
  <c r="G27" i="16"/>
  <c r="AN34" i="18"/>
  <c r="AN40" i="18" s="1"/>
  <c r="AN24" i="18"/>
  <c r="AN45" i="18"/>
  <c r="AN51" i="18" s="1"/>
  <c r="N24" i="17"/>
  <c r="N34" i="17"/>
  <c r="N40" i="17" s="1"/>
  <c r="N45" i="17"/>
  <c r="N51" i="17" s="1"/>
  <c r="AE35" i="17"/>
  <c r="AE39" i="17"/>
  <c r="AB46" i="17"/>
  <c r="AB50" i="17"/>
  <c r="R35" i="16"/>
  <c r="R39" i="16"/>
  <c r="K45" i="17"/>
  <c r="K51" i="17" s="1"/>
  <c r="K34" i="17"/>
  <c r="K40" i="17" s="1"/>
  <c r="K24" i="17"/>
  <c r="J50" i="16"/>
  <c r="J46" i="16"/>
  <c r="S39" i="16"/>
  <c r="S35" i="16"/>
  <c r="X35" i="18"/>
  <c r="X39" i="18"/>
  <c r="J44" i="18"/>
  <c r="J33" i="18"/>
  <c r="J23" i="18"/>
  <c r="E35" i="16"/>
  <c r="E39" i="16"/>
  <c r="N33" i="17"/>
  <c r="N23" i="17"/>
  <c r="N44" i="17"/>
  <c r="AI35" i="18"/>
  <c r="AY50" i="16"/>
  <c r="AY46" i="16"/>
  <c r="Y46" i="18"/>
  <c r="Y50" i="18"/>
  <c r="K33" i="17"/>
  <c r="K23" i="17"/>
  <c r="K44" i="17"/>
  <c r="AT34" i="16"/>
  <c r="AT40" i="16" s="1"/>
  <c r="AT24" i="16"/>
  <c r="AT45" i="16"/>
  <c r="AT51" i="16" s="1"/>
  <c r="L46" i="17"/>
  <c r="AB24" i="18"/>
  <c r="AB45" i="18"/>
  <c r="AB51" i="18" s="1"/>
  <c r="AB34" i="18"/>
  <c r="AB40" i="18" s="1"/>
  <c r="AU46" i="16"/>
  <c r="H35" i="16"/>
  <c r="H39" i="16"/>
  <c r="AC39" i="18"/>
  <c r="AC35" i="18"/>
  <c r="O35" i="17"/>
  <c r="O39" i="17"/>
  <c r="AO35" i="16"/>
  <c r="AO39" i="16"/>
  <c r="P35" i="18"/>
  <c r="P35" i="17"/>
  <c r="P39" i="17"/>
  <c r="AD46" i="18"/>
  <c r="AD50" i="18"/>
  <c r="AI51" i="17"/>
  <c r="AI46" i="17"/>
  <c r="AI50" i="16"/>
  <c r="AI46" i="16"/>
  <c r="AL39" i="17"/>
  <c r="AL35" i="17"/>
  <c r="D35" i="18"/>
  <c r="Z46" i="16"/>
  <c r="Z50" i="16"/>
  <c r="N35" i="16"/>
  <c r="N39" i="16"/>
  <c r="G35" i="16"/>
  <c r="O46" i="16"/>
  <c r="O50" i="16"/>
  <c r="S46" i="18"/>
  <c r="S50" i="18"/>
  <c r="R46" i="17"/>
  <c r="R50" i="17"/>
  <c r="M46" i="17"/>
  <c r="M50" i="17"/>
  <c r="U44" i="18"/>
  <c r="U23" i="18"/>
  <c r="U33" i="18"/>
  <c r="D46" i="18"/>
  <c r="M46" i="16"/>
  <c r="M50" i="16"/>
  <c r="T35" i="17"/>
  <c r="T39" i="17"/>
  <c r="G46" i="17"/>
  <c r="AP39" i="17"/>
  <c r="AP35" i="17"/>
  <c r="S35" i="17"/>
  <c r="S39" i="17"/>
  <c r="AP35" i="18"/>
  <c r="AP39" i="18"/>
  <c r="J39" i="17"/>
  <c r="J35" i="17"/>
  <c r="AY50" i="18"/>
  <c r="AY46" i="18"/>
  <c r="F30" i="18"/>
  <c r="G27" i="18"/>
  <c r="AJ34" i="17"/>
  <c r="AJ40" i="17" s="1"/>
  <c r="AJ45" i="17"/>
  <c r="AJ51" i="17" s="1"/>
  <c r="AJ24" i="17"/>
  <c r="AB44" i="16"/>
  <c r="AB23" i="16"/>
  <c r="AB33" i="16"/>
  <c r="AG33" i="18"/>
  <c r="AG44" i="18"/>
  <c r="AG23" i="18"/>
  <c r="Q45" i="18"/>
  <c r="Q51" i="18" s="1"/>
  <c r="Q34" i="18"/>
  <c r="Q40" i="18" s="1"/>
  <c r="Q24" i="18"/>
  <c r="AH35" i="18"/>
  <c r="AE46" i="18"/>
  <c r="AE50" i="18"/>
  <c r="H46" i="16"/>
  <c r="H50" i="16"/>
  <c r="AD46" i="16"/>
  <c r="AD50" i="16"/>
  <c r="N46" i="17" l="1"/>
  <c r="N50" i="17"/>
  <c r="AQ35" i="18"/>
  <c r="AQ39" i="18"/>
  <c r="AW46" i="17"/>
  <c r="AW50" i="17"/>
  <c r="AJ35" i="17"/>
  <c r="AJ39" i="17"/>
  <c r="AG46" i="18"/>
  <c r="AG50" i="18"/>
  <c r="G30" i="18"/>
  <c r="H27" i="18"/>
  <c r="Q35" i="18"/>
  <c r="Q39" i="18"/>
  <c r="AB35" i="18"/>
  <c r="AB39" i="18"/>
  <c r="AY13" i="17"/>
  <c r="AZ10" i="17"/>
  <c r="E44" i="18"/>
  <c r="E23" i="18"/>
  <c r="AZ23" i="18" s="1"/>
  <c r="E33" i="18"/>
  <c r="AZ21" i="18"/>
  <c r="E23" i="17"/>
  <c r="AZ23" i="17" s="1"/>
  <c r="E44" i="17"/>
  <c r="E33" i="17"/>
  <c r="AZ21" i="17"/>
  <c r="AX35" i="16"/>
  <c r="AX39" i="16"/>
  <c r="AX39" i="18"/>
  <c r="AX35" i="18"/>
  <c r="AU46" i="17"/>
  <c r="AU50" i="17"/>
  <c r="AR46" i="17"/>
  <c r="AR50" i="17"/>
  <c r="AJ50" i="17"/>
  <c r="AJ46" i="17"/>
  <c r="AG35" i="18"/>
  <c r="AG39" i="18"/>
  <c r="K35" i="17"/>
  <c r="K39" i="17"/>
  <c r="N39" i="17"/>
  <c r="N35" i="17"/>
  <c r="AB50" i="18"/>
  <c r="AB46" i="18"/>
  <c r="AT35" i="16"/>
  <c r="AT39" i="16"/>
  <c r="AQ46" i="18"/>
  <c r="AQ50" i="18"/>
  <c r="E24" i="17"/>
  <c r="AZ24" i="17" s="1"/>
  <c r="E45" i="17"/>
  <c r="E51" i="17" s="1"/>
  <c r="E34" i="17"/>
  <c r="E40" i="17" s="1"/>
  <c r="AZ22" i="17"/>
  <c r="AX46" i="16"/>
  <c r="AX50" i="16"/>
  <c r="I35" i="16"/>
  <c r="I39" i="16"/>
  <c r="Z35" i="18"/>
  <c r="Z39" i="18"/>
  <c r="R35" i="18"/>
  <c r="R39" i="18"/>
  <c r="AX46" i="18"/>
  <c r="AX50" i="18"/>
  <c r="M35" i="18"/>
  <c r="M39" i="18"/>
  <c r="AB35" i="16"/>
  <c r="AB39" i="16"/>
  <c r="Q46" i="18"/>
  <c r="Q50" i="18"/>
  <c r="AT50" i="16"/>
  <c r="AT46" i="16"/>
  <c r="R50" i="18"/>
  <c r="R46" i="18"/>
  <c r="AU39" i="17"/>
  <c r="AU35" i="17"/>
  <c r="AK50" i="17"/>
  <c r="AK46" i="17"/>
  <c r="AV35" i="17"/>
  <c r="AV39" i="17"/>
  <c r="E34" i="18"/>
  <c r="E40" i="18" s="1"/>
  <c r="E45" i="18"/>
  <c r="E51" i="18" s="1"/>
  <c r="E24" i="18"/>
  <c r="AZ24" i="18" s="1"/>
  <c r="AZ22" i="18"/>
  <c r="AR46" i="18"/>
  <c r="AR50" i="18"/>
  <c r="I50" i="16"/>
  <c r="I46" i="16"/>
  <c r="AB46" i="16"/>
  <c r="AB50" i="16"/>
  <c r="I50" i="17"/>
  <c r="I46" i="17"/>
  <c r="AK35" i="17"/>
  <c r="AK39" i="17"/>
  <c r="U46" i="18"/>
  <c r="U50" i="18"/>
  <c r="J35" i="18"/>
  <c r="J39" i="18"/>
  <c r="AR24" i="16"/>
  <c r="AR34" i="16"/>
  <c r="AR40" i="16" s="1"/>
  <c r="AR45" i="16"/>
  <c r="AR51" i="16" s="1"/>
  <c r="AA35" i="18"/>
  <c r="AA39" i="18"/>
  <c r="V35" i="18"/>
  <c r="V39" i="18"/>
  <c r="I30" i="17"/>
  <c r="J27" i="17"/>
  <c r="AL35" i="16"/>
  <c r="AL39" i="16"/>
  <c r="I35" i="18"/>
  <c r="I39" i="18"/>
  <c r="F50" i="18"/>
  <c r="F46" i="18"/>
  <c r="I35" i="17"/>
  <c r="I39" i="17"/>
  <c r="AF39" i="16"/>
  <c r="AF35" i="16"/>
  <c r="AG35" i="16"/>
  <c r="AG39" i="16"/>
  <c r="AR35" i="18"/>
  <c r="AR39" i="18"/>
  <c r="Y39" i="17"/>
  <c r="Y35" i="17"/>
  <c r="K50" i="17"/>
  <c r="K46" i="17"/>
  <c r="AA46" i="18"/>
  <c r="AA50" i="18"/>
  <c r="W22" i="16"/>
  <c r="W21" i="16"/>
  <c r="AJ51" i="18"/>
  <c r="AJ46" i="18"/>
  <c r="I46" i="18"/>
  <c r="I50" i="18"/>
  <c r="Z46" i="18"/>
  <c r="Z50" i="18"/>
  <c r="U35" i="18"/>
  <c r="U39" i="18"/>
  <c r="Q35" i="17"/>
  <c r="Q39" i="17"/>
  <c r="N50" i="18"/>
  <c r="N46" i="18"/>
  <c r="AP35" i="16"/>
  <c r="AP39" i="16"/>
  <c r="AV46" i="17"/>
  <c r="AV50" i="17"/>
  <c r="M46" i="18"/>
  <c r="M50" i="18"/>
  <c r="O35" i="18"/>
  <c r="H27" i="16"/>
  <c r="G30" i="16"/>
  <c r="AR23" i="16"/>
  <c r="AR44" i="16"/>
  <c r="AR33" i="16"/>
  <c r="V50" i="18"/>
  <c r="V46" i="18"/>
  <c r="Q50" i="17"/>
  <c r="Q46" i="17"/>
  <c r="AN35" i="18"/>
  <c r="N35" i="18"/>
  <c r="N39" i="18"/>
  <c r="AP50" i="16"/>
  <c r="AP46" i="16"/>
  <c r="Q35" i="16"/>
  <c r="Q39" i="16"/>
  <c r="J50" i="18"/>
  <c r="J46" i="18"/>
  <c r="AN46" i="18"/>
  <c r="O46" i="18"/>
  <c r="AJ40" i="18"/>
  <c r="AJ35" i="18"/>
  <c r="AL46" i="16"/>
  <c r="AL50" i="16"/>
  <c r="F35" i="18"/>
  <c r="F39" i="18"/>
  <c r="AF50" i="16"/>
  <c r="AF46" i="16"/>
  <c r="AG46" i="16"/>
  <c r="AG50" i="16"/>
  <c r="Y50" i="17"/>
  <c r="Y46" i="17"/>
  <c r="AW35" i="17"/>
  <c r="AW39" i="17"/>
  <c r="Q46" i="16"/>
  <c r="Q50" i="16"/>
  <c r="AR35" i="17"/>
  <c r="AR39" i="17"/>
  <c r="E46" i="18" l="1"/>
  <c r="E50" i="18"/>
  <c r="J30" i="17"/>
  <c r="K27" i="17"/>
  <c r="E35" i="18"/>
  <c r="E39" i="18"/>
  <c r="I27" i="16"/>
  <c r="H30" i="16"/>
  <c r="I27" i="18"/>
  <c r="H30" i="18"/>
  <c r="AR39" i="16"/>
  <c r="AR35" i="16"/>
  <c r="W33" i="16"/>
  <c r="W44" i="16"/>
  <c r="W23" i="16"/>
  <c r="AZ23" i="16" s="1"/>
  <c r="AZ21" i="16"/>
  <c r="E46" i="17"/>
  <c r="E50" i="17"/>
  <c r="AR46" i="16"/>
  <c r="AR50" i="16"/>
  <c r="W34" i="16"/>
  <c r="W40" i="16" s="1"/>
  <c r="W45" i="16"/>
  <c r="W51" i="16" s="1"/>
  <c r="W24" i="16"/>
  <c r="AZ24" i="16" s="1"/>
  <c r="AZ22" i="16"/>
  <c r="E39" i="17"/>
  <c r="E35" i="17"/>
  <c r="J27" i="16" l="1"/>
  <c r="I30" i="16"/>
  <c r="W50" i="16"/>
  <c r="W46" i="16"/>
  <c r="W35" i="16"/>
  <c r="W39" i="16"/>
  <c r="L27" i="17"/>
  <c r="K30" i="17"/>
  <c r="J27" i="18"/>
  <c r="I30" i="18"/>
  <c r="K27" i="18" l="1"/>
  <c r="J30" i="18"/>
  <c r="J30" i="16"/>
  <c r="K27" i="16"/>
  <c r="L30" i="17"/>
  <c r="M27" i="17"/>
  <c r="L27" i="16" l="1"/>
  <c r="K30" i="16"/>
  <c r="K30" i="18"/>
  <c r="L27" i="18"/>
  <c r="M30" i="17"/>
  <c r="N27" i="17"/>
  <c r="M27" i="18" l="1"/>
  <c r="L30" i="18"/>
  <c r="L30" i="16"/>
  <c r="M27" i="16"/>
  <c r="N30" i="17"/>
  <c r="O27" i="17"/>
  <c r="N27" i="16" l="1"/>
  <c r="M30" i="16"/>
  <c r="N27" i="18"/>
  <c r="M30" i="18"/>
  <c r="P27" i="17"/>
  <c r="O30" i="17"/>
  <c r="N30" i="18" l="1"/>
  <c r="O27" i="18"/>
  <c r="N30" i="16"/>
  <c r="O27" i="16"/>
  <c r="Q27" i="17"/>
  <c r="P30" i="17"/>
  <c r="O30" i="16" l="1"/>
  <c r="P27" i="16"/>
  <c r="O30" i="18"/>
  <c r="P27" i="18"/>
  <c r="Q30" i="17"/>
  <c r="R27" i="17"/>
  <c r="Q27" i="18" l="1"/>
  <c r="P30" i="18"/>
  <c r="Q27" i="16"/>
  <c r="P30" i="16"/>
  <c r="R30" i="17"/>
  <c r="S27" i="17"/>
  <c r="R27" i="16" l="1"/>
  <c r="Q30" i="16"/>
  <c r="R27" i="18"/>
  <c r="Q30" i="18"/>
  <c r="T27" i="17"/>
  <c r="S30" i="17"/>
  <c r="R30" i="18" l="1"/>
  <c r="S27" i="18"/>
  <c r="S27" i="16"/>
  <c r="R30" i="16"/>
  <c r="T30" i="17"/>
  <c r="U27" i="17"/>
  <c r="S30" i="16" l="1"/>
  <c r="T27" i="16"/>
  <c r="S30" i="18"/>
  <c r="T27" i="18"/>
  <c r="U30" i="17"/>
  <c r="V27" i="17"/>
  <c r="U27" i="18" l="1"/>
  <c r="T30" i="18"/>
  <c r="T30" i="16"/>
  <c r="U27" i="16"/>
  <c r="V30" i="17"/>
  <c r="W27" i="17"/>
  <c r="U30" i="16" l="1"/>
  <c r="V27" i="16"/>
  <c r="V27" i="18"/>
  <c r="U30" i="18"/>
  <c r="X27" i="17"/>
  <c r="W30" i="17"/>
  <c r="W27" i="18" l="1"/>
  <c r="V30" i="18"/>
  <c r="V30" i="16"/>
  <c r="W27" i="16"/>
  <c r="Y27" i="17"/>
  <c r="X30" i="17"/>
  <c r="W30" i="16" l="1"/>
  <c r="X27" i="16"/>
  <c r="X27" i="18"/>
  <c r="W30" i="18"/>
  <c r="Z27" i="17"/>
  <c r="Y30" i="17"/>
  <c r="Y27" i="18" l="1"/>
  <c r="X30" i="18"/>
  <c r="Y27" i="16"/>
  <c r="X30" i="16"/>
  <c r="Z30" i="17"/>
  <c r="AA27" i="17"/>
  <c r="Z27" i="16" l="1"/>
  <c r="Y30" i="16"/>
  <c r="Y30" i="18"/>
  <c r="Z27" i="18"/>
  <c r="AB27" i="17"/>
  <c r="AA30" i="17"/>
  <c r="AA27" i="18" l="1"/>
  <c r="Z30" i="18"/>
  <c r="Z30" i="16"/>
  <c r="AA27" i="16"/>
  <c r="AC27" i="17"/>
  <c r="AB30" i="17"/>
  <c r="AB27" i="16" l="1"/>
  <c r="AA30" i="16"/>
  <c r="AB27" i="18"/>
  <c r="AA30" i="18"/>
  <c r="AD27" i="17"/>
  <c r="AC30" i="17"/>
  <c r="AC27" i="18" l="1"/>
  <c r="AB30" i="18"/>
  <c r="AC27" i="16"/>
  <c r="AB30" i="16"/>
  <c r="AD30" i="17"/>
  <c r="AE27" i="17"/>
  <c r="AC30" i="16" l="1"/>
  <c r="AD27" i="16"/>
  <c r="AC30" i="18"/>
  <c r="AD27" i="18"/>
  <c r="AF27" i="17"/>
  <c r="AE30" i="17"/>
  <c r="AE27" i="18" l="1"/>
  <c r="AD30" i="18"/>
  <c r="AE27" i="16"/>
  <c r="AD30" i="16"/>
  <c r="AG27" i="17"/>
  <c r="AF30" i="17"/>
  <c r="AF27" i="16" l="1"/>
  <c r="AE30" i="16"/>
  <c r="AF27" i="18"/>
  <c r="AE30" i="18"/>
  <c r="AG30" i="17"/>
  <c r="AH27" i="17"/>
  <c r="AF30" i="18" l="1"/>
  <c r="AG27" i="18"/>
  <c r="AF30" i="16"/>
  <c r="AG27" i="16"/>
  <c r="AH30" i="17"/>
  <c r="AI27" i="17"/>
  <c r="AG30" i="16" l="1"/>
  <c r="AH27" i="16"/>
  <c r="AG30" i="18"/>
  <c r="AH27" i="18"/>
  <c r="AJ27" i="17"/>
  <c r="AI30" i="17"/>
  <c r="AI27" i="18" l="1"/>
  <c r="AH30" i="18"/>
  <c r="AI27" i="16"/>
  <c r="AH30" i="16"/>
  <c r="AK27" i="17"/>
  <c r="AJ30" i="17"/>
  <c r="AJ27" i="16" l="1"/>
  <c r="AI30" i="16"/>
  <c r="AJ27" i="18"/>
  <c r="AI30" i="18"/>
  <c r="AK30" i="17"/>
  <c r="AL27" i="17"/>
  <c r="AK27" i="18" l="1"/>
  <c r="AJ30" i="18"/>
  <c r="AJ30" i="16"/>
  <c r="AK27" i="16"/>
  <c r="AL30" i="17"/>
  <c r="AM27" i="17"/>
  <c r="AL27" i="16" l="1"/>
  <c r="AK30" i="16"/>
  <c r="AL27" i="18"/>
  <c r="AK30" i="18"/>
  <c r="AN27" i="17"/>
  <c r="AM30" i="17"/>
  <c r="AL30" i="18" l="1"/>
  <c r="AM27" i="18"/>
  <c r="AL30" i="16"/>
  <c r="AM27" i="16"/>
  <c r="AO27" i="17"/>
  <c r="AN30" i="17"/>
  <c r="AM30" i="16" l="1"/>
  <c r="AN27" i="16"/>
  <c r="AN27" i="18"/>
  <c r="AM30" i="18"/>
  <c r="AP27" i="17"/>
  <c r="AO30" i="17"/>
  <c r="AO27" i="18" l="1"/>
  <c r="AN30" i="18"/>
  <c r="AN30" i="16"/>
  <c r="AO27" i="16"/>
  <c r="AP30" i="17"/>
  <c r="AQ27" i="17"/>
  <c r="AP27" i="16" l="1"/>
  <c r="AO30" i="16"/>
  <c r="AO30" i="18"/>
  <c r="AP27" i="18"/>
  <c r="AR27" i="17"/>
  <c r="AQ30" i="17"/>
  <c r="AQ27" i="18" l="1"/>
  <c r="AP30" i="18"/>
  <c r="AQ27" i="16"/>
  <c r="AP30" i="16"/>
  <c r="AR30" i="17"/>
  <c r="AS27" i="17"/>
  <c r="AQ30" i="16" l="1"/>
  <c r="AR27" i="16"/>
  <c r="AR27" i="18"/>
  <c r="AQ30" i="18"/>
  <c r="AS30" i="17"/>
  <c r="AT27" i="17"/>
  <c r="AS27" i="18" l="1"/>
  <c r="AR30" i="18"/>
  <c r="AR30" i="16"/>
  <c r="AS27" i="16"/>
  <c r="AT30" i="17"/>
  <c r="AU27" i="17"/>
  <c r="AT27" i="16" l="1"/>
  <c r="AS30" i="16"/>
  <c r="AT27" i="18"/>
  <c r="AS30" i="18"/>
  <c r="AU30" i="17"/>
  <c r="AV27" i="17"/>
  <c r="AU27" i="18" l="1"/>
  <c r="AT30" i="18"/>
  <c r="AU27" i="16"/>
  <c r="AT30" i="16"/>
  <c r="AW27" i="17"/>
  <c r="AV30" i="17"/>
  <c r="AU30" i="16" l="1"/>
  <c r="AV27" i="16"/>
  <c r="AV27" i="18"/>
  <c r="AU30" i="18"/>
  <c r="AX27" i="17"/>
  <c r="AW30" i="17"/>
  <c r="AX30" i="17" l="1"/>
  <c r="AY27" i="17"/>
  <c r="AY30" i="17" s="1"/>
  <c r="AZ30" i="17" s="1"/>
  <c r="AW27" i="18"/>
  <c r="AV30" i="18"/>
  <c r="AV30" i="16"/>
  <c r="AW27" i="16"/>
  <c r="AW30" i="18" l="1"/>
  <c r="AX27" i="18"/>
  <c r="AX27" i="16"/>
  <c r="AW30" i="16"/>
  <c r="AY27" i="16" l="1"/>
  <c r="AY30" i="16" s="1"/>
  <c r="AX30" i="16"/>
  <c r="AX30" i="18"/>
  <c r="AY27" i="18"/>
  <c r="AY30" i="18" s="1"/>
  <c r="AZ30" i="18" s="1"/>
  <c r="AZ30" i="16" l="1"/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 s="1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<sst xmlns="http://schemas.openxmlformats.org/spreadsheetml/2006/main" count="2533" uniqueCount="414">
  <si>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</si>
  <si>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</si>
  <si>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</si>
  <si>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</si>
  <si>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</si>
  <si>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</si>
  <si>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</si>
  <si>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</si>
  <si>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</si>
  <si>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</si>
  <si>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</si>
  <si>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</si>
  <si>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</si>
  <si>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</si>
  <si>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</si>
  <si>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</si>
  <si>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</si>
  <si>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</si>
  <si>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</si>
  <si>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</si>
  <si>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</si>
  <si>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</si>
  <si>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</si>
  <si>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</si>
  <si>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</si>
  <si>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</si>
  <si>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</si>
  <si>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</si>
  <si>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</si>
  <si>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</si>
  <si>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</si>
  <si>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</si>
  <si>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</si>
  <si>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</si>
  <si>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</si>
  <si>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</si>
  <si>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</si>
  <si>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</si>
  <si>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</si>
  <si>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</si>
  <si>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</si>
  <si>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</si>
  <si>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</si>
  <si>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</si>
  <si>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</si>
  <si>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</si>
  <si>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</si>
  <si>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</si>
  <si>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</si>
  <si>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</si>
  <si>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</si>
  <si>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</si>
  <si>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</si>
  <si>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</si>
  <si>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</si>
  <si>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</si>
  <si>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</si>
  <si>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</si>
  <si>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</si>
  <si>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</si>
  <si>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</si>
  <si>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</si>
  <si>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</si>
  <si>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</si>
  <si>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</si>
  <si>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</si>
  <si>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</si>
  <si>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</si>
  <si>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</si>
  <si>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</si>
  <si>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</si>
  <si>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</si>
  <si>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</si>
  <si>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</si>
  <si>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</si>
  <si>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</si>
  <si>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</si>
  <si>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</si>
  <si>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</si>
  <si>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</si>
  <si>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</si>
  <si>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</si>
  <si>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</si>
  <si>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</si>
  <si>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</si>
  <si>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</si>
  <si>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</si>
  <si>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</si>
  <si>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</si>
  <si>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</si>
  <si>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</si>
  <si>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</si>
  <si>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</si>
  <si>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</si>
  <si>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</si>
  <si>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</si>
  <si>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</si>
  <si>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</si>
  <si>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</si>
  <si>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</si>
  <si>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</si>
  <si>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</si>
  <si>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</si>
  <si>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</si>
  <si>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</si>
  <si>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</si>
  <si>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</si>
  <si>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</si>
  <si>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</si>
  <si>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</si>
  <si>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</si>
  <si>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</si>
  <si>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</si>
  <si>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</si>
  <si>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</si>
  <si>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</si>
  <si>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</si>
  <si>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</si>
  <si>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</si>
  <si>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</si>
  <si>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</si>
  <si>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</si>
  <si>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</si>
  <si>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</si>
  <si>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</si>
  <si>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</si>
  <si>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</si>
  <si>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</si>
  <si>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</si>
  <si>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</si>
  <si>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</si>
  <si>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</si>
  <si>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</si>
  <si>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</si>
  <si>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</si>
  <si>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</si>
  <si>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</si>
  <si>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</si>
  <si>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</si>
  <si>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</si>
  <si>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</si>
  <si>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</si>
  <si>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</si>
  <si>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</si>
  <si>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</si>
  <si>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</si>
  <si>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</si>
  <si>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</si>
  <si>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</si>
  <si>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</si>
  <si>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</si>
  <si>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</si>
  <si>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</si>
  <si>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</si>
  <si>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</si>
  <si>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</si>
  <si>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</si>
  <si>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</si>
  <si>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</si>
  <si>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</si>
  <si>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</si>
  <si>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</si>
  <si>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</si>
  <si>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</si>
  <si>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</si>
  <si>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</si>
  <si>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</si>
  <si>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</si>
  <si>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</si>
  <si>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</si>
  <si>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</si>
  <si>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</si>
  <si>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</si>
  <si>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</si>
  <si>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</si>
  <si>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</si>
  <si>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</si>
  <si>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</si>
  <si>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</si>
  <si>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</si>
  <si>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</si>
  <si>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</si>
  <si>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</si>
  <si>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</si>
  <si>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</si>
  <si>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</si>
  <si>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</si>
  <si>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</si>
  <si>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</si>
  <si>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</si>
  <si>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</si>
  <si>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</si>
  <si>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</si>
  <si>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</si>
  <si>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</si>
  <si>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</si>
  <si>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</si>
  <si>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</si>
  <si>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</si>
  <si>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</si>
  <si>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</si>
  <si>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</si>
  <si>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</si>
  <si>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</si>
  <si>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</si>
  <si>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</si>
  <si>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</si>
  <si>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</si>
  <si>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</si>
  <si>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</si>
  <si>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</si>
  <si>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</si>
  <si>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</si>
  <si>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</si>
  <si>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</si>
  <si>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</si>
  <si>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</si>
  <si>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</si>
  <si>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</si>
  <si>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</si>
  <si>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</si>
  <si>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</si>
  <si>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</si>
  <si>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</si>
  <si>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</si>
  <si>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</si>
  <si>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</si>
  <si>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</si>
  <si>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</si>
  <si>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</si>
  <si>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</si>
  <si>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</si>
  <si>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</si>
  <si>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</si>
  <si>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</si>
  <si>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</si>
  <si>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</si>
  <si>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</si>
  <si>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</si>
  <si>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</si>
  <si>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</si>
  <si>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</si>
  <si>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</si>
  <si>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</si>
  <si>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</si>
  <si>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</si>
  <si>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</si>
  <si>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</si>
  <si>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</si>
  <si>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</si>
  <si>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</si>
  <si>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</si>
  <si>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</si>
  <si>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</si>
  <si>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</si>
  <si>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</si>
  <si>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</si>
  <si>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</si>
  <si>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</si>
  <si>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</si>
  <si>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</si>
  <si>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</si>
  <si>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</si>
  <si>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</si>
  <si>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</si>
  <si>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</si>
  <si>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</si>
  <si>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</si>
  <si>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</si>
  <si>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</si>
  <si>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</si>
  <si>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</si>
  <si>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</si>
  <si>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</si>
  <si>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</si>
  <si>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</si>
  <si>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</si>
  <si>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</si>
  <si>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</si>
  <si>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</si>
  <si>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</si>
  <si>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</si>
  <si>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</si>
  <si>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</si>
  <si>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</si>
  <si>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</si>
  <si>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</si>
  <si>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</si>
  <si>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</si>
  <si>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</si>
  <si>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</si>
  <si>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</si>
  <si>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</si>
  <si>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</si>
  <si>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</si>
  <si>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</si>
  <si>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</si>
  <si>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</si>
  <si>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</si>
  <si>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</si>
  <si>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</si>
  <si>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</si>
  <si>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</si>
  <si>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</si>
  <si>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</si>
  <si>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</si>
  <si>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</si>
  <si>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</si>
  <si>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</si>
  <si>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</si>
  <si>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</si>
  <si>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</si>
  <si>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</si>
  <si>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Yes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</si>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</sst>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16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5" borderId="0" xfId="0" applyFill="1"/>
    <xf numFmtId="0" fontId="0" fillId="0" borderId="0" xfId="0" applyFill="1"/>
    <xf numFmtId="0" fontId="2" fillId="0" borderId="0" xfId="0" applyFont="1"/>
    <xf numFmtId="0" fontId="2" fillId="0" borderId="0" xfId="0" applyFont="1" applyFill="1"/>
    <xf numFmtId="0" fontId="0" fillId="6" borderId="0" xfId="0" applyFill="1"/>
    <xf numFmtId="0" fontId="0" fillId="0" borderId="0" xfId="0" applyFill="1" applyBorder="1"/>
    <xf numFmtId="0" fontId="0" fillId="0" borderId="5" xfId="0" applyBorder="1"/>
    <xf numFmtId="0" fontId="0" fillId="0" borderId="11" xfId="0" applyBorder="1"/>
    <xf numFmtId="0" fontId="0" fillId="0" borderId="6" xfId="0" applyBorder="1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right"/>
    </xf>
    <xf numFmtId="0" fontId="0" fillId="0" borderId="8" xfId="0" applyFill="1" applyBorder="1"/>
    <xf numFmtId="0" fontId="0" fillId="5" borderId="13" xfId="0" applyFill="1" applyBorder="1" applyAlignment="1">
      <alignment horizontal="right"/>
    </xf>
    <xf numFmtId="0" fontId="0" fillId="7" borderId="8" xfId="0" applyFill="1" applyBorder="1"/>
    <xf numFmtId="0" fontId="0" fillId="0" borderId="13" xfId="0" applyBorder="1"/>
    <xf numFmtId="0" fontId="0" fillId="5" borderId="0" xfId="0" applyFill="1" applyAlignment="1">
      <alignment horizontal="right"/>
    </xf>
    <xf numFmtId="0" fontId="0" fillId="7" borderId="0" xfId="0" applyFill="1" applyBorder="1"/>
    <xf numFmtId="0" fontId="0" fillId="2" borderId="0" xfId="0" applyFill="1" applyBorder="1"/>
    <xf numFmtId="0" fontId="0" fillId="7" borderId="13" xfId="0" applyFill="1" applyBorder="1"/>
    <xf numFmtId="0" fontId="0" fillId="5" borderId="9" xfId="0" applyFill="1" applyBorder="1" applyAlignment="1">
      <alignment horizontal="right"/>
    </xf>
    <xf numFmtId="0" fontId="0" fillId="7" borderId="9" xfId="0" applyFill="1" applyBorder="1"/>
    <xf numFmtId="0" fontId="0" fillId="0" borderId="9" xfId="0" applyBorder="1"/>
    <xf numFmtId="0" fontId="0" fillId="0" borderId="8" xfId="0" applyBorder="1"/>
    <xf numFmtId="0" fontId="0" fillId="5" borderId="1" xfId="0" applyFill="1" applyBorder="1" applyAlignment="1">
      <alignment horizontal="right"/>
    </xf>
    <xf numFmtId="0" fontId="0" fillId="3" borderId="0" xfId="0" applyFill="1" applyBorder="1"/>
    <xf numFmtId="0" fontId="0" fillId="0" borderId="3" xfId="0" applyBorder="1"/>
    <xf numFmtId="0" fontId="0" fillId="8" borderId="8" xfId="0" applyFill="1" applyBorder="1"/>
    <xf numFmtId="0" fontId="0" fillId="8" borderId="0" xfId="0" applyFill="1" applyBorder="1"/>
    <xf numFmtId="0" fontId="0" fillId="5" borderId="6" xfId="0" applyFill="1" applyBorder="1" applyAlignment="1">
      <alignment horizontal="right"/>
    </xf>
    <xf numFmtId="0" fontId="0" fillId="9" borderId="8" xfId="0" applyFill="1" applyBorder="1" applyAlignment="1">
      <alignment horizontal="right"/>
    </xf>
    <xf numFmtId="0" fontId="0" fillId="5" borderId="13" xfId="0" applyFill="1" applyBorder="1"/>
    <xf numFmtId="10" fontId="0" fillId="0" borderId="13" xfId="0" applyNumberFormat="1" applyBorder="1"/>
    <xf numFmtId="0" fontId="0" fillId="5" borderId="9" xfId="0" applyFill="1" applyBorder="1"/>
    <xf numFmtId="0" fontId="0" fillId="5" borderId="8" xfId="0" applyFill="1" applyBorder="1"/>
    <xf numFmtId="0" fontId="0" fillId="6" borderId="9" xfId="0" applyFill="1" applyBorder="1"/>
    <xf numFmtId="0" fontId="0" fillId="0" borderId="9" xfId="0" applyFill="1" applyBorder="1"/>
    <xf numFmtId="0" fontId="0" fillId="0" borderId="10" xfId="0" applyFill="1" applyBorder="1"/>
    <xf numFmtId="0" fontId="0" fillId="6" borderId="8" xfId="0" applyFill="1" applyBorder="1"/>
    <xf numFmtId="0" fontId="0" fillId="0" borderId="15" xfId="0" applyFill="1" applyBorder="1"/>
    <xf numFmtId="0" fontId="0" fillId="0" borderId="0" xfId="0" applyFill="1" applyBorder="1" applyAlignment="1">
      <alignment horizontal="left"/>
    </xf>
    <xf numFmtId="0" fontId="0" fillId="7" borderId="13" xfId="0" applyFill="1" applyBorder="1" applyAlignment="1">
      <alignment horizontal="right"/>
    </xf>
    <xf numFmtId="0" fontId="0" fillId="0" borderId="13" xfId="0" applyFill="1" applyBorder="1"/>
    <xf numFmtId="0" fontId="4" fillId="0" borderId="9" xfId="0" applyFont="1" applyFill="1" applyBorder="1"/>
    <xf numFmtId="0" fontId="4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4" fillId="0" borderId="0" xfId="0" applyFont="1" applyFill="1" applyBorder="1" applyAlignment="1"/>
    <xf numFmtId="0" fontId="4" fillId="5" borderId="13" xfId="0" applyFont="1" applyFill="1" applyBorder="1" applyAlignment="1">
      <alignment horizontal="right"/>
    </xf>
    <xf numFmtId="0" fontId="4" fillId="7" borderId="13" xfId="0" applyFont="1" applyFill="1" applyBorder="1" applyAlignment="1"/>
    <xf numFmtId="0" fontId="0" fillId="0" borderId="5" xfId="0" applyFill="1" applyBorder="1"/>
    <xf numFmtId="0" fontId="1" fillId="0" borderId="0" xfId="0" applyFont="1" applyBorder="1"/>
    <xf numFmtId="0" fontId="0" fillId="0" borderId="9" xfId="0" applyFill="1" applyBorder="1" applyAlignment="1">
      <alignment horizontal="right"/>
    </xf>
    <xf numFmtId="10" fontId="0" fillId="5" borderId="13" xfId="0" applyNumberFormat="1" applyFill="1" applyBorder="1"/>
    <xf numFmtId="0" fontId="0" fillId="5" borderId="0" xfId="0" applyFill="1" applyBorder="1" applyAlignment="1">
      <alignment horizontal="right"/>
    </xf>
    <xf numFmtId="10" fontId="0" fillId="0" borderId="0" xfId="0" applyNumberFormat="1" applyFill="1" applyBorder="1"/>
    <xf numFmtId="0" fontId="0" fillId="0" borderId="12" xfId="0" applyFill="1" applyBorder="1"/>
    <xf numFmtId="0" fontId="0" fillId="5" borderId="8" xfId="0" applyFill="1" applyBorder="1" applyAlignment="1">
      <alignment horizontal="right"/>
    </xf>
    <xf numFmtId="10" fontId="0" fillId="0" borderId="8" xfId="0" applyNumberFormat="1" applyFill="1" applyBorder="1"/>
    <xf numFmtId="0" fontId="0" fillId="6" borderId="9" xfId="0" applyFill="1" applyBorder="1" applyAlignment="1">
      <alignment horizontal="right"/>
    </xf>
    <xf numFmtId="0" fontId="0" fillId="6" borderId="8" xfId="0" applyFill="1" applyBorder="1" applyAlignment="1">
      <alignment horizontal="right"/>
    </xf>
    <xf numFmtId="0" fontId="0" fillId="0" borderId="8" xfId="0" applyNumberFormat="1" applyFill="1" applyBorder="1"/>
    <xf numFmtId="0" fontId="1" fillId="0" borderId="0" xfId="0" applyFont="1" applyFill="1" applyBorder="1" applyAlignment="1"/>
    <xf numFmtId="0" fontId="0" fillId="0" borderId="2" xfId="0" applyBorder="1"/>
    <xf numFmtId="0" fontId="0" fillId="5" borderId="0" xfId="0" applyFill="1" applyBorder="1"/>
    <xf numFmtId="0" fontId="0" fillId="0" borderId="7" xfId="0" applyBorder="1"/>
    <xf numFmtId="0" fontId="0" fillId="0" borderId="4" xfId="0" applyBorder="1"/>
    <xf numFmtId="0" fontId="0" fillId="0" borderId="3" xfId="0" applyFill="1" applyBorder="1"/>
    <xf numFmtId="0" fontId="0" fillId="6" borderId="13" xfId="0" applyFill="1" applyBorder="1" applyAlignment="1">
      <alignment horizontal="right"/>
    </xf>
    <xf numFmtId="0" fontId="0" fillId="10" borderId="0" xfId="0" applyFill="1"/>
    <xf numFmtId="0" fontId="4" fillId="10" borderId="0" xfId="0" applyFont="1" applyFill="1"/>
    <xf numFmtId="0" fontId="4" fillId="0" borderId="0" xfId="0" applyFont="1" applyFill="1"/>
    <xf numFmtId="0" fontId="4" fillId="5" borderId="0" xfId="0" applyFont="1" applyFill="1"/>
    <xf numFmtId="0" fontId="0" fillId="6" borderId="0" xfId="0" applyNumberFormat="1" applyFill="1" applyAlignment="1"/>
    <xf numFmtId="0" fontId="0" fillId="0" borderId="0" xfId="0" applyAlignment="1">
      <alignment horizontal="right"/>
    </xf>
    <xf numFmtId="0" fontId="0" fillId="6" borderId="0" xfId="0" applyFill="1" applyBorder="1"/>
    <xf numFmtId="0" fontId="0" fillId="0" borderId="0" xfId="0" applyNumberFormat="1"/>
    <xf numFmtId="0" fontId="7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NumberFormat="1" applyFont="1" applyAlignment="1">
      <alignment horizontal="left"/>
    </xf>
    <xf numFmtId="1" fontId="0" fillId="0" borderId="10" xfId="0" applyNumberFormat="1" applyBorder="1"/>
    <xf numFmtId="164" fontId="0" fillId="0" borderId="10" xfId="0" applyNumberFormat="1" applyBorder="1"/>
    <xf numFmtId="1" fontId="0" fillId="0" borderId="12" xfId="0" applyNumberFormat="1" applyBorder="1"/>
    <xf numFmtId="164" fontId="0" fillId="0" borderId="12" xfId="0" applyNumberFormat="1" applyBorder="1"/>
    <xf numFmtId="1" fontId="0" fillId="0" borderId="15" xfId="0" applyNumberFormat="1" applyBorder="1"/>
    <xf numFmtId="164" fontId="0" fillId="0" borderId="15" xfId="0" applyNumberFormat="1" applyBorder="1"/>
    <xf numFmtId="164" fontId="0" fillId="0" borderId="13" xfId="0" applyNumberFormat="1" applyBorder="1"/>
    <xf numFmtId="1" fontId="0" fillId="0" borderId="5" xfId="0" applyNumberFormat="1" applyBorder="1"/>
    <xf numFmtId="1" fontId="0" fillId="0" borderId="10" xfId="0" applyNumberFormat="1" applyFill="1" applyBorder="1"/>
    <xf numFmtId="1" fontId="0" fillId="0" borderId="12" xfId="0" applyNumberFormat="1" applyFill="1" applyBorder="1"/>
    <xf numFmtId="1" fontId="0" fillId="0" borderId="15" xfId="0" applyNumberFormat="1" applyFill="1" applyBorder="1"/>
    <xf numFmtId="0" fontId="0" fillId="0" borderId="9" xfId="0" applyBorder="1" applyAlignment="1">
      <alignment horizontal="right"/>
    </xf>
    <xf numFmtId="164" fontId="0" fillId="0" borderId="0" xfId="0" applyNumberFormat="1"/>
    <xf numFmtId="0" fontId="13" fillId="0" borderId="0" xfId="0" applyFont="1"/>
    <xf numFmtId="164" fontId="0" fillId="0" borderId="27" xfId="0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112" t="s">
        <v>165</v>
      </c>
      <c r="E4" s="113"/>
      <c r="F4" s="114"/>
    </row>
    <row r="5" spans="2:6" x14ac:dyDescent="0.2">
      <c r="B5" s="6"/>
      <c r="C5" s="7" t="s">
        <v>111</v>
      </c>
      <c r="D5" s="115">
        <v>2013</v>
      </c>
      <c r="E5" s="116"/>
      <c r="F5" s="117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338</v>
      </c>
      <c r="D8">
        <v>2</v>
      </c>
      <c r="E8" t="s">
        <v>339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/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345</v>
      </c>
      <c r="E6" s="15" t="s">
        <v>166</v>
      </c>
      <c r="F6" s="15" t="s">
        <v>6</v>
      </c>
      <c r="G6" s="15">
        <f t="shared" ref="G6:G15" si="0">$D6+$C6</f>
        <v>345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/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11</v>
      </c>
      <c r="E21" s="15"/>
      <c r="F21" s="15" t="s">
        <v>6</v>
      </c>
      <c r="G21" s="15">
        <f t="shared" ref="G21:G30" si="2">$D21+$C21</f>
        <v>11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53</v>
      </c>
      <c r="E27" s="15"/>
      <c r="F27" s="15" t="s">
        <v>6</v>
      </c>
      <c r="G27" s="15">
        <f t="shared" si="2"/>
        <v>53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86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91">
        <v>6000</v>
      </c>
      <c r="D39" s="14">
        <v>40000</v>
      </c>
      <c r="E39" s="15" t="s">
        <v>166</v>
      </c>
      <c r="F39" s="15" t="s">
        <v>6</v>
      </c>
      <c r="G39" s="15">
        <f t="shared" si="3"/>
        <v>46000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92">
        <v>3000</v>
      </c>
      <c r="D76" s="15">
        <v>43000</v>
      </c>
      <c r="E76" s="15" t="s">
        <v>166</v>
      </c>
      <c r="F76" s="15" t="s">
        <v>6</v>
      </c>
      <c r="G76" s="15">
        <f t="shared" si="5"/>
        <v>46000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/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93">
        <v>1533.01321260953</v>
      </c>
      <c r="D6" s="94">
        <v>1533.0132126095332</v>
      </c>
      <c r="E6" s="94">
        <v>1533.0132126095332</v>
      </c>
      <c r="F6" s="94">
        <v>1533.0132126095332</v>
      </c>
      <c r="G6" s="94">
        <v>1533.0132126095332</v>
      </c>
      <c r="H6" s="94">
        <v>1533.0132126095332</v>
      </c>
      <c r="I6" s="94">
        <v>1533.0132126095332</v>
      </c>
      <c r="J6" s="94">
        <v>1533.0132126095332</v>
      </c>
      <c r="K6" s="94">
        <v>1533.0132126095332</v>
      </c>
      <c r="L6" s="94">
        <v>1533.0132126095332</v>
      </c>
      <c r="M6" s="94">
        <v>1533.0132126095332</v>
      </c>
      <c r="N6" s="94">
        <v>1533.0132126095332</v>
      </c>
    </row>
    <row r="7" spans="2:14" x14ac:dyDescent="0.2">
      <c r="B7" s="36" t="s">
        <v>105</v>
      </c>
      <c r="C7" s="95">
        <v>1773.4978209017493</v>
      </c>
      <c r="D7" s="96">
        <v>1773.4978209017493</v>
      </c>
      <c r="E7" s="96">
        <v>1773.4978209017493</v>
      </c>
      <c r="F7" s="96">
        <v>1773.4978209017493</v>
      </c>
      <c r="G7" s="96">
        <v>1773.4978209017493</v>
      </c>
      <c r="H7" s="96">
        <v>1773.4978209017493</v>
      </c>
      <c r="I7" s="96">
        <v>1773.4978209017493</v>
      </c>
      <c r="J7" s="96">
        <v>1773.4978209017493</v>
      </c>
      <c r="K7" s="96">
        <v>1773.4978209017493</v>
      </c>
      <c r="L7" s="96">
        <v>1773.4978209017493</v>
      </c>
      <c r="M7" s="96">
        <v>1773.4978209017493</v>
      </c>
      <c r="N7" s="96">
        <v>1773.4978209017493</v>
      </c>
    </row>
    <row r="8" spans="2:14" x14ac:dyDescent="0.2">
      <c r="B8" s="36" t="s">
        <v>106</v>
      </c>
      <c r="C8" s="95">
        <v>1492.7924366725895</v>
      </c>
      <c r="D8" s="96">
        <v>1492.7924366725895</v>
      </c>
      <c r="E8" s="96">
        <v>1492.7924366725895</v>
      </c>
      <c r="F8" s="96">
        <v>1492.7924366725895</v>
      </c>
      <c r="G8" s="96">
        <v>1492.7924366725895</v>
      </c>
      <c r="H8" s="96">
        <v>1492.7924366725895</v>
      </c>
      <c r="I8" s="96">
        <v>1492.7924366725895</v>
      </c>
      <c r="J8" s="96">
        <v>1492.7924366725895</v>
      </c>
      <c r="K8" s="96">
        <v>1492.7924366725895</v>
      </c>
      <c r="L8" s="96">
        <v>1492.7924366725895</v>
      </c>
      <c r="M8" s="96">
        <v>1492.7924366725895</v>
      </c>
      <c r="N8" s="96">
        <v>1492.7924366725895</v>
      </c>
    </row>
    <row r="9" spans="2:14" x14ac:dyDescent="0.2">
      <c r="B9" s="36" t="s">
        <v>107</v>
      </c>
      <c r="C9" s="95">
        <v>1533.0132126095332</v>
      </c>
      <c r="D9" s="96">
        <v>1533.0132126095332</v>
      </c>
      <c r="E9" s="96">
        <v>1533.0132126095332</v>
      </c>
      <c r="F9" s="96">
        <v>1533.0132126095332</v>
      </c>
      <c r="G9" s="96">
        <v>1533.0132126095332</v>
      </c>
      <c r="H9" s="96">
        <v>1533.0132126095332</v>
      </c>
      <c r="I9" s="96">
        <v>1533.0132126095332</v>
      </c>
      <c r="J9" s="96">
        <v>1533.0132126095332</v>
      </c>
      <c r="K9" s="96">
        <v>1533.0132126095332</v>
      </c>
      <c r="L9" s="96">
        <v>1533.0132126095332</v>
      </c>
      <c r="M9" s="96">
        <v>1533.0132126095332</v>
      </c>
      <c r="N9" s="96">
        <v>1533.0132126095332</v>
      </c>
    </row>
    <row r="10" spans="2:14" x14ac:dyDescent="0.2">
      <c r="B10" s="36" t="s">
        <v>108</v>
      </c>
      <c r="C10" s="95">
        <v>1773.4978209017493</v>
      </c>
      <c r="D10" s="96">
        <v>1773.4978209017493</v>
      </c>
      <c r="E10" s="96">
        <v>1773.4978209017493</v>
      </c>
      <c r="F10" s="96">
        <v>1773.4978209017493</v>
      </c>
      <c r="G10" s="96">
        <v>1773.4978209017493</v>
      </c>
      <c r="H10" s="96">
        <v>1773.4978209017493</v>
      </c>
      <c r="I10" s="96">
        <v>1773.4978209017493</v>
      </c>
      <c r="J10" s="96">
        <v>1773.4978209017493</v>
      </c>
      <c r="K10" s="96">
        <v>1773.4978209017493</v>
      </c>
      <c r="L10" s="96">
        <v>1773.4978209017493</v>
      </c>
      <c r="M10" s="96">
        <v>1773.4978209017493</v>
      </c>
      <c r="N10" s="96">
        <v>1773.4978209017493</v>
      </c>
    </row>
    <row r="11" spans="2:14" x14ac:dyDescent="0.2">
      <c r="B11" s="37" t="s">
        <v>109</v>
      </c>
      <c r="C11" s="95">
        <v>1492.7924366725895</v>
      </c>
      <c r="D11" s="96">
        <v>1492.7924366725895</v>
      </c>
      <c r="E11" s="96">
        <v>1492.7924366725895</v>
      </c>
      <c r="F11" s="96">
        <v>1492.7924366725895</v>
      </c>
      <c r="G11" s="96">
        <v>1492.7924366725895</v>
      </c>
      <c r="H11" s="96">
        <v>1492.7924366725895</v>
      </c>
      <c r="I11" s="96">
        <v>1492.7924366725895</v>
      </c>
      <c r="J11" s="96">
        <v>1492.7924366725895</v>
      </c>
      <c r="K11" s="96">
        <v>1492.7924366725895</v>
      </c>
      <c r="L11" s="96">
        <v>1492.7924366725895</v>
      </c>
      <c r="M11" s="96">
        <v>1492.7924366725895</v>
      </c>
      <c r="N11" s="96">
        <v>1492.7924366725895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7">
        <v>1</v>
      </c>
      <c r="D17" s="97">
        <v>1</v>
      </c>
      <c r="E17" s="97">
        <v>1</v>
      </c>
      <c r="F17" s="97">
        <v>5</v>
      </c>
      <c r="G17" s="97">
        <v>1</v>
      </c>
      <c r="H17" s="97">
        <v>10</v>
      </c>
      <c r="I17" s="29" t="s">
        <v>110</v>
      </c>
    </row>
    <row r="18" spans="2:33" x14ac:dyDescent="0.2">
      <c r="B18" s="36" t="s">
        <v>105</v>
      </c>
      <c r="C18" s="98">
        <v>1</v>
      </c>
      <c r="D18" s="98">
        <v>1</v>
      </c>
      <c r="E18" s="98">
        <v>1</v>
      </c>
      <c r="F18" s="98">
        <v>5</v>
      </c>
      <c r="G18" s="98">
        <v>1</v>
      </c>
      <c r="H18" s="98">
        <v>10</v>
      </c>
      <c r="I18" s="29" t="s">
        <v>110</v>
      </c>
    </row>
    <row r="19" spans="2:33" x14ac:dyDescent="0.2">
      <c r="B19" s="36" t="s">
        <v>106</v>
      </c>
      <c r="C19" s="98">
        <v>1</v>
      </c>
      <c r="D19" s="98">
        <v>1</v>
      </c>
      <c r="E19" s="98">
        <v>1</v>
      </c>
      <c r="F19" s="98">
        <v>5</v>
      </c>
      <c r="G19" s="98">
        <v>1</v>
      </c>
      <c r="H19" s="98">
        <v>10</v>
      </c>
      <c r="I19" s="29" t="s">
        <v>110</v>
      </c>
    </row>
    <row r="20" spans="2:33" x14ac:dyDescent="0.2">
      <c r="B20" s="36" t="s">
        <v>107</v>
      </c>
      <c r="C20" s="98">
        <v>1</v>
      </c>
      <c r="D20" s="98">
        <v>1</v>
      </c>
      <c r="E20" s="98">
        <v>1</v>
      </c>
      <c r="F20" s="98">
        <v>5</v>
      </c>
      <c r="G20" s="98">
        <v>1</v>
      </c>
      <c r="H20" s="98">
        <v>10</v>
      </c>
    </row>
    <row r="21" spans="2:33" x14ac:dyDescent="0.2">
      <c r="B21" s="36" t="s">
        <v>108</v>
      </c>
      <c r="C21" s="98">
        <v>1</v>
      </c>
      <c r="D21" s="98">
        <v>1</v>
      </c>
      <c r="E21" s="98">
        <v>1</v>
      </c>
      <c r="F21" s="98">
        <v>5</v>
      </c>
      <c r="G21" s="98">
        <v>1</v>
      </c>
      <c r="H21" s="98">
        <v>10</v>
      </c>
    </row>
    <row r="22" spans="2:33" x14ac:dyDescent="0.2">
      <c r="B22" s="37" t="s">
        <v>109</v>
      </c>
      <c r="C22" s="98">
        <v>1</v>
      </c>
      <c r="D22" s="98">
        <v>1</v>
      </c>
      <c r="E22" s="98">
        <v>1</v>
      </c>
      <c r="F22" s="98">
        <v>5</v>
      </c>
      <c r="G22" s="98">
        <v>1</v>
      </c>
      <c r="H22" s="98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2008</v>
      </c>
      <c r="E28" s="49"/>
      <c r="F28" s="45">
        <f>basic_info!$D$5-4</f>
        <v>2009</v>
      </c>
      <c r="G28" s="49"/>
      <c r="H28" s="45">
        <f>basic_info!$D$5-3</f>
        <v>2010</v>
      </c>
      <c r="I28" s="49"/>
      <c r="J28" s="45">
        <f>basic_info!$D$5-2</f>
        <v>2011</v>
      </c>
      <c r="K28" s="49"/>
      <c r="L28" s="45">
        <f>basic_info!$D$5-1</f>
        <v>2012</v>
      </c>
      <c r="N28" s="45">
        <f>basic_info!$D$5</f>
        <v>2013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2013</v>
      </c>
      <c r="D30" s="44">
        <v>0.72473765751123431</v>
      </c>
      <c r="E30" s="35">
        <v>100000</v>
      </c>
      <c r="F30" s="47">
        <v>0.71441382370859263</v>
      </c>
      <c r="G30" s="46"/>
      <c r="H30" s="47">
        <v>0.69091416758853352</v>
      </c>
      <c r="I30" s="46"/>
      <c r="J30" s="47">
        <v>0.75192074042674273</v>
      </c>
      <c r="K30" s="46"/>
      <c r="L30" s="47">
        <v>0.91028405278760516</v>
      </c>
      <c r="M30" s="46"/>
      <c r="N30" s="60"/>
      <c r="O30" s="71" t="s">
        <v>162</v>
      </c>
      <c r="P30" s="41">
        <f>M30+K30+I30+E30+G30</f>
        <v>100000</v>
      </c>
      <c r="Q30" s="70"/>
    </row>
    <row r="31" spans="2:33" x14ac:dyDescent="0.2">
      <c r="B31" s="36"/>
      <c r="C31" s="47">
        <f>basic_info!$D$5+1</f>
        <v>2014</v>
      </c>
      <c r="D31" s="76"/>
      <c r="E31" s="75"/>
      <c r="F31" s="69">
        <v>0.67398288510441784</v>
      </c>
      <c r="G31" s="79">
        <v>300000</v>
      </c>
      <c r="H31" s="61">
        <v>0.7025784495475329</v>
      </c>
      <c r="I31" s="62"/>
      <c r="J31" s="61">
        <v>0.75974471053693216</v>
      </c>
      <c r="K31" s="62"/>
      <c r="L31" s="61">
        <v>0.84022986680849976</v>
      </c>
      <c r="M31" s="62"/>
      <c r="N31" s="63">
        <v>0.83823708022259424</v>
      </c>
      <c r="O31" s="86"/>
      <c r="P31" s="63">
        <f>O31+M31+K31+I31+G31</f>
        <v>300000</v>
      </c>
    </row>
    <row r="32" spans="2:33" x14ac:dyDescent="0.2">
      <c r="B32" s="36"/>
      <c r="C32" s="47">
        <f>basic_info!$D$5+2</f>
        <v>2015</v>
      </c>
      <c r="D32" s="76"/>
      <c r="E32" s="75"/>
      <c r="F32" s="75"/>
      <c r="G32" s="75"/>
      <c r="H32" s="69">
        <v>0.71552384896278387</v>
      </c>
      <c r="I32" s="79"/>
      <c r="J32" s="61">
        <v>0.73352858177408109</v>
      </c>
      <c r="K32" s="62"/>
      <c r="L32" s="61">
        <v>0.80596927418180841</v>
      </c>
      <c r="M32" s="62"/>
      <c r="N32" s="63">
        <v>0.7928423142468306</v>
      </c>
      <c r="O32" s="86"/>
      <c r="P32" s="63">
        <f>O32+M32+K32+I32</f>
        <v>0</v>
      </c>
    </row>
    <row r="33" spans="2:17" x14ac:dyDescent="0.2">
      <c r="B33" s="36"/>
      <c r="C33" s="47">
        <f>basic_info!$D$5+3</f>
        <v>2016</v>
      </c>
      <c r="D33" s="76"/>
      <c r="E33" s="75"/>
      <c r="F33" s="75"/>
      <c r="G33" s="75"/>
      <c r="H33" s="75"/>
      <c r="I33" s="75"/>
      <c r="J33" s="69">
        <v>0.68859153167605403</v>
      </c>
      <c r="K33" s="79"/>
      <c r="L33" s="61">
        <v>0.76378054147734653</v>
      </c>
      <c r="M33" s="62"/>
      <c r="N33" s="63">
        <v>0.76345216251861092</v>
      </c>
      <c r="O33" s="86"/>
      <c r="P33" s="63">
        <f>O33+M33+K33</f>
        <v>0</v>
      </c>
    </row>
    <row r="34" spans="2:17" x14ac:dyDescent="0.2">
      <c r="B34" s="36"/>
      <c r="C34" s="47">
        <f>basic_info!$D$5+4</f>
        <v>2017</v>
      </c>
      <c r="D34" s="76"/>
      <c r="E34" s="75"/>
      <c r="F34" s="75"/>
      <c r="G34" s="75"/>
      <c r="H34" s="75"/>
      <c r="I34" s="75"/>
      <c r="J34" s="75"/>
      <c r="K34" s="75"/>
      <c r="L34" s="69">
        <v>0.71205421746969233</v>
      </c>
      <c r="M34" s="79"/>
      <c r="N34" s="63">
        <v>0.71138841414852361</v>
      </c>
      <c r="O34" s="86"/>
      <c r="P34" s="63">
        <f>O34+M34</f>
        <v>0</v>
      </c>
    </row>
    <row r="35" spans="2:17" x14ac:dyDescent="0.2">
      <c r="B35" s="37"/>
      <c r="C35" s="72">
        <f>basic_info!$D$5+5</f>
        <v>2018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0.64779822950959209</v>
      </c>
      <c r="O35" s="86"/>
      <c r="P35" s="65">
        <f>O35</f>
        <v>0</v>
      </c>
    </row>
    <row r="36" spans="2:17" x14ac:dyDescent="0.2">
      <c r="B36" s="41" t="s">
        <v>113</v>
      </c>
      <c r="C36" s="36">
        <f>basic_info!$D$5</f>
        <v>2013</v>
      </c>
      <c r="D36" s="44">
        <v>0.97905324764549728</v>
      </c>
      <c r="E36" s="35"/>
      <c r="F36" s="73">
        <v>1.004390797006619</v>
      </c>
      <c r="G36" s="74"/>
      <c r="H36" s="73">
        <v>1.1358391365953338</v>
      </c>
      <c r="I36" s="74">
        <v>300000</v>
      </c>
      <c r="J36" s="73">
        <v>1.114568040022595</v>
      </c>
      <c r="K36" s="74"/>
      <c r="L36" s="66">
        <v>1.101552478630456</v>
      </c>
      <c r="M36" s="67"/>
      <c r="N36" s="68"/>
      <c r="O36" s="71" t="s">
        <v>162</v>
      </c>
      <c r="P36" s="41">
        <f>M36+K36+I36+E36+G36</f>
        <v>300000</v>
      </c>
      <c r="Q36" s="70"/>
    </row>
    <row r="37" spans="2:17" x14ac:dyDescent="0.2">
      <c r="B37" s="36"/>
      <c r="C37" s="47">
        <f>basic_info!$D$5+1</f>
        <v>2014</v>
      </c>
      <c r="D37" s="76"/>
      <c r="E37" s="75"/>
      <c r="F37" s="69">
        <v>0.92318454591929922</v>
      </c>
      <c r="G37" s="79">
        <v>200000</v>
      </c>
      <c r="H37" s="61">
        <v>1.0932932166591005</v>
      </c>
      <c r="I37" s="62"/>
      <c r="J37" s="61">
        <v>1.0797159727823964</v>
      </c>
      <c r="K37" s="62"/>
      <c r="L37" s="61">
        <v>1.0226750667195514</v>
      </c>
      <c r="M37" s="62"/>
      <c r="N37" s="61">
        <v>1.0004541227640709</v>
      </c>
      <c r="O37" s="86"/>
      <c r="P37" s="63">
        <f>O37+M37+K37+I37+G37</f>
        <v>200000</v>
      </c>
    </row>
    <row r="38" spans="2:17" x14ac:dyDescent="0.2">
      <c r="B38" s="36"/>
      <c r="C38" s="47">
        <f>basic_info!$D$5+2</f>
        <v>2015</v>
      </c>
      <c r="D38" s="76"/>
      <c r="E38" s="75"/>
      <c r="F38" s="75"/>
      <c r="G38" s="75"/>
      <c r="H38" s="69">
        <v>1.023757758513093</v>
      </c>
      <c r="I38" s="79"/>
      <c r="J38" s="61">
        <v>1.057380701748182</v>
      </c>
      <c r="K38" s="62"/>
      <c r="L38" s="61">
        <v>1.0326319130993309</v>
      </c>
      <c r="M38" s="62"/>
      <c r="N38" s="61">
        <v>0.98761410383669901</v>
      </c>
      <c r="O38" s="86"/>
      <c r="P38" s="63">
        <f>O38+M38+K38+I38</f>
        <v>0</v>
      </c>
    </row>
    <row r="39" spans="2:17" x14ac:dyDescent="0.2">
      <c r="B39" s="36"/>
      <c r="C39" s="47">
        <f>basic_info!$D$5+3</f>
        <v>2016</v>
      </c>
      <c r="D39" s="76"/>
      <c r="E39" s="75"/>
      <c r="F39" s="75"/>
      <c r="G39" s="75"/>
      <c r="H39" s="75"/>
      <c r="I39" s="75"/>
      <c r="J39" s="69">
        <v>0.96417330466210838</v>
      </c>
      <c r="K39" s="79"/>
      <c r="L39" s="61">
        <v>1.0068793309599473</v>
      </c>
      <c r="M39" s="62"/>
      <c r="N39" s="61">
        <v>0.92888160054944402</v>
      </c>
      <c r="O39" s="86"/>
      <c r="P39" s="63">
        <f>O39+M39+K39</f>
        <v>0</v>
      </c>
    </row>
    <row r="40" spans="2:17" x14ac:dyDescent="0.2">
      <c r="B40" s="36"/>
      <c r="C40" s="47">
        <f>basic_info!$D$5+4</f>
        <v>2017</v>
      </c>
      <c r="D40" s="76"/>
      <c r="E40" s="75"/>
      <c r="F40" s="75"/>
      <c r="G40" s="75"/>
      <c r="H40" s="75"/>
      <c r="I40" s="75"/>
      <c r="J40" s="75"/>
      <c r="K40" s="75"/>
      <c r="L40" s="69">
        <v>0.98247019918262957</v>
      </c>
      <c r="M40" s="79"/>
      <c r="N40" s="61">
        <v>0.89159402523119113</v>
      </c>
      <c r="O40" s="86"/>
      <c r="P40" s="63">
        <f>O40+M40</f>
        <v>0</v>
      </c>
    </row>
    <row r="41" spans="2:17" x14ac:dyDescent="0.2">
      <c r="B41" s="37"/>
      <c r="C41" s="72">
        <f>basic_info!$D$5+5</f>
        <v>2018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0.88621167258918288</v>
      </c>
      <c r="O41" s="86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9">
        <v>8.3333333333333321</v>
      </c>
      <c r="D47" s="99">
        <v>8.3333333333333321</v>
      </c>
      <c r="E47" s="99">
        <v>8.3333333333333321</v>
      </c>
      <c r="F47" s="99">
        <v>8.3333333333333321</v>
      </c>
      <c r="G47" s="99">
        <v>8.3333333333333321</v>
      </c>
      <c r="H47" s="99">
        <v>8.3333333333333321</v>
      </c>
      <c r="I47" s="99">
        <v>8.3333333333333321</v>
      </c>
      <c r="J47" s="99">
        <v>8.3333333333333321</v>
      </c>
      <c r="K47" s="99">
        <v>8.3333333333333321</v>
      </c>
      <c r="L47" s="99">
        <v>8.3333333333333321</v>
      </c>
      <c r="M47" s="99">
        <v>8.3333333333333321</v>
      </c>
      <c r="N47" s="99">
        <v>8.3333333333333321</v>
      </c>
      <c r="O47" s="33">
        <f>SUM(C47:N47)</f>
        <v>99.999999999999957</v>
      </c>
    </row>
    <row r="48" spans="2:17" x14ac:dyDescent="0.2">
      <c r="B48" s="37" t="s">
        <v>113</v>
      </c>
      <c r="C48" s="99">
        <v>8.3333333333333321</v>
      </c>
      <c r="D48" s="99">
        <v>8.3333333333333321</v>
      </c>
      <c r="E48" s="99">
        <v>8.3333333333333321</v>
      </c>
      <c r="F48" s="99">
        <v>8.3333333333333321</v>
      </c>
      <c r="G48" s="99">
        <v>8.3333333333333321</v>
      </c>
      <c r="H48" s="99">
        <v>8.3333333333333321</v>
      </c>
      <c r="I48" s="99">
        <v>8.3333333333333321</v>
      </c>
      <c r="J48" s="99">
        <v>8.3333333333333321</v>
      </c>
      <c r="K48" s="99">
        <v>8.3333333333333321</v>
      </c>
      <c r="L48" s="99">
        <v>8.3333333333333321</v>
      </c>
      <c r="M48" s="99">
        <v>8.3333333333333321</v>
      </c>
      <c r="N48" s="99">
        <v>8.3333333333333321</v>
      </c>
      <c r="O48" s="33">
        <f>SUM(C48:N48)</f>
        <v>99.999999999999957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topLeftCell="A8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100">
        <v>6.1514075115444777</v>
      </c>
      <c r="D6" s="100">
        <v>0</v>
      </c>
      <c r="E6" s="100">
        <v>16.468523285245563</v>
      </c>
      <c r="F6" s="100">
        <v>67.797427550119593</v>
      </c>
      <c r="G6" s="100">
        <v>9.5826416530903629</v>
      </c>
      <c r="H6" s="89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100">
        <v>0</v>
      </c>
      <c r="D7" s="100">
        <v>35.682010557853047</v>
      </c>
      <c r="E7" s="100">
        <v>0</v>
      </c>
      <c r="F7" s="100">
        <v>0</v>
      </c>
      <c r="G7" s="100">
        <v>64.317989442146953</v>
      </c>
      <c r="H7" s="89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100">
        <v>0</v>
      </c>
      <c r="D8" s="100">
        <v>20.933921710948479</v>
      </c>
      <c r="E8" s="100">
        <v>0</v>
      </c>
      <c r="F8" s="100">
        <v>41.534199999999998</v>
      </c>
      <c r="G8" s="100">
        <v>37.531878289051519</v>
      </c>
      <c r="H8" s="89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100">
        <v>0</v>
      </c>
      <c r="D9" s="100">
        <v>20.933921710948479</v>
      </c>
      <c r="E9" s="100">
        <v>0</v>
      </c>
      <c r="F9" s="100">
        <v>0</v>
      </c>
      <c r="G9" s="100">
        <v>79.066078289051518</v>
      </c>
      <c r="H9" s="89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100">
        <v>6.1514075115444777</v>
      </c>
      <c r="D10" s="100">
        <v>0</v>
      </c>
      <c r="E10" s="100">
        <v>16.468523285245563</v>
      </c>
      <c r="F10" s="100">
        <v>20.797427550119647</v>
      </c>
      <c r="G10" s="100">
        <v>56.582641653090313</v>
      </c>
      <c r="H10" s="89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101">
        <v>6.1514075115444777</v>
      </c>
      <c r="D11" s="101">
        <v>0</v>
      </c>
      <c r="E11" s="101">
        <v>16.468523285245563</v>
      </c>
      <c r="F11" s="101">
        <v>0</v>
      </c>
      <c r="G11" s="101">
        <v>77.380069203209956</v>
      </c>
      <c r="H11" s="88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87">
        <v>70</v>
      </c>
      <c r="D19" s="44">
        <f>100-$C$19</f>
        <v>30</v>
      </c>
      <c r="E19" s="87">
        <v>70</v>
      </c>
      <c r="F19" s="44">
        <f>100-$E$19</f>
        <v>30</v>
      </c>
      <c r="G19" s="87">
        <v>70</v>
      </c>
      <c r="H19" s="33">
        <f>100-$G$19</f>
        <v>30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102">
        <v>9.9340677426410444</v>
      </c>
      <c r="D27" s="102">
        <v>100</v>
      </c>
      <c r="E27" s="102">
        <v>100</v>
      </c>
      <c r="F27" s="102">
        <v>0</v>
      </c>
      <c r="G27" s="102">
        <v>100</v>
      </c>
      <c r="H27" s="102">
        <v>0</v>
      </c>
      <c r="I27" s="103">
        <v>100</v>
      </c>
      <c r="P27" s="50"/>
      <c r="Q27" s="50"/>
      <c r="R27" s="50"/>
    </row>
    <row r="28" spans="2:18" x14ac:dyDescent="0.2">
      <c r="B28" s="45" t="s">
        <v>59</v>
      </c>
      <c r="C28" s="102">
        <v>90.065932257358952</v>
      </c>
      <c r="D28" s="102">
        <v>0</v>
      </c>
      <c r="E28" s="102">
        <v>0</v>
      </c>
      <c r="F28" s="102">
        <v>100</v>
      </c>
      <c r="G28" s="102">
        <v>0</v>
      </c>
      <c r="H28" s="102">
        <v>100</v>
      </c>
      <c r="I28" s="103">
        <v>0</v>
      </c>
      <c r="P28" s="50"/>
      <c r="Q28" s="50"/>
      <c r="R28" s="50"/>
    </row>
    <row r="29" spans="2:18" x14ac:dyDescent="0.2">
      <c r="B29" s="45" t="s">
        <v>150</v>
      </c>
      <c r="C29" s="90">
        <f>SUM($C$27:$C$28)</f>
        <v>100</v>
      </c>
      <c r="D29" s="90">
        <f>SUM($D$27:$D$28)</f>
        <v>100</v>
      </c>
      <c r="E29" s="90">
        <f>SUM($E$27:$E$28)</f>
        <v>100</v>
      </c>
      <c r="F29" s="90">
        <f>SUM($F$27:$F$28)</f>
        <v>100</v>
      </c>
      <c r="G29" s="90">
        <f>SUM($G$27:$G$28)</f>
        <v>100</v>
      </c>
      <c r="H29" s="90">
        <f>SUM($H$27:$H$28)</f>
        <v>100</v>
      </c>
      <c r="I29" s="88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105">
        <v>30.256926631890067</v>
      </c>
      <c r="D36" s="105">
        <v>30.256926631890067</v>
      </c>
      <c r="E36" s="105">
        <v>30.256926631890067</v>
      </c>
      <c r="F36" s="105">
        <v>30.256926631890067</v>
      </c>
      <c r="G36" s="105">
        <v>30.256926631890067</v>
      </c>
      <c r="H36" s="105">
        <v>30.256926631890067</v>
      </c>
      <c r="I36" s="105">
        <v>30.256926631890067</v>
      </c>
      <c r="J36" s="105">
        <v>30.256926631890067</v>
      </c>
      <c r="K36" s="105">
        <v>30.256926631890067</v>
      </c>
      <c r="L36" s="105">
        <v>30.256926631890067</v>
      </c>
      <c r="M36" s="105">
        <v>30.256926631890067</v>
      </c>
      <c r="N36" s="107">
        <v>30.256926631890067</v>
      </c>
    </row>
    <row r="37" spans="2:14" x14ac:dyDescent="0.2">
      <c r="B37" s="45" t="s">
        <v>59</v>
      </c>
      <c r="C37" s="106">
        <v>38</v>
      </c>
      <c r="D37" s="106">
        <v>38</v>
      </c>
      <c r="E37" s="106">
        <v>38</v>
      </c>
      <c r="F37" s="106">
        <v>38</v>
      </c>
      <c r="G37" s="106">
        <v>38</v>
      </c>
      <c r="H37" s="106">
        <v>38</v>
      </c>
      <c r="I37" s="106">
        <v>38</v>
      </c>
      <c r="J37" s="106">
        <v>38</v>
      </c>
      <c r="K37" s="106">
        <v>38</v>
      </c>
      <c r="L37" s="106">
        <v>38</v>
      </c>
      <c r="M37" s="106">
        <v>38</v>
      </c>
      <c r="N37" s="104">
        <v>38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/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108">
        <v>2.9044834078519122</v>
      </c>
      <c r="E6" s="108">
        <v>2.9044834078519122</v>
      </c>
      <c r="F6" s="108">
        <v>2.9044834078519122</v>
      </c>
      <c r="G6" s="108">
        <v>2.9044834078519122</v>
      </c>
      <c r="H6" s="108">
        <v>2.9044834078519122</v>
      </c>
      <c r="I6" s="108">
        <v>2.9044834078519122</v>
      </c>
      <c r="J6" s="108">
        <v>2.9044834078519122</v>
      </c>
      <c r="K6" s="108">
        <v>2.9044834078519122</v>
      </c>
      <c r="L6" s="108">
        <v>2.9044834078519122</v>
      </c>
      <c r="M6" s="108">
        <v>2.9044834078519122</v>
      </c>
      <c r="N6" s="108">
        <v>2.9044834078519122</v>
      </c>
      <c r="O6" s="108">
        <v>2.9044834078519122</v>
      </c>
    </row>
    <row r="7" spans="2:15" x14ac:dyDescent="0.2">
      <c r="C7" s="36" t="s">
        <v>127</v>
      </c>
      <c r="D7" s="108">
        <v>2.4176550971019357</v>
      </c>
      <c r="E7" s="108">
        <v>2.4176550971019357</v>
      </c>
      <c r="F7" s="108">
        <v>2.4176550971019357</v>
      </c>
      <c r="G7" s="108">
        <v>2.4176550971019357</v>
      </c>
      <c r="H7" s="108">
        <v>2.4176550971019357</v>
      </c>
      <c r="I7" s="108">
        <v>2.4176550971019357</v>
      </c>
      <c r="J7" s="108">
        <v>2.4176550971019357</v>
      </c>
      <c r="K7" s="108">
        <v>2.4176550971019357</v>
      </c>
      <c r="L7" s="108">
        <v>2.4176550971019357</v>
      </c>
      <c r="M7" s="108">
        <v>2.4176550971019357</v>
      </c>
      <c r="N7" s="108">
        <v>2.4176550971019357</v>
      </c>
      <c r="O7" s="108">
        <v>2.4176550971019357</v>
      </c>
    </row>
    <row r="8" spans="2:15" x14ac:dyDescent="0.2">
      <c r="C8" s="36" t="s">
        <v>128</v>
      </c>
      <c r="D8" s="108">
        <v>2.2173015220461716</v>
      </c>
      <c r="E8" s="108">
        <v>2.2173015220461716</v>
      </c>
      <c r="F8" s="108">
        <v>2.2173015220461716</v>
      </c>
      <c r="G8" s="108">
        <v>2.2173015220461716</v>
      </c>
      <c r="H8" s="108">
        <v>2.2173015220461716</v>
      </c>
      <c r="I8" s="108">
        <v>2.2173015220461716</v>
      </c>
      <c r="J8" s="108">
        <v>2.2173015220461716</v>
      </c>
      <c r="K8" s="108">
        <v>2.2173015220461716</v>
      </c>
      <c r="L8" s="108">
        <v>2.2173015220461716</v>
      </c>
      <c r="M8" s="108">
        <v>2.2173015220461716</v>
      </c>
      <c r="N8" s="108">
        <v>2.2173015220461716</v>
      </c>
      <c r="O8" s="108">
        <v>2.2173015220461716</v>
      </c>
    </row>
    <row r="9" spans="2:15" x14ac:dyDescent="0.2">
      <c r="C9" s="36" t="s">
        <v>129</v>
      </c>
      <c r="D9" s="108">
        <v>2.1864224480946279</v>
      </c>
      <c r="E9" s="108">
        <v>2.1864224480946279</v>
      </c>
      <c r="F9" s="108">
        <v>2.1864224480946279</v>
      </c>
      <c r="G9" s="108">
        <v>2.1864224480946279</v>
      </c>
      <c r="H9" s="108">
        <v>2.1864224480946279</v>
      </c>
      <c r="I9" s="108">
        <v>2.1864224480946279</v>
      </c>
      <c r="J9" s="108">
        <v>2.1864224480946279</v>
      </c>
      <c r="K9" s="108">
        <v>2.1864224480946279</v>
      </c>
      <c r="L9" s="108">
        <v>2.1864224480946279</v>
      </c>
      <c r="M9" s="108">
        <v>2.1864224480946279</v>
      </c>
      <c r="N9" s="108">
        <v>2.1864224480946279</v>
      </c>
      <c r="O9" s="108">
        <v>2.1864224480946279</v>
      </c>
    </row>
    <row r="10" spans="2:15" x14ac:dyDescent="0.2">
      <c r="C10" s="36" t="s">
        <v>130</v>
      </c>
      <c r="D10" s="108">
        <v>2.0083611486706312</v>
      </c>
      <c r="E10" s="108">
        <v>2.0083611486706312</v>
      </c>
      <c r="F10" s="108">
        <v>2.0083611486706312</v>
      </c>
      <c r="G10" s="108">
        <v>2.0083611486706312</v>
      </c>
      <c r="H10" s="108">
        <v>2.0083611486706312</v>
      </c>
      <c r="I10" s="108">
        <v>2.0083611486706312</v>
      </c>
      <c r="J10" s="108">
        <v>2.0083611486706312</v>
      </c>
      <c r="K10" s="108">
        <v>2.0083611486706312</v>
      </c>
      <c r="L10" s="108">
        <v>2.0083611486706312</v>
      </c>
      <c r="M10" s="108">
        <v>2.0083611486706312</v>
      </c>
      <c r="N10" s="108">
        <v>2.0083611486706312</v>
      </c>
      <c r="O10" s="108">
        <v>2.0083611486706312</v>
      </c>
    </row>
    <row r="11" spans="2:15" x14ac:dyDescent="0.2">
      <c r="C11" s="36" t="s">
        <v>131</v>
      </c>
      <c r="D11" s="108">
        <v>2.25</v>
      </c>
      <c r="E11" s="108">
        <v>2.25</v>
      </c>
      <c r="F11" s="108">
        <v>2.25</v>
      </c>
      <c r="G11" s="108">
        <v>2.25</v>
      </c>
      <c r="H11" s="108">
        <v>2.25</v>
      </c>
      <c r="I11" s="108">
        <v>2.25</v>
      </c>
      <c r="J11" s="108">
        <v>2.25</v>
      </c>
      <c r="K11" s="108">
        <v>2.25</v>
      </c>
      <c r="L11" s="108">
        <v>2.25</v>
      </c>
      <c r="M11" s="108">
        <v>2.25</v>
      </c>
      <c r="N11" s="108">
        <v>2.25</v>
      </c>
      <c r="O11" s="108">
        <v>2.25</v>
      </c>
    </row>
    <row r="12" spans="2:15" x14ac:dyDescent="0.2">
      <c r="C12" s="37" t="s">
        <v>132</v>
      </c>
      <c r="D12" s="108">
        <v>2.552088042592795</v>
      </c>
      <c r="E12" s="108">
        <v>2.552088042592795</v>
      </c>
      <c r="F12" s="108">
        <v>2.552088042592795</v>
      </c>
      <c r="G12" s="108">
        <v>2.552088042592795</v>
      </c>
      <c r="H12" s="108">
        <v>2.552088042592795</v>
      </c>
      <c r="I12" s="108">
        <v>2.552088042592795</v>
      </c>
      <c r="J12" s="108">
        <v>2.552088042592795</v>
      </c>
      <c r="K12" s="108">
        <v>2.552088042592795</v>
      </c>
      <c r="L12" s="108">
        <v>2.552088042592795</v>
      </c>
      <c r="M12" s="108">
        <v>2.552088042592795</v>
      </c>
      <c r="N12" s="108">
        <v>2.552088042592795</v>
      </c>
      <c r="O12" s="108">
        <v>2.552088042592795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109">
        <v>3.548386856935112</v>
      </c>
      <c r="E15" s="109">
        <v>3.548386856935112</v>
      </c>
      <c r="F15" s="109">
        <v>3.548386856935112</v>
      </c>
      <c r="G15" s="109">
        <v>3.548386856935112</v>
      </c>
      <c r="H15" s="109">
        <v>3.548386856935112</v>
      </c>
      <c r="I15" s="109">
        <v>3.548386856935112</v>
      </c>
      <c r="J15" s="109">
        <v>3.548386856935112</v>
      </c>
      <c r="K15" s="109">
        <v>3.548386856935112</v>
      </c>
      <c r="L15" s="109">
        <v>3.548386856935112</v>
      </c>
      <c r="M15" s="109">
        <v>3.548386856935112</v>
      </c>
      <c r="N15" s="109">
        <v>3.548386856935112</v>
      </c>
      <c r="O15" s="109">
        <v>3.548386856935112</v>
      </c>
    </row>
    <row r="16" spans="2:15" x14ac:dyDescent="0.2">
      <c r="C16" s="36" t="s">
        <v>127</v>
      </c>
      <c r="D16" s="109">
        <v>3.1948248739842673</v>
      </c>
      <c r="E16" s="109">
        <v>3.1948248739842673</v>
      </c>
      <c r="F16" s="109">
        <v>3.1948248739842673</v>
      </c>
      <c r="G16" s="109">
        <v>3.1948248739842673</v>
      </c>
      <c r="H16" s="109">
        <v>3.1948248739842673</v>
      </c>
      <c r="I16" s="109">
        <v>3.1948248739842673</v>
      </c>
      <c r="J16" s="109">
        <v>3.1948248739842673</v>
      </c>
      <c r="K16" s="109">
        <v>3.1948248739842673</v>
      </c>
      <c r="L16" s="109">
        <v>3.1948248739842673</v>
      </c>
      <c r="M16" s="109">
        <v>3.1948248739842673</v>
      </c>
      <c r="N16" s="109">
        <v>3.1948248739842673</v>
      </c>
      <c r="O16" s="109">
        <v>3.1948248739842673</v>
      </c>
    </row>
    <row r="17" spans="2:15" x14ac:dyDescent="0.2">
      <c r="C17" s="36" t="s">
        <v>128</v>
      </c>
      <c r="D17" s="109">
        <v>2.5018837315446438</v>
      </c>
      <c r="E17" s="109">
        <v>2.5018837315446438</v>
      </c>
      <c r="F17" s="109">
        <v>2.5018837315446438</v>
      </c>
      <c r="G17" s="109">
        <v>2.5018837315446438</v>
      </c>
      <c r="H17" s="109">
        <v>2.5018837315446438</v>
      </c>
      <c r="I17" s="109">
        <v>2.5018837315446438</v>
      </c>
      <c r="J17" s="109">
        <v>2.5018837315446438</v>
      </c>
      <c r="K17" s="109">
        <v>2.5018837315446438</v>
      </c>
      <c r="L17" s="109">
        <v>2.5018837315446438</v>
      </c>
      <c r="M17" s="109">
        <v>2.5018837315446438</v>
      </c>
      <c r="N17" s="109">
        <v>2.5018837315446438</v>
      </c>
      <c r="O17" s="109">
        <v>2.5018837315446438</v>
      </c>
    </row>
    <row r="18" spans="2:15" x14ac:dyDescent="0.2">
      <c r="C18" s="36" t="s">
        <v>129</v>
      </c>
      <c r="D18" s="109">
        <v>2.5951084490104699</v>
      </c>
      <c r="E18" s="109">
        <v>2.5951084490104699</v>
      </c>
      <c r="F18" s="109">
        <v>2.5951084490104699</v>
      </c>
      <c r="G18" s="109">
        <v>2.5951084490104699</v>
      </c>
      <c r="H18" s="109">
        <v>2.5951084490104699</v>
      </c>
      <c r="I18" s="109">
        <v>2.5951084490104699</v>
      </c>
      <c r="J18" s="109">
        <v>2.5951084490104699</v>
      </c>
      <c r="K18" s="109">
        <v>2.5951084490104699</v>
      </c>
      <c r="L18" s="109">
        <v>2.5951084490104699</v>
      </c>
      <c r="M18" s="109">
        <v>2.5951084490104699</v>
      </c>
      <c r="N18" s="109">
        <v>2.5951084490104699</v>
      </c>
      <c r="O18" s="109">
        <v>2.5951084490104699</v>
      </c>
    </row>
    <row r="19" spans="2:15" x14ac:dyDescent="0.2">
      <c r="C19" s="36" t="s">
        <v>130</v>
      </c>
      <c r="D19" s="109">
        <v>2.3340416869375153</v>
      </c>
      <c r="E19" s="109">
        <v>2.3340416869375153</v>
      </c>
      <c r="F19" s="109">
        <v>2.3340416869375153</v>
      </c>
      <c r="G19" s="109">
        <v>2.3340416869375153</v>
      </c>
      <c r="H19" s="109">
        <v>2.3340416869375153</v>
      </c>
      <c r="I19" s="109">
        <v>2.3340416869375153</v>
      </c>
      <c r="J19" s="109">
        <v>2.3340416869375153</v>
      </c>
      <c r="K19" s="109">
        <v>2.3340416869375153</v>
      </c>
      <c r="L19" s="109">
        <v>2.3340416869375153</v>
      </c>
      <c r="M19" s="109">
        <v>2.3340416869375153</v>
      </c>
      <c r="N19" s="109">
        <v>2.3340416869375153</v>
      </c>
      <c r="O19" s="109">
        <v>2.3340416869375153</v>
      </c>
    </row>
    <row r="20" spans="2:15" x14ac:dyDescent="0.2">
      <c r="C20" s="36" t="s">
        <v>131</v>
      </c>
      <c r="D20" s="109">
        <v>2.4375</v>
      </c>
      <c r="E20" s="109">
        <v>2.4375</v>
      </c>
      <c r="F20" s="109">
        <v>2.4375</v>
      </c>
      <c r="G20" s="109">
        <v>2.4375</v>
      </c>
      <c r="H20" s="109">
        <v>2.4375</v>
      </c>
      <c r="I20" s="109">
        <v>2.4375</v>
      </c>
      <c r="J20" s="109">
        <v>2.4375</v>
      </c>
      <c r="K20" s="109">
        <v>2.4375</v>
      </c>
      <c r="L20" s="109">
        <v>2.4375</v>
      </c>
      <c r="M20" s="109">
        <v>2.4375</v>
      </c>
      <c r="N20" s="109">
        <v>2.4375</v>
      </c>
      <c r="O20" s="109">
        <v>2.4375</v>
      </c>
    </row>
    <row r="21" spans="2:15" x14ac:dyDescent="0.2">
      <c r="C21" s="37" t="s">
        <v>132</v>
      </c>
      <c r="D21" s="109">
        <v>2.8194924733683804</v>
      </c>
      <c r="E21" s="109">
        <v>2.8194924733683804</v>
      </c>
      <c r="F21" s="109">
        <v>2.8194924733683804</v>
      </c>
      <c r="G21" s="109">
        <v>2.8194924733683804</v>
      </c>
      <c r="H21" s="109">
        <v>2.8194924733683804</v>
      </c>
      <c r="I21" s="109">
        <v>2.8194924733683804</v>
      </c>
      <c r="J21" s="109">
        <v>2.8194924733683804</v>
      </c>
      <c r="K21" s="109">
        <v>2.8194924733683804</v>
      </c>
      <c r="L21" s="109">
        <v>2.8194924733683804</v>
      </c>
      <c r="M21" s="109">
        <v>2.8194924733683804</v>
      </c>
      <c r="N21" s="109">
        <v>2.8194924733683804</v>
      </c>
      <c r="O21" s="109">
        <v>2.8194924733683804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110">
        <v>2.0062500000000001</v>
      </c>
      <c r="E24" s="110">
        <v>2.0062500000000001</v>
      </c>
      <c r="F24" s="110">
        <v>2.0062500000000001</v>
      </c>
      <c r="G24" s="110">
        <v>2.0062500000000001</v>
      </c>
      <c r="H24" s="110">
        <v>2.0062500000000001</v>
      </c>
      <c r="I24" s="110">
        <v>2.0062500000000001</v>
      </c>
      <c r="J24" s="110">
        <v>2.0062500000000001</v>
      </c>
      <c r="K24" s="110">
        <v>2.0062500000000001</v>
      </c>
      <c r="L24" s="110">
        <v>2.0062500000000001</v>
      </c>
      <c r="M24" s="110">
        <v>2.0062500000000001</v>
      </c>
      <c r="N24" s="110">
        <v>2.0062500000000001</v>
      </c>
      <c r="O24" s="110">
        <v>2.0062500000000001</v>
      </c>
    </row>
    <row r="25" spans="2:15" x14ac:dyDescent="0.2">
      <c r="C25" s="36" t="s">
        <v>127</v>
      </c>
      <c r="D25" s="110">
        <v>2.0062500000000001</v>
      </c>
      <c r="E25" s="110">
        <v>2.0062500000000001</v>
      </c>
      <c r="F25" s="110">
        <v>2.0062500000000001</v>
      </c>
      <c r="G25" s="110">
        <v>2.0062500000000001</v>
      </c>
      <c r="H25" s="110">
        <v>2.0062500000000001</v>
      </c>
      <c r="I25" s="110">
        <v>2.0062500000000001</v>
      </c>
      <c r="J25" s="110">
        <v>2.0062500000000001</v>
      </c>
      <c r="K25" s="110">
        <v>2.0062500000000001</v>
      </c>
      <c r="L25" s="110">
        <v>2.0062500000000001</v>
      </c>
      <c r="M25" s="110">
        <v>2.0062500000000001</v>
      </c>
      <c r="N25" s="110">
        <v>2.0062500000000001</v>
      </c>
      <c r="O25" s="110">
        <v>2.0062500000000001</v>
      </c>
    </row>
    <row r="26" spans="2:15" x14ac:dyDescent="0.2">
      <c r="C26" s="36" t="s">
        <v>128</v>
      </c>
      <c r="D26" s="110">
        <v>2.3031250000000001</v>
      </c>
      <c r="E26" s="110">
        <v>2.3031250000000001</v>
      </c>
      <c r="F26" s="110">
        <v>2.3031250000000001</v>
      </c>
      <c r="G26" s="110">
        <v>2.3031250000000001</v>
      </c>
      <c r="H26" s="110">
        <v>2.3031250000000001</v>
      </c>
      <c r="I26" s="110">
        <v>2.3031250000000001</v>
      </c>
      <c r="J26" s="110">
        <v>2.3031250000000001</v>
      </c>
      <c r="K26" s="110">
        <v>2.3031250000000001</v>
      </c>
      <c r="L26" s="110">
        <v>2.3031250000000001</v>
      </c>
      <c r="M26" s="110">
        <v>2.3031250000000001</v>
      </c>
      <c r="N26" s="110">
        <v>2.3031250000000001</v>
      </c>
      <c r="O26" s="110">
        <v>2.3031250000000001</v>
      </c>
    </row>
    <row r="27" spans="2:15" x14ac:dyDescent="0.2">
      <c r="C27" s="36" t="s">
        <v>129</v>
      </c>
      <c r="D27" s="110">
        <v>2.3624999999999998</v>
      </c>
      <c r="E27" s="110">
        <v>2.3624999999999998</v>
      </c>
      <c r="F27" s="110">
        <v>2.3624999999999998</v>
      </c>
      <c r="G27" s="110">
        <v>2.3624999999999998</v>
      </c>
      <c r="H27" s="110">
        <v>2.3624999999999998</v>
      </c>
      <c r="I27" s="110">
        <v>2.3624999999999998</v>
      </c>
      <c r="J27" s="110">
        <v>2.3624999999999998</v>
      </c>
      <c r="K27" s="110">
        <v>2.3624999999999998</v>
      </c>
      <c r="L27" s="110">
        <v>2.3624999999999998</v>
      </c>
      <c r="M27" s="110">
        <v>2.3624999999999998</v>
      </c>
      <c r="N27" s="110">
        <v>2.3624999999999998</v>
      </c>
      <c r="O27" s="110">
        <v>2.3624999999999998</v>
      </c>
    </row>
    <row r="28" spans="2:15" x14ac:dyDescent="0.2">
      <c r="C28" s="36" t="s">
        <v>130</v>
      </c>
      <c r="D28" s="110">
        <v>2.3624999999999998</v>
      </c>
      <c r="E28" s="110">
        <v>2.3624999999999998</v>
      </c>
      <c r="F28" s="110">
        <v>2.3624999999999998</v>
      </c>
      <c r="G28" s="110">
        <v>2.3624999999999998</v>
      </c>
      <c r="H28" s="110">
        <v>2.3624999999999998</v>
      </c>
      <c r="I28" s="110">
        <v>2.3624999999999998</v>
      </c>
      <c r="J28" s="110">
        <v>2.3624999999999998</v>
      </c>
      <c r="K28" s="110">
        <v>2.3624999999999998</v>
      </c>
      <c r="L28" s="110">
        <v>2.3624999999999998</v>
      </c>
      <c r="M28" s="110">
        <v>2.3624999999999998</v>
      </c>
      <c r="N28" s="110">
        <v>2.3624999999999998</v>
      </c>
      <c r="O28" s="110">
        <v>2.3624999999999998</v>
      </c>
    </row>
    <row r="29" spans="2:15" x14ac:dyDescent="0.2">
      <c r="C29" s="36" t="s">
        <v>131</v>
      </c>
      <c r="D29" s="110">
        <v>2.7326686394678159</v>
      </c>
      <c r="E29" s="110">
        <v>2.7326686394678159</v>
      </c>
      <c r="F29" s="110">
        <v>2.7326686394678159</v>
      </c>
      <c r="G29" s="110">
        <v>2.7326686394678159</v>
      </c>
      <c r="H29" s="110">
        <v>2.7326686394678159</v>
      </c>
      <c r="I29" s="110">
        <v>2.7326686394678159</v>
      </c>
      <c r="J29" s="110">
        <v>2.7326686394678159</v>
      </c>
      <c r="K29" s="110">
        <v>2.7326686394678159</v>
      </c>
      <c r="L29" s="110">
        <v>2.7326686394678159</v>
      </c>
      <c r="M29" s="110">
        <v>2.7326686394678159</v>
      </c>
      <c r="N29" s="110">
        <v>2.7326686394678159</v>
      </c>
      <c r="O29" s="110">
        <v>2.7326686394678159</v>
      </c>
    </row>
    <row r="30" spans="2:15" x14ac:dyDescent="0.2">
      <c r="C30" s="37" t="s">
        <v>132</v>
      </c>
      <c r="D30" s="110">
        <v>2.1875</v>
      </c>
      <c r="E30" s="110">
        <v>2.1875</v>
      </c>
      <c r="F30" s="110">
        <v>2.1875</v>
      </c>
      <c r="G30" s="110">
        <v>2.1875</v>
      </c>
      <c r="H30" s="110">
        <v>2.1875</v>
      </c>
      <c r="I30" s="110">
        <v>2.1875</v>
      </c>
      <c r="J30" s="110">
        <v>2.1875</v>
      </c>
      <c r="K30" s="110">
        <v>2.1875</v>
      </c>
      <c r="L30" s="110">
        <v>2.1875</v>
      </c>
      <c r="M30" s="110">
        <v>2.1875</v>
      </c>
      <c r="N30" s="110">
        <v>2.1875</v>
      </c>
      <c r="O30" s="110">
        <v>2.1875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111">
        <v>2.0215649754464287</v>
      </c>
      <c r="E33" s="111">
        <v>2.0215649754464287</v>
      </c>
      <c r="F33" s="111">
        <v>2.0215649754464287</v>
      </c>
      <c r="G33" s="111">
        <v>2.0215649754464287</v>
      </c>
      <c r="H33" s="111">
        <v>2.0215649754464287</v>
      </c>
      <c r="I33" s="111">
        <v>2.0215649754464287</v>
      </c>
      <c r="J33" s="111">
        <v>2.0215649754464287</v>
      </c>
      <c r="K33" s="111">
        <v>2.0215649754464287</v>
      </c>
      <c r="L33" s="111">
        <v>2.0215649754464287</v>
      </c>
      <c r="M33" s="111">
        <v>2.0215649754464287</v>
      </c>
      <c r="N33" s="111">
        <v>2.0215649754464287</v>
      </c>
      <c r="O33" s="111">
        <v>2.0215649754464287</v>
      </c>
    </row>
    <row r="34" spans="3:15" x14ac:dyDescent="0.2">
      <c r="C34" s="36" t="s">
        <v>127</v>
      </c>
      <c r="D34" s="111">
        <v>2.2033773750000001</v>
      </c>
      <c r="E34" s="111">
        <v>2.2033773750000001</v>
      </c>
      <c r="F34" s="111">
        <v>2.2033773750000001</v>
      </c>
      <c r="G34" s="111">
        <v>2.2033773750000001</v>
      </c>
      <c r="H34" s="111">
        <v>2.2033773750000001</v>
      </c>
      <c r="I34" s="111">
        <v>2.2033773750000001</v>
      </c>
      <c r="J34" s="111">
        <v>2.2033773750000001</v>
      </c>
      <c r="K34" s="111">
        <v>2.2033773750000001</v>
      </c>
      <c r="L34" s="111">
        <v>2.2033773750000001</v>
      </c>
      <c r="M34" s="111">
        <v>2.2033773750000001</v>
      </c>
      <c r="N34" s="111">
        <v>2.2033773750000001</v>
      </c>
      <c r="O34" s="111">
        <v>2.2033773750000001</v>
      </c>
    </row>
    <row r="35" spans="3:15" x14ac:dyDescent="0.2">
      <c r="C35" s="36" t="s">
        <v>128</v>
      </c>
      <c r="D35" s="111">
        <v>2.0730005130208333</v>
      </c>
      <c r="E35" s="111">
        <v>2.0730005130208333</v>
      </c>
      <c r="F35" s="111">
        <v>2.0730005130208333</v>
      </c>
      <c r="G35" s="111">
        <v>2.0730005130208333</v>
      </c>
      <c r="H35" s="111">
        <v>2.0730005130208333</v>
      </c>
      <c r="I35" s="111">
        <v>2.0730005130208333</v>
      </c>
      <c r="J35" s="111">
        <v>2.0730005130208333</v>
      </c>
      <c r="K35" s="111">
        <v>2.0730005130208333</v>
      </c>
      <c r="L35" s="111">
        <v>2.0730005130208333</v>
      </c>
      <c r="M35" s="111">
        <v>2.0730005130208333</v>
      </c>
      <c r="N35" s="111">
        <v>2.0730005130208333</v>
      </c>
      <c r="O35" s="111">
        <v>2.0730005130208333</v>
      </c>
    </row>
    <row r="36" spans="3:15" x14ac:dyDescent="0.2">
      <c r="C36" s="36" t="s">
        <v>129</v>
      </c>
      <c r="D36" s="111">
        <v>2.425726899147727</v>
      </c>
      <c r="E36" s="111">
        <v>2.425726899147727</v>
      </c>
      <c r="F36" s="111">
        <v>2.425726899147727</v>
      </c>
      <c r="G36" s="111">
        <v>2.425726899147727</v>
      </c>
      <c r="H36" s="111">
        <v>2.425726899147727</v>
      </c>
      <c r="I36" s="111">
        <v>2.425726899147727</v>
      </c>
      <c r="J36" s="111">
        <v>2.425726899147727</v>
      </c>
      <c r="K36" s="111">
        <v>2.425726899147727</v>
      </c>
      <c r="L36" s="111">
        <v>2.425726899147727</v>
      </c>
      <c r="M36" s="111">
        <v>2.425726899147727</v>
      </c>
      <c r="N36" s="111">
        <v>2.425726899147727</v>
      </c>
      <c r="O36" s="111">
        <v>2.425726899147727</v>
      </c>
    </row>
    <row r="37" spans="3:15" x14ac:dyDescent="0.2">
      <c r="C37" s="36" t="s">
        <v>130</v>
      </c>
      <c r="D37" s="111">
        <v>1.9871759296874996</v>
      </c>
      <c r="E37" s="111">
        <v>1.9871759296874996</v>
      </c>
      <c r="F37" s="111">
        <v>1.9871759296874996</v>
      </c>
      <c r="G37" s="111">
        <v>1.9871759296874996</v>
      </c>
      <c r="H37" s="111">
        <v>1.9871759296874996</v>
      </c>
      <c r="I37" s="111">
        <v>1.9871759296874996</v>
      </c>
      <c r="J37" s="111">
        <v>1.9871759296874996</v>
      </c>
      <c r="K37" s="111">
        <v>1.9871759296874996</v>
      </c>
      <c r="L37" s="111">
        <v>1.9871759296874996</v>
      </c>
      <c r="M37" s="111">
        <v>1.9871759296874996</v>
      </c>
      <c r="N37" s="111">
        <v>1.9871759296874996</v>
      </c>
      <c r="O37" s="111">
        <v>1.9871759296874996</v>
      </c>
    </row>
    <row r="38" spans="3:15" x14ac:dyDescent="0.2">
      <c r="C38" s="36" t="s">
        <v>131</v>
      </c>
      <c r="D38" s="111">
        <v>2.1871386835937501</v>
      </c>
      <c r="E38" s="111">
        <v>2.1871386835937501</v>
      </c>
      <c r="F38" s="111">
        <v>2.1871386835937501</v>
      </c>
      <c r="G38" s="111">
        <v>2.1871386835937501</v>
      </c>
      <c r="H38" s="111">
        <v>2.1871386835937501</v>
      </c>
      <c r="I38" s="111">
        <v>2.1871386835937501</v>
      </c>
      <c r="J38" s="111">
        <v>2.1871386835937501</v>
      </c>
      <c r="K38" s="111">
        <v>2.1871386835937501</v>
      </c>
      <c r="L38" s="111">
        <v>2.1871386835937501</v>
      </c>
      <c r="M38" s="111">
        <v>2.1871386835937501</v>
      </c>
      <c r="N38" s="111">
        <v>2.1871386835937501</v>
      </c>
      <c r="O38" s="111">
        <v>2.1871386835937501</v>
      </c>
    </row>
    <row r="39" spans="3:15" x14ac:dyDescent="0.2">
      <c r="C39" s="37" t="s">
        <v>132</v>
      </c>
      <c r="D39" s="111">
        <v>2.2344839928418425</v>
      </c>
      <c r="E39" s="111">
        <v>2.2344839928418425</v>
      </c>
      <c r="F39" s="111">
        <v>2.2344839928418425</v>
      </c>
      <c r="G39" s="111">
        <v>2.2344839928418425</v>
      </c>
      <c r="H39" s="111">
        <v>2.2344839928418425</v>
      </c>
      <c r="I39" s="111">
        <v>2.2344839928418425</v>
      </c>
      <c r="J39" s="111">
        <v>2.2344839928418425</v>
      </c>
      <c r="K39" s="111">
        <v>2.2344839928418425</v>
      </c>
      <c r="L39" s="111">
        <v>2.2344839928418425</v>
      </c>
      <c r="M39" s="111">
        <v>2.2344839928418425</v>
      </c>
      <c r="N39" s="111">
        <v>2.2344839928418425</v>
      </c>
      <c r="O39" s="111">
        <v>2.2344839928418425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customWidth="1"/>
    <col min="7" max="7" width="2.7109375" customWidth="1"/>
    <col min="8" max="8" width="11.140625" customWidth="1"/>
    <col min="11" max="12" width="4.7109375" customWidth="1"/>
    <col min="18" max="18" width="2.7109375" customWidth="1"/>
    <col min="19" max="19" width="14.7109375" customWidth="1"/>
    <col min="20" max="20" width="16.7109375" customWidth="1"/>
    <col min="21" max="21" width="4.7109375" customWidth="1"/>
  </cols>
  <sheetData>
    <row r="1" spans="1:20" x14ac:dyDescent="0.2">
      <c r="A1" s="193"/>
    </row>
    <row r="2" spans="1:20" ht="15.75" x14ac:dyDescent="0.25">
      <c r="C2" s="194" t="s">
        <v>165</v>
      </c>
      <c r="D2" s="194"/>
      <c r="E2" s="194"/>
      <c r="F2" s="194"/>
      <c r="G2" s="194"/>
      <c r="H2" s="194"/>
    </row>
    <row r="3" spans="1:20" ht="18.75" x14ac:dyDescent="0.25">
      <c r="C3" s="195" t="s">
        <v>413</v>
      </c>
      <c r="D3" s="195"/>
      <c r="E3" s="195"/>
      <c r="F3" s="195"/>
      <c r="G3" s="195"/>
    </row>
    <row r="5" spans="1:20" ht="15.75" x14ac:dyDescent="0.25">
      <c r="A5" s="196" t="s">
        <v>352</v>
      </c>
      <c r="B5" s="197"/>
      <c r="G5" s="198"/>
      <c r="L5" s="196" t="s">
        <v>353</v>
      </c>
      <c r="M5" s="197"/>
      <c r="R5" s="198"/>
    </row>
    <row r="6" spans="1:20" x14ac:dyDescent="0.2">
      <c r="A6" s="199" t="s">
        <v>354</v>
      </c>
      <c r="B6" s="197"/>
      <c r="G6" s="200"/>
      <c r="H6" s="127"/>
      <c r="L6" s="199" t="s">
        <v>355</v>
      </c>
      <c r="M6" s="197"/>
      <c r="S6" s="141"/>
    </row>
    <row r="7" spans="1:20" x14ac:dyDescent="0.2">
      <c r="A7" s="197"/>
      <c r="B7" s="197" t="s">
        <v>356</v>
      </c>
      <c r="G7" s="200"/>
      <c r="H7" s="201">
        <f>SUM(ORA!$D$116:$O$116)</f>
        <v>24652.240589433273</v>
      </c>
      <c r="L7" s="197"/>
      <c r="M7" s="197" t="s">
        <v>356</v>
      </c>
      <c r="S7" s="202">
        <f>SUM(ORA!$D$127:$O$127)</f>
        <v>109269314.17552556</v>
      </c>
    </row>
    <row r="8" spans="1:20" x14ac:dyDescent="0.2">
      <c r="A8" s="197"/>
      <c r="B8" s="197" t="s">
        <v>357</v>
      </c>
      <c r="G8" s="200"/>
      <c r="H8" s="203">
        <f>SUM(POJ!$D$116:$O$116)</f>
        <v>48863.230308635073</v>
      </c>
      <c r="L8" s="197"/>
      <c r="M8" s="197" t="s">
        <v>357</v>
      </c>
      <c r="S8" s="204">
        <f>SUM(POJ!$D$127:$O$127)</f>
        <v>271568859.58161587</v>
      </c>
    </row>
    <row r="9" spans="1:20" x14ac:dyDescent="0.2">
      <c r="A9" s="197"/>
      <c r="B9" s="197" t="s">
        <v>358</v>
      </c>
      <c r="G9" s="200"/>
      <c r="H9" s="203">
        <f>SUM(ROJ!$D$116:$O$116)</f>
        <v>82414.35593954871</v>
      </c>
      <c r="L9" s="197"/>
      <c r="M9" s="197" t="s">
        <v>358</v>
      </c>
      <c r="S9" s="204">
        <f>SUM(ROJ!$D$127:$O$127)</f>
        <v>356686965.17187238</v>
      </c>
    </row>
    <row r="10" spans="1:20" x14ac:dyDescent="0.2">
      <c r="A10" s="197"/>
      <c r="B10" s="197" t="s">
        <v>359</v>
      </c>
      <c r="G10" s="200"/>
      <c r="H10" s="205">
        <f>SUM(FCOJ!$D$116:$O$116)</f>
        <v>70398.779441339662</v>
      </c>
      <c r="L10" s="197"/>
      <c r="M10" s="197" t="s">
        <v>359</v>
      </c>
      <c r="S10" s="206">
        <f>SUM(FCOJ!$D$127:$O$127)</f>
        <v>302642165.54720551</v>
      </c>
    </row>
    <row r="11" spans="1:20" x14ac:dyDescent="0.2">
      <c r="A11" s="197"/>
      <c r="B11" s="197"/>
      <c r="G11" s="200"/>
      <c r="M11" s="197" t="s">
        <v>360</v>
      </c>
      <c r="T11" s="207">
        <f>SUM($S$7:$S$10)</f>
        <v>1040167304.4762192</v>
      </c>
    </row>
    <row r="12" spans="1:20" x14ac:dyDescent="0.2">
      <c r="A12" s="199" t="s">
        <v>361</v>
      </c>
      <c r="B12" s="197"/>
      <c r="G12" s="200"/>
    </row>
    <row r="13" spans="1:20" x14ac:dyDescent="0.2">
      <c r="A13" s="197"/>
      <c r="B13" s="197" t="s">
        <v>362</v>
      </c>
      <c r="G13" s="200"/>
      <c r="H13" s="208">
        <f>SUM(grove!$C$48:$AX$53)</f>
        <v>459286.3668121309</v>
      </c>
      <c r="L13" s="199" t="s">
        <v>363</v>
      </c>
      <c r="M13" s="197"/>
    </row>
    <row r="14" spans="1:20" x14ac:dyDescent="0.2">
      <c r="A14" s="197"/>
      <c r="B14" s="197" t="s">
        <v>364</v>
      </c>
      <c r="G14" s="200"/>
      <c r="H14" s="201">
        <f>raw_materials!$P$30</f>
        <v>100000</v>
      </c>
      <c r="L14" s="197"/>
      <c r="M14" s="197" t="s">
        <v>365</v>
      </c>
      <c r="S14" s="202">
        <f>SUM(grove!$C$58:$AX$63)</f>
        <v>668777568.09328651</v>
      </c>
    </row>
    <row r="15" spans="1:20" x14ac:dyDescent="0.2">
      <c r="A15" s="197"/>
      <c r="B15" s="197" t="s">
        <v>366</v>
      </c>
      <c r="G15" s="200"/>
      <c r="H15" s="205">
        <f>raw_materials!$P$36</f>
        <v>300000</v>
      </c>
      <c r="L15" s="197"/>
      <c r="M15" s="197" t="s">
        <v>367</v>
      </c>
      <c r="S15" s="204">
        <f>(raw_materials!D30*raw_materials!E30+raw_materials!F30*raw_materials!G30+raw_materials!H30*raw_materials!I30+raw_materials!J30*raw_materials!K30+raw_materials!L30*raw_materials!M30)*2000</f>
        <v>144947531.50224686</v>
      </c>
    </row>
    <row r="16" spans="1:20" x14ac:dyDescent="0.2">
      <c r="A16" s="197"/>
      <c r="B16" s="197" t="s">
        <v>368</v>
      </c>
      <c r="G16" s="200"/>
      <c r="H16" s="209">
        <v>64684.858053060845</v>
      </c>
      <c r="L16" s="197"/>
      <c r="M16" s="197" t="s">
        <v>369</v>
      </c>
      <c r="S16" s="204">
        <f>(raw_materials!D36*raw_materials!E36+raw_materials!F36*raw_materials!G36+raw_materials!H36*raw_materials!I36+raw_materials!J36*raw_materials!K36+raw_materials!L36*raw_materials!M36)*2000</f>
        <v>681503481.95720017</v>
      </c>
    </row>
    <row r="17" spans="1:21" x14ac:dyDescent="0.2">
      <c r="A17" s="197"/>
      <c r="B17" s="197" t="s">
        <v>370</v>
      </c>
      <c r="G17" s="200"/>
      <c r="H17" s="210">
        <v>27722.082022740367</v>
      </c>
      <c r="L17" s="197"/>
      <c r="M17" s="197" t="s">
        <v>371</v>
      </c>
      <c r="S17" s="204">
        <v>168603823.58495644</v>
      </c>
    </row>
    <row r="18" spans="1:21" x14ac:dyDescent="0.2">
      <c r="A18" s="197"/>
      <c r="B18" s="197" t="s">
        <v>372</v>
      </c>
      <c r="G18" s="200"/>
      <c r="H18" s="211">
        <v>253160.03968637894</v>
      </c>
      <c r="L18" s="197"/>
      <c r="M18" s="197" t="s">
        <v>373</v>
      </c>
      <c r="S18" s="206">
        <v>77575414.015506595</v>
      </c>
    </row>
    <row r="19" spans="1:21" x14ac:dyDescent="0.2">
      <c r="A19" s="197"/>
      <c r="B19" s="197" t="s">
        <v>374</v>
      </c>
      <c r="G19" s="200"/>
      <c r="H19" s="210">
        <v>480340.19529860927</v>
      </c>
      <c r="L19" s="197"/>
      <c r="M19" s="197" t="s">
        <v>375</v>
      </c>
      <c r="S19" s="212" t="s">
        <v>376</v>
      </c>
      <c r="T19" s="213">
        <f>SUM($S$14:$S$18)</f>
        <v>1741407819.1531963</v>
      </c>
      <c r="U19" t="s">
        <v>377</v>
      </c>
    </row>
    <row r="20" spans="1:21" x14ac:dyDescent="0.2">
      <c r="A20" s="197"/>
      <c r="B20" s="197" t="s">
        <v>378</v>
      </c>
      <c r="G20" s="200"/>
      <c r="H20" s="205">
        <v>139202.48635634553</v>
      </c>
      <c r="L20" s="197"/>
      <c r="M20" s="197"/>
    </row>
    <row r="21" spans="1:21" x14ac:dyDescent="0.2">
      <c r="A21" s="197"/>
      <c r="B21" s="197"/>
      <c r="G21" s="200"/>
      <c r="L21" s="199" t="s">
        <v>379</v>
      </c>
      <c r="M21" s="197"/>
      <c r="S21" s="141"/>
    </row>
    <row r="22" spans="1:21" x14ac:dyDescent="0.2">
      <c r="A22" s="199" t="s">
        <v>380</v>
      </c>
      <c r="B22" s="197"/>
      <c r="G22" s="200"/>
      <c r="L22" s="197"/>
      <c r="M22" s="197" t="s">
        <v>381</v>
      </c>
      <c r="S22" s="204">
        <v>129369716.10612172</v>
      </c>
    </row>
    <row r="23" spans="1:21" x14ac:dyDescent="0.2">
      <c r="A23" s="197"/>
      <c r="B23" s="197" t="s">
        <v>382</v>
      </c>
      <c r="G23" s="200"/>
      <c r="H23" s="201">
        <f>SUM(raw_materials!$O$31:$O$35)</f>
        <v>0</v>
      </c>
      <c r="L23" s="197"/>
      <c r="M23" s="197" t="s">
        <v>383</v>
      </c>
      <c r="S23" s="204">
        <v>27722082.022740357</v>
      </c>
    </row>
    <row r="24" spans="1:21" x14ac:dyDescent="0.2">
      <c r="A24" s="197"/>
      <c r="B24" s="197" t="s">
        <v>384</v>
      </c>
      <c r="G24" s="200"/>
      <c r="H24" s="205">
        <f>SUM(raw_materials!$O$37:$O$41)</f>
        <v>0</v>
      </c>
      <c r="L24" s="197"/>
      <c r="M24" s="197" t="s">
        <v>385</v>
      </c>
      <c r="S24" s="206">
        <v>164554025.79614624</v>
      </c>
    </row>
    <row r="25" spans="1:21" x14ac:dyDescent="0.2">
      <c r="A25" s="197"/>
      <c r="B25" s="197"/>
      <c r="G25" s="200"/>
      <c r="L25" s="197"/>
      <c r="M25" s="197" t="s">
        <v>386</v>
      </c>
      <c r="S25" s="212" t="s">
        <v>376</v>
      </c>
      <c r="T25" s="213">
        <f>SUM($S$22:$S$24)</f>
        <v>321645823.9250083</v>
      </c>
      <c r="U25" t="s">
        <v>377</v>
      </c>
    </row>
    <row r="26" spans="1:21" x14ac:dyDescent="0.2">
      <c r="A26" s="199" t="s">
        <v>387</v>
      </c>
      <c r="B26" s="197"/>
      <c r="G26" s="200"/>
      <c r="L26" s="197"/>
      <c r="M26" s="197"/>
    </row>
    <row r="27" spans="1:21" x14ac:dyDescent="0.2">
      <c r="A27" s="197"/>
      <c r="B27" s="197" t="s">
        <v>388</v>
      </c>
      <c r="G27" s="200"/>
      <c r="H27" s="201">
        <f>SUMIF(facilities!$C$6:$C$15,"&gt;0",facilities!$C$6:$C$15)</f>
        <v>0</v>
      </c>
      <c r="L27" s="199" t="s">
        <v>389</v>
      </c>
      <c r="M27" s="197"/>
    </row>
    <row r="28" spans="1:21" x14ac:dyDescent="0.2">
      <c r="A28" s="197"/>
      <c r="B28" s="197" t="s">
        <v>390</v>
      </c>
      <c r="G28" s="200"/>
      <c r="H28" s="203">
        <f>SUMIF(facilities!$C$36:$C$106,"&gt;0",facilities!$C$36:$C$106)</f>
        <v>9000</v>
      </c>
      <c r="L28" s="197"/>
      <c r="M28" s="197" t="s">
        <v>391</v>
      </c>
      <c r="S28" s="202">
        <v>76789224</v>
      </c>
    </row>
    <row r="29" spans="1:21" x14ac:dyDescent="0.2">
      <c r="A29" s="197"/>
      <c r="B29" s="197" t="s">
        <v>392</v>
      </c>
      <c r="G29" s="200"/>
      <c r="H29" s="203">
        <f>SUMIF(facilities!$C$6:$C$15,"&lt;0",facilities!$C$6:$C$15)</f>
        <v>0</v>
      </c>
      <c r="L29" s="197"/>
      <c r="M29" s="197" t="s">
        <v>393</v>
      </c>
      <c r="S29" s="204">
        <v>27396603.517459579</v>
      </c>
    </row>
    <row r="30" spans="1:21" x14ac:dyDescent="0.2">
      <c r="A30" s="197"/>
      <c r="B30" s="197" t="s">
        <v>394</v>
      </c>
      <c r="G30" s="200"/>
      <c r="H30" s="205">
        <f>SUMIF(facilities!$C$36:$C$106,"&lt;0",facilities!$C$36:$C$106)</f>
        <v>0</v>
      </c>
      <c r="L30" s="197"/>
      <c r="M30" s="197" t="s">
        <v>395</v>
      </c>
      <c r="S30" s="204">
        <v>153546228.88567957</v>
      </c>
    </row>
    <row r="31" spans="1:21" x14ac:dyDescent="0.2">
      <c r="L31" s="197"/>
      <c r="M31" s="197" t="s">
        <v>396</v>
      </c>
      <c r="S31" s="206">
        <f>SUM(ORA!D138:O138)+SUM(POJ!D138:O138)+SUM(ROJ!D138:O138)+SUM(FCOJ!D138:O138)</f>
        <v>196873653.69218555</v>
      </c>
    </row>
    <row r="32" spans="1:21" x14ac:dyDescent="0.2">
      <c r="A32" s="199" t="s">
        <v>397</v>
      </c>
      <c r="B32" s="197"/>
      <c r="G32" s="200"/>
      <c r="L32" s="197"/>
      <c r="M32" s="197" t="s">
        <v>398</v>
      </c>
      <c r="S32" s="129" t="s">
        <v>376</v>
      </c>
      <c r="T32" s="213">
        <f>SUM($S$28:$S$31)</f>
        <v>454605710.0953247</v>
      </c>
      <c r="U32" t="s">
        <v>377</v>
      </c>
    </row>
    <row r="33" spans="1:21" x14ac:dyDescent="0.2">
      <c r="A33" s="197"/>
      <c r="B33" s="197" t="s">
        <v>399</v>
      </c>
      <c r="G33" s="200"/>
      <c r="H33" s="201">
        <f>COUNTIF(facilities!$H$6:$H$15,"=new")</f>
        <v>0</v>
      </c>
      <c r="M33" s="197"/>
    </row>
    <row r="34" spans="1:21" x14ac:dyDescent="0.2">
      <c r="A34" s="197"/>
      <c r="B34" s="197" t="s">
        <v>400</v>
      </c>
      <c r="G34" s="200"/>
      <c r="H34" s="203">
        <f>COUNTIF(facilities!$H$36:$H$106,"=new")</f>
        <v>0</v>
      </c>
      <c r="L34" s="199" t="s">
        <v>401</v>
      </c>
      <c r="M34" s="197"/>
    </row>
    <row r="35" spans="1:21" x14ac:dyDescent="0.2">
      <c r="B35" s="197" t="s">
        <v>18</v>
      </c>
      <c r="H35" s="205">
        <f>SUMIF(facilities!$C$21:$C$30,"&gt;0",facilities!$C$21:$C$30)</f>
        <v>0</v>
      </c>
      <c r="L35" s="197"/>
      <c r="M35" s="197" t="s">
        <v>402</v>
      </c>
      <c r="S35" s="202">
        <v>35085000</v>
      </c>
    </row>
    <row r="36" spans="1:21" x14ac:dyDescent="0.2">
      <c r="L36" s="197"/>
      <c r="M36" s="197" t="s">
        <v>403</v>
      </c>
      <c r="S36" s="204">
        <f>H33*12000000-H38*70/100*12000000</f>
        <v>0</v>
      </c>
    </row>
    <row r="37" spans="1:21" x14ac:dyDescent="0.2">
      <c r="A37" s="199" t="s">
        <v>404</v>
      </c>
      <c r="L37" s="197"/>
      <c r="M37" s="197" t="s">
        <v>405</v>
      </c>
      <c r="S37" s="204">
        <f>H27*8000+H29*70/100*8000</f>
        <v>0</v>
      </c>
    </row>
    <row r="38" spans="1:21" x14ac:dyDescent="0.2">
      <c r="B38" s="197" t="s">
        <v>399</v>
      </c>
      <c r="H38" s="201">
        <f>COUNTIF(facilities!$H$6:$H$15,"=sold")</f>
        <v>0</v>
      </c>
      <c r="L38" s="197"/>
      <c r="M38" s="197" t="s">
        <v>406</v>
      </c>
      <c r="S38" s="204">
        <v>68950000</v>
      </c>
    </row>
    <row r="39" spans="1:21" x14ac:dyDescent="0.2">
      <c r="B39" s="197" t="s">
        <v>400</v>
      </c>
      <c r="H39" s="203">
        <f>COUNTIF(facilities!$H$36:$H$106,"=sold")</f>
        <v>0</v>
      </c>
      <c r="L39" s="197"/>
      <c r="M39" s="197" t="s">
        <v>407</v>
      </c>
      <c r="S39" s="204">
        <f>H34*9000000-H39*80/100*9000000</f>
        <v>0</v>
      </c>
    </row>
    <row r="40" spans="1:21" x14ac:dyDescent="0.2">
      <c r="B40" s="197" t="s">
        <v>18</v>
      </c>
      <c r="H40" s="205">
        <f>-SUMIF(facilities!$C$21:$C$30,"&lt;0",facilities!$C$21:$C$30)</f>
        <v>0</v>
      </c>
      <c r="L40" s="197"/>
      <c r="M40" s="197" t="s">
        <v>408</v>
      </c>
      <c r="S40" s="204">
        <f>H28*6000+H30*80/100*6000</f>
        <v>54000000</v>
      </c>
    </row>
    <row r="41" spans="1:21" x14ac:dyDescent="0.2">
      <c r="L41" s="197"/>
      <c r="M41" s="197" t="s">
        <v>409</v>
      </c>
      <c r="S41" s="204">
        <v>21350</v>
      </c>
    </row>
    <row r="42" spans="1:21" x14ac:dyDescent="0.2">
      <c r="L42" s="197"/>
      <c r="M42" s="197" t="s">
        <v>410</v>
      </c>
      <c r="S42" s="206">
        <f>H35*100000-H40*60/100*100000</f>
        <v>0</v>
      </c>
    </row>
    <row r="43" spans="1:21" x14ac:dyDescent="0.2">
      <c r="L43" s="197"/>
      <c r="M43" s="197" t="s">
        <v>411</v>
      </c>
      <c r="S43" s="191" t="s">
        <v>376</v>
      </c>
      <c r="T43" s="213">
        <f>SUM($S$35:$S$42)</f>
        <v>158056350</v>
      </c>
      <c r="U43" t="s">
        <v>377</v>
      </c>
    </row>
    <row r="44" spans="1:21" x14ac:dyDescent="0.2">
      <c r="L44" s="197"/>
      <c r="S44" s="127"/>
    </row>
    <row r="45" spans="1:21" ht="14.25" thickBot="1" x14ac:dyDescent="0.3">
      <c r="L45" s="214" t="s">
        <v>412</v>
      </c>
      <c r="M45" s="197"/>
      <c r="T45" s="215">
        <f>$T$11-$T$19-$T$25-$T$32-$T$43</f>
        <v>-1635548398.6973102</v>
      </c>
    </row>
    <row r="46" spans="1:21" ht="13.5" thickTop="1" x14ac:dyDescent="0.2">
      <c r="M46" s="197"/>
    </row>
    <row r="316" spans="1:1" x14ac:dyDescent="0.2">
      <c r="A316" s="193"/>
    </row>
    <row r="317" spans="1:1" x14ac:dyDescent="0.2">
      <c r="A317" s="193"/>
    </row>
    <row r="318" spans="1:1" x14ac:dyDescent="0.2">
      <c r="A318" s="193"/>
    </row>
    <row r="319" spans="1:1" x14ac:dyDescent="0.2">
      <c r="A319" s="193"/>
    </row>
    <row r="320" spans="1:1" x14ac:dyDescent="0.2">
      <c r="A320" s="193"/>
    </row>
    <row r="321" spans="1:1" x14ac:dyDescent="0.2">
      <c r="A321" s="193"/>
    </row>
    <row r="322" spans="1:1" x14ac:dyDescent="0.2">
      <c r="A322" s="193"/>
    </row>
    <row r="323" spans="1:1" x14ac:dyDescent="0.2">
      <c r="A323" s="193"/>
    </row>
    <row r="325" spans="1:1" x14ac:dyDescent="0.2">
      <c r="A325" s="193"/>
    </row>
    <row r="326" spans="1:1" x14ac:dyDescent="0.2">
      <c r="A326" s="193"/>
    </row>
    <row r="327" spans="1:1" x14ac:dyDescent="0.2">
      <c r="A327" s="193"/>
    </row>
    <row r="328" spans="1:1" x14ac:dyDescent="0.2">
      <c r="A328" s="193"/>
    </row>
    <row r="329" spans="1:1" x14ac:dyDescent="0.2">
      <c r="A329" s="193"/>
    </row>
    <row r="330" spans="1:1" x14ac:dyDescent="0.2">
      <c r="A330" s="193"/>
    </row>
    <row r="331" spans="1:1" x14ac:dyDescent="0.2">
      <c r="A331" s="193"/>
    </row>
    <row r="332" spans="1:1" x14ac:dyDescent="0.2">
      <c r="A332" s="193"/>
    </row>
    <row r="334" spans="1:1" x14ac:dyDescent="0.2">
      <c r="A334" s="193"/>
    </row>
    <row r="335" spans="1:1" x14ac:dyDescent="0.2">
      <c r="A335" s="193"/>
    </row>
    <row r="336" spans="1:1" x14ac:dyDescent="0.2">
      <c r="A336" s="193"/>
    </row>
    <row r="337" spans="1:1" x14ac:dyDescent="0.2">
      <c r="A337" s="193"/>
    </row>
    <row r="338" spans="1:1" x14ac:dyDescent="0.2">
      <c r="A338" s="193"/>
    </row>
    <row r="339" spans="1:1" x14ac:dyDescent="0.2">
      <c r="A339" s="193"/>
    </row>
    <row r="340" spans="1:1" x14ac:dyDescent="0.2">
      <c r="A340" s="193"/>
    </row>
    <row r="341" spans="1:1" x14ac:dyDescent="0.2">
      <c r="A341" s="193"/>
    </row>
    <row r="343" spans="1:1" x14ac:dyDescent="0.2">
      <c r="A343" s="193"/>
    </row>
    <row r="344" spans="1:1" x14ac:dyDescent="0.2">
      <c r="A344" s="193"/>
    </row>
    <row r="345" spans="1:1" x14ac:dyDescent="0.2">
      <c r="A345" s="193"/>
    </row>
    <row r="346" spans="1:1" x14ac:dyDescent="0.2">
      <c r="A346" s="193"/>
    </row>
    <row r="347" spans="1:1" x14ac:dyDescent="0.2">
      <c r="A347" s="193"/>
    </row>
    <row r="348" spans="1:1" x14ac:dyDescent="0.2">
      <c r="A348" s="193"/>
    </row>
    <row r="349" spans="1:1" x14ac:dyDescent="0.2">
      <c r="A349" s="193"/>
    </row>
    <row r="350" spans="1:1" x14ac:dyDescent="0.2">
      <c r="A350" s="193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topLeftCell="A25" workbookViewId="0">
      <selection activeCell="C38" sqref="C38:AX43"/>
    </sheetView>
  </sheetViews>
  <sheetFormatPr defaultRowHeight="12.75" x14ac:dyDescent="0.2"/>
  <cols>
    <col min="1" max="1" width="4.7109375" customWidth="1"/>
    <col min="2" max="2" width="15.7109375" customWidth="1"/>
  </cols>
  <sheetData>
    <row r="2" spans="2:14" x14ac:dyDescent="0.2">
      <c r="B2" s="1" t="s">
        <v>314</v>
      </c>
    </row>
    <row r="3" spans="2:14" x14ac:dyDescent="0.2">
      <c r="B3" s="120" t="s">
        <v>315</v>
      </c>
    </row>
    <row r="4" spans="2:14" x14ac:dyDescent="0.2">
      <c r="B4" s="186" t="s">
        <v>91</v>
      </c>
      <c r="C4" s="186" t="s">
        <v>92</v>
      </c>
      <c r="D4" s="186" t="s">
        <v>93</v>
      </c>
      <c r="E4" s="186" t="s">
        <v>94</v>
      </c>
      <c r="F4" s="186" t="s">
        <v>95</v>
      </c>
      <c r="G4" s="186" t="s">
        <v>96</v>
      </c>
      <c r="H4" s="186" t="s">
        <v>97</v>
      </c>
      <c r="I4" s="186" t="s">
        <v>98</v>
      </c>
      <c r="J4" s="186" t="s">
        <v>99</v>
      </c>
      <c r="K4" s="186" t="s">
        <v>100</v>
      </c>
      <c r="L4" s="186" t="s">
        <v>101</v>
      </c>
      <c r="M4" s="186" t="s">
        <v>102</v>
      </c>
      <c r="N4" s="186" t="s">
        <v>103</v>
      </c>
    </row>
    <row r="5" spans="2:14" x14ac:dyDescent="0.2">
      <c r="B5" s="187" t="s">
        <v>104</v>
      </c>
      <c r="C5">
        <v>0.67670174498816882</v>
      </c>
      <c r="D5">
        <v>0.74290452032766141</v>
      </c>
      <c r="E5">
        <v>0.59855849659648741</v>
      </c>
      <c r="F5">
        <v>0.62957278046092768</v>
      </c>
      <c r="G5">
        <v>0.71138113914452361</v>
      </c>
      <c r="H5">
        <v>0.58628191449034328</v>
      </c>
      <c r="I5">
        <v>0.54592631121618229</v>
      </c>
      <c r="J5">
        <v>0.5623596987350078</v>
      </c>
      <c r="K5">
        <v>0.73945754923335638</v>
      </c>
      <c r="L5">
        <v>0.68535777772485396</v>
      </c>
      <c r="M5">
        <v>0.54686564976867413</v>
      </c>
      <c r="N5">
        <v>0.61706205897451516</v>
      </c>
    </row>
    <row r="6" spans="2:14" x14ac:dyDescent="0.2">
      <c r="B6" s="187" t="s">
        <v>105</v>
      </c>
      <c r="C6">
        <v>0.66175755220380095</v>
      </c>
      <c r="D6">
        <v>0.66204038149188926</v>
      </c>
      <c r="E6">
        <v>0.6511136981294241</v>
      </c>
      <c r="F6">
        <v>0.78274737593397614</v>
      </c>
      <c r="G6">
        <v>0.73090598113644611</v>
      </c>
      <c r="H6">
        <v>0.68969724461558413</v>
      </c>
      <c r="I6">
        <v>0.717661923739081</v>
      </c>
      <c r="J6">
        <v>0.73937970858354707</v>
      </c>
      <c r="K6">
        <v>0.74190175755453625</v>
      </c>
      <c r="L6">
        <v>0.67697559124819962</v>
      </c>
      <c r="M6">
        <v>0.6555448590387879</v>
      </c>
      <c r="N6">
        <v>0.64236884749810363</v>
      </c>
    </row>
    <row r="7" spans="2:14" x14ac:dyDescent="0.2">
      <c r="B7" s="187" t="s">
        <v>106</v>
      </c>
      <c r="C7">
        <v>0.72214846315789782</v>
      </c>
      <c r="D7">
        <v>0.77805326038331712</v>
      </c>
      <c r="E7">
        <v>0.78218700807726682</v>
      </c>
      <c r="F7">
        <v>0.77746503740738127</v>
      </c>
      <c r="G7">
        <v>0.75289990330657364</v>
      </c>
      <c r="H7">
        <v>0.77213661154132829</v>
      </c>
      <c r="I7">
        <v>0.77288489076499212</v>
      </c>
      <c r="J7">
        <v>0.74002451156439097</v>
      </c>
      <c r="K7">
        <v>0.75223581254773253</v>
      </c>
      <c r="L7">
        <v>0.75299292367258974</v>
      </c>
      <c r="M7">
        <v>0.76153021809445876</v>
      </c>
      <c r="N7">
        <v>0.77266832317953571</v>
      </c>
    </row>
    <row r="8" spans="2:14" x14ac:dyDescent="0.2">
      <c r="B8" s="187" t="s">
        <v>107</v>
      </c>
      <c r="C8">
        <v>0.75187877121550761</v>
      </c>
      <c r="D8">
        <v>0.70162403409005647</v>
      </c>
      <c r="E8">
        <v>0.71390457924782713</v>
      </c>
      <c r="F8">
        <v>0.79739139839727213</v>
      </c>
      <c r="G8">
        <v>0.74158316550351799</v>
      </c>
      <c r="H8">
        <v>0.68947077330577877</v>
      </c>
      <c r="I8">
        <v>0.70092202933776115</v>
      </c>
      <c r="J8">
        <v>0.70713298564527138</v>
      </c>
      <c r="K8">
        <v>0.72908254821772001</v>
      </c>
      <c r="L8">
        <v>0.72019637943165604</v>
      </c>
      <c r="M8">
        <v>0.71116778317446439</v>
      </c>
      <c r="N8">
        <v>0.75608054893813192</v>
      </c>
    </row>
    <row r="9" spans="2:14" x14ac:dyDescent="0.2">
      <c r="B9" s="187" t="s">
        <v>108</v>
      </c>
      <c r="C9">
        <v>2.0250967359542846</v>
      </c>
      <c r="D9">
        <v>2.1060409104824065</v>
      </c>
      <c r="E9">
        <v>2.0671329474449158</v>
      </c>
      <c r="F9">
        <v>2.0908331549167634</v>
      </c>
      <c r="G9">
        <v>2.0425535774230958</v>
      </c>
      <c r="H9">
        <v>2.0876791751384736</v>
      </c>
      <c r="I9">
        <v>2.0451917862892151</v>
      </c>
      <c r="J9">
        <v>2.0127357399463652</v>
      </c>
      <c r="K9">
        <v>2.0336085176467895</v>
      </c>
      <c r="L9">
        <v>2.0692262685298921</v>
      </c>
      <c r="M9">
        <v>2.0614147639274596</v>
      </c>
      <c r="N9">
        <v>2.1064740335941314</v>
      </c>
    </row>
    <row r="10" spans="2:14" x14ac:dyDescent="0.2">
      <c r="B10" s="187" t="s">
        <v>109</v>
      </c>
      <c r="C10">
        <v>0.64017195701599128</v>
      </c>
      <c r="D10">
        <v>0.64120098948478699</v>
      </c>
      <c r="E10">
        <v>0.63549548387527466</v>
      </c>
      <c r="F10">
        <v>0.67921722531318662</v>
      </c>
      <c r="G10">
        <v>0.61198632717132573</v>
      </c>
      <c r="H10">
        <v>0.69062604308128361</v>
      </c>
      <c r="I10">
        <v>0.61761583089828498</v>
      </c>
      <c r="J10">
        <v>0.66666966080665591</v>
      </c>
      <c r="K10">
        <v>0.67318859100341799</v>
      </c>
      <c r="L10">
        <v>0.66134054064750669</v>
      </c>
      <c r="M10">
        <v>0.66750847101211552</v>
      </c>
      <c r="N10">
        <v>0.65588334202766418</v>
      </c>
    </row>
    <row r="11" spans="2:14" x14ac:dyDescent="0.2">
      <c r="B11" s="188"/>
      <c r="C11" s="119"/>
      <c r="D11" s="119"/>
      <c r="E11" s="119"/>
      <c r="F11" s="119"/>
      <c r="G11" s="119"/>
    </row>
    <row r="12" spans="2:14" x14ac:dyDescent="0.2">
      <c r="B12" s="121" t="s">
        <v>316</v>
      </c>
      <c r="C12" s="119"/>
      <c r="D12" s="119"/>
      <c r="E12" s="119"/>
      <c r="F12" s="119"/>
      <c r="G12" s="119"/>
    </row>
    <row r="13" spans="2:14" x14ac:dyDescent="0.2">
      <c r="B13" s="187" t="s">
        <v>317</v>
      </c>
      <c r="C13" s="187" t="s">
        <v>92</v>
      </c>
      <c r="D13" s="187" t="s">
        <v>93</v>
      </c>
      <c r="E13" s="186" t="s">
        <v>94</v>
      </c>
      <c r="F13" s="186" t="s">
        <v>95</v>
      </c>
      <c r="G13" s="186" t="s">
        <v>96</v>
      </c>
      <c r="H13" s="186" t="s">
        <v>97</v>
      </c>
      <c r="I13" s="186" t="s">
        <v>98</v>
      </c>
      <c r="J13" s="186" t="s">
        <v>99</v>
      </c>
      <c r="K13" s="186" t="s">
        <v>100</v>
      </c>
      <c r="L13" s="186" t="s">
        <v>101</v>
      </c>
      <c r="M13" s="186" t="s">
        <v>102</v>
      </c>
      <c r="N13" s="186" t="s">
        <v>103</v>
      </c>
    </row>
    <row r="14" spans="2:14" x14ac:dyDescent="0.2">
      <c r="B14" s="186" t="s">
        <v>318</v>
      </c>
      <c r="C14" s="119">
        <v>0.36786274389733636</v>
      </c>
      <c r="D14" s="119">
        <v>0.36922820390590155</v>
      </c>
      <c r="E14" s="119">
        <v>0.37058982175950167</v>
      </c>
      <c r="F14" s="119">
        <v>0.37194376611429353</v>
      </c>
      <c r="G14" s="119">
        <v>0.3732862272182576</v>
      </c>
      <c r="H14">
        <v>0.37461342763114397</v>
      </c>
      <c r="I14">
        <v>0.37592163285349883</v>
      </c>
      <c r="J14">
        <v>0.3772071618348638</v>
      </c>
      <c r="K14">
        <v>0.37846639733157933</v>
      </c>
      <c r="L14">
        <v>0.37969579608504683</v>
      </c>
      <c r="M14">
        <v>0.38089189879181196</v>
      </c>
      <c r="N14">
        <v>0.38205133983741152</v>
      </c>
    </row>
    <row r="15" spans="2:14" x14ac:dyDescent="0.2">
      <c r="B15" s="186" t="s">
        <v>319</v>
      </c>
      <c r="C15">
        <v>1.1693814261380255</v>
      </c>
      <c r="D15">
        <v>1.1724818518861759</v>
      </c>
      <c r="E15">
        <v>1.1755735536027858</v>
      </c>
      <c r="F15">
        <v>1.1786478318041449</v>
      </c>
      <c r="G15">
        <v>1.1816960360331317</v>
      </c>
      <c r="H15">
        <v>1.1847095892000183</v>
      </c>
      <c r="I15">
        <v>1.1876800117168347</v>
      </c>
      <c r="J15">
        <v>1.190598945357378</v>
      </c>
      <c r="K15">
        <v>1.1934581767757364</v>
      </c>
      <c r="L15">
        <v>1.1962496606171418</v>
      </c>
      <c r="M15">
        <v>1.1989655421561285</v>
      </c>
      <c r="N15">
        <v>1.2015981793982962</v>
      </c>
    </row>
    <row r="16" spans="2:14" x14ac:dyDescent="0.2">
      <c r="B16" s="119"/>
    </row>
    <row r="17" spans="2:14" x14ac:dyDescent="0.2">
      <c r="B17" s="120" t="s">
        <v>320</v>
      </c>
    </row>
    <row r="18" spans="2:14" x14ac:dyDescent="0.2">
      <c r="B18" s="118" t="s">
        <v>91</v>
      </c>
      <c r="C18" s="118" t="s">
        <v>92</v>
      </c>
      <c r="D18" s="118" t="s">
        <v>93</v>
      </c>
      <c r="E18" s="118" t="s">
        <v>94</v>
      </c>
      <c r="F18" s="118" t="s">
        <v>95</v>
      </c>
      <c r="G18" s="118" t="s">
        <v>96</v>
      </c>
      <c r="H18" s="118" t="s">
        <v>97</v>
      </c>
      <c r="I18" s="118" t="s">
        <v>98</v>
      </c>
      <c r="J18" s="118" t="s">
        <v>99</v>
      </c>
      <c r="K18" s="118" t="s">
        <v>100</v>
      </c>
      <c r="L18" s="118" t="s">
        <v>101</v>
      </c>
      <c r="M18" s="118" t="s">
        <v>102</v>
      </c>
      <c r="N18" s="118" t="s">
        <v>103</v>
      </c>
    </row>
    <row r="19" spans="2:14" x14ac:dyDescent="0.2">
      <c r="B19" s="189" t="s">
        <v>104</v>
      </c>
      <c r="C19">
        <f>C5</f>
        <v>0.67670174498816882</v>
      </c>
      <c r="D19">
        <f t="shared" ref="D19:N20" si="0">D5</f>
        <v>0.74290452032766141</v>
      </c>
      <c r="E19">
        <f t="shared" si="0"/>
        <v>0.59855849659648741</v>
      </c>
      <c r="F19">
        <f t="shared" si="0"/>
        <v>0.62957278046092768</v>
      </c>
      <c r="G19">
        <f t="shared" si="0"/>
        <v>0.71138113914452361</v>
      </c>
      <c r="H19">
        <f t="shared" si="0"/>
        <v>0.58628191449034328</v>
      </c>
      <c r="I19">
        <f t="shared" si="0"/>
        <v>0.54592631121618229</v>
      </c>
      <c r="J19">
        <f t="shared" si="0"/>
        <v>0.5623596987350078</v>
      </c>
      <c r="K19">
        <f t="shared" si="0"/>
        <v>0.73945754923335638</v>
      </c>
      <c r="L19">
        <f t="shared" si="0"/>
        <v>0.68535777772485396</v>
      </c>
      <c r="M19">
        <f t="shared" si="0"/>
        <v>0.54686564976867413</v>
      </c>
      <c r="N19">
        <f t="shared" si="0"/>
        <v>0.61706205897451516</v>
      </c>
    </row>
    <row r="20" spans="2:14" x14ac:dyDescent="0.2">
      <c r="B20" s="189" t="s">
        <v>105</v>
      </c>
      <c r="C20">
        <f>C6</f>
        <v>0.66175755220380095</v>
      </c>
      <c r="D20">
        <f t="shared" si="0"/>
        <v>0.66204038149188926</v>
      </c>
      <c r="E20">
        <f t="shared" si="0"/>
        <v>0.6511136981294241</v>
      </c>
      <c r="F20">
        <f t="shared" si="0"/>
        <v>0.78274737593397614</v>
      </c>
      <c r="G20">
        <f t="shared" si="0"/>
        <v>0.73090598113644611</v>
      </c>
      <c r="H20">
        <f t="shared" si="0"/>
        <v>0.68969724461558413</v>
      </c>
      <c r="I20">
        <f t="shared" si="0"/>
        <v>0.717661923739081</v>
      </c>
      <c r="J20">
        <f t="shared" si="0"/>
        <v>0.73937970858354707</v>
      </c>
      <c r="K20">
        <f t="shared" si="0"/>
        <v>0.74190175755453625</v>
      </c>
      <c r="L20">
        <f t="shared" si="0"/>
        <v>0.67697559124819962</v>
      </c>
      <c r="M20">
        <f t="shared" si="0"/>
        <v>0.6555448590387879</v>
      </c>
      <c r="N20">
        <f t="shared" si="0"/>
        <v>0.64236884749810363</v>
      </c>
    </row>
    <row r="21" spans="2:14" x14ac:dyDescent="0.2">
      <c r="B21" s="189" t="s">
        <v>106</v>
      </c>
      <c r="C21">
        <f t="shared" ref="C21:N22" si="1">C7</f>
        <v>0.72214846315789782</v>
      </c>
      <c r="D21">
        <f t="shared" si="1"/>
        <v>0.77805326038331712</v>
      </c>
      <c r="E21">
        <f t="shared" si="1"/>
        <v>0.78218700807726682</v>
      </c>
      <c r="F21">
        <f t="shared" si="1"/>
        <v>0.77746503740738127</v>
      </c>
      <c r="G21">
        <f t="shared" si="1"/>
        <v>0.75289990330657364</v>
      </c>
      <c r="H21">
        <f t="shared" si="1"/>
        <v>0.77213661154132829</v>
      </c>
      <c r="I21">
        <f t="shared" si="1"/>
        <v>0.77288489076499212</v>
      </c>
      <c r="J21">
        <f t="shared" si="1"/>
        <v>0.74002451156439097</v>
      </c>
      <c r="K21">
        <f t="shared" si="1"/>
        <v>0.75223581254773253</v>
      </c>
      <c r="L21">
        <f t="shared" si="1"/>
        <v>0.75299292367258974</v>
      </c>
      <c r="M21">
        <f t="shared" si="1"/>
        <v>0.76153021809445876</v>
      </c>
      <c r="N21">
        <f t="shared" si="1"/>
        <v>0.77266832317953571</v>
      </c>
    </row>
    <row r="22" spans="2:14" x14ac:dyDescent="0.2">
      <c r="B22" s="189" t="s">
        <v>107</v>
      </c>
      <c r="C22">
        <f t="shared" si="1"/>
        <v>0.75187877121550761</v>
      </c>
      <c r="D22">
        <f t="shared" si="1"/>
        <v>0.70162403409005647</v>
      </c>
      <c r="E22">
        <f t="shared" si="1"/>
        <v>0.71390457924782713</v>
      </c>
      <c r="F22">
        <f t="shared" si="1"/>
        <v>0.79739139839727213</v>
      </c>
      <c r="G22">
        <f t="shared" si="1"/>
        <v>0.74158316550351799</v>
      </c>
      <c r="H22">
        <f t="shared" si="1"/>
        <v>0.68947077330577877</v>
      </c>
      <c r="I22">
        <f t="shared" si="1"/>
        <v>0.70092202933776115</v>
      </c>
      <c r="J22">
        <f t="shared" si="1"/>
        <v>0.70713298564527138</v>
      </c>
      <c r="K22">
        <f t="shared" si="1"/>
        <v>0.72908254821772001</v>
      </c>
      <c r="L22">
        <f t="shared" si="1"/>
        <v>0.72019637943165604</v>
      </c>
      <c r="M22">
        <f t="shared" si="1"/>
        <v>0.71116778317446439</v>
      </c>
      <c r="N22">
        <f t="shared" si="1"/>
        <v>0.75608054893813192</v>
      </c>
    </row>
    <row r="23" spans="2:14" x14ac:dyDescent="0.2">
      <c r="B23" s="189" t="s">
        <v>108</v>
      </c>
      <c r="C23">
        <f>C9*C14</f>
        <v>0.74495764194568281</v>
      </c>
      <c r="D23">
        <f t="shared" ref="D23:N24" si="2">D9*D14</f>
        <v>0.77760970272976859</v>
      </c>
      <c r="E23">
        <f t="shared" si="2"/>
        <v>0.76605843054680467</v>
      </c>
      <c r="F23">
        <f t="shared" si="2"/>
        <v>0.77767235795637113</v>
      </c>
      <c r="G23">
        <f t="shared" si="2"/>
        <v>0.76245711880742273</v>
      </c>
      <c r="H23">
        <f t="shared" si="2"/>
        <v>0.78207265159278294</v>
      </c>
      <c r="I23">
        <f t="shared" si="2"/>
        <v>0.76883183580040571</v>
      </c>
      <c r="J23">
        <f t="shared" si="2"/>
        <v>0.75921833598876298</v>
      </c>
      <c r="K23">
        <f t="shared" si="2"/>
        <v>0.76965248925659391</v>
      </c>
      <c r="L23">
        <f t="shared" si="2"/>
        <v>0.7856765153095483</v>
      </c>
      <c r="M23">
        <f t="shared" si="2"/>
        <v>0.7851761836298049</v>
      </c>
      <c r="N23">
        <f t="shared" si="2"/>
        <v>0.80478122686735454</v>
      </c>
    </row>
    <row r="24" spans="2:14" x14ac:dyDescent="0.2">
      <c r="B24" s="189" t="s">
        <v>109</v>
      </c>
      <c r="C24">
        <f>C10*C15</f>
        <v>0.74860519606893061</v>
      </c>
      <c r="D24">
        <f t="shared" si="2"/>
        <v>0.75179652358237148</v>
      </c>
      <c r="E24">
        <f t="shared" si="2"/>
        <v>0.74707168427777848</v>
      </c>
      <c r="F24">
        <f t="shared" si="2"/>
        <v>0.80055790993941478</v>
      </c>
      <c r="G24">
        <f t="shared" si="2"/>
        <v>0.72318181692483086</v>
      </c>
      <c r="H24">
        <f t="shared" si="2"/>
        <v>0.81819129578966165</v>
      </c>
      <c r="I24">
        <f t="shared" si="2"/>
        <v>0.73352997727777769</v>
      </c>
      <c r="J24">
        <f t="shared" si="2"/>
        <v>0.79373619505816539</v>
      </c>
      <c r="K24">
        <f t="shared" si="2"/>
        <v>0.80342242844516609</v>
      </c>
      <c r="L24">
        <f t="shared" si="2"/>
        <v>0.79112839730193696</v>
      </c>
      <c r="M24">
        <f t="shared" si="2"/>
        <v>0.80031965584084952</v>
      </c>
      <c r="N24">
        <f t="shared" si="2"/>
        <v>0.78810822967811123</v>
      </c>
    </row>
    <row r="25" spans="2:14" x14ac:dyDescent="0.2">
      <c r="B25" s="188"/>
    </row>
    <row r="26" spans="2:14" x14ac:dyDescent="0.2">
      <c r="B26" s="121" t="s">
        <v>321</v>
      </c>
    </row>
    <row r="27" spans="2:14" x14ac:dyDescent="0.2">
      <c r="B27" s="118" t="s">
        <v>322</v>
      </c>
      <c r="C27" s="118" t="s">
        <v>92</v>
      </c>
      <c r="D27" s="118" t="s">
        <v>93</v>
      </c>
      <c r="E27" s="118" t="s">
        <v>94</v>
      </c>
      <c r="F27" s="118" t="s">
        <v>95</v>
      </c>
      <c r="G27" s="118" t="s">
        <v>96</v>
      </c>
      <c r="H27" s="118" t="s">
        <v>97</v>
      </c>
      <c r="I27" s="118" t="s">
        <v>98</v>
      </c>
      <c r="J27" s="118" t="s">
        <v>99</v>
      </c>
      <c r="K27" s="118" t="s">
        <v>100</v>
      </c>
      <c r="L27" s="118" t="s">
        <v>101</v>
      </c>
      <c r="M27" s="118" t="s">
        <v>102</v>
      </c>
      <c r="N27" s="118" t="s">
        <v>103</v>
      </c>
    </row>
    <row r="28" spans="2:14" x14ac:dyDescent="0.2">
      <c r="B28" s="118" t="s">
        <v>104</v>
      </c>
      <c r="C28">
        <f>IF(C19&lt;=raw_materials!$D17,raw_materials!$C17,IF(C19&lt;=raw_materials!$F17,raw_materials!$E17,IF(C19&lt;=raw_materials!$H17,raw_materials!$G17,0)))</f>
        <v>1</v>
      </c>
      <c r="D28">
        <f>IF(D19&lt;=raw_materials!$D17,raw_materials!$C17,IF(D19&lt;=raw_materials!$F17,raw_materials!$E17,IF(D19&lt;=raw_materials!$H17,raw_materials!$G17,0)))</f>
        <v>1</v>
      </c>
      <c r="E28">
        <f>IF(E19&lt;=raw_materials!$D17,raw_materials!$C17,IF(E19&lt;=raw_materials!$F17,raw_materials!$E17,IF(E19&lt;=raw_materials!$H17,raw_materials!$G17,0)))</f>
        <v>1</v>
      </c>
      <c r="F28">
        <f>IF(F19&lt;=raw_materials!$D17,raw_materials!$C17,IF(F19&lt;=raw_materials!$F17,raw_materials!$E17,IF(F19&lt;=raw_materials!$H17,raw_materials!$G17,0)))</f>
        <v>1</v>
      </c>
      <c r="G28">
        <f>IF(G19&lt;=raw_materials!$D17,raw_materials!$C17,IF(G19&lt;=raw_materials!$F17,raw_materials!$E17,IF(G19&lt;=raw_materials!$H17,raw_materials!$G17,0)))</f>
        <v>1</v>
      </c>
      <c r="H28">
        <f>IF(H19&lt;=raw_materials!$D17,raw_materials!$C17,IF(H19&lt;=raw_materials!$F17,raw_materials!$E17,IF(H19&lt;=raw_materials!$H17,raw_materials!$G17,0)))</f>
        <v>1</v>
      </c>
      <c r="I28">
        <f>IF(I19&lt;=raw_materials!$D17,raw_materials!$C17,IF(I19&lt;=raw_materials!$F17,raw_materials!$E17,IF(I19&lt;=raw_materials!$H17,raw_materials!$G17,0)))</f>
        <v>1</v>
      </c>
      <c r="J28">
        <f>IF(J19&lt;=raw_materials!$D17,raw_materials!$C17,IF(J19&lt;=raw_materials!$F17,raw_materials!$E17,IF(J19&lt;=raw_materials!$H17,raw_materials!$G17,0)))</f>
        <v>1</v>
      </c>
      <c r="K28">
        <f>IF(K19&lt;=raw_materials!$D17,raw_materials!$C17,IF(K19&lt;=raw_materials!$F17,raw_materials!$E17,IF(K19&lt;=raw_materials!$H17,raw_materials!$G17,0)))</f>
        <v>1</v>
      </c>
      <c r="L28">
        <f>IF(L19&lt;=raw_materials!$D17,raw_materials!$C17,IF(L19&lt;=raw_materials!$F17,raw_materials!$E17,IF(L19&lt;=raw_materials!$H17,raw_materials!$G17,0)))</f>
        <v>1</v>
      </c>
      <c r="M28">
        <f>IF(M19&lt;=raw_materials!$D17,raw_materials!$C17,IF(M19&lt;=raw_materials!$F17,raw_materials!$E17,IF(M19&lt;=raw_materials!$H17,raw_materials!$G17,0)))</f>
        <v>1</v>
      </c>
      <c r="N28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18" t="s">
        <v>105</v>
      </c>
      <c r="C29">
        <f>IF(C20&lt;=raw_materials!$D18,raw_materials!$C18,IF(C20&lt;=raw_materials!$F18,raw_materials!$E18,IF(C20&lt;=raw_materials!$H18,raw_materials!$G18,0)))</f>
        <v>1</v>
      </c>
      <c r="D29">
        <f>IF(D20&lt;=raw_materials!$D18,raw_materials!$C18,IF(D20&lt;=raw_materials!$F18,raw_materials!$E18,IF(D20&lt;=raw_materials!$H18,raw_materials!$G18,0)))</f>
        <v>1</v>
      </c>
      <c r="E29">
        <f>IF(E20&lt;=raw_materials!$D18,raw_materials!$C18,IF(E20&lt;=raw_materials!$F18,raw_materials!$E18,IF(E20&lt;=raw_materials!$H18,raw_materials!$G18,0)))</f>
        <v>1</v>
      </c>
      <c r="F29">
        <f>IF(F20&lt;=raw_materials!$D18,raw_materials!$C18,IF(F20&lt;=raw_materials!$F18,raw_materials!$E18,IF(F20&lt;=raw_materials!$H18,raw_materials!$G18,0)))</f>
        <v>1</v>
      </c>
      <c r="G29">
        <f>IF(G20&lt;=raw_materials!$D18,raw_materials!$C18,IF(G20&lt;=raw_materials!$F18,raw_materials!$E18,IF(G20&lt;=raw_materials!$H18,raw_materials!$G18,0)))</f>
        <v>1</v>
      </c>
      <c r="H29">
        <f>IF(H20&lt;=raw_materials!$D18,raw_materials!$C18,IF(H20&lt;=raw_materials!$F18,raw_materials!$E18,IF(H20&lt;=raw_materials!$H18,raw_materials!$G18,0)))</f>
        <v>1</v>
      </c>
      <c r="I29">
        <f>IF(I20&lt;=raw_materials!$D18,raw_materials!$C18,IF(I20&lt;=raw_materials!$F18,raw_materials!$E18,IF(I20&lt;=raw_materials!$H18,raw_materials!$G18,0)))</f>
        <v>1</v>
      </c>
      <c r="J29">
        <f>IF(J20&lt;=raw_materials!$D18,raw_materials!$C18,IF(J20&lt;=raw_materials!$F18,raw_materials!$E18,IF(J20&lt;=raw_materials!$H18,raw_materials!$G18,0)))</f>
        <v>1</v>
      </c>
      <c r="K29">
        <f>IF(K20&lt;=raw_materials!$D18,raw_materials!$C18,IF(K20&lt;=raw_materials!$F18,raw_materials!$E18,IF(K20&lt;=raw_materials!$H18,raw_materials!$G18,0)))</f>
        <v>1</v>
      </c>
      <c r="L29">
        <f>IF(L20&lt;=raw_materials!$D18,raw_materials!$C18,IF(L20&lt;=raw_materials!$F18,raw_materials!$E18,IF(L20&lt;=raw_materials!$H18,raw_materials!$G18,0)))</f>
        <v>1</v>
      </c>
      <c r="M29">
        <f>IF(M20&lt;=raw_materials!$D18,raw_materials!$C18,IF(M20&lt;=raw_materials!$F18,raw_materials!$E18,IF(M20&lt;=raw_materials!$H18,raw_materials!$G18,0)))</f>
        <v>1</v>
      </c>
      <c r="N29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18" t="s">
        <v>106</v>
      </c>
      <c r="C30">
        <f>IF(C21&lt;=raw_materials!$D19,raw_materials!$C19,IF(C21&lt;=raw_materials!$F19,raw_materials!$E19,IF(C21&lt;=raw_materials!$H19,raw_materials!$G19,0)))</f>
        <v>1</v>
      </c>
      <c r="D30">
        <f>IF(D21&lt;=raw_materials!$D19,raw_materials!$C19,IF(D21&lt;=raw_materials!$F19,raw_materials!$E19,IF(D21&lt;=raw_materials!$H19,raw_materials!$G19,0)))</f>
        <v>1</v>
      </c>
      <c r="E30">
        <f>IF(E21&lt;=raw_materials!$D19,raw_materials!$C19,IF(E21&lt;=raw_materials!$F19,raw_materials!$E19,IF(E21&lt;=raw_materials!$H19,raw_materials!$G19,0)))</f>
        <v>1</v>
      </c>
      <c r="F30">
        <f>IF(F21&lt;=raw_materials!$D19,raw_materials!$C19,IF(F21&lt;=raw_materials!$F19,raw_materials!$E19,IF(F21&lt;=raw_materials!$H19,raw_materials!$G19,0)))</f>
        <v>1</v>
      </c>
      <c r="G30">
        <f>IF(G21&lt;=raw_materials!$D19,raw_materials!$C19,IF(G21&lt;=raw_materials!$F19,raw_materials!$E19,IF(G21&lt;=raw_materials!$H19,raw_materials!$G19,0)))</f>
        <v>1</v>
      </c>
      <c r="H30">
        <f>IF(H21&lt;=raw_materials!$D19,raw_materials!$C19,IF(H21&lt;=raw_materials!$F19,raw_materials!$E19,IF(H21&lt;=raw_materials!$H19,raw_materials!$G19,0)))</f>
        <v>1</v>
      </c>
      <c r="I30">
        <f>IF(I21&lt;=raw_materials!$D19,raw_materials!$C19,IF(I21&lt;=raw_materials!$F19,raw_materials!$E19,IF(I21&lt;=raw_materials!$H19,raw_materials!$G19,0)))</f>
        <v>1</v>
      </c>
      <c r="J30">
        <f>IF(J21&lt;=raw_materials!$D19,raw_materials!$C19,IF(J21&lt;=raw_materials!$F19,raw_materials!$E19,IF(J21&lt;=raw_materials!$H19,raw_materials!$G19,0)))</f>
        <v>1</v>
      </c>
      <c r="K30">
        <f>IF(K21&lt;=raw_materials!$D19,raw_materials!$C19,IF(K21&lt;=raw_materials!$F19,raw_materials!$E19,IF(K21&lt;=raw_materials!$H19,raw_materials!$G19,0)))</f>
        <v>1</v>
      </c>
      <c r="L30">
        <f>IF(L21&lt;=raw_materials!$D19,raw_materials!$C19,IF(L21&lt;=raw_materials!$F19,raw_materials!$E19,IF(L21&lt;=raw_materials!$H19,raw_materials!$G19,0)))</f>
        <v>1</v>
      </c>
      <c r="M30">
        <f>IF(M21&lt;=raw_materials!$D19,raw_materials!$C19,IF(M21&lt;=raw_materials!$F19,raw_materials!$E19,IF(M21&lt;=raw_materials!$H19,raw_materials!$G19,0)))</f>
        <v>1</v>
      </c>
      <c r="N30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18" t="s">
        <v>107</v>
      </c>
      <c r="C31">
        <f>IF(C22&lt;=raw_materials!$D20,raw_materials!$C20,IF(C22&lt;=raw_materials!$F20,raw_materials!$E20,IF(C22&lt;=raw_materials!$H20,raw_materials!$G20,0)))</f>
        <v>1</v>
      </c>
      <c r="D31">
        <f>IF(D22&lt;=raw_materials!$D20,raw_materials!$C20,IF(D22&lt;=raw_materials!$F20,raw_materials!$E20,IF(D22&lt;=raw_materials!$H20,raw_materials!$G20,0)))</f>
        <v>1</v>
      </c>
      <c r="E31">
        <f>IF(E22&lt;=raw_materials!$D20,raw_materials!$C20,IF(E22&lt;=raw_materials!$F20,raw_materials!$E20,IF(E22&lt;=raw_materials!$H20,raw_materials!$G20,0)))</f>
        <v>1</v>
      </c>
      <c r="F31">
        <f>IF(F22&lt;=raw_materials!$D20,raw_materials!$C20,IF(F22&lt;=raw_materials!$F20,raw_materials!$E20,IF(F22&lt;=raw_materials!$H20,raw_materials!$G20,0)))</f>
        <v>1</v>
      </c>
      <c r="G31">
        <f>IF(G22&lt;=raw_materials!$D20,raw_materials!$C20,IF(G22&lt;=raw_materials!$F20,raw_materials!$E20,IF(G22&lt;=raw_materials!$H20,raw_materials!$G20,0)))</f>
        <v>1</v>
      </c>
      <c r="H31">
        <f>IF(H22&lt;=raw_materials!$D20,raw_materials!$C20,IF(H22&lt;=raw_materials!$F20,raw_materials!$E20,IF(H22&lt;=raw_materials!$H20,raw_materials!$G20,0)))</f>
        <v>1</v>
      </c>
      <c r="I31">
        <f>IF(I22&lt;=raw_materials!$D20,raw_materials!$C20,IF(I22&lt;=raw_materials!$F20,raw_materials!$E20,IF(I22&lt;=raw_materials!$H20,raw_materials!$G20,0)))</f>
        <v>1</v>
      </c>
      <c r="J31">
        <f>IF(J22&lt;=raw_materials!$D20,raw_materials!$C20,IF(J22&lt;=raw_materials!$F20,raw_materials!$E20,IF(J22&lt;=raw_materials!$H20,raw_materials!$G20,0)))</f>
        <v>1</v>
      </c>
      <c r="K31">
        <f>IF(K22&lt;=raw_materials!$D20,raw_materials!$C20,IF(K22&lt;=raw_materials!$F20,raw_materials!$E20,IF(K22&lt;=raw_materials!$H20,raw_materials!$G20,0)))</f>
        <v>1</v>
      </c>
      <c r="L31">
        <f>IF(L22&lt;=raw_materials!$D20,raw_materials!$C20,IF(L22&lt;=raw_materials!$F20,raw_materials!$E20,IF(L22&lt;=raw_materials!$H20,raw_materials!$G20,0)))</f>
        <v>1</v>
      </c>
      <c r="M31">
        <f>IF(M22&lt;=raw_materials!$D20,raw_materials!$C20,IF(M22&lt;=raw_materials!$F20,raw_materials!$E20,IF(M22&lt;=raw_materials!$H20,raw_materials!$G20,0)))</f>
        <v>1</v>
      </c>
      <c r="N31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18" t="s">
        <v>108</v>
      </c>
      <c r="C32">
        <f>IF(C23&lt;=raw_materials!$D21,raw_materials!$C21,IF(C23&lt;=raw_materials!$F21,raw_materials!$E21,IF(C23&lt;=raw_materials!$H21,raw_materials!$G21,0)))</f>
        <v>1</v>
      </c>
      <c r="D32">
        <f>IF(D23&lt;=raw_materials!$D21,raw_materials!$C21,IF(D23&lt;=raw_materials!$F21,raw_materials!$E21,IF(D23&lt;=raw_materials!$H21,raw_materials!$G21,0)))</f>
        <v>1</v>
      </c>
      <c r="E32">
        <f>IF(E23&lt;=raw_materials!$D21,raw_materials!$C21,IF(E23&lt;=raw_materials!$F21,raw_materials!$E21,IF(E23&lt;=raw_materials!$H21,raw_materials!$G21,0)))</f>
        <v>1</v>
      </c>
      <c r="F32">
        <f>IF(F23&lt;=raw_materials!$D21,raw_materials!$C21,IF(F23&lt;=raw_materials!$F21,raw_materials!$E21,IF(F23&lt;=raw_materials!$H21,raw_materials!$G21,0)))</f>
        <v>1</v>
      </c>
      <c r="G32">
        <f>IF(G23&lt;=raw_materials!$D21,raw_materials!$C21,IF(G23&lt;=raw_materials!$F21,raw_materials!$E21,IF(G23&lt;=raw_materials!$H21,raw_materials!$G21,0)))</f>
        <v>1</v>
      </c>
      <c r="H32">
        <f>IF(H23&lt;=raw_materials!$D21,raw_materials!$C21,IF(H23&lt;=raw_materials!$F21,raw_materials!$E21,IF(H23&lt;=raw_materials!$H21,raw_materials!$G21,0)))</f>
        <v>1</v>
      </c>
      <c r="I32">
        <f>IF(I23&lt;=raw_materials!$D21,raw_materials!$C21,IF(I23&lt;=raw_materials!$F21,raw_materials!$E21,IF(I23&lt;=raw_materials!$H21,raw_materials!$G21,0)))</f>
        <v>1</v>
      </c>
      <c r="J32">
        <f>IF(J23&lt;=raw_materials!$D21,raw_materials!$C21,IF(J23&lt;=raw_materials!$F21,raw_materials!$E21,IF(J23&lt;=raw_materials!$H21,raw_materials!$G21,0)))</f>
        <v>1</v>
      </c>
      <c r="K32">
        <f>IF(K23&lt;=raw_materials!$D21,raw_materials!$C21,IF(K23&lt;=raw_materials!$F21,raw_materials!$E21,IF(K23&lt;=raw_materials!$H21,raw_materials!$G21,0)))</f>
        <v>1</v>
      </c>
      <c r="L32">
        <f>IF(L23&lt;=raw_materials!$D21,raw_materials!$C21,IF(L23&lt;=raw_materials!$F21,raw_materials!$E21,IF(L23&lt;=raw_materials!$H21,raw_materials!$G21,0)))</f>
        <v>1</v>
      </c>
      <c r="M32">
        <f>IF(M23&lt;=raw_materials!$D21,raw_materials!$C21,IF(M23&lt;=raw_materials!$F21,raw_materials!$E21,IF(M23&lt;=raw_materials!$H21,raw_materials!$G21,0)))</f>
        <v>1</v>
      </c>
      <c r="N32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18" t="s">
        <v>109</v>
      </c>
      <c r="C33">
        <f>IF(C24&lt;=raw_materials!$D22,raw_materials!$C22,IF(C24&lt;=raw_materials!$F22,raw_materials!$E22,IF(C24&lt;=raw_materials!$H22,raw_materials!$G22,0)))</f>
        <v>1</v>
      </c>
      <c r="D33">
        <f>IF(D24&lt;=raw_materials!$D22,raw_materials!$C22,IF(D24&lt;=raw_materials!$F22,raw_materials!$E22,IF(D24&lt;=raw_materials!$H22,raw_materials!$G22,0)))</f>
        <v>1</v>
      </c>
      <c r="E33">
        <f>IF(E24&lt;=raw_materials!$D22,raw_materials!$C22,IF(E24&lt;=raw_materials!$F22,raw_materials!$E22,IF(E24&lt;=raw_materials!$H22,raw_materials!$G22,0)))</f>
        <v>1</v>
      </c>
      <c r="F33">
        <f>IF(F24&lt;=raw_materials!$D22,raw_materials!$C22,IF(F24&lt;=raw_materials!$F22,raw_materials!$E22,IF(F24&lt;=raw_materials!$H22,raw_materials!$G22,0)))</f>
        <v>1</v>
      </c>
      <c r="G33">
        <f>IF(G24&lt;=raw_materials!$D22,raw_materials!$C22,IF(G24&lt;=raw_materials!$F22,raw_materials!$E22,IF(G24&lt;=raw_materials!$H22,raw_materials!$G22,0)))</f>
        <v>1</v>
      </c>
      <c r="H33">
        <f>IF(H24&lt;=raw_materials!$D22,raw_materials!$C22,IF(H24&lt;=raw_materials!$F22,raw_materials!$E22,IF(H24&lt;=raw_materials!$H22,raw_materials!$G22,0)))</f>
        <v>1</v>
      </c>
      <c r="I33">
        <f>IF(I24&lt;=raw_materials!$D22,raw_materials!$C22,IF(I24&lt;=raw_materials!$F22,raw_materials!$E22,IF(I24&lt;=raw_materials!$H22,raw_materials!$G22,0)))</f>
        <v>1</v>
      </c>
      <c r="J33">
        <f>IF(J24&lt;=raw_materials!$D22,raw_materials!$C22,IF(J24&lt;=raw_materials!$F22,raw_materials!$E22,IF(J24&lt;=raw_materials!$H22,raw_materials!$G22,0)))</f>
        <v>1</v>
      </c>
      <c r="K33">
        <f>IF(K24&lt;=raw_materials!$D22,raw_materials!$C22,IF(K24&lt;=raw_materials!$F22,raw_materials!$E22,IF(K24&lt;=raw_materials!$H22,raw_materials!$G22,0)))</f>
        <v>1</v>
      </c>
      <c r="L33">
        <f>IF(L24&lt;=raw_materials!$D22,raw_materials!$C22,IF(L24&lt;=raw_materials!$F22,raw_materials!$E22,IF(L24&lt;=raw_materials!$H22,raw_materials!$G22,0)))</f>
        <v>1</v>
      </c>
      <c r="M33">
        <f>IF(M24&lt;=raw_materials!$D22,raw_materials!$C22,IF(M24&lt;=raw_materials!$F22,raw_materials!$E22,IF(M24&lt;=raw_materials!$H22,raw_materials!$G22,0)))</f>
        <v>1</v>
      </c>
      <c r="N33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20" t="s">
        <v>323</v>
      </c>
    </row>
    <row r="36" spans="2:50" x14ac:dyDescent="0.2">
      <c r="B36" s="186" t="s">
        <v>274</v>
      </c>
      <c r="C36" s="186" t="s">
        <v>92</v>
      </c>
      <c r="D36" s="119"/>
      <c r="E36" s="119"/>
      <c r="F36" s="119"/>
      <c r="G36" s="186" t="s">
        <v>93</v>
      </c>
      <c r="H36" s="119"/>
      <c r="I36" s="119"/>
      <c r="J36" s="119"/>
      <c r="K36" s="186" t="s">
        <v>94</v>
      </c>
      <c r="L36" s="119"/>
      <c r="M36" s="119"/>
      <c r="N36" s="119"/>
      <c r="O36" s="186" t="s">
        <v>95</v>
      </c>
      <c r="P36" s="119"/>
      <c r="Q36" s="119"/>
      <c r="R36" s="119"/>
      <c r="S36" s="186" t="s">
        <v>96</v>
      </c>
      <c r="T36" s="119"/>
      <c r="U36" s="119"/>
      <c r="V36" s="119"/>
      <c r="W36" s="186" t="s">
        <v>97</v>
      </c>
      <c r="X36" s="119"/>
      <c r="Y36" s="119"/>
      <c r="Z36" s="119"/>
      <c r="AA36" s="186" t="s">
        <v>98</v>
      </c>
      <c r="AB36" s="119"/>
      <c r="AC36" s="119"/>
      <c r="AD36" s="119"/>
      <c r="AE36" s="186" t="s">
        <v>99</v>
      </c>
      <c r="AF36" s="119"/>
      <c r="AG36" s="119"/>
      <c r="AH36" s="119"/>
      <c r="AI36" s="186" t="s">
        <v>100</v>
      </c>
      <c r="AJ36" s="119"/>
      <c r="AK36" s="119"/>
      <c r="AL36" s="119"/>
      <c r="AM36" s="186" t="s">
        <v>101</v>
      </c>
      <c r="AN36" s="119"/>
      <c r="AO36" s="119"/>
      <c r="AP36" s="119"/>
      <c r="AQ36" s="186" t="s">
        <v>102</v>
      </c>
      <c r="AR36" s="119"/>
      <c r="AS36" s="119"/>
      <c r="AT36" s="119"/>
      <c r="AU36" s="186" t="s">
        <v>103</v>
      </c>
      <c r="AV36" s="119"/>
      <c r="AW36" s="119"/>
      <c r="AX36" s="119"/>
    </row>
    <row r="37" spans="2:50" x14ac:dyDescent="0.2">
      <c r="B37" s="186" t="s">
        <v>324</v>
      </c>
      <c r="C37" s="186">
        <v>1</v>
      </c>
      <c r="D37" s="186">
        <v>2</v>
      </c>
      <c r="E37" s="186">
        <v>3</v>
      </c>
      <c r="F37" s="186">
        <v>4</v>
      </c>
      <c r="G37" s="186">
        <v>1</v>
      </c>
      <c r="H37" s="186">
        <v>2</v>
      </c>
      <c r="I37" s="186">
        <v>3</v>
      </c>
      <c r="J37" s="186">
        <v>4</v>
      </c>
      <c r="K37" s="186">
        <v>1</v>
      </c>
      <c r="L37" s="186">
        <v>2</v>
      </c>
      <c r="M37" s="186">
        <v>3</v>
      </c>
      <c r="N37" s="186">
        <v>4</v>
      </c>
      <c r="O37" s="186">
        <v>1</v>
      </c>
      <c r="P37" s="186">
        <v>2</v>
      </c>
      <c r="Q37" s="186">
        <v>3</v>
      </c>
      <c r="R37" s="186">
        <v>4</v>
      </c>
      <c r="S37" s="186">
        <v>1</v>
      </c>
      <c r="T37" s="186">
        <v>2</v>
      </c>
      <c r="U37" s="186">
        <v>3</v>
      </c>
      <c r="V37" s="186">
        <v>4</v>
      </c>
      <c r="W37" s="186">
        <v>1</v>
      </c>
      <c r="X37" s="186">
        <v>2</v>
      </c>
      <c r="Y37" s="186">
        <v>3</v>
      </c>
      <c r="Z37" s="186">
        <v>4</v>
      </c>
      <c r="AA37" s="186">
        <v>1</v>
      </c>
      <c r="AB37" s="186">
        <v>2</v>
      </c>
      <c r="AC37" s="186">
        <v>3</v>
      </c>
      <c r="AD37" s="186">
        <v>4</v>
      </c>
      <c r="AE37" s="186">
        <v>1</v>
      </c>
      <c r="AF37" s="186">
        <v>2</v>
      </c>
      <c r="AG37" s="186">
        <v>3</v>
      </c>
      <c r="AH37" s="186">
        <v>4</v>
      </c>
      <c r="AI37" s="186">
        <v>1</v>
      </c>
      <c r="AJ37" s="186">
        <v>2</v>
      </c>
      <c r="AK37" s="186">
        <v>3</v>
      </c>
      <c r="AL37" s="186">
        <v>4</v>
      </c>
      <c r="AM37" s="186">
        <v>1</v>
      </c>
      <c r="AN37" s="186">
        <v>2</v>
      </c>
      <c r="AO37" s="186">
        <v>3</v>
      </c>
      <c r="AP37" s="186">
        <v>4</v>
      </c>
      <c r="AQ37" s="186">
        <v>1</v>
      </c>
      <c r="AR37" s="186">
        <v>2</v>
      </c>
      <c r="AS37" s="186">
        <v>3</v>
      </c>
      <c r="AT37" s="186">
        <v>4</v>
      </c>
      <c r="AU37" s="186">
        <v>1</v>
      </c>
      <c r="AV37" s="186">
        <v>2</v>
      </c>
      <c r="AW37" s="186">
        <v>3</v>
      </c>
      <c r="AX37" s="186">
        <v>4</v>
      </c>
    </row>
    <row r="38" spans="2:50" x14ac:dyDescent="0.2">
      <c r="B38" s="186" t="s">
        <v>104</v>
      </c>
      <c r="C38">
        <v>25054.902514011505</v>
      </c>
      <c r="D38">
        <v>25109.81675262624</v>
      </c>
      <c r="E38">
        <v>25164.733912812586</v>
      </c>
      <c r="F38">
        <v>25219.64518704552</v>
      </c>
      <c r="G38">
        <v>25274.541764850626</v>
      </c>
      <c r="H38">
        <v>10131.765933739784</v>
      </c>
      <c r="I38">
        <v>25384.255583806131</v>
      </c>
      <c r="J38">
        <v>25439.055203174696</v>
      </c>
      <c r="K38">
        <v>25493.804885647136</v>
      </c>
      <c r="L38">
        <v>25548.495829201689</v>
      </c>
      <c r="M38">
        <v>25603.119238151201</v>
      </c>
      <c r="N38">
        <v>25657.666324691218</v>
      </c>
      <c r="O38">
        <v>25712.128310447646</v>
      </c>
      <c r="P38">
        <v>25766.496428023554</v>
      </c>
      <c r="Q38">
        <v>25820.761922544945</v>
      </c>
      <c r="R38">
        <v>25874.916053205223</v>
      </c>
      <c r="S38">
        <v>18150.265066365635</v>
      </c>
      <c r="T38">
        <v>25982.855339308269</v>
      </c>
      <c r="U38">
        <v>26036.623097350748</v>
      </c>
      <c r="V38">
        <v>26090.24469980675</v>
      </c>
      <c r="W38">
        <v>26143.711499307632</v>
      </c>
      <c r="X38">
        <v>26197.014871775551</v>
      </c>
      <c r="Y38">
        <v>18375.102352565613</v>
      </c>
      <c r="Z38">
        <v>26303.096964916222</v>
      </c>
      <c r="AA38">
        <v>26355.858567616488</v>
      </c>
      <c r="AB38">
        <v>26408.422510375025</v>
      </c>
      <c r="AC38">
        <v>26460.780308405316</v>
      </c>
      <c r="AD38">
        <v>26512.923509318131</v>
      </c>
      <c r="AE38">
        <v>26564.8436946238</v>
      </c>
      <c r="AF38">
        <v>26616.532481229282</v>
      </c>
      <c r="AG38">
        <v>26667.981522929855</v>
      </c>
      <c r="AH38">
        <v>26719.182511895149</v>
      </c>
      <c r="AI38">
        <v>18739.089026104397</v>
      </c>
      <c r="AJ38">
        <v>10728.322920417615</v>
      </c>
      <c r="AK38">
        <v>26871.21469072756</v>
      </c>
      <c r="AL38">
        <v>26921.341209603564</v>
      </c>
      <c r="AM38">
        <v>26971.178763785614</v>
      </c>
      <c r="AN38">
        <v>18914.503514580269</v>
      </c>
      <c r="AO38">
        <v>27069.954839740756</v>
      </c>
      <c r="AP38">
        <v>27118.877415268147</v>
      </c>
      <c r="AQ38">
        <v>27167.47913646403</v>
      </c>
      <c r="AR38">
        <v>27215.752159530173</v>
      </c>
      <c r="AS38">
        <v>27263.688694937566</v>
      </c>
      <c r="AT38">
        <v>27311.281008823513</v>
      </c>
      <c r="AU38">
        <v>27358.521424379818</v>
      </c>
      <c r="AV38">
        <v>27405.40232323145</v>
      </c>
      <c r="AW38">
        <v>27451.916146805794</v>
      </c>
      <c r="AX38">
        <v>10089.636157233364</v>
      </c>
    </row>
    <row r="39" spans="2:50" x14ac:dyDescent="0.2">
      <c r="B39" s="186" t="s">
        <v>105</v>
      </c>
      <c r="C39">
        <v>15032.941508406904</v>
      </c>
      <c r="D39">
        <v>15065.890051575743</v>
      </c>
      <c r="E39">
        <v>15098.84034768755</v>
      </c>
      <c r="F39">
        <v>15131.787112227312</v>
      </c>
      <c r="G39">
        <v>15164.725058910377</v>
      </c>
      <c r="H39">
        <v>15197.648900609674</v>
      </c>
      <c r="I39">
        <v>15230.553350283679</v>
      </c>
      <c r="J39">
        <v>15263.433121904818</v>
      </c>
      <c r="K39">
        <v>15296.282931388283</v>
      </c>
      <c r="L39">
        <v>15329.097497521014</v>
      </c>
      <c r="M39">
        <v>15361.87154289072</v>
      </c>
      <c r="N39">
        <v>15394.599794814729</v>
      </c>
      <c r="O39">
        <v>15427.276986268587</v>
      </c>
      <c r="P39">
        <v>15459.897856814132</v>
      </c>
      <c r="Q39">
        <v>1549.2457153526968</v>
      </c>
      <c r="R39">
        <v>15524.949631923135</v>
      </c>
      <c r="S39">
        <v>15557.370056884829</v>
      </c>
      <c r="T39">
        <v>15589.713203584963</v>
      </c>
      <c r="U39">
        <v>15621.973858410449</v>
      </c>
      <c r="V39">
        <v>6261.6587279536207</v>
      </c>
      <c r="W39">
        <v>15686.226899584581</v>
      </c>
      <c r="X39">
        <v>11002.746246145731</v>
      </c>
      <c r="Y39">
        <v>15750.087730770527</v>
      </c>
      <c r="Z39">
        <v>15781.858178949733</v>
      </c>
      <c r="AA39">
        <v>15813.515140569893</v>
      </c>
      <c r="AB39">
        <v>11091.537454357509</v>
      </c>
      <c r="AC39">
        <v>15876.468185043188</v>
      </c>
      <c r="AD39">
        <v>15907.754105590879</v>
      </c>
      <c r="AE39">
        <v>15938.90621677428</v>
      </c>
      <c r="AF39">
        <v>15969.919488737569</v>
      </c>
      <c r="AG39">
        <v>16000.788913757913</v>
      </c>
      <c r="AH39">
        <v>6412.6038028548355</v>
      </c>
      <c r="AI39">
        <v>16062.076308089485</v>
      </c>
      <c r="AJ39">
        <v>16092.48438062642</v>
      </c>
      <c r="AK39">
        <v>6449.0915257746146</v>
      </c>
      <c r="AL39">
        <v>16152.80472576214</v>
      </c>
      <c r="AM39">
        <v>16182.707258271368</v>
      </c>
      <c r="AN39">
        <v>16212.431583925947</v>
      </c>
      <c r="AO39">
        <v>16241.972903844453</v>
      </c>
      <c r="AP39">
        <v>16271.326449160888</v>
      </c>
      <c r="AQ39">
        <v>16300.487481878417</v>
      </c>
      <c r="AR39">
        <v>16329.451295718105</v>
      </c>
      <c r="AS39">
        <v>16358.213216962538</v>
      </c>
      <c r="AT39">
        <v>16386.768605294106</v>
      </c>
      <c r="AU39">
        <v>16415.112854627889</v>
      </c>
      <c r="AV39">
        <v>16443.241393938872</v>
      </c>
      <c r="AW39">
        <v>16471.149688083475</v>
      </c>
      <c r="AX39">
        <v>16498.833238615145</v>
      </c>
    </row>
    <row r="40" spans="2:50" x14ac:dyDescent="0.2">
      <c r="B40" s="186" t="s">
        <v>106</v>
      </c>
      <c r="C40">
        <v>5010.9805028023011</v>
      </c>
      <c r="D40">
        <v>5021.9633505252477</v>
      </c>
      <c r="E40">
        <v>5032.946782562517</v>
      </c>
      <c r="F40">
        <v>5043.9290374091042</v>
      </c>
      <c r="G40">
        <v>5054.9083529701256</v>
      </c>
      <c r="H40">
        <v>5065.8829668698918</v>
      </c>
      <c r="I40">
        <v>5076.851116761226</v>
      </c>
      <c r="J40">
        <v>5087.8110406349388</v>
      </c>
      <c r="K40">
        <v>5098.7609771294274</v>
      </c>
      <c r="L40">
        <v>5109.6991658403376</v>
      </c>
      <c r="M40">
        <v>5120.6238476302397</v>
      </c>
      <c r="N40">
        <v>5131.5332649382435</v>
      </c>
      <c r="O40">
        <v>5142.4256620895294</v>
      </c>
      <c r="P40">
        <v>5153.2992856047113</v>
      </c>
      <c r="Q40">
        <v>5164.1523845089887</v>
      </c>
      <c r="R40">
        <v>5174.9832106410449</v>
      </c>
      <c r="S40">
        <v>5185.7900189616103</v>
      </c>
      <c r="T40">
        <v>5196.5710678616542</v>
      </c>
      <c r="U40">
        <v>5207.3246194701496</v>
      </c>
      <c r="V40">
        <v>5218.0489399613498</v>
      </c>
      <c r="W40">
        <v>3660.1196099030685</v>
      </c>
      <c r="X40">
        <v>5239.40297435511</v>
      </c>
      <c r="Y40">
        <v>5250.0292435901756</v>
      </c>
      <c r="Z40">
        <v>3682.4335750882706</v>
      </c>
      <c r="AA40">
        <v>3689.8201994663077</v>
      </c>
      <c r="AB40">
        <v>5281.6845020750052</v>
      </c>
      <c r="AC40">
        <v>5292.156061681063</v>
      </c>
      <c r="AD40">
        <v>5302.5847018636268</v>
      </c>
      <c r="AE40">
        <v>5312.9687389247601</v>
      </c>
      <c r="AF40">
        <v>5323.3064962458566</v>
      </c>
      <c r="AG40">
        <v>5333.5963045859717</v>
      </c>
      <c r="AH40">
        <v>5343.8365023790293</v>
      </c>
      <c r="AI40">
        <v>5354.0254360298286</v>
      </c>
      <c r="AJ40">
        <v>5364.1614602088066</v>
      </c>
      <c r="AK40">
        <v>5374.2429381455113</v>
      </c>
      <c r="AL40">
        <v>5384.2682419207131</v>
      </c>
      <c r="AM40">
        <v>5394.2357527571221</v>
      </c>
      <c r="AN40">
        <v>3782.9007029160539</v>
      </c>
      <c r="AO40">
        <v>5413.9909679481507</v>
      </c>
      <c r="AP40">
        <v>5423.7754830536296</v>
      </c>
      <c r="AQ40">
        <v>5433.4958272928061</v>
      </c>
      <c r="AR40">
        <v>5443.150431906035</v>
      </c>
      <c r="AS40">
        <v>5452.7377389875128</v>
      </c>
      <c r="AT40">
        <v>3823.5793412352914</v>
      </c>
      <c r="AU40">
        <v>5471.7042848759638</v>
      </c>
      <c r="AV40">
        <v>5481.0804646462902</v>
      </c>
      <c r="AW40">
        <v>5490.3832293611586</v>
      </c>
      <c r="AX40">
        <v>3849.7277556768672</v>
      </c>
    </row>
    <row r="41" spans="2:50" x14ac:dyDescent="0.2">
      <c r="B41" s="186" t="s">
        <v>107</v>
      </c>
      <c r="C41">
        <v>3006.5883016813805</v>
      </c>
      <c r="D41">
        <v>3013.1780103151486</v>
      </c>
      <c r="E41">
        <v>3019.7680695375102</v>
      </c>
      <c r="F41">
        <v>3026.3574224454624</v>
      </c>
      <c r="G41">
        <v>3032.9450117820752</v>
      </c>
      <c r="H41">
        <v>3039.5297801219349</v>
      </c>
      <c r="I41">
        <v>3046.1106700567357</v>
      </c>
      <c r="J41">
        <v>3052.6866243809636</v>
      </c>
      <c r="K41">
        <v>3059.2565862776564</v>
      </c>
      <c r="L41">
        <v>3065.8194995042027</v>
      </c>
      <c r="M41">
        <v>3072.3743085781439</v>
      </c>
      <c r="N41">
        <v>3078.9199589629461</v>
      </c>
      <c r="O41">
        <v>3085.4553972537178</v>
      </c>
      <c r="P41">
        <v>3091.9795713628264</v>
      </c>
      <c r="Q41">
        <v>3098.4914307053937</v>
      </c>
      <c r="R41">
        <v>310.49899263846271</v>
      </c>
      <c r="S41">
        <v>3111.4740113769658</v>
      </c>
      <c r="T41">
        <v>3117.9426407169926</v>
      </c>
      <c r="U41">
        <v>3124.3947716820899</v>
      </c>
      <c r="V41">
        <v>3130.8293639768099</v>
      </c>
      <c r="W41">
        <v>3137.2453799169161</v>
      </c>
      <c r="X41">
        <v>3143.6417846130662</v>
      </c>
      <c r="Y41">
        <v>3150.0175461541053</v>
      </c>
      <c r="Z41">
        <v>3156.3716357899466</v>
      </c>
      <c r="AA41">
        <v>3162.7030281139782</v>
      </c>
      <c r="AB41">
        <v>3169.010701245003</v>
      </c>
      <c r="AC41">
        <v>3175.2936370086377</v>
      </c>
      <c r="AD41">
        <v>3181.5508211181759</v>
      </c>
      <c r="AE41">
        <v>3187.7812433548561</v>
      </c>
      <c r="AF41">
        <v>3193.9838977475138</v>
      </c>
      <c r="AG41">
        <v>3200.1577827515825</v>
      </c>
      <c r="AH41">
        <v>3206.3019014274178</v>
      </c>
      <c r="AI41">
        <v>3212.4152616178967</v>
      </c>
      <c r="AJ41">
        <v>3218.496876125284</v>
      </c>
      <c r="AK41">
        <v>3224.5457628873069</v>
      </c>
      <c r="AL41">
        <v>3230.5609451524278</v>
      </c>
      <c r="AM41">
        <v>3236.5414516542737</v>
      </c>
      <c r="AN41">
        <v>3242.486316785189</v>
      </c>
      <c r="AO41">
        <v>3248.3945807688906</v>
      </c>
      <c r="AP41">
        <v>3254.2652898321776</v>
      </c>
      <c r="AQ41">
        <v>3260.0974963756835</v>
      </c>
      <c r="AR41">
        <v>3265.8902591436208</v>
      </c>
      <c r="AS41">
        <v>3271.6426433925076</v>
      </c>
      <c r="AT41">
        <v>3277.3537210588215</v>
      </c>
      <c r="AU41">
        <v>2298.1157996479046</v>
      </c>
      <c r="AV41">
        <v>3288.648278787774</v>
      </c>
      <c r="AW41">
        <v>3294.2299376166952</v>
      </c>
      <c r="AX41">
        <v>2309.8366534061201</v>
      </c>
    </row>
    <row r="42" spans="2:50" x14ac:dyDescent="0.2">
      <c r="B42" s="186" t="s">
        <v>108</v>
      </c>
      <c r="C42">
        <v>10000000</v>
      </c>
      <c r="D42">
        <v>10000000</v>
      </c>
      <c r="E42">
        <v>10000000</v>
      </c>
      <c r="F42">
        <v>10000000</v>
      </c>
      <c r="G42">
        <v>10000000</v>
      </c>
      <c r="H42">
        <v>10000000</v>
      </c>
      <c r="I42">
        <v>10000000</v>
      </c>
      <c r="J42">
        <v>10000000</v>
      </c>
      <c r="K42">
        <v>10000000</v>
      </c>
      <c r="L42">
        <v>10000000</v>
      </c>
      <c r="M42">
        <v>10000000</v>
      </c>
      <c r="N42">
        <v>10000000</v>
      </c>
      <c r="O42">
        <v>10000000</v>
      </c>
      <c r="P42">
        <v>10000000</v>
      </c>
      <c r="Q42">
        <v>10000000</v>
      </c>
      <c r="R42">
        <v>10000000</v>
      </c>
      <c r="S42">
        <v>10000000</v>
      </c>
      <c r="T42">
        <v>10000000</v>
      </c>
      <c r="U42">
        <v>10000000</v>
      </c>
      <c r="V42">
        <v>10000000</v>
      </c>
      <c r="W42">
        <v>10000000</v>
      </c>
      <c r="X42">
        <v>10000000</v>
      </c>
      <c r="Y42">
        <v>10000000</v>
      </c>
      <c r="Z42">
        <v>10000000</v>
      </c>
      <c r="AA42">
        <v>10000000</v>
      </c>
      <c r="AB42">
        <v>10000000</v>
      </c>
      <c r="AC42">
        <v>10000000</v>
      </c>
      <c r="AD42">
        <v>10000000</v>
      </c>
      <c r="AE42">
        <v>10000000</v>
      </c>
      <c r="AF42">
        <v>10000000</v>
      </c>
      <c r="AG42">
        <v>10000000</v>
      </c>
      <c r="AH42">
        <v>10000000</v>
      </c>
      <c r="AI42">
        <v>10000000</v>
      </c>
      <c r="AJ42">
        <v>10000000</v>
      </c>
      <c r="AK42">
        <v>10000000</v>
      </c>
      <c r="AL42">
        <v>10000000</v>
      </c>
      <c r="AM42">
        <v>10000000</v>
      </c>
      <c r="AN42">
        <v>10000000</v>
      </c>
      <c r="AO42">
        <v>10000000</v>
      </c>
      <c r="AP42">
        <v>10000000</v>
      </c>
      <c r="AQ42">
        <v>10000000</v>
      </c>
      <c r="AR42">
        <v>10000000</v>
      </c>
      <c r="AS42">
        <v>10000000</v>
      </c>
      <c r="AT42">
        <v>10000000</v>
      </c>
      <c r="AU42">
        <v>10000000</v>
      </c>
      <c r="AV42">
        <v>10000000</v>
      </c>
      <c r="AW42">
        <v>10000000</v>
      </c>
      <c r="AX42">
        <v>10000000</v>
      </c>
    </row>
    <row r="43" spans="2:50" x14ac:dyDescent="0.2">
      <c r="B43" s="186" t="s">
        <v>109</v>
      </c>
      <c r="C43">
        <v>10000000</v>
      </c>
      <c r="D43">
        <v>10000000</v>
      </c>
      <c r="E43">
        <v>10000000</v>
      </c>
      <c r="F43">
        <v>10000000</v>
      </c>
      <c r="G43">
        <v>10000000</v>
      </c>
      <c r="H43">
        <v>10000000</v>
      </c>
      <c r="I43">
        <v>10000000</v>
      </c>
      <c r="J43">
        <v>10000000</v>
      </c>
      <c r="K43">
        <v>10000000</v>
      </c>
      <c r="L43">
        <v>10000000</v>
      </c>
      <c r="M43">
        <v>10000000</v>
      </c>
      <c r="N43">
        <v>10000000</v>
      </c>
      <c r="O43">
        <v>10000000</v>
      </c>
      <c r="P43">
        <v>10000000</v>
      </c>
      <c r="Q43">
        <v>10000000</v>
      </c>
      <c r="R43">
        <v>10000000</v>
      </c>
      <c r="S43">
        <v>10000000</v>
      </c>
      <c r="T43">
        <v>10000000</v>
      </c>
      <c r="U43">
        <v>10000000</v>
      </c>
      <c r="V43">
        <v>10000000</v>
      </c>
      <c r="W43">
        <v>10000000</v>
      </c>
      <c r="X43">
        <v>10000000</v>
      </c>
      <c r="Y43">
        <v>10000000</v>
      </c>
      <c r="Z43">
        <v>10000000</v>
      </c>
      <c r="AA43">
        <v>10000000</v>
      </c>
      <c r="AB43">
        <v>10000000</v>
      </c>
      <c r="AC43">
        <v>10000000</v>
      </c>
      <c r="AD43">
        <v>10000000</v>
      </c>
      <c r="AE43">
        <v>10000000</v>
      </c>
      <c r="AF43">
        <v>10000000</v>
      </c>
      <c r="AG43">
        <v>10000000</v>
      </c>
      <c r="AH43">
        <v>10000000</v>
      </c>
      <c r="AI43">
        <v>10000000</v>
      </c>
      <c r="AJ43">
        <v>10000000</v>
      </c>
      <c r="AK43">
        <v>10000000</v>
      </c>
      <c r="AL43">
        <v>10000000</v>
      </c>
      <c r="AM43">
        <v>10000000</v>
      </c>
      <c r="AN43">
        <v>10000000</v>
      </c>
      <c r="AO43">
        <v>10000000</v>
      </c>
      <c r="AP43">
        <v>10000000</v>
      </c>
      <c r="AQ43">
        <v>10000000</v>
      </c>
      <c r="AR43">
        <v>10000000</v>
      </c>
      <c r="AS43">
        <v>10000000</v>
      </c>
      <c r="AT43">
        <v>10000000</v>
      </c>
      <c r="AU43">
        <v>10000000</v>
      </c>
      <c r="AV43">
        <v>10000000</v>
      </c>
      <c r="AW43">
        <v>10000000</v>
      </c>
      <c r="AX43">
        <v>10000000</v>
      </c>
    </row>
    <row r="45" spans="2:50" x14ac:dyDescent="0.2">
      <c r="B45" s="120" t="s">
        <v>325</v>
      </c>
    </row>
    <row r="46" spans="2:50" x14ac:dyDescent="0.2">
      <c r="B46" s="118" t="s">
        <v>274</v>
      </c>
      <c r="C46" s="118" t="s">
        <v>92</v>
      </c>
      <c r="D46" s="119"/>
      <c r="E46" s="119"/>
      <c r="F46" s="119"/>
      <c r="G46" s="118" t="s">
        <v>93</v>
      </c>
      <c r="H46" s="119"/>
      <c r="I46" s="119"/>
      <c r="J46" s="119"/>
      <c r="K46" s="118" t="s">
        <v>94</v>
      </c>
      <c r="L46" s="119"/>
      <c r="M46" s="119"/>
      <c r="N46" s="119"/>
      <c r="O46" s="118" t="s">
        <v>95</v>
      </c>
      <c r="P46" s="119"/>
      <c r="Q46" s="119"/>
      <c r="R46" s="119"/>
      <c r="S46" s="118" t="s">
        <v>96</v>
      </c>
      <c r="T46" s="119"/>
      <c r="U46" s="119"/>
      <c r="V46" s="119"/>
      <c r="W46" s="118" t="s">
        <v>97</v>
      </c>
      <c r="X46" s="119"/>
      <c r="Y46" s="119"/>
      <c r="Z46" s="119"/>
      <c r="AA46" s="118" t="s">
        <v>98</v>
      </c>
      <c r="AB46" s="119"/>
      <c r="AC46" s="119"/>
      <c r="AD46" s="119"/>
      <c r="AE46" s="118" t="s">
        <v>99</v>
      </c>
      <c r="AF46" s="119"/>
      <c r="AG46" s="119"/>
      <c r="AH46" s="119"/>
      <c r="AI46" s="118" t="s">
        <v>100</v>
      </c>
      <c r="AJ46" s="119"/>
      <c r="AK46" s="119"/>
      <c r="AL46" s="119"/>
      <c r="AM46" s="118" t="s">
        <v>101</v>
      </c>
      <c r="AN46" s="119"/>
      <c r="AO46" s="119"/>
      <c r="AP46" s="119"/>
      <c r="AQ46" s="118" t="s">
        <v>102</v>
      </c>
      <c r="AR46" s="119"/>
      <c r="AS46" s="119"/>
      <c r="AT46" s="119"/>
      <c r="AU46" s="118" t="s">
        <v>103</v>
      </c>
      <c r="AV46" s="119"/>
      <c r="AW46" s="119"/>
    </row>
    <row r="47" spans="2:50" x14ac:dyDescent="0.2">
      <c r="B47" s="118" t="s">
        <v>326</v>
      </c>
      <c r="C47" s="118">
        <v>1</v>
      </c>
      <c r="D47" s="118">
        <v>2</v>
      </c>
      <c r="E47" s="118">
        <v>3</v>
      </c>
      <c r="F47" s="118">
        <v>4</v>
      </c>
      <c r="G47" s="118">
        <v>1</v>
      </c>
      <c r="H47" s="118">
        <v>2</v>
      </c>
      <c r="I47" s="118">
        <v>3</v>
      </c>
      <c r="J47" s="118">
        <v>4</v>
      </c>
      <c r="K47" s="118">
        <v>1</v>
      </c>
      <c r="L47" s="118">
        <v>2</v>
      </c>
      <c r="M47" s="118">
        <v>3</v>
      </c>
      <c r="N47" s="118">
        <v>4</v>
      </c>
      <c r="O47" s="118">
        <v>1</v>
      </c>
      <c r="P47" s="118">
        <v>2</v>
      </c>
      <c r="Q47" s="118">
        <v>3</v>
      </c>
      <c r="R47" s="118">
        <v>4</v>
      </c>
      <c r="S47" s="118">
        <v>1</v>
      </c>
      <c r="T47" s="118">
        <v>2</v>
      </c>
      <c r="U47" s="118">
        <v>3</v>
      </c>
      <c r="V47" s="118">
        <v>4</v>
      </c>
      <c r="W47" s="118">
        <v>1</v>
      </c>
      <c r="X47" s="118">
        <v>2</v>
      </c>
      <c r="Y47" s="118">
        <v>3</v>
      </c>
      <c r="Z47" s="118">
        <v>4</v>
      </c>
      <c r="AA47" s="118">
        <v>1</v>
      </c>
      <c r="AB47" s="118">
        <v>2</v>
      </c>
      <c r="AC47" s="118">
        <v>3</v>
      </c>
      <c r="AD47" s="118">
        <v>4</v>
      </c>
      <c r="AE47" s="118">
        <v>1</v>
      </c>
      <c r="AF47" s="118">
        <v>2</v>
      </c>
      <c r="AG47" s="118">
        <v>3</v>
      </c>
      <c r="AH47" s="118">
        <v>4</v>
      </c>
      <c r="AI47" s="118">
        <v>1</v>
      </c>
      <c r="AJ47" s="118">
        <v>2</v>
      </c>
      <c r="AK47" s="118">
        <v>3</v>
      </c>
      <c r="AL47" s="118">
        <v>4</v>
      </c>
      <c r="AM47" s="118">
        <v>1</v>
      </c>
      <c r="AN47" s="118">
        <v>2</v>
      </c>
      <c r="AO47" s="118">
        <v>3</v>
      </c>
      <c r="AP47" s="118">
        <v>4</v>
      </c>
      <c r="AQ47" s="118">
        <v>1</v>
      </c>
      <c r="AR47" s="118">
        <v>2</v>
      </c>
      <c r="AS47" s="118">
        <v>3</v>
      </c>
      <c r="AT47" s="118">
        <v>4</v>
      </c>
      <c r="AU47" s="118">
        <v>1</v>
      </c>
      <c r="AV47" s="118">
        <v>2</v>
      </c>
      <c r="AW47" s="118">
        <v>3</v>
      </c>
      <c r="AX47" s="118">
        <v>4</v>
      </c>
    </row>
    <row r="48" spans="2:50" x14ac:dyDescent="0.2">
      <c r="B48" s="118" t="s">
        <v>104</v>
      </c>
      <c r="C48">
        <v>1533.01321260953</v>
      </c>
      <c r="D48">
        <v>1533.01321260953</v>
      </c>
      <c r="E48">
        <v>1533.01321260953</v>
      </c>
      <c r="F48">
        <v>1533.01321260953</v>
      </c>
      <c r="G48">
        <v>1533.0132126095332</v>
      </c>
      <c r="H48">
        <v>1533.0132126095332</v>
      </c>
      <c r="I48">
        <v>1533.0132126095332</v>
      </c>
      <c r="J48">
        <v>1533.0132126095332</v>
      </c>
      <c r="K48">
        <v>1533.0132126095332</v>
      </c>
      <c r="L48">
        <v>1533.0132126095332</v>
      </c>
      <c r="M48">
        <v>1533.0132126095332</v>
      </c>
      <c r="N48">
        <v>1533.0132126095332</v>
      </c>
      <c r="O48">
        <v>1533.0132126095332</v>
      </c>
      <c r="P48">
        <v>1533.0132126095332</v>
      </c>
      <c r="Q48">
        <v>1533.0132126095332</v>
      </c>
      <c r="R48">
        <v>1533.0132126095332</v>
      </c>
      <c r="S48">
        <v>1533.0132126095332</v>
      </c>
      <c r="T48">
        <v>1533.0132126095332</v>
      </c>
      <c r="U48">
        <v>1533.0132126095332</v>
      </c>
      <c r="V48">
        <v>1533.0132126095332</v>
      </c>
      <c r="W48">
        <v>1533.0132126095332</v>
      </c>
      <c r="X48">
        <v>1533.0132126095332</v>
      </c>
      <c r="Y48">
        <v>1533.0132126095332</v>
      </c>
      <c r="Z48">
        <v>1533.0132126095332</v>
      </c>
      <c r="AA48">
        <v>1533.0132126095332</v>
      </c>
      <c r="AB48">
        <v>1533.0132126095332</v>
      </c>
      <c r="AC48">
        <v>1533.0132126095332</v>
      </c>
      <c r="AD48">
        <v>1533.0132126095332</v>
      </c>
      <c r="AE48">
        <v>1533.0132126095332</v>
      </c>
      <c r="AF48">
        <v>1533.0132126095332</v>
      </c>
      <c r="AG48">
        <v>1533.0132126095332</v>
      </c>
      <c r="AH48">
        <v>1533.0132126095332</v>
      </c>
      <c r="AI48">
        <v>1533.0132126095332</v>
      </c>
      <c r="AJ48">
        <v>1533.0132126095332</v>
      </c>
      <c r="AK48">
        <v>1533.0132126095332</v>
      </c>
      <c r="AL48">
        <v>1533.0132126095332</v>
      </c>
      <c r="AM48">
        <v>1533.0132126095332</v>
      </c>
      <c r="AN48">
        <v>1533.0132126095332</v>
      </c>
      <c r="AO48">
        <v>1533.0132126095332</v>
      </c>
      <c r="AP48">
        <v>1533.0132126095332</v>
      </c>
      <c r="AQ48">
        <v>1533.0132126095332</v>
      </c>
      <c r="AR48">
        <v>1533.0132126095332</v>
      </c>
      <c r="AS48">
        <v>1533.0132126095332</v>
      </c>
      <c r="AT48">
        <v>1533.0132126095332</v>
      </c>
      <c r="AU48">
        <v>1533.0132126095332</v>
      </c>
      <c r="AV48">
        <v>1533.0132126095332</v>
      </c>
      <c r="AW48">
        <v>1533.0132126095332</v>
      </c>
      <c r="AX48">
        <v>1533.0132126095332</v>
      </c>
    </row>
    <row r="49" spans="2:51" x14ac:dyDescent="0.2">
      <c r="B49" s="118" t="s">
        <v>105</v>
      </c>
      <c r="C49">
        <v>1773.4978209017493</v>
      </c>
      <c r="D49">
        <v>1773.4978209017493</v>
      </c>
      <c r="E49">
        <v>1773.4978209017493</v>
      </c>
      <c r="F49">
        <v>1773.4978209017493</v>
      </c>
      <c r="G49">
        <v>1773.4978209017493</v>
      </c>
      <c r="H49">
        <v>1773.4978209017493</v>
      </c>
      <c r="I49">
        <v>1773.4978209017493</v>
      </c>
      <c r="J49">
        <v>1773.4978209017493</v>
      </c>
      <c r="K49">
        <v>1773.4978209017493</v>
      </c>
      <c r="L49">
        <v>1773.4978209017493</v>
      </c>
      <c r="M49">
        <v>1773.4978209017493</v>
      </c>
      <c r="N49">
        <v>1773.4978209017493</v>
      </c>
      <c r="O49">
        <v>1773.4978209017493</v>
      </c>
      <c r="P49">
        <v>1773.4978209017493</v>
      </c>
      <c r="Q49">
        <v>1549.2457153526968</v>
      </c>
      <c r="R49">
        <v>1773.4978209017493</v>
      </c>
      <c r="S49">
        <v>1773.4978209017493</v>
      </c>
      <c r="T49">
        <v>1773.4978209017493</v>
      </c>
      <c r="U49">
        <v>1773.4978209017493</v>
      </c>
      <c r="V49">
        <v>1773.4978209017493</v>
      </c>
      <c r="W49">
        <v>1773.4978209017493</v>
      </c>
      <c r="X49">
        <v>1773.4978209017493</v>
      </c>
      <c r="Y49">
        <v>1773.4978209017493</v>
      </c>
      <c r="Z49">
        <v>1773.4978209017493</v>
      </c>
      <c r="AA49">
        <v>1773.4978209017493</v>
      </c>
      <c r="AB49">
        <v>1773.4978209017493</v>
      </c>
      <c r="AC49">
        <v>1773.4978209017493</v>
      </c>
      <c r="AD49">
        <v>1773.4978209017493</v>
      </c>
      <c r="AE49">
        <v>1773.4978209017493</v>
      </c>
      <c r="AF49">
        <v>1773.4978209017493</v>
      </c>
      <c r="AG49">
        <v>1773.4978209017493</v>
      </c>
      <c r="AH49">
        <v>1773.4978209017493</v>
      </c>
      <c r="AI49">
        <v>1773.4978209017493</v>
      </c>
      <c r="AJ49">
        <v>1773.4978209017493</v>
      </c>
      <c r="AK49">
        <v>1773.4978209017493</v>
      </c>
      <c r="AL49">
        <v>1773.4978209017493</v>
      </c>
      <c r="AM49">
        <v>1773.4978209017493</v>
      </c>
      <c r="AN49">
        <v>1773.4978209017493</v>
      </c>
      <c r="AO49">
        <v>1773.4978209017493</v>
      </c>
      <c r="AP49">
        <v>1773.4978209017493</v>
      </c>
      <c r="AQ49">
        <v>1773.4978209017493</v>
      </c>
      <c r="AR49">
        <v>1773.4978209017493</v>
      </c>
      <c r="AS49">
        <v>1773.4978209017493</v>
      </c>
      <c r="AT49">
        <v>1773.4978209017493</v>
      </c>
      <c r="AU49">
        <v>1773.4978209017493</v>
      </c>
      <c r="AV49">
        <v>1773.4978209017493</v>
      </c>
      <c r="AW49">
        <v>1773.4978209017493</v>
      </c>
      <c r="AX49">
        <v>1773.4978209017493</v>
      </c>
    </row>
    <row r="50" spans="2:51" x14ac:dyDescent="0.2">
      <c r="B50" s="118" t="s">
        <v>106</v>
      </c>
      <c r="C50">
        <v>1492.7924366725895</v>
      </c>
      <c r="D50">
        <v>1492.7924366725895</v>
      </c>
      <c r="E50">
        <v>1492.7924366725895</v>
      </c>
      <c r="F50">
        <v>1492.7924366725895</v>
      </c>
      <c r="G50">
        <v>1492.7924366725895</v>
      </c>
      <c r="H50">
        <v>1492.7924366725895</v>
      </c>
      <c r="I50">
        <v>1492.7924366725895</v>
      </c>
      <c r="J50">
        <v>1492.7924366725895</v>
      </c>
      <c r="K50">
        <v>1492.7924366725895</v>
      </c>
      <c r="L50">
        <v>1492.7924366725895</v>
      </c>
      <c r="M50">
        <v>1492.7924366725895</v>
      </c>
      <c r="N50">
        <v>1492.7924366725895</v>
      </c>
      <c r="O50">
        <v>1492.7924366725895</v>
      </c>
      <c r="P50">
        <v>1492.7924366725895</v>
      </c>
      <c r="Q50">
        <v>1492.7924366725895</v>
      </c>
      <c r="R50">
        <v>1492.7924366725895</v>
      </c>
      <c r="S50">
        <v>1492.7924366725895</v>
      </c>
      <c r="T50">
        <v>1492.7924366725895</v>
      </c>
      <c r="U50">
        <v>1492.7924366725895</v>
      </c>
      <c r="V50">
        <v>1492.7924366725895</v>
      </c>
      <c r="W50">
        <v>1492.7924366725895</v>
      </c>
      <c r="X50">
        <v>1492.7924366725895</v>
      </c>
      <c r="Y50">
        <v>1492.7924366725895</v>
      </c>
      <c r="Z50">
        <v>1492.7924366725895</v>
      </c>
      <c r="AA50">
        <v>1492.7924366725895</v>
      </c>
      <c r="AB50">
        <v>1492.7924366725895</v>
      </c>
      <c r="AC50">
        <v>1492.7924366725895</v>
      </c>
      <c r="AD50">
        <v>1492.7924366725895</v>
      </c>
      <c r="AE50">
        <v>1492.7924366725895</v>
      </c>
      <c r="AF50">
        <v>1492.7924366725895</v>
      </c>
      <c r="AG50">
        <v>1492.7924366725895</v>
      </c>
      <c r="AH50">
        <v>1492.7924366725895</v>
      </c>
      <c r="AI50">
        <v>1492.7924366725895</v>
      </c>
      <c r="AJ50">
        <v>1492.7924366725895</v>
      </c>
      <c r="AK50">
        <v>1492.7924366725895</v>
      </c>
      <c r="AL50">
        <v>1492.7924366725895</v>
      </c>
      <c r="AM50">
        <v>1492.7924366725895</v>
      </c>
      <c r="AN50">
        <v>1492.7924366725895</v>
      </c>
      <c r="AO50">
        <v>1492.7924366725895</v>
      </c>
      <c r="AP50">
        <v>1492.7924366725895</v>
      </c>
      <c r="AQ50">
        <v>1492.7924366725895</v>
      </c>
      <c r="AR50">
        <v>1492.7924366725895</v>
      </c>
      <c r="AS50">
        <v>1492.7924366725895</v>
      </c>
      <c r="AT50">
        <v>1492.7924366725895</v>
      </c>
      <c r="AU50">
        <v>1492.7924366725895</v>
      </c>
      <c r="AV50">
        <v>1492.7924366725895</v>
      </c>
      <c r="AW50">
        <v>1492.7924366725895</v>
      </c>
      <c r="AX50">
        <v>1492.7924366725895</v>
      </c>
      <c r="AY50" s="128"/>
    </row>
    <row r="51" spans="2:51" x14ac:dyDescent="0.2">
      <c r="B51" s="118" t="s">
        <v>107</v>
      </c>
      <c r="C51">
        <v>1533.0132126095332</v>
      </c>
      <c r="D51">
        <v>1533.0132126095332</v>
      </c>
      <c r="E51">
        <v>1533.0132126095332</v>
      </c>
      <c r="F51">
        <v>1533.0132126095332</v>
      </c>
      <c r="G51">
        <v>1533.0132126095332</v>
      </c>
      <c r="H51">
        <v>1533.0132126095332</v>
      </c>
      <c r="I51">
        <v>1533.0132126095332</v>
      </c>
      <c r="J51">
        <v>1533.0132126095332</v>
      </c>
      <c r="K51">
        <v>1533.0132126095332</v>
      </c>
      <c r="L51">
        <v>1533.0132126095332</v>
      </c>
      <c r="M51">
        <v>1533.0132126095332</v>
      </c>
      <c r="N51">
        <v>1533.0132126095332</v>
      </c>
      <c r="O51">
        <v>1533.0132126095332</v>
      </c>
      <c r="P51">
        <v>1533.0132126095332</v>
      </c>
      <c r="Q51">
        <v>1533.0132126095332</v>
      </c>
      <c r="R51">
        <v>310.49899263846271</v>
      </c>
      <c r="S51">
        <v>1533.0132126095332</v>
      </c>
      <c r="T51">
        <v>1533.0132126095332</v>
      </c>
      <c r="U51">
        <v>1533.0132126095332</v>
      </c>
      <c r="V51">
        <v>1533.0132126095332</v>
      </c>
      <c r="W51">
        <v>1533.0132126095332</v>
      </c>
      <c r="X51">
        <v>1533.0132126095332</v>
      </c>
      <c r="Y51">
        <v>1533.0132126095332</v>
      </c>
      <c r="Z51">
        <v>1533.0132126095332</v>
      </c>
      <c r="AA51">
        <v>1533.0132126095332</v>
      </c>
      <c r="AB51">
        <v>1533.0132126095332</v>
      </c>
      <c r="AC51">
        <v>1533.0132126095332</v>
      </c>
      <c r="AD51">
        <v>1533.0132126095332</v>
      </c>
      <c r="AE51">
        <v>1533.0132126095332</v>
      </c>
      <c r="AF51">
        <v>1533.0132126095332</v>
      </c>
      <c r="AG51">
        <v>1533.0132126095332</v>
      </c>
      <c r="AH51">
        <v>1533.0132126095332</v>
      </c>
      <c r="AI51">
        <v>1533.0132126095332</v>
      </c>
      <c r="AJ51">
        <v>1533.0132126095332</v>
      </c>
      <c r="AK51">
        <v>1533.0132126095332</v>
      </c>
      <c r="AL51">
        <v>1533.0132126095332</v>
      </c>
      <c r="AM51">
        <v>1533.0132126095332</v>
      </c>
      <c r="AN51">
        <v>1533.0132126095332</v>
      </c>
      <c r="AO51">
        <v>1533.0132126095332</v>
      </c>
      <c r="AP51">
        <v>1533.0132126095332</v>
      </c>
      <c r="AQ51">
        <v>1533.0132126095332</v>
      </c>
      <c r="AR51">
        <v>1533.0132126095332</v>
      </c>
      <c r="AS51">
        <v>1533.0132126095332</v>
      </c>
      <c r="AT51">
        <v>1533.0132126095332</v>
      </c>
      <c r="AU51">
        <v>1533.0132126095332</v>
      </c>
      <c r="AV51">
        <v>1533.0132126095332</v>
      </c>
      <c r="AW51">
        <v>1533.0132126095332</v>
      </c>
      <c r="AX51">
        <v>1533.0132126095332</v>
      </c>
      <c r="AY51" s="9"/>
    </row>
    <row r="52" spans="2:51" x14ac:dyDescent="0.2">
      <c r="B52" s="118" t="s">
        <v>108</v>
      </c>
      <c r="C52">
        <v>1773.4978209017493</v>
      </c>
      <c r="D52">
        <v>1773.4978209017493</v>
      </c>
      <c r="E52">
        <v>1773.4978209017493</v>
      </c>
      <c r="F52">
        <v>1773.4978209017493</v>
      </c>
      <c r="G52">
        <v>1773.4978209017493</v>
      </c>
      <c r="H52">
        <v>1773.4978209017493</v>
      </c>
      <c r="I52">
        <v>1773.4978209017493</v>
      </c>
      <c r="J52">
        <v>1773.4978209017493</v>
      </c>
      <c r="K52">
        <v>1773.4978209017493</v>
      </c>
      <c r="L52">
        <v>1773.4978209017493</v>
      </c>
      <c r="M52">
        <v>1773.4978209017493</v>
      </c>
      <c r="N52">
        <v>1773.4978209017493</v>
      </c>
      <c r="O52">
        <v>1773.4978209017493</v>
      </c>
      <c r="P52">
        <v>1773.4978209017493</v>
      </c>
      <c r="Q52">
        <v>1773.4978209017493</v>
      </c>
      <c r="R52">
        <v>1773.4978209017493</v>
      </c>
      <c r="S52">
        <v>1773.4978209017493</v>
      </c>
      <c r="T52">
        <v>1773.4978209017493</v>
      </c>
      <c r="U52">
        <v>1773.4978209017493</v>
      </c>
      <c r="V52">
        <v>1773.4978209017493</v>
      </c>
      <c r="W52">
        <v>1773.4978209017493</v>
      </c>
      <c r="X52">
        <v>1773.4978209017493</v>
      </c>
      <c r="Y52">
        <v>1773.4978209017493</v>
      </c>
      <c r="Z52">
        <v>1773.4978209017493</v>
      </c>
      <c r="AA52">
        <v>1773.4978209017493</v>
      </c>
      <c r="AB52">
        <v>1773.4978209017493</v>
      </c>
      <c r="AC52">
        <v>1773.4978209017493</v>
      </c>
      <c r="AD52">
        <v>1773.4978209017493</v>
      </c>
      <c r="AE52">
        <v>1773.4978209017493</v>
      </c>
      <c r="AF52">
        <v>1773.4978209017493</v>
      </c>
      <c r="AG52">
        <v>1773.4978209017493</v>
      </c>
      <c r="AH52">
        <v>1773.4978209017493</v>
      </c>
      <c r="AI52">
        <v>1773.4978209017493</v>
      </c>
      <c r="AJ52">
        <v>1773.4978209017493</v>
      </c>
      <c r="AK52">
        <v>1773.4978209017493</v>
      </c>
      <c r="AL52">
        <v>1773.4978209017493</v>
      </c>
      <c r="AM52">
        <v>1773.4978209017493</v>
      </c>
      <c r="AN52">
        <v>1773.4978209017493</v>
      </c>
      <c r="AO52">
        <v>1773.4978209017493</v>
      </c>
      <c r="AP52">
        <v>1773.4978209017493</v>
      </c>
      <c r="AQ52">
        <v>1773.4978209017493</v>
      </c>
      <c r="AR52">
        <v>1773.4978209017493</v>
      </c>
      <c r="AS52">
        <v>1773.4978209017493</v>
      </c>
      <c r="AT52">
        <v>1773.4978209017493</v>
      </c>
      <c r="AU52">
        <v>1773.4978209017493</v>
      </c>
      <c r="AV52">
        <v>1773.4978209017493</v>
      </c>
      <c r="AW52">
        <v>1773.4978209017493</v>
      </c>
      <c r="AX52">
        <v>1773.4978209017493</v>
      </c>
    </row>
    <row r="53" spans="2:51" x14ac:dyDescent="0.2">
      <c r="B53" s="118" t="s">
        <v>109</v>
      </c>
      <c r="C53">
        <v>1492.7924366725895</v>
      </c>
      <c r="D53">
        <v>1492.7924366725895</v>
      </c>
      <c r="E53">
        <v>1492.7924366725895</v>
      </c>
      <c r="F53">
        <v>1492.7924366725895</v>
      </c>
      <c r="G53">
        <v>1492.7924366725895</v>
      </c>
      <c r="H53">
        <v>1492.7924366725895</v>
      </c>
      <c r="I53">
        <v>1492.7924366725895</v>
      </c>
      <c r="J53">
        <v>1492.7924366725895</v>
      </c>
      <c r="K53">
        <v>1492.7924366725895</v>
      </c>
      <c r="L53">
        <v>1492.7924366725895</v>
      </c>
      <c r="M53">
        <v>1492.7924366725895</v>
      </c>
      <c r="N53">
        <v>1492.7924366725895</v>
      </c>
      <c r="O53">
        <v>1492.7924366725895</v>
      </c>
      <c r="P53">
        <v>1492.7924366725895</v>
      </c>
      <c r="Q53">
        <v>1492.7924366725895</v>
      </c>
      <c r="R53">
        <v>1492.7924366725895</v>
      </c>
      <c r="S53">
        <v>1492.7924366725895</v>
      </c>
      <c r="T53">
        <v>1492.7924366725895</v>
      </c>
      <c r="U53">
        <v>1492.7924366725895</v>
      </c>
      <c r="V53">
        <v>1492.7924366725895</v>
      </c>
      <c r="W53">
        <v>1492.7924366725895</v>
      </c>
      <c r="X53">
        <v>1492.7924366725895</v>
      </c>
      <c r="Y53">
        <v>1492.7924366725895</v>
      </c>
      <c r="Z53">
        <v>1492.7924366725895</v>
      </c>
      <c r="AA53">
        <v>1492.7924366725895</v>
      </c>
      <c r="AB53">
        <v>1492.7924366725895</v>
      </c>
      <c r="AC53">
        <v>1492.7924366725895</v>
      </c>
      <c r="AD53">
        <v>1492.7924366725895</v>
      </c>
      <c r="AE53">
        <v>1492.7924366725895</v>
      </c>
      <c r="AF53">
        <v>1492.7924366725895</v>
      </c>
      <c r="AG53">
        <v>1492.7924366725895</v>
      </c>
      <c r="AH53">
        <v>1492.7924366725895</v>
      </c>
      <c r="AI53">
        <v>1492.7924366725895</v>
      </c>
      <c r="AJ53">
        <v>1492.7924366725895</v>
      </c>
      <c r="AK53">
        <v>1492.7924366725895</v>
      </c>
      <c r="AL53">
        <v>1492.7924366725895</v>
      </c>
      <c r="AM53">
        <v>1492.7924366725895</v>
      </c>
      <c r="AN53">
        <v>1492.7924366725895</v>
      </c>
      <c r="AO53">
        <v>1492.7924366725895</v>
      </c>
      <c r="AP53">
        <v>1492.7924366725895</v>
      </c>
      <c r="AQ53">
        <v>1492.7924366725895</v>
      </c>
      <c r="AR53">
        <v>1492.7924366725895</v>
      </c>
      <c r="AS53">
        <v>1492.7924366725895</v>
      </c>
      <c r="AT53">
        <v>1492.7924366725895</v>
      </c>
      <c r="AU53">
        <v>1492.7924366725895</v>
      </c>
      <c r="AV53">
        <v>1492.7924366725895</v>
      </c>
      <c r="AW53">
        <v>1492.7924366725895</v>
      </c>
      <c r="AX53">
        <v>1492.7924366725895</v>
      </c>
    </row>
    <row r="55" spans="2:51" x14ac:dyDescent="0.2">
      <c r="B55" s="53" t="s">
        <v>327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</row>
    <row r="56" spans="2:51" x14ac:dyDescent="0.2">
      <c r="B56" s="122" t="s">
        <v>274</v>
      </c>
      <c r="C56" s="122" t="s">
        <v>92</v>
      </c>
      <c r="D56" s="119"/>
      <c r="E56" s="119"/>
      <c r="F56" s="119"/>
      <c r="G56" s="122" t="s">
        <v>93</v>
      </c>
      <c r="H56" s="119"/>
      <c r="I56" s="119"/>
      <c r="J56" s="119"/>
      <c r="K56" s="122" t="s">
        <v>94</v>
      </c>
      <c r="L56" s="119"/>
      <c r="M56" s="119"/>
      <c r="N56" s="119"/>
      <c r="O56" s="122" t="s">
        <v>95</v>
      </c>
      <c r="P56" s="119"/>
      <c r="Q56" s="119"/>
      <c r="R56" s="119"/>
      <c r="S56" s="122" t="s">
        <v>96</v>
      </c>
      <c r="T56" s="119"/>
      <c r="U56" s="119"/>
      <c r="V56" s="119"/>
      <c r="W56" s="122" t="s">
        <v>97</v>
      </c>
      <c r="X56" s="119"/>
      <c r="Y56" s="119"/>
      <c r="Z56" s="119"/>
      <c r="AA56" s="122" t="s">
        <v>98</v>
      </c>
      <c r="AB56" s="119"/>
      <c r="AC56" s="119"/>
      <c r="AD56" s="119"/>
      <c r="AE56" s="122" t="s">
        <v>99</v>
      </c>
      <c r="AF56" s="119"/>
      <c r="AG56" s="119"/>
      <c r="AH56" s="119"/>
      <c r="AI56" s="122" t="s">
        <v>100</v>
      </c>
      <c r="AJ56" s="119"/>
      <c r="AK56" s="119"/>
      <c r="AL56" s="119"/>
      <c r="AM56" s="122" t="s">
        <v>101</v>
      </c>
      <c r="AN56" s="119"/>
      <c r="AO56" s="119"/>
      <c r="AP56" s="119"/>
      <c r="AQ56" s="122" t="s">
        <v>102</v>
      </c>
      <c r="AR56" s="119"/>
      <c r="AS56" s="119"/>
      <c r="AT56" s="119"/>
      <c r="AU56" s="122" t="s">
        <v>103</v>
      </c>
      <c r="AV56" s="119"/>
      <c r="AW56" s="119"/>
    </row>
    <row r="57" spans="2:51" x14ac:dyDescent="0.2">
      <c r="B57" s="122" t="s">
        <v>326</v>
      </c>
      <c r="C57" s="122">
        <v>1</v>
      </c>
      <c r="D57" s="122">
        <v>2</v>
      </c>
      <c r="E57" s="122">
        <v>3</v>
      </c>
      <c r="F57" s="122">
        <v>4</v>
      </c>
      <c r="G57" s="122">
        <v>1</v>
      </c>
      <c r="H57" s="122">
        <v>2</v>
      </c>
      <c r="I57" s="122">
        <v>3</v>
      </c>
      <c r="J57" s="122">
        <v>4</v>
      </c>
      <c r="K57" s="122">
        <v>1</v>
      </c>
      <c r="L57" s="122">
        <v>2</v>
      </c>
      <c r="M57" s="122">
        <v>3</v>
      </c>
      <c r="N57" s="122">
        <v>4</v>
      </c>
      <c r="O57" s="122">
        <v>1</v>
      </c>
      <c r="P57" s="122">
        <v>2</v>
      </c>
      <c r="Q57" s="122">
        <v>3</v>
      </c>
      <c r="R57" s="122">
        <v>4</v>
      </c>
      <c r="S57" s="122">
        <v>1</v>
      </c>
      <c r="T57" s="122">
        <v>2</v>
      </c>
      <c r="U57" s="122">
        <v>3</v>
      </c>
      <c r="V57" s="122">
        <v>4</v>
      </c>
      <c r="W57" s="122">
        <v>1</v>
      </c>
      <c r="X57" s="122">
        <v>2</v>
      </c>
      <c r="Y57" s="122">
        <v>3</v>
      </c>
      <c r="Z57" s="122">
        <v>4</v>
      </c>
      <c r="AA57" s="122">
        <v>1</v>
      </c>
      <c r="AB57" s="122">
        <v>2</v>
      </c>
      <c r="AC57" s="122">
        <v>3</v>
      </c>
      <c r="AD57" s="122">
        <v>4</v>
      </c>
      <c r="AE57" s="122">
        <v>1</v>
      </c>
      <c r="AF57" s="122">
        <v>2</v>
      </c>
      <c r="AG57" s="122">
        <v>3</v>
      </c>
      <c r="AH57" s="122">
        <v>4</v>
      </c>
      <c r="AI57" s="122">
        <v>1</v>
      </c>
      <c r="AJ57" s="122">
        <v>2</v>
      </c>
      <c r="AK57" s="122">
        <v>3</v>
      </c>
      <c r="AL57" s="122">
        <v>4</v>
      </c>
      <c r="AM57" s="122">
        <v>1</v>
      </c>
      <c r="AN57" s="122">
        <v>2</v>
      </c>
      <c r="AO57" s="122">
        <v>3</v>
      </c>
      <c r="AP57" s="122">
        <v>4</v>
      </c>
      <c r="AQ57" s="122">
        <v>1</v>
      </c>
      <c r="AR57" s="122">
        <v>2</v>
      </c>
      <c r="AS57" s="122">
        <v>3</v>
      </c>
      <c r="AT57" s="122">
        <v>4</v>
      </c>
      <c r="AU57" s="122">
        <v>1</v>
      </c>
      <c r="AV57" s="122">
        <v>2</v>
      </c>
      <c r="AW57" s="122">
        <v>3</v>
      </c>
      <c r="AX57" s="122">
        <v>4</v>
      </c>
    </row>
    <row r="58" spans="2:51" x14ac:dyDescent="0.2">
      <c r="B58" s="122" t="s">
        <v>104</v>
      </c>
      <c r="C58">
        <v>2074785.4321255749</v>
      </c>
      <c r="D58">
        <v>2074785.4321255749</v>
      </c>
      <c r="E58">
        <v>2074785.4321255749</v>
      </c>
      <c r="F58">
        <v>2074785.4321255749</v>
      </c>
      <c r="G58">
        <v>2277764.8907393049</v>
      </c>
      <c r="H58">
        <v>2277764.8907393049</v>
      </c>
      <c r="I58">
        <v>2277764.8907393049</v>
      </c>
      <c r="J58">
        <v>2277764.8907393049</v>
      </c>
      <c r="K58">
        <v>1835196.1676042269</v>
      </c>
      <c r="L58">
        <v>1835196.1676042269</v>
      </c>
      <c r="M58">
        <v>1835196.1676042269</v>
      </c>
      <c r="N58">
        <v>1835196.1676042269</v>
      </c>
      <c r="O58">
        <v>1930286.7814918461</v>
      </c>
      <c r="P58">
        <v>1930286.7814918461</v>
      </c>
      <c r="Q58">
        <v>1930286.7814918461</v>
      </c>
      <c r="R58">
        <v>1930286.7814918461</v>
      </c>
      <c r="S58">
        <v>2181113.3710195511</v>
      </c>
      <c r="T58">
        <v>2181113.3710195511</v>
      </c>
      <c r="U58">
        <v>2181113.3710195511</v>
      </c>
      <c r="V58">
        <v>2181113.3710195511</v>
      </c>
      <c r="W58">
        <v>1797555.8424554176</v>
      </c>
      <c r="X58">
        <v>1797555.8424554176</v>
      </c>
      <c r="Y58">
        <v>1797555.8424554176</v>
      </c>
      <c r="Z58">
        <v>1797555.8424554176</v>
      </c>
      <c r="AA58">
        <v>1673824.4964111829</v>
      </c>
      <c r="AB58">
        <v>1673824.4964111829</v>
      </c>
      <c r="AC58">
        <v>1673824.4964111829</v>
      </c>
      <c r="AD58">
        <v>1673824.4964111829</v>
      </c>
      <c r="AE58">
        <v>1724209.696799767</v>
      </c>
      <c r="AF58">
        <v>1724209.696799767</v>
      </c>
      <c r="AG58">
        <v>1724209.696799767</v>
      </c>
      <c r="AH58">
        <v>1724209.696799767</v>
      </c>
      <c r="AI58">
        <v>2267196.3862771997</v>
      </c>
      <c r="AJ58">
        <v>2267196.3862771997</v>
      </c>
      <c r="AK58">
        <v>2267196.3862771997</v>
      </c>
      <c r="AL58">
        <v>2267196.3862771997</v>
      </c>
      <c r="AM58">
        <v>2101325.0572338174</v>
      </c>
      <c r="AN58">
        <v>2101325.0572338174</v>
      </c>
      <c r="AO58">
        <v>2101325.0572338174</v>
      </c>
      <c r="AP58">
        <v>2101325.0572338174</v>
      </c>
      <c r="AQ58">
        <v>1676704.5332353497</v>
      </c>
      <c r="AR58">
        <v>1676704.5332353497</v>
      </c>
      <c r="AS58">
        <v>1676704.5332353497</v>
      </c>
      <c r="AT58">
        <v>1676704.5332353497</v>
      </c>
      <c r="AU58">
        <v>1891928.5788159494</v>
      </c>
      <c r="AV58">
        <v>1891928.5788159494</v>
      </c>
      <c r="AW58">
        <v>1891928.5788159494</v>
      </c>
      <c r="AX58">
        <v>1891928.5788159494</v>
      </c>
    </row>
    <row r="59" spans="2:51" x14ac:dyDescent="0.2">
      <c r="B59" s="122" t="s">
        <v>105</v>
      </c>
      <c r="C59">
        <v>2347251.1535974331</v>
      </c>
      <c r="D59">
        <v>2347251.1535974331</v>
      </c>
      <c r="E59">
        <v>2347251.1535974331</v>
      </c>
      <c r="F59">
        <v>2347251.1535974331</v>
      </c>
      <c r="G59">
        <v>2348254.3478496568</v>
      </c>
      <c r="H59">
        <v>2348254.3478496568</v>
      </c>
      <c r="I59">
        <v>2348254.3478496568</v>
      </c>
      <c r="J59">
        <v>2348254.3478496568</v>
      </c>
      <c r="K59">
        <v>2309497.4495836259</v>
      </c>
      <c r="L59">
        <v>2309497.4495836259</v>
      </c>
      <c r="M59">
        <v>2309497.4495836259</v>
      </c>
      <c r="N59">
        <v>2309497.4495836259</v>
      </c>
      <c r="O59">
        <v>2776401.5310709379</v>
      </c>
      <c r="P59">
        <v>2776401.5310709379</v>
      </c>
      <c r="Q59">
        <v>2425336.0367385587</v>
      </c>
      <c r="R59">
        <v>2776401.5310709379</v>
      </c>
      <c r="S59">
        <v>2592520.3296590843</v>
      </c>
      <c r="T59">
        <v>2592520.3296590843</v>
      </c>
      <c r="U59">
        <v>2592520.3296590843</v>
      </c>
      <c r="V59">
        <v>2592520.3296590843</v>
      </c>
      <c r="W59">
        <v>2446353.1208153581</v>
      </c>
      <c r="X59">
        <v>2446353.1208153581</v>
      </c>
      <c r="Y59">
        <v>2446353.1208153581</v>
      </c>
      <c r="Z59">
        <v>2446353.1208153581</v>
      </c>
      <c r="AA59">
        <v>2545543.7157908352</v>
      </c>
      <c r="AB59">
        <v>2545543.7157908352</v>
      </c>
      <c r="AC59">
        <v>2545543.7157908352</v>
      </c>
      <c r="AD59">
        <v>2545543.7157908352</v>
      </c>
      <c r="AE59">
        <v>2622576.6039837822</v>
      </c>
      <c r="AF59">
        <v>2622576.6039837822</v>
      </c>
      <c r="AG59">
        <v>2622576.6039837822</v>
      </c>
      <c r="AH59">
        <v>2622576.6039837822</v>
      </c>
      <c r="AI59">
        <v>2631522.3006922957</v>
      </c>
      <c r="AJ59">
        <v>2631522.3006922957</v>
      </c>
      <c r="AK59">
        <v>2631522.3006922957</v>
      </c>
      <c r="AL59">
        <v>2631522.3006922957</v>
      </c>
      <c r="AM59">
        <v>2401229.4717647107</v>
      </c>
      <c r="AN59">
        <v>2401229.4717647107</v>
      </c>
      <c r="AO59">
        <v>2401229.4717647107</v>
      </c>
      <c r="AP59">
        <v>2401229.4717647107</v>
      </c>
      <c r="AQ59">
        <v>2325214.7580172694</v>
      </c>
      <c r="AR59">
        <v>2325214.7580172694</v>
      </c>
      <c r="AS59">
        <v>2325214.7580172694</v>
      </c>
      <c r="AT59">
        <v>2325214.7580172694</v>
      </c>
      <c r="AU59">
        <v>2278479.5025061099</v>
      </c>
      <c r="AV59">
        <v>2278479.5025061099</v>
      </c>
      <c r="AW59">
        <v>2278479.5025061099</v>
      </c>
      <c r="AX59">
        <v>2278479.5025061099</v>
      </c>
    </row>
    <row r="60" spans="2:51" x14ac:dyDescent="0.2">
      <c r="B60" s="122" t="s">
        <v>106</v>
      </c>
      <c r="C60">
        <v>2156035.5279136878</v>
      </c>
      <c r="D60">
        <v>2156035.5279136878</v>
      </c>
      <c r="E60">
        <v>2156035.5279136878</v>
      </c>
      <c r="F60">
        <v>2156035.5279136878</v>
      </c>
      <c r="G60">
        <v>2322944.0448573297</v>
      </c>
      <c r="H60">
        <v>2322944.0448573297</v>
      </c>
      <c r="I60">
        <v>2322944.0448573297</v>
      </c>
      <c r="J60">
        <v>2322944.0448573297</v>
      </c>
      <c r="K60">
        <v>2335285.6994426111</v>
      </c>
      <c r="L60">
        <v>2335285.6994426111</v>
      </c>
      <c r="M60">
        <v>2335285.6994426111</v>
      </c>
      <c r="N60">
        <v>2335285.6994426111</v>
      </c>
      <c r="O60">
        <v>2321187.8552382211</v>
      </c>
      <c r="P60">
        <v>2321187.8552382211</v>
      </c>
      <c r="Q60">
        <v>2321187.8552382211</v>
      </c>
      <c r="R60">
        <v>2321187.8552382211</v>
      </c>
      <c r="S60">
        <v>2247846.562455154</v>
      </c>
      <c r="T60">
        <v>2247846.562455154</v>
      </c>
      <c r="U60">
        <v>2247846.562455154</v>
      </c>
      <c r="V60">
        <v>2247846.562455154</v>
      </c>
      <c r="W60">
        <v>2305279.3875737921</v>
      </c>
      <c r="X60">
        <v>2305279.3875737921</v>
      </c>
      <c r="Y60">
        <v>2305279.3875737921</v>
      </c>
      <c r="Z60">
        <v>2305279.3875737921</v>
      </c>
      <c r="AA60">
        <v>2307513.4387050015</v>
      </c>
      <c r="AB60">
        <v>2307513.4387050015</v>
      </c>
      <c r="AC60">
        <v>2307513.4387050015</v>
      </c>
      <c r="AD60">
        <v>2307513.4387050015</v>
      </c>
      <c r="AE60">
        <v>2209405.9876313</v>
      </c>
      <c r="AF60">
        <v>2209405.9876313</v>
      </c>
      <c r="AG60">
        <v>2209405.9876313</v>
      </c>
      <c r="AH60">
        <v>2209405.9876313</v>
      </c>
      <c r="AI60">
        <v>2245863.8631310295</v>
      </c>
      <c r="AJ60">
        <v>2245863.8631310295</v>
      </c>
      <c r="AK60">
        <v>2245863.8631310295</v>
      </c>
      <c r="AL60">
        <v>2245863.8631310295</v>
      </c>
      <c r="AM60">
        <v>2248124.2826528451</v>
      </c>
      <c r="AN60">
        <v>2248124.2826528451</v>
      </c>
      <c r="AO60">
        <v>2248124.2826528451</v>
      </c>
      <c r="AP60">
        <v>2248124.2826528451</v>
      </c>
      <c r="AQ60">
        <v>2273613.0997380712</v>
      </c>
      <c r="AR60">
        <v>2273613.0997380712</v>
      </c>
      <c r="AS60">
        <v>2273613.0997380712</v>
      </c>
      <c r="AT60">
        <v>2273613.0997380712</v>
      </c>
      <c r="AU60">
        <v>2306866.8577978062</v>
      </c>
      <c r="AV60">
        <v>2306866.8577978062</v>
      </c>
      <c r="AW60">
        <v>2306866.8577978062</v>
      </c>
      <c r="AX60">
        <v>2306866.8577978062</v>
      </c>
    </row>
    <row r="61" spans="2:51" x14ac:dyDescent="0.2">
      <c r="B61" s="122" t="s">
        <v>107</v>
      </c>
      <c r="C61">
        <v>2305280.1811079872</v>
      </c>
      <c r="D61">
        <v>2305280.1811079872</v>
      </c>
      <c r="E61">
        <v>2305280.1811079872</v>
      </c>
      <c r="F61">
        <v>2305280.1811079872</v>
      </c>
      <c r="G61">
        <v>2151197.8290889161</v>
      </c>
      <c r="H61">
        <v>2151197.8290889161</v>
      </c>
      <c r="I61">
        <v>2151197.8290889161</v>
      </c>
      <c r="J61">
        <v>2151197.8290889161</v>
      </c>
      <c r="K61">
        <v>2188850.3050587368</v>
      </c>
      <c r="L61">
        <v>2188850.3050587368</v>
      </c>
      <c r="M61">
        <v>2188850.3050587368</v>
      </c>
      <c r="N61">
        <v>2188850.3050587368</v>
      </c>
      <c r="O61">
        <v>2444823.0987284207</v>
      </c>
      <c r="P61">
        <v>2444823.0987284207</v>
      </c>
      <c r="Q61">
        <v>2444823.0987284207</v>
      </c>
      <c r="R61">
        <v>495178.45188185619</v>
      </c>
      <c r="S61">
        <v>2273713.5819313903</v>
      </c>
      <c r="T61">
        <v>2273713.5819313903</v>
      </c>
      <c r="U61">
        <v>2273713.5819313903</v>
      </c>
      <c r="V61">
        <v>2273713.5819313903</v>
      </c>
      <c r="W61">
        <v>2113935.6103717424</v>
      </c>
      <c r="X61">
        <v>2113935.6103717424</v>
      </c>
      <c r="Y61">
        <v>2113935.6103717424</v>
      </c>
      <c r="Z61">
        <v>2113935.6103717424</v>
      </c>
      <c r="AA61">
        <v>2149045.4639677494</v>
      </c>
      <c r="AB61">
        <v>2149045.4639677494</v>
      </c>
      <c r="AC61">
        <v>2149045.4639677494</v>
      </c>
      <c r="AD61">
        <v>2149045.4639677494</v>
      </c>
      <c r="AE61">
        <v>2168088.4201324563</v>
      </c>
      <c r="AF61">
        <v>2168088.4201324563</v>
      </c>
      <c r="AG61">
        <v>2168088.4201324563</v>
      </c>
      <c r="AH61">
        <v>2168088.4201324563</v>
      </c>
      <c r="AI61">
        <v>2235386.3590015834</v>
      </c>
      <c r="AJ61">
        <v>2235386.3590015834</v>
      </c>
      <c r="AK61">
        <v>2235386.3590015834</v>
      </c>
      <c r="AL61">
        <v>2235386.3590015834</v>
      </c>
      <c r="AM61">
        <v>2208141.1306845546</v>
      </c>
      <c r="AN61">
        <v>2208141.1306845546</v>
      </c>
      <c r="AO61">
        <v>2208141.1306845546</v>
      </c>
      <c r="AP61">
        <v>2208141.1306845546</v>
      </c>
      <c r="AQ61">
        <v>2180459.2159773712</v>
      </c>
      <c r="AR61">
        <v>2180459.2159773712</v>
      </c>
      <c r="AS61">
        <v>2180459.2159773712</v>
      </c>
      <c r="AT61">
        <v>2180459.2159773712</v>
      </c>
      <c r="AU61">
        <v>2318162.9426384503</v>
      </c>
      <c r="AV61">
        <v>2318162.9426384503</v>
      </c>
      <c r="AW61">
        <v>2318162.9426384503</v>
      </c>
      <c r="AX61">
        <v>2318162.9426384503</v>
      </c>
    </row>
    <row r="62" spans="2:51" x14ac:dyDescent="0.2">
      <c r="B62" s="122" t="s">
        <v>108</v>
      </c>
      <c r="C62">
        <v>2642361.509309548</v>
      </c>
      <c r="D62">
        <v>2642361.509309548</v>
      </c>
      <c r="E62">
        <v>2642361.509309548</v>
      </c>
      <c r="F62">
        <v>2642361.509309548</v>
      </c>
      <c r="G62">
        <v>2758178.2266066032</v>
      </c>
      <c r="H62">
        <v>2758178.2266066032</v>
      </c>
      <c r="I62">
        <v>2758178.2266066032</v>
      </c>
      <c r="J62">
        <v>2758178.2266066032</v>
      </c>
      <c r="K62">
        <v>2717205.9145163442</v>
      </c>
      <c r="L62">
        <v>2717205.9145163442</v>
      </c>
      <c r="M62">
        <v>2717205.9145163442</v>
      </c>
      <c r="N62">
        <v>2717205.9145163442</v>
      </c>
      <c r="O62">
        <v>2758400.4644222986</v>
      </c>
      <c r="P62">
        <v>2758400.4644222986</v>
      </c>
      <c r="Q62">
        <v>2758400.4644222986</v>
      </c>
      <c r="R62">
        <v>2758400.4644222986</v>
      </c>
      <c r="S62">
        <v>2704432.0774719808</v>
      </c>
      <c r="T62">
        <v>2704432.0774719808</v>
      </c>
      <c r="U62">
        <v>2704432.0774719808</v>
      </c>
      <c r="V62">
        <v>2704432.0774719808</v>
      </c>
      <c r="W62">
        <v>2774008.2867733072</v>
      </c>
      <c r="X62">
        <v>2774008.2867733072</v>
      </c>
      <c r="Y62">
        <v>2774008.2867733072</v>
      </c>
      <c r="Z62">
        <v>2774008.2867733072</v>
      </c>
      <c r="AA62">
        <v>2727043.1708638221</v>
      </c>
      <c r="AB62">
        <v>2727043.1708638221</v>
      </c>
      <c r="AC62">
        <v>2727043.1708638221</v>
      </c>
      <c r="AD62">
        <v>2727043.1708638221</v>
      </c>
      <c r="AE62">
        <v>2692944.1289294465</v>
      </c>
      <c r="AF62">
        <v>2692944.1289294465</v>
      </c>
      <c r="AG62">
        <v>2692944.1289294465</v>
      </c>
      <c r="AH62">
        <v>2692944.1289294465</v>
      </c>
      <c r="AI62">
        <v>2729954.0250963527</v>
      </c>
      <c r="AJ62">
        <v>2729954.0250963527</v>
      </c>
      <c r="AK62">
        <v>2729954.0250963527</v>
      </c>
      <c r="AL62">
        <v>2729954.0250963527</v>
      </c>
      <c r="AM62">
        <v>2786791.1756703276</v>
      </c>
      <c r="AN62">
        <v>2786791.1756703276</v>
      </c>
      <c r="AO62">
        <v>2786791.1756703276</v>
      </c>
      <c r="AP62">
        <v>2786791.1756703276</v>
      </c>
      <c r="AQ62">
        <v>2785016.5013828212</v>
      </c>
      <c r="AR62">
        <v>2785016.5013828212</v>
      </c>
      <c r="AS62">
        <v>2785016.5013828212</v>
      </c>
      <c r="AT62">
        <v>2785016.5013828212</v>
      </c>
      <c r="AU62">
        <v>2854555.5043037795</v>
      </c>
      <c r="AV62">
        <v>2854555.5043037795</v>
      </c>
      <c r="AW62">
        <v>2854555.5043037795</v>
      </c>
      <c r="AX62">
        <v>2854555.5043037795</v>
      </c>
    </row>
    <row r="63" spans="2:51" x14ac:dyDescent="0.2">
      <c r="B63" s="122" t="s">
        <v>109</v>
      </c>
      <c r="C63">
        <v>2235024.3494910011</v>
      </c>
      <c r="D63">
        <v>2235024.3494910011</v>
      </c>
      <c r="E63">
        <v>2235024.3494910011</v>
      </c>
      <c r="F63">
        <v>2235024.3494910011</v>
      </c>
      <c r="G63">
        <v>2244552.3286410202</v>
      </c>
      <c r="H63">
        <v>2244552.3286410202</v>
      </c>
      <c r="I63">
        <v>2244552.3286410202</v>
      </c>
      <c r="J63">
        <v>2244552.3286410202</v>
      </c>
      <c r="K63">
        <v>2230445.9198842412</v>
      </c>
      <c r="L63">
        <v>2230445.9198842412</v>
      </c>
      <c r="M63">
        <v>2230445.9198842412</v>
      </c>
      <c r="N63">
        <v>2230445.9198842412</v>
      </c>
      <c r="O63">
        <v>2390133.5861519487</v>
      </c>
      <c r="P63">
        <v>2390133.5861519487</v>
      </c>
      <c r="Q63">
        <v>2390133.5861519487</v>
      </c>
      <c r="R63">
        <v>2390133.5861519487</v>
      </c>
      <c r="S63">
        <v>2159120.6932890578</v>
      </c>
      <c r="T63">
        <v>2159120.6932890578</v>
      </c>
      <c r="U63">
        <v>2159120.6932890578</v>
      </c>
      <c r="V63">
        <v>2159120.6932890578</v>
      </c>
      <c r="W63">
        <v>2442779.5562123046</v>
      </c>
      <c r="X63">
        <v>2442779.5562123046</v>
      </c>
      <c r="Y63">
        <v>2442779.5562123046</v>
      </c>
      <c r="Z63">
        <v>2442779.5562123046</v>
      </c>
      <c r="AA63">
        <v>2190016.004305766</v>
      </c>
      <c r="AB63">
        <v>2190016.004305766</v>
      </c>
      <c r="AC63">
        <v>2190016.004305766</v>
      </c>
      <c r="AD63">
        <v>2190016.004305766</v>
      </c>
      <c r="AE63">
        <v>2369766.777392217</v>
      </c>
      <c r="AF63">
        <v>2369766.777392217</v>
      </c>
      <c r="AG63">
        <v>2369766.777392217</v>
      </c>
      <c r="AH63">
        <v>2369766.777392217</v>
      </c>
      <c r="AI63">
        <v>2398685.849272137</v>
      </c>
      <c r="AJ63">
        <v>2398685.849272137</v>
      </c>
      <c r="AK63">
        <v>2398685.849272137</v>
      </c>
      <c r="AL63">
        <v>2398685.849272137</v>
      </c>
      <c r="AM63">
        <v>2361980.9758584779</v>
      </c>
      <c r="AN63">
        <v>2361980.9758584779</v>
      </c>
      <c r="AO63">
        <v>2361980.9758584779</v>
      </c>
      <c r="AP63">
        <v>2361980.9758584779</v>
      </c>
      <c r="AQ63">
        <v>2389422.2583192601</v>
      </c>
      <c r="AR63">
        <v>2389422.2583192601</v>
      </c>
      <c r="AS63">
        <v>2389422.2583192601</v>
      </c>
      <c r="AT63">
        <v>2389422.2583192601</v>
      </c>
      <c r="AU63">
        <v>2352964.0090858168</v>
      </c>
      <c r="AV63">
        <v>2352964.0090858168</v>
      </c>
      <c r="AW63">
        <v>2352964.0090858168</v>
      </c>
      <c r="AX63">
        <v>2352964.0090858168</v>
      </c>
    </row>
    <row r="64" spans="2:51" x14ac:dyDescent="0.2">
      <c r="B64" s="119"/>
    </row>
    <row r="65" spans="1:14" x14ac:dyDescent="0.2">
      <c r="B65" s="121" t="s">
        <v>328</v>
      </c>
    </row>
    <row r="66" spans="1:14" x14ac:dyDescent="0.2">
      <c r="B66" s="118" t="s">
        <v>329</v>
      </c>
      <c r="C66" s="118" t="s">
        <v>92</v>
      </c>
      <c r="D66" s="118" t="s">
        <v>93</v>
      </c>
      <c r="E66" s="118" t="s">
        <v>94</v>
      </c>
      <c r="F66" s="118" t="s">
        <v>95</v>
      </c>
      <c r="G66" s="118" t="s">
        <v>96</v>
      </c>
      <c r="H66" s="118" t="s">
        <v>97</v>
      </c>
      <c r="I66" s="118" t="s">
        <v>98</v>
      </c>
      <c r="J66" s="118" t="s">
        <v>99</v>
      </c>
      <c r="K66" s="118" t="s">
        <v>100</v>
      </c>
      <c r="L66" s="118" t="s">
        <v>101</v>
      </c>
      <c r="M66" s="118" t="s">
        <v>102</v>
      </c>
      <c r="N66" s="118" t="s">
        <v>103</v>
      </c>
    </row>
    <row r="67" spans="1:14" x14ac:dyDescent="0.2">
      <c r="B67" s="118" t="s">
        <v>330</v>
      </c>
      <c r="C67">
        <v>8333.3333333333321</v>
      </c>
      <c r="D67">
        <v>8333.3333333333321</v>
      </c>
      <c r="E67">
        <v>8333.3333333333321</v>
      </c>
      <c r="F67">
        <v>8333.3333333333321</v>
      </c>
      <c r="G67">
        <v>8333.3333333333321</v>
      </c>
      <c r="H67">
        <v>8333.3333333333321</v>
      </c>
      <c r="I67">
        <v>8333.3333333333321</v>
      </c>
      <c r="J67">
        <v>8333.3333333333321</v>
      </c>
      <c r="K67">
        <v>8333.3333333333321</v>
      </c>
      <c r="L67">
        <v>8333.3333333333321</v>
      </c>
      <c r="M67">
        <v>8333.3333333333321</v>
      </c>
      <c r="N67">
        <v>8333.3333333333321</v>
      </c>
    </row>
    <row r="68" spans="1:14" x14ac:dyDescent="0.2">
      <c r="B68" s="118" t="s">
        <v>331</v>
      </c>
      <c r="C68">
        <v>24999.999999999996</v>
      </c>
      <c r="D68">
        <v>24999.999999999996</v>
      </c>
      <c r="E68">
        <v>24999.999999999996</v>
      </c>
      <c r="F68">
        <v>24999.999999999996</v>
      </c>
      <c r="G68">
        <v>24999.999999999996</v>
      </c>
      <c r="H68">
        <v>24999.999999999996</v>
      </c>
      <c r="I68">
        <v>24999.999999999996</v>
      </c>
      <c r="J68">
        <v>24999.999999999996</v>
      </c>
      <c r="K68">
        <v>24999.999999999996</v>
      </c>
      <c r="L68">
        <v>24999.999999999996</v>
      </c>
      <c r="M68">
        <v>24999.999999999996</v>
      </c>
      <c r="N68">
        <v>24999.999999999996</v>
      </c>
    </row>
    <row r="70" spans="1:14" x14ac:dyDescent="0.2">
      <c r="B70" s="121" t="s">
        <v>332</v>
      </c>
    </row>
    <row r="71" spans="1:14" x14ac:dyDescent="0.2">
      <c r="A71" s="122" t="s">
        <v>121</v>
      </c>
      <c r="B71" s="122" t="s">
        <v>333</v>
      </c>
      <c r="C71" s="122" t="s">
        <v>22</v>
      </c>
      <c r="D71" s="122" t="s">
        <v>59</v>
      </c>
    </row>
    <row r="72" spans="1:14" x14ac:dyDescent="0.2">
      <c r="A72" s="122" t="s">
        <v>104</v>
      </c>
      <c r="B72" s="122" t="s">
        <v>92</v>
      </c>
      <c r="C72">
        <v>802623.0032666832</v>
      </c>
      <c r="D72">
        <v>5661994.8313588686</v>
      </c>
    </row>
    <row r="73" spans="1:14" x14ac:dyDescent="0.2">
      <c r="B73" s="122" t="s">
        <v>93</v>
      </c>
      <c r="C73">
        <v>802623.0032666832</v>
      </c>
      <c r="D73">
        <v>5661994.8313588686</v>
      </c>
    </row>
    <row r="74" spans="1:14" x14ac:dyDescent="0.2">
      <c r="B74" s="122" t="s">
        <v>94</v>
      </c>
      <c r="C74">
        <v>802623.0032666832</v>
      </c>
      <c r="D74">
        <v>5661994.8313588686</v>
      </c>
    </row>
    <row r="75" spans="1:14" x14ac:dyDescent="0.2">
      <c r="B75" s="122" t="s">
        <v>95</v>
      </c>
      <c r="C75">
        <v>802623.0032666832</v>
      </c>
      <c r="D75">
        <v>5661994.8313588686</v>
      </c>
    </row>
    <row r="76" spans="1:14" x14ac:dyDescent="0.2">
      <c r="B76" s="122" t="s">
        <v>96</v>
      </c>
      <c r="C76">
        <v>802623.0032666832</v>
      </c>
      <c r="D76">
        <v>5661994.8313588686</v>
      </c>
    </row>
    <row r="77" spans="1:14" x14ac:dyDescent="0.2">
      <c r="B77" s="122" t="s">
        <v>97</v>
      </c>
      <c r="C77">
        <v>802623.0032666832</v>
      </c>
      <c r="D77">
        <v>5661994.8313588686</v>
      </c>
    </row>
    <row r="78" spans="1:14" x14ac:dyDescent="0.2">
      <c r="B78" s="122" t="s">
        <v>98</v>
      </c>
      <c r="C78">
        <v>802623.0032666832</v>
      </c>
      <c r="D78">
        <v>5661994.8313588686</v>
      </c>
    </row>
    <row r="79" spans="1:14" x14ac:dyDescent="0.2">
      <c r="B79" s="122" t="s">
        <v>99</v>
      </c>
      <c r="C79">
        <v>802623.0032666832</v>
      </c>
      <c r="D79">
        <v>5661994.8313588686</v>
      </c>
    </row>
    <row r="80" spans="1:14" x14ac:dyDescent="0.2">
      <c r="B80" s="122" t="s">
        <v>100</v>
      </c>
      <c r="C80">
        <v>802623.0032666832</v>
      </c>
      <c r="D80">
        <v>5661994.8313588686</v>
      </c>
    </row>
    <row r="81" spans="2:50" x14ac:dyDescent="0.2">
      <c r="B81" s="122" t="s">
        <v>101</v>
      </c>
      <c r="C81">
        <v>802623.0032666832</v>
      </c>
      <c r="D81">
        <v>5661994.8313588686</v>
      </c>
    </row>
    <row r="82" spans="2:50" x14ac:dyDescent="0.2">
      <c r="B82" s="122" t="s">
        <v>102</v>
      </c>
      <c r="C82">
        <v>802623.0032666832</v>
      </c>
      <c r="D82">
        <v>5661994.8313588686</v>
      </c>
    </row>
    <row r="83" spans="2:50" x14ac:dyDescent="0.2">
      <c r="B83" s="122" t="s">
        <v>103</v>
      </c>
      <c r="C83">
        <v>802623.0032666832</v>
      </c>
      <c r="D83">
        <v>5661994.8313588686</v>
      </c>
    </row>
    <row r="85" spans="2:50" x14ac:dyDescent="0.2">
      <c r="B85" s="120" t="s">
        <v>334</v>
      </c>
    </row>
    <row r="86" spans="2:50" x14ac:dyDescent="0.2">
      <c r="B86" s="118" t="s">
        <v>274</v>
      </c>
      <c r="C86" s="118" t="s">
        <v>92</v>
      </c>
      <c r="D86" s="119"/>
      <c r="E86" s="119"/>
      <c r="F86" s="119"/>
      <c r="G86" s="118" t="s">
        <v>93</v>
      </c>
      <c r="H86" s="119"/>
      <c r="I86" s="119"/>
      <c r="J86" s="119"/>
      <c r="K86" s="118" t="s">
        <v>94</v>
      </c>
      <c r="L86" s="119"/>
      <c r="M86" s="119"/>
      <c r="N86" s="119"/>
      <c r="O86" s="118" t="s">
        <v>95</v>
      </c>
      <c r="P86" s="119"/>
      <c r="Q86" s="119"/>
      <c r="R86" s="119"/>
      <c r="S86" s="118" t="s">
        <v>96</v>
      </c>
      <c r="T86" s="119"/>
      <c r="U86" s="119"/>
      <c r="V86" s="119"/>
      <c r="W86" s="118" t="s">
        <v>97</v>
      </c>
      <c r="X86" s="119"/>
      <c r="Y86" s="119"/>
      <c r="Z86" s="119"/>
      <c r="AA86" s="118" t="s">
        <v>98</v>
      </c>
      <c r="AB86" s="119"/>
      <c r="AC86" s="119"/>
      <c r="AD86" s="119"/>
      <c r="AE86" s="118" t="s">
        <v>99</v>
      </c>
      <c r="AF86" s="119"/>
      <c r="AG86" s="119"/>
      <c r="AH86" s="119"/>
      <c r="AI86" s="118" t="s">
        <v>100</v>
      </c>
      <c r="AJ86" s="119"/>
      <c r="AK86" s="119"/>
      <c r="AL86" s="119"/>
      <c r="AM86" s="118" t="s">
        <v>101</v>
      </c>
      <c r="AN86" s="119"/>
      <c r="AO86" s="119"/>
      <c r="AP86" s="119"/>
      <c r="AQ86" s="118" t="s">
        <v>102</v>
      </c>
      <c r="AR86" s="119"/>
      <c r="AS86" s="119"/>
      <c r="AT86" s="119"/>
      <c r="AU86" s="118" t="s">
        <v>103</v>
      </c>
      <c r="AV86" s="119"/>
      <c r="AW86" s="119"/>
    </row>
    <row r="87" spans="2:50" x14ac:dyDescent="0.2">
      <c r="B87" s="118" t="s">
        <v>335</v>
      </c>
      <c r="C87" s="118">
        <v>1</v>
      </c>
      <c r="D87" s="118">
        <v>2</v>
      </c>
      <c r="E87" s="118">
        <v>3</v>
      </c>
      <c r="F87" s="118">
        <v>4</v>
      </c>
      <c r="G87" s="118">
        <v>1</v>
      </c>
      <c r="H87" s="118">
        <v>2</v>
      </c>
      <c r="I87" s="118">
        <v>3</v>
      </c>
      <c r="J87" s="118">
        <v>4</v>
      </c>
      <c r="K87" s="118">
        <v>1</v>
      </c>
      <c r="L87" s="118">
        <v>2</v>
      </c>
      <c r="M87" s="118">
        <v>3</v>
      </c>
      <c r="N87" s="118">
        <v>4</v>
      </c>
      <c r="O87" s="118">
        <v>1</v>
      </c>
      <c r="P87" s="118">
        <v>2</v>
      </c>
      <c r="Q87" s="118">
        <v>3</v>
      </c>
      <c r="R87" s="118">
        <v>4</v>
      </c>
      <c r="S87" s="118">
        <v>1</v>
      </c>
      <c r="T87" s="118">
        <v>2</v>
      </c>
      <c r="U87" s="118">
        <v>3</v>
      </c>
      <c r="V87" s="118">
        <v>4</v>
      </c>
      <c r="W87" s="118">
        <v>1</v>
      </c>
      <c r="X87" s="118">
        <v>2</v>
      </c>
      <c r="Y87" s="118">
        <v>3</v>
      </c>
      <c r="Z87" s="118">
        <v>4</v>
      </c>
      <c r="AA87" s="118">
        <v>1</v>
      </c>
      <c r="AB87" s="118">
        <v>2</v>
      </c>
      <c r="AC87" s="118">
        <v>3</v>
      </c>
      <c r="AD87" s="118">
        <v>4</v>
      </c>
      <c r="AE87" s="118">
        <v>1</v>
      </c>
      <c r="AF87" s="118">
        <v>2</v>
      </c>
      <c r="AG87" s="118">
        <v>3</v>
      </c>
      <c r="AH87" s="118">
        <v>4</v>
      </c>
      <c r="AI87" s="118">
        <v>1</v>
      </c>
      <c r="AJ87" s="118">
        <v>2</v>
      </c>
      <c r="AK87" s="118">
        <v>3</v>
      </c>
      <c r="AL87" s="118">
        <v>4</v>
      </c>
      <c r="AM87" s="118">
        <v>1</v>
      </c>
      <c r="AN87" s="118">
        <v>2</v>
      </c>
      <c r="AO87" s="118">
        <v>3</v>
      </c>
      <c r="AP87" s="118">
        <v>4</v>
      </c>
      <c r="AQ87" s="118">
        <v>1</v>
      </c>
      <c r="AR87" s="118">
        <v>2</v>
      </c>
      <c r="AS87" s="118">
        <v>3</v>
      </c>
      <c r="AT87" s="118">
        <v>4</v>
      </c>
      <c r="AU87" s="118">
        <v>1</v>
      </c>
      <c r="AV87" s="118">
        <v>2</v>
      </c>
      <c r="AW87" s="118">
        <v>3</v>
      </c>
      <c r="AX87" s="118">
        <v>4</v>
      </c>
    </row>
    <row r="88" spans="2:50" x14ac:dyDescent="0.2">
      <c r="B88" s="118" t="s">
        <v>104</v>
      </c>
      <c r="C88">
        <f>C48+$C$67/4</f>
        <v>3616.346545942863</v>
      </c>
      <c r="D88">
        <f>D48+$C$67/4</f>
        <v>3616.346545942863</v>
      </c>
      <c r="E88">
        <f>E48+$C$67/4</f>
        <v>3616.346545942863</v>
      </c>
      <c r="F88">
        <f>F48+$C$67/4</f>
        <v>3616.346545942863</v>
      </c>
      <c r="G88">
        <f>G48+$D$67/4</f>
        <v>3616.3465459428662</v>
      </c>
      <c r="H88">
        <f>H48+$D$67/4</f>
        <v>3616.3465459428662</v>
      </c>
      <c r="I88">
        <f>I48+$D$67/4</f>
        <v>3616.3465459428662</v>
      </c>
      <c r="J88">
        <f>J48+$D$67/4</f>
        <v>3616.3465459428662</v>
      </c>
      <c r="K88">
        <f>K48+$E$67/4</f>
        <v>3616.3465459428662</v>
      </c>
      <c r="L88">
        <f>L48+$E$67/4</f>
        <v>3616.3465459428662</v>
      </c>
      <c r="M88">
        <f>M48+$E$67/4</f>
        <v>3616.3465459428662</v>
      </c>
      <c r="N88">
        <f>N48+$E$67/4</f>
        <v>3616.3465459428662</v>
      </c>
      <c r="O88">
        <f>O48+$F$67/4</f>
        <v>3616.3465459428662</v>
      </c>
      <c r="P88">
        <f>P48+$F$67/4</f>
        <v>3616.3465459428662</v>
      </c>
      <c r="Q88">
        <f>Q48+$F$67/4</f>
        <v>3616.3465459428662</v>
      </c>
      <c r="R88">
        <f>R48+$F$67/4</f>
        <v>3616.3465459428662</v>
      </c>
      <c r="S88">
        <f>S48+$G$67/4</f>
        <v>3616.3465459428662</v>
      </c>
      <c r="T88">
        <f>T48+$G$67/4</f>
        <v>3616.3465459428662</v>
      </c>
      <c r="U88">
        <f>U48+$G$67/4</f>
        <v>3616.3465459428662</v>
      </c>
      <c r="V88">
        <f>V48+$G$67/4</f>
        <v>3616.3465459428662</v>
      </c>
      <c r="W88">
        <f>W48+$H$67/4</f>
        <v>3616.3465459428662</v>
      </c>
      <c r="X88">
        <f>X48+$H$67/4</f>
        <v>3616.3465459428662</v>
      </c>
      <c r="Y88">
        <f>Y48+$H$67/4</f>
        <v>3616.3465459428662</v>
      </c>
      <c r="Z88">
        <f>Z48+$H$67/4</f>
        <v>3616.3465459428662</v>
      </c>
      <c r="AA88">
        <f>AA48+$I$67/4</f>
        <v>3616.3465459428662</v>
      </c>
      <c r="AB88">
        <f>AB48+$I$67/4</f>
        <v>3616.3465459428662</v>
      </c>
      <c r="AC88">
        <f>AC48+$I$67/4</f>
        <v>3616.3465459428662</v>
      </c>
      <c r="AD88">
        <f>AD48+$I$67/4</f>
        <v>3616.3465459428662</v>
      </c>
      <c r="AE88">
        <f>AE48+$J$67/4</f>
        <v>3616.3465459428662</v>
      </c>
      <c r="AF88">
        <f>AF48+$J$67/4</f>
        <v>3616.3465459428662</v>
      </c>
      <c r="AG88">
        <f>AG48+$J$67/4</f>
        <v>3616.3465459428662</v>
      </c>
      <c r="AH88">
        <f>AH48+$J$67/4</f>
        <v>3616.3465459428662</v>
      </c>
      <c r="AI88">
        <f>AI48+$K$67/4</f>
        <v>3616.3465459428662</v>
      </c>
      <c r="AJ88">
        <f>AJ48+$K$67/4</f>
        <v>3616.3465459428662</v>
      </c>
      <c r="AK88">
        <f>AK48+$K$67/4</f>
        <v>3616.3465459428662</v>
      </c>
      <c r="AL88">
        <f>AL48+$K$67/4</f>
        <v>3616.3465459428662</v>
      </c>
      <c r="AM88">
        <f>AM48+$L$67/4</f>
        <v>3616.3465459428662</v>
      </c>
      <c r="AN88">
        <f>AN48+$L$67/4</f>
        <v>3616.3465459428662</v>
      </c>
      <c r="AO88">
        <f>AO48+$L$67/4</f>
        <v>3616.3465459428662</v>
      </c>
      <c r="AP88">
        <f>AP48+$L$67/4</f>
        <v>3616.3465459428662</v>
      </c>
      <c r="AQ88">
        <f>AQ48+$M$67/4</f>
        <v>3616.3465459428662</v>
      </c>
      <c r="AR88">
        <f>AR48+$M$67/4</f>
        <v>3616.3465459428662</v>
      </c>
      <c r="AS88">
        <f>AS48+$M$67/4</f>
        <v>3616.3465459428662</v>
      </c>
      <c r="AT88">
        <f>AT48+$M$67/4</f>
        <v>3616.3465459428662</v>
      </c>
      <c r="AU88">
        <f>AU48+$N$67/4</f>
        <v>3616.3465459428662</v>
      </c>
      <c r="AV88">
        <f>AV48+$N$67/4</f>
        <v>3616.3465459428662</v>
      </c>
      <c r="AW88">
        <f>AW48+$N$67/4</f>
        <v>3616.3465459428662</v>
      </c>
      <c r="AX88">
        <f>AX48+$N$67/4</f>
        <v>3616.3465459428662</v>
      </c>
    </row>
    <row r="89" spans="2:50" x14ac:dyDescent="0.2">
      <c r="B89" s="118" t="s">
        <v>105</v>
      </c>
      <c r="C89">
        <f>C49</f>
        <v>1773.4978209017493</v>
      </c>
      <c r="D89">
        <f t="shared" ref="D89:AX93" si="3">D49</f>
        <v>1773.4978209017493</v>
      </c>
      <c r="E89">
        <f t="shared" si="3"/>
        <v>1773.4978209017493</v>
      </c>
      <c r="F89">
        <f t="shared" si="3"/>
        <v>1773.4978209017493</v>
      </c>
      <c r="G89">
        <f t="shared" si="3"/>
        <v>1773.4978209017493</v>
      </c>
      <c r="H89">
        <f t="shared" si="3"/>
        <v>1773.4978209017493</v>
      </c>
      <c r="I89">
        <f t="shared" si="3"/>
        <v>1773.4978209017493</v>
      </c>
      <c r="J89">
        <f t="shared" si="3"/>
        <v>1773.4978209017493</v>
      </c>
      <c r="K89">
        <f t="shared" si="3"/>
        <v>1773.4978209017493</v>
      </c>
      <c r="L89">
        <f t="shared" si="3"/>
        <v>1773.4978209017493</v>
      </c>
      <c r="M89">
        <f t="shared" si="3"/>
        <v>1773.4978209017493</v>
      </c>
      <c r="N89">
        <f t="shared" si="3"/>
        <v>1773.4978209017493</v>
      </c>
      <c r="O89">
        <f t="shared" si="3"/>
        <v>1773.4978209017493</v>
      </c>
      <c r="P89">
        <f t="shared" si="3"/>
        <v>1773.4978209017493</v>
      </c>
      <c r="Q89">
        <f t="shared" si="3"/>
        <v>1549.2457153526968</v>
      </c>
      <c r="R89">
        <f t="shared" si="3"/>
        <v>1773.4978209017493</v>
      </c>
      <c r="S89">
        <f t="shared" si="3"/>
        <v>1773.4978209017493</v>
      </c>
      <c r="T89">
        <f t="shared" si="3"/>
        <v>1773.4978209017493</v>
      </c>
      <c r="U89">
        <f t="shared" si="3"/>
        <v>1773.4978209017493</v>
      </c>
      <c r="V89">
        <f t="shared" si="3"/>
        <v>1773.4978209017493</v>
      </c>
      <c r="W89">
        <f t="shared" si="3"/>
        <v>1773.4978209017493</v>
      </c>
      <c r="X89">
        <f t="shared" si="3"/>
        <v>1773.4978209017493</v>
      </c>
      <c r="Y89">
        <f t="shared" si="3"/>
        <v>1773.4978209017493</v>
      </c>
      <c r="Z89">
        <f t="shared" si="3"/>
        <v>1773.4978209017493</v>
      </c>
      <c r="AA89">
        <f t="shared" si="3"/>
        <v>1773.4978209017493</v>
      </c>
      <c r="AB89">
        <f t="shared" si="3"/>
        <v>1773.4978209017493</v>
      </c>
      <c r="AC89">
        <f t="shared" si="3"/>
        <v>1773.4978209017493</v>
      </c>
      <c r="AD89">
        <f t="shared" si="3"/>
        <v>1773.4978209017493</v>
      </c>
      <c r="AE89">
        <f t="shared" si="3"/>
        <v>1773.4978209017493</v>
      </c>
      <c r="AF89">
        <f t="shared" si="3"/>
        <v>1773.4978209017493</v>
      </c>
      <c r="AG89">
        <f t="shared" si="3"/>
        <v>1773.4978209017493</v>
      </c>
      <c r="AH89">
        <f t="shared" si="3"/>
        <v>1773.4978209017493</v>
      </c>
      <c r="AI89">
        <f t="shared" si="3"/>
        <v>1773.4978209017493</v>
      </c>
      <c r="AJ89">
        <f t="shared" si="3"/>
        <v>1773.4978209017493</v>
      </c>
      <c r="AK89">
        <f t="shared" si="3"/>
        <v>1773.4978209017493</v>
      </c>
      <c r="AL89">
        <f t="shared" si="3"/>
        <v>1773.4978209017493</v>
      </c>
      <c r="AM89">
        <f t="shared" si="3"/>
        <v>1773.4978209017493</v>
      </c>
      <c r="AN89">
        <f t="shared" si="3"/>
        <v>1773.4978209017493</v>
      </c>
      <c r="AO89">
        <f t="shared" si="3"/>
        <v>1773.4978209017493</v>
      </c>
      <c r="AP89">
        <f t="shared" si="3"/>
        <v>1773.4978209017493</v>
      </c>
      <c r="AQ89">
        <f t="shared" si="3"/>
        <v>1773.4978209017493</v>
      </c>
      <c r="AR89">
        <f t="shared" si="3"/>
        <v>1773.4978209017493</v>
      </c>
      <c r="AS89">
        <f t="shared" si="3"/>
        <v>1773.4978209017493</v>
      </c>
      <c r="AT89">
        <f t="shared" si="3"/>
        <v>1773.4978209017493</v>
      </c>
      <c r="AU89">
        <f t="shared" si="3"/>
        <v>1773.4978209017493</v>
      </c>
      <c r="AV89">
        <f t="shared" si="3"/>
        <v>1773.4978209017493</v>
      </c>
      <c r="AW89">
        <f t="shared" si="3"/>
        <v>1773.4978209017493</v>
      </c>
      <c r="AX89">
        <f t="shared" si="3"/>
        <v>1773.4978209017493</v>
      </c>
    </row>
    <row r="90" spans="2:50" x14ac:dyDescent="0.2">
      <c r="B90" s="118" t="s">
        <v>106</v>
      </c>
      <c r="C90">
        <f t="shared" ref="C90:R93" si="4">C50</f>
        <v>1492.7924366725895</v>
      </c>
      <c r="D90">
        <f t="shared" si="4"/>
        <v>1492.7924366725895</v>
      </c>
      <c r="E90">
        <f t="shared" si="4"/>
        <v>1492.7924366725895</v>
      </c>
      <c r="F90">
        <f t="shared" si="4"/>
        <v>1492.7924366725895</v>
      </c>
      <c r="G90">
        <f t="shared" si="4"/>
        <v>1492.7924366725895</v>
      </c>
      <c r="H90">
        <f t="shared" si="4"/>
        <v>1492.7924366725895</v>
      </c>
      <c r="I90">
        <f t="shared" si="4"/>
        <v>1492.7924366725895</v>
      </c>
      <c r="J90">
        <f t="shared" si="4"/>
        <v>1492.7924366725895</v>
      </c>
      <c r="K90">
        <f t="shared" si="4"/>
        <v>1492.7924366725895</v>
      </c>
      <c r="L90">
        <f t="shared" si="4"/>
        <v>1492.7924366725895</v>
      </c>
      <c r="M90">
        <f t="shared" si="4"/>
        <v>1492.7924366725895</v>
      </c>
      <c r="N90">
        <f t="shared" si="4"/>
        <v>1492.7924366725895</v>
      </c>
      <c r="O90">
        <f t="shared" si="4"/>
        <v>1492.7924366725895</v>
      </c>
      <c r="P90">
        <f t="shared" si="4"/>
        <v>1492.7924366725895</v>
      </c>
      <c r="Q90">
        <f t="shared" si="4"/>
        <v>1492.7924366725895</v>
      </c>
      <c r="R90">
        <f t="shared" si="4"/>
        <v>1492.7924366725895</v>
      </c>
      <c r="S90">
        <f t="shared" si="3"/>
        <v>1492.7924366725895</v>
      </c>
      <c r="T90">
        <f t="shared" si="3"/>
        <v>1492.7924366725895</v>
      </c>
      <c r="U90">
        <f t="shared" si="3"/>
        <v>1492.7924366725895</v>
      </c>
      <c r="V90">
        <f t="shared" si="3"/>
        <v>1492.7924366725895</v>
      </c>
      <c r="W90">
        <f t="shared" si="3"/>
        <v>1492.7924366725895</v>
      </c>
      <c r="X90">
        <f t="shared" si="3"/>
        <v>1492.7924366725895</v>
      </c>
      <c r="Y90">
        <f t="shared" si="3"/>
        <v>1492.7924366725895</v>
      </c>
      <c r="Z90">
        <f t="shared" si="3"/>
        <v>1492.7924366725895</v>
      </c>
      <c r="AA90">
        <f t="shared" si="3"/>
        <v>1492.7924366725895</v>
      </c>
      <c r="AB90">
        <f t="shared" si="3"/>
        <v>1492.7924366725895</v>
      </c>
      <c r="AC90">
        <f t="shared" si="3"/>
        <v>1492.7924366725895</v>
      </c>
      <c r="AD90">
        <f t="shared" si="3"/>
        <v>1492.7924366725895</v>
      </c>
      <c r="AE90">
        <f t="shared" si="3"/>
        <v>1492.7924366725895</v>
      </c>
      <c r="AF90">
        <f t="shared" si="3"/>
        <v>1492.7924366725895</v>
      </c>
      <c r="AG90">
        <f t="shared" si="3"/>
        <v>1492.7924366725895</v>
      </c>
      <c r="AH90">
        <f t="shared" si="3"/>
        <v>1492.7924366725895</v>
      </c>
      <c r="AI90">
        <f t="shared" si="3"/>
        <v>1492.7924366725895</v>
      </c>
      <c r="AJ90">
        <f t="shared" si="3"/>
        <v>1492.7924366725895</v>
      </c>
      <c r="AK90">
        <f t="shared" si="3"/>
        <v>1492.7924366725895</v>
      </c>
      <c r="AL90">
        <f t="shared" si="3"/>
        <v>1492.7924366725895</v>
      </c>
      <c r="AM90">
        <f t="shared" si="3"/>
        <v>1492.7924366725895</v>
      </c>
      <c r="AN90">
        <f t="shared" si="3"/>
        <v>1492.7924366725895</v>
      </c>
      <c r="AO90">
        <f t="shared" si="3"/>
        <v>1492.7924366725895</v>
      </c>
      <c r="AP90">
        <f t="shared" si="3"/>
        <v>1492.7924366725895</v>
      </c>
      <c r="AQ90">
        <f t="shared" si="3"/>
        <v>1492.7924366725895</v>
      </c>
      <c r="AR90">
        <f t="shared" si="3"/>
        <v>1492.7924366725895</v>
      </c>
      <c r="AS90">
        <f t="shared" si="3"/>
        <v>1492.7924366725895</v>
      </c>
      <c r="AT90">
        <f t="shared" si="3"/>
        <v>1492.7924366725895</v>
      </c>
      <c r="AU90">
        <f t="shared" si="3"/>
        <v>1492.7924366725895</v>
      </c>
      <c r="AV90">
        <f t="shared" si="3"/>
        <v>1492.7924366725895</v>
      </c>
      <c r="AW90">
        <f t="shared" si="3"/>
        <v>1492.7924366725895</v>
      </c>
      <c r="AX90">
        <f t="shared" si="3"/>
        <v>1492.7924366725895</v>
      </c>
    </row>
    <row r="91" spans="2:50" x14ac:dyDescent="0.2">
      <c r="B91" s="118" t="s">
        <v>107</v>
      </c>
      <c r="C91">
        <f t="shared" si="4"/>
        <v>1533.0132126095332</v>
      </c>
      <c r="D91">
        <f t="shared" si="3"/>
        <v>1533.0132126095332</v>
      </c>
      <c r="E91">
        <f t="shared" si="3"/>
        <v>1533.0132126095332</v>
      </c>
      <c r="F91">
        <f t="shared" si="3"/>
        <v>1533.0132126095332</v>
      </c>
      <c r="G91">
        <f t="shared" si="3"/>
        <v>1533.0132126095332</v>
      </c>
      <c r="H91">
        <f t="shared" si="3"/>
        <v>1533.0132126095332</v>
      </c>
      <c r="I91">
        <f t="shared" si="3"/>
        <v>1533.0132126095332</v>
      </c>
      <c r="J91">
        <f t="shared" si="3"/>
        <v>1533.0132126095332</v>
      </c>
      <c r="K91">
        <f t="shared" si="3"/>
        <v>1533.0132126095332</v>
      </c>
      <c r="L91">
        <f t="shared" si="3"/>
        <v>1533.0132126095332</v>
      </c>
      <c r="M91">
        <f t="shared" si="3"/>
        <v>1533.0132126095332</v>
      </c>
      <c r="N91">
        <f t="shared" si="3"/>
        <v>1533.0132126095332</v>
      </c>
      <c r="O91">
        <f t="shared" si="3"/>
        <v>1533.0132126095332</v>
      </c>
      <c r="P91">
        <f t="shared" si="3"/>
        <v>1533.0132126095332</v>
      </c>
      <c r="Q91">
        <f t="shared" si="3"/>
        <v>1533.0132126095332</v>
      </c>
      <c r="R91">
        <f t="shared" si="3"/>
        <v>310.49899263846271</v>
      </c>
      <c r="S91">
        <f t="shared" si="3"/>
        <v>1533.0132126095332</v>
      </c>
      <c r="T91">
        <f t="shared" si="3"/>
        <v>1533.0132126095332</v>
      </c>
      <c r="U91">
        <f t="shared" si="3"/>
        <v>1533.0132126095332</v>
      </c>
      <c r="V91">
        <f t="shared" si="3"/>
        <v>1533.0132126095332</v>
      </c>
      <c r="W91">
        <f t="shared" si="3"/>
        <v>1533.0132126095332</v>
      </c>
      <c r="X91">
        <f t="shared" si="3"/>
        <v>1533.0132126095332</v>
      </c>
      <c r="Y91">
        <f t="shared" si="3"/>
        <v>1533.0132126095332</v>
      </c>
      <c r="Z91">
        <f t="shared" si="3"/>
        <v>1533.0132126095332</v>
      </c>
      <c r="AA91">
        <f t="shared" si="3"/>
        <v>1533.0132126095332</v>
      </c>
      <c r="AB91">
        <f t="shared" si="3"/>
        <v>1533.0132126095332</v>
      </c>
      <c r="AC91">
        <f t="shared" si="3"/>
        <v>1533.0132126095332</v>
      </c>
      <c r="AD91">
        <f t="shared" si="3"/>
        <v>1533.0132126095332</v>
      </c>
      <c r="AE91">
        <f t="shared" si="3"/>
        <v>1533.0132126095332</v>
      </c>
      <c r="AF91">
        <f t="shared" si="3"/>
        <v>1533.0132126095332</v>
      </c>
      <c r="AG91">
        <f t="shared" si="3"/>
        <v>1533.0132126095332</v>
      </c>
      <c r="AH91">
        <f t="shared" si="3"/>
        <v>1533.0132126095332</v>
      </c>
      <c r="AI91">
        <f t="shared" si="3"/>
        <v>1533.0132126095332</v>
      </c>
      <c r="AJ91">
        <f t="shared" si="3"/>
        <v>1533.0132126095332</v>
      </c>
      <c r="AK91">
        <f t="shared" si="3"/>
        <v>1533.0132126095332</v>
      </c>
      <c r="AL91">
        <f t="shared" si="3"/>
        <v>1533.0132126095332</v>
      </c>
      <c r="AM91">
        <f t="shared" si="3"/>
        <v>1533.0132126095332</v>
      </c>
      <c r="AN91">
        <f t="shared" si="3"/>
        <v>1533.0132126095332</v>
      </c>
      <c r="AO91">
        <f t="shared" si="3"/>
        <v>1533.0132126095332</v>
      </c>
      <c r="AP91">
        <f t="shared" si="3"/>
        <v>1533.0132126095332</v>
      </c>
      <c r="AQ91">
        <f t="shared" si="3"/>
        <v>1533.0132126095332</v>
      </c>
      <c r="AR91">
        <f t="shared" si="3"/>
        <v>1533.0132126095332</v>
      </c>
      <c r="AS91">
        <f t="shared" si="3"/>
        <v>1533.0132126095332</v>
      </c>
      <c r="AT91">
        <f t="shared" si="3"/>
        <v>1533.0132126095332</v>
      </c>
      <c r="AU91">
        <f t="shared" si="3"/>
        <v>1533.0132126095332</v>
      </c>
      <c r="AV91">
        <f t="shared" si="3"/>
        <v>1533.0132126095332</v>
      </c>
      <c r="AW91">
        <f t="shared" si="3"/>
        <v>1533.0132126095332</v>
      </c>
      <c r="AX91">
        <f t="shared" si="3"/>
        <v>1533.0132126095332</v>
      </c>
    </row>
    <row r="92" spans="2:50" x14ac:dyDescent="0.2">
      <c r="B92" s="118" t="s">
        <v>108</v>
      </c>
      <c r="C92">
        <f t="shared" si="4"/>
        <v>1773.4978209017493</v>
      </c>
      <c r="D92">
        <f t="shared" si="4"/>
        <v>1773.4978209017493</v>
      </c>
      <c r="E92">
        <f t="shared" si="4"/>
        <v>1773.4978209017493</v>
      </c>
      <c r="F92">
        <f t="shared" si="4"/>
        <v>1773.4978209017493</v>
      </c>
      <c r="G92">
        <f t="shared" si="4"/>
        <v>1773.4978209017493</v>
      </c>
      <c r="H92">
        <f t="shared" si="4"/>
        <v>1773.4978209017493</v>
      </c>
      <c r="I92">
        <f t="shared" si="4"/>
        <v>1773.4978209017493</v>
      </c>
      <c r="J92">
        <f t="shared" si="4"/>
        <v>1773.4978209017493</v>
      </c>
      <c r="K92">
        <f t="shared" si="4"/>
        <v>1773.4978209017493</v>
      </c>
      <c r="L92">
        <f t="shared" si="4"/>
        <v>1773.4978209017493</v>
      </c>
      <c r="M92">
        <f t="shared" si="4"/>
        <v>1773.4978209017493</v>
      </c>
      <c r="N92">
        <f t="shared" si="4"/>
        <v>1773.4978209017493</v>
      </c>
      <c r="O92">
        <f t="shared" si="4"/>
        <v>1773.4978209017493</v>
      </c>
      <c r="P92">
        <f t="shared" si="4"/>
        <v>1773.4978209017493</v>
      </c>
      <c r="Q92">
        <f t="shared" si="4"/>
        <v>1773.4978209017493</v>
      </c>
      <c r="R92">
        <f t="shared" si="4"/>
        <v>1773.4978209017493</v>
      </c>
      <c r="S92">
        <f t="shared" si="3"/>
        <v>1773.4978209017493</v>
      </c>
      <c r="T92">
        <f t="shared" si="3"/>
        <v>1773.4978209017493</v>
      </c>
      <c r="U92">
        <f t="shared" si="3"/>
        <v>1773.4978209017493</v>
      </c>
      <c r="V92">
        <f t="shared" si="3"/>
        <v>1773.4978209017493</v>
      </c>
      <c r="W92">
        <f t="shared" si="3"/>
        <v>1773.4978209017493</v>
      </c>
      <c r="X92">
        <f t="shared" si="3"/>
        <v>1773.4978209017493</v>
      </c>
      <c r="Y92">
        <f t="shared" si="3"/>
        <v>1773.4978209017493</v>
      </c>
      <c r="Z92">
        <f t="shared" si="3"/>
        <v>1773.4978209017493</v>
      </c>
      <c r="AA92">
        <f t="shared" si="3"/>
        <v>1773.4978209017493</v>
      </c>
      <c r="AB92">
        <f t="shared" si="3"/>
        <v>1773.4978209017493</v>
      </c>
      <c r="AC92">
        <f t="shared" si="3"/>
        <v>1773.4978209017493</v>
      </c>
      <c r="AD92">
        <f t="shared" si="3"/>
        <v>1773.4978209017493</v>
      </c>
      <c r="AE92">
        <f t="shared" si="3"/>
        <v>1773.4978209017493</v>
      </c>
      <c r="AF92">
        <f t="shared" si="3"/>
        <v>1773.4978209017493</v>
      </c>
      <c r="AG92">
        <f t="shared" si="3"/>
        <v>1773.4978209017493</v>
      </c>
      <c r="AH92">
        <f t="shared" si="3"/>
        <v>1773.4978209017493</v>
      </c>
      <c r="AI92">
        <f t="shared" si="3"/>
        <v>1773.4978209017493</v>
      </c>
      <c r="AJ92">
        <f t="shared" si="3"/>
        <v>1773.4978209017493</v>
      </c>
      <c r="AK92">
        <f t="shared" si="3"/>
        <v>1773.4978209017493</v>
      </c>
      <c r="AL92">
        <f t="shared" si="3"/>
        <v>1773.4978209017493</v>
      </c>
      <c r="AM92">
        <f t="shared" si="3"/>
        <v>1773.4978209017493</v>
      </c>
      <c r="AN92">
        <f t="shared" si="3"/>
        <v>1773.4978209017493</v>
      </c>
      <c r="AO92">
        <f t="shared" si="3"/>
        <v>1773.4978209017493</v>
      </c>
      <c r="AP92">
        <f t="shared" si="3"/>
        <v>1773.4978209017493</v>
      </c>
      <c r="AQ92">
        <f t="shared" si="3"/>
        <v>1773.4978209017493</v>
      </c>
      <c r="AR92">
        <f t="shared" si="3"/>
        <v>1773.4978209017493</v>
      </c>
      <c r="AS92">
        <f t="shared" si="3"/>
        <v>1773.4978209017493</v>
      </c>
      <c r="AT92">
        <f t="shared" si="3"/>
        <v>1773.4978209017493</v>
      </c>
      <c r="AU92">
        <f t="shared" si="3"/>
        <v>1773.4978209017493</v>
      </c>
      <c r="AV92">
        <f t="shared" si="3"/>
        <v>1773.4978209017493</v>
      </c>
      <c r="AW92">
        <f t="shared" si="3"/>
        <v>1773.4978209017493</v>
      </c>
      <c r="AX92">
        <f t="shared" si="3"/>
        <v>1773.4978209017493</v>
      </c>
    </row>
    <row r="93" spans="2:50" x14ac:dyDescent="0.2">
      <c r="B93" s="118" t="s">
        <v>109</v>
      </c>
      <c r="C93">
        <f t="shared" si="4"/>
        <v>1492.7924366725895</v>
      </c>
      <c r="D93">
        <f t="shared" si="4"/>
        <v>1492.7924366725895</v>
      </c>
      <c r="E93">
        <f t="shared" si="4"/>
        <v>1492.7924366725895</v>
      </c>
      <c r="F93">
        <f t="shared" si="4"/>
        <v>1492.7924366725895</v>
      </c>
      <c r="G93">
        <f t="shared" si="4"/>
        <v>1492.7924366725895</v>
      </c>
      <c r="H93">
        <f t="shared" si="4"/>
        <v>1492.7924366725895</v>
      </c>
      <c r="I93">
        <f t="shared" si="4"/>
        <v>1492.7924366725895</v>
      </c>
      <c r="J93">
        <f t="shared" si="4"/>
        <v>1492.7924366725895</v>
      </c>
      <c r="K93">
        <f t="shared" si="4"/>
        <v>1492.7924366725895</v>
      </c>
      <c r="L93">
        <f t="shared" si="4"/>
        <v>1492.7924366725895</v>
      </c>
      <c r="M93">
        <f t="shared" si="4"/>
        <v>1492.7924366725895</v>
      </c>
      <c r="N93">
        <f t="shared" si="4"/>
        <v>1492.7924366725895</v>
      </c>
      <c r="O93">
        <f t="shared" si="4"/>
        <v>1492.7924366725895</v>
      </c>
      <c r="P93">
        <f t="shared" si="4"/>
        <v>1492.7924366725895</v>
      </c>
      <c r="Q93">
        <f t="shared" si="4"/>
        <v>1492.7924366725895</v>
      </c>
      <c r="R93">
        <f t="shared" si="4"/>
        <v>1492.7924366725895</v>
      </c>
      <c r="S93">
        <f t="shared" si="3"/>
        <v>1492.7924366725895</v>
      </c>
      <c r="T93">
        <f t="shared" si="3"/>
        <v>1492.7924366725895</v>
      </c>
      <c r="U93">
        <f t="shared" si="3"/>
        <v>1492.7924366725895</v>
      </c>
      <c r="V93">
        <f t="shared" si="3"/>
        <v>1492.7924366725895</v>
      </c>
      <c r="W93">
        <f t="shared" si="3"/>
        <v>1492.7924366725895</v>
      </c>
      <c r="X93">
        <f t="shared" si="3"/>
        <v>1492.7924366725895</v>
      </c>
      <c r="Y93">
        <f t="shared" si="3"/>
        <v>1492.7924366725895</v>
      </c>
      <c r="Z93">
        <f t="shared" si="3"/>
        <v>1492.7924366725895</v>
      </c>
      <c r="AA93">
        <f t="shared" si="3"/>
        <v>1492.7924366725895</v>
      </c>
      <c r="AB93">
        <f t="shared" si="3"/>
        <v>1492.7924366725895</v>
      </c>
      <c r="AC93">
        <f t="shared" si="3"/>
        <v>1492.7924366725895</v>
      </c>
      <c r="AD93">
        <f t="shared" si="3"/>
        <v>1492.7924366725895</v>
      </c>
      <c r="AE93">
        <f t="shared" si="3"/>
        <v>1492.7924366725895</v>
      </c>
      <c r="AF93">
        <f t="shared" si="3"/>
        <v>1492.7924366725895</v>
      </c>
      <c r="AG93">
        <f t="shared" si="3"/>
        <v>1492.7924366725895</v>
      </c>
      <c r="AH93">
        <f t="shared" si="3"/>
        <v>1492.7924366725895</v>
      </c>
      <c r="AI93">
        <f t="shared" si="3"/>
        <v>1492.7924366725895</v>
      </c>
      <c r="AJ93">
        <f t="shared" si="3"/>
        <v>1492.7924366725895</v>
      </c>
      <c r="AK93">
        <f t="shared" si="3"/>
        <v>1492.7924366725895</v>
      </c>
      <c r="AL93">
        <f t="shared" si="3"/>
        <v>1492.7924366725895</v>
      </c>
      <c r="AM93">
        <f t="shared" si="3"/>
        <v>1492.7924366725895</v>
      </c>
      <c r="AN93">
        <f t="shared" si="3"/>
        <v>1492.7924366725895</v>
      </c>
      <c r="AO93">
        <f t="shared" si="3"/>
        <v>1492.7924366725895</v>
      </c>
      <c r="AP93">
        <f t="shared" si="3"/>
        <v>1492.7924366725895</v>
      </c>
      <c r="AQ93">
        <f t="shared" si="3"/>
        <v>1492.7924366725895</v>
      </c>
      <c r="AR93">
        <f t="shared" si="3"/>
        <v>1492.7924366725895</v>
      </c>
      <c r="AS93">
        <f t="shared" si="3"/>
        <v>1492.7924366725895</v>
      </c>
      <c r="AT93">
        <f t="shared" si="3"/>
        <v>1492.7924366725895</v>
      </c>
      <c r="AU93">
        <f t="shared" si="3"/>
        <v>1492.7924366725895</v>
      </c>
      <c r="AV93">
        <f t="shared" si="3"/>
        <v>1492.7924366725895</v>
      </c>
      <c r="AW93">
        <f t="shared" si="3"/>
        <v>1492.7924366725895</v>
      </c>
      <c r="AX93">
        <f t="shared" si="3"/>
        <v>1492.7924366725895</v>
      </c>
    </row>
    <row r="94" spans="2:50" x14ac:dyDescent="0.2">
      <c r="B94" s="119"/>
    </row>
    <row r="95" spans="2:50" x14ac:dyDescent="0.2">
      <c r="B95" s="53" t="s">
        <v>336</v>
      </c>
    </row>
    <row r="96" spans="2:50" x14ac:dyDescent="0.2">
      <c r="B96" s="29"/>
      <c r="C96" s="122" t="s">
        <v>92</v>
      </c>
      <c r="D96" s="119"/>
      <c r="E96" s="119"/>
      <c r="F96" s="119"/>
      <c r="G96" s="122" t="s">
        <v>93</v>
      </c>
      <c r="H96" s="119"/>
      <c r="I96" s="119"/>
      <c r="J96" s="119"/>
      <c r="K96" s="122" t="s">
        <v>94</v>
      </c>
      <c r="L96" s="119"/>
      <c r="M96" s="119"/>
      <c r="N96" s="119"/>
      <c r="O96" s="122" t="s">
        <v>95</v>
      </c>
      <c r="P96" s="119"/>
      <c r="Q96" s="119"/>
      <c r="R96" s="119"/>
      <c r="S96" s="122" t="s">
        <v>96</v>
      </c>
      <c r="T96" s="119"/>
      <c r="U96" s="119"/>
      <c r="V96" s="119"/>
      <c r="W96" s="122" t="s">
        <v>97</v>
      </c>
      <c r="X96" s="119"/>
      <c r="Y96" s="119"/>
      <c r="Z96" s="119"/>
      <c r="AA96" s="122" t="s">
        <v>98</v>
      </c>
      <c r="AB96" s="119"/>
      <c r="AC96" s="119"/>
      <c r="AD96" s="119"/>
      <c r="AE96" s="122" t="s">
        <v>99</v>
      </c>
      <c r="AF96" s="119"/>
      <c r="AG96" s="119"/>
      <c r="AH96" s="119"/>
      <c r="AI96" s="122" t="s">
        <v>100</v>
      </c>
      <c r="AJ96" s="119"/>
      <c r="AK96" s="119"/>
      <c r="AL96" s="119"/>
      <c r="AM96" s="122" t="s">
        <v>101</v>
      </c>
      <c r="AN96" s="119"/>
      <c r="AO96" s="119"/>
      <c r="AP96" s="119"/>
      <c r="AQ96" s="122" t="s">
        <v>102</v>
      </c>
      <c r="AR96" s="119"/>
      <c r="AS96" s="119"/>
      <c r="AT96" s="119"/>
      <c r="AU96" s="122" t="s">
        <v>103</v>
      </c>
      <c r="AV96" s="119"/>
      <c r="AW96" s="119"/>
    </row>
    <row r="97" spans="1:50" x14ac:dyDescent="0.2">
      <c r="A97" s="190" t="s">
        <v>121</v>
      </c>
      <c r="B97" s="190" t="s">
        <v>337</v>
      </c>
      <c r="C97" s="122">
        <v>1</v>
      </c>
      <c r="D97" s="122">
        <v>2</v>
      </c>
      <c r="E97" s="122">
        <v>3</v>
      </c>
      <c r="F97" s="122">
        <v>4</v>
      </c>
      <c r="G97" s="122">
        <v>1</v>
      </c>
      <c r="H97" s="122">
        <v>2</v>
      </c>
      <c r="I97" s="122">
        <v>3</v>
      </c>
      <c r="J97" s="122">
        <v>4</v>
      </c>
      <c r="K97" s="122">
        <v>1</v>
      </c>
      <c r="L97" s="122">
        <v>2</v>
      </c>
      <c r="M97" s="122">
        <v>3</v>
      </c>
      <c r="N97" s="122">
        <v>4</v>
      </c>
      <c r="O97" s="122">
        <v>1</v>
      </c>
      <c r="P97" s="122">
        <v>2</v>
      </c>
      <c r="Q97" s="122">
        <v>3</v>
      </c>
      <c r="R97" s="122">
        <v>4</v>
      </c>
      <c r="S97" s="122">
        <v>1</v>
      </c>
      <c r="T97" s="122">
        <v>2</v>
      </c>
      <c r="U97" s="122">
        <v>3</v>
      </c>
      <c r="V97" s="122">
        <v>4</v>
      </c>
      <c r="W97" s="122">
        <v>1</v>
      </c>
      <c r="X97" s="122">
        <v>2</v>
      </c>
      <c r="Y97" s="122">
        <v>3</v>
      </c>
      <c r="Z97" s="122">
        <v>4</v>
      </c>
      <c r="AA97" s="122">
        <v>1</v>
      </c>
      <c r="AB97" s="122">
        <v>2</v>
      </c>
      <c r="AC97" s="122">
        <v>3</v>
      </c>
      <c r="AD97" s="122">
        <v>4</v>
      </c>
      <c r="AE97" s="122">
        <v>1</v>
      </c>
      <c r="AF97" s="122">
        <v>2</v>
      </c>
      <c r="AG97" s="122">
        <v>3</v>
      </c>
      <c r="AH97" s="122">
        <v>4</v>
      </c>
      <c r="AI97" s="122">
        <v>1</v>
      </c>
      <c r="AJ97" s="122">
        <v>2</v>
      </c>
      <c r="AK97" s="122">
        <v>3</v>
      </c>
      <c r="AL97" s="122">
        <v>4</v>
      </c>
      <c r="AM97" s="122">
        <v>1</v>
      </c>
      <c r="AN97" s="122">
        <v>2</v>
      </c>
      <c r="AO97" s="122">
        <v>3</v>
      </c>
      <c r="AP97" s="122">
        <v>4</v>
      </c>
      <c r="AQ97" s="122">
        <v>1</v>
      </c>
      <c r="AR97" s="122">
        <v>2</v>
      </c>
      <c r="AS97" s="122">
        <v>3</v>
      </c>
      <c r="AT97" s="122">
        <v>4</v>
      </c>
      <c r="AU97" s="122">
        <v>1</v>
      </c>
      <c r="AV97" s="122">
        <v>2</v>
      </c>
      <c r="AW97" s="122">
        <v>3</v>
      </c>
      <c r="AX97" s="122">
        <v>4</v>
      </c>
    </row>
    <row r="98" spans="1:50" x14ac:dyDescent="0.2">
      <c r="A98" s="122" t="s">
        <v>104</v>
      </c>
      <c r="B98" s="122" t="s">
        <v>5</v>
      </c>
      <c r="C98">
        <v>22218.926561492382</v>
      </c>
      <c r="D98">
        <v>22218.926561492382</v>
      </c>
      <c r="E98">
        <v>22218.926561492382</v>
      </c>
      <c r="F98">
        <v>22218.926561492382</v>
      </c>
      <c r="G98">
        <v>22218.926561492401</v>
      </c>
      <c r="H98">
        <v>22218.926561492401</v>
      </c>
      <c r="I98">
        <v>22218.926561492401</v>
      </c>
      <c r="J98">
        <v>22218.926561492401</v>
      </c>
      <c r="K98">
        <v>22218.926561492401</v>
      </c>
      <c r="L98">
        <v>22218.926561492401</v>
      </c>
      <c r="M98">
        <v>22218.926561492401</v>
      </c>
      <c r="N98">
        <v>22218.926561492401</v>
      </c>
      <c r="O98">
        <v>22218.926561492401</v>
      </c>
      <c r="P98">
        <v>22218.926561492401</v>
      </c>
      <c r="Q98">
        <v>22218.926561492401</v>
      </c>
      <c r="R98">
        <v>22218.926561492401</v>
      </c>
      <c r="S98">
        <v>22218.926561492401</v>
      </c>
      <c r="T98">
        <v>22218.926561492401</v>
      </c>
      <c r="U98">
        <v>22218.926561492401</v>
      </c>
      <c r="V98">
        <v>22218.926561492401</v>
      </c>
      <c r="W98">
        <v>22218.926561492401</v>
      </c>
      <c r="X98">
        <v>22218.926561492401</v>
      </c>
      <c r="Y98">
        <v>22218.926561492401</v>
      </c>
      <c r="Z98">
        <v>22218.926561492401</v>
      </c>
      <c r="AA98">
        <v>22218.926561492401</v>
      </c>
      <c r="AB98">
        <v>22218.926561492401</v>
      </c>
      <c r="AC98">
        <v>22218.926561492401</v>
      </c>
      <c r="AD98">
        <v>22218.926561492401</v>
      </c>
      <c r="AE98">
        <v>22218.926561492401</v>
      </c>
      <c r="AF98">
        <v>22218.926561492401</v>
      </c>
      <c r="AG98">
        <v>22218.926561492401</v>
      </c>
      <c r="AH98">
        <v>22218.926561492401</v>
      </c>
      <c r="AI98">
        <v>22218.926561492401</v>
      </c>
      <c r="AJ98">
        <v>22218.926561492401</v>
      </c>
      <c r="AK98">
        <v>22218.926561492401</v>
      </c>
      <c r="AL98">
        <v>22218.926561492401</v>
      </c>
      <c r="AM98">
        <v>22218.926561492401</v>
      </c>
      <c r="AN98">
        <v>22218.926561492401</v>
      </c>
      <c r="AO98">
        <v>22218.926561492401</v>
      </c>
      <c r="AP98">
        <v>22218.926561492401</v>
      </c>
      <c r="AQ98">
        <v>22218.926561492401</v>
      </c>
      <c r="AR98">
        <v>22218.926561492401</v>
      </c>
      <c r="AS98">
        <v>22218.926561492401</v>
      </c>
      <c r="AT98">
        <v>22218.926561492401</v>
      </c>
      <c r="AU98">
        <v>22218.926561492401</v>
      </c>
      <c r="AV98">
        <v>22218.926561492401</v>
      </c>
      <c r="AW98">
        <v>22218.926561492401</v>
      </c>
      <c r="AX98">
        <v>22218.926561492401</v>
      </c>
    </row>
    <row r="99" spans="1:50" x14ac:dyDescent="0.2">
      <c r="B99" s="122" t="s">
        <v>10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</row>
    <row r="100" spans="1:50" x14ac:dyDescent="0.2">
      <c r="B100" s="122" t="s">
        <v>12</v>
      </c>
      <c r="C100">
        <v>152117.64734006976</v>
      </c>
      <c r="D100">
        <v>152117.64734006976</v>
      </c>
      <c r="E100">
        <v>152117.64734006976</v>
      </c>
      <c r="F100">
        <v>152117.64734006976</v>
      </c>
      <c r="G100">
        <v>152117.6473400699</v>
      </c>
      <c r="H100">
        <v>152117.6473400699</v>
      </c>
      <c r="I100">
        <v>152117.6473400699</v>
      </c>
      <c r="J100">
        <v>152117.6473400699</v>
      </c>
      <c r="K100">
        <v>152117.6473400699</v>
      </c>
      <c r="L100">
        <v>152117.6473400699</v>
      </c>
      <c r="M100">
        <v>152117.6473400699</v>
      </c>
      <c r="N100">
        <v>152117.6473400699</v>
      </c>
      <c r="O100">
        <v>152117.6473400699</v>
      </c>
      <c r="P100">
        <v>152117.6473400699</v>
      </c>
      <c r="Q100">
        <v>152117.6473400699</v>
      </c>
      <c r="R100">
        <v>152117.6473400699</v>
      </c>
      <c r="S100">
        <v>152117.6473400699</v>
      </c>
      <c r="T100">
        <v>152117.6473400699</v>
      </c>
      <c r="U100">
        <v>152117.6473400699</v>
      </c>
      <c r="V100">
        <v>152117.6473400699</v>
      </c>
      <c r="W100">
        <v>152117.6473400699</v>
      </c>
      <c r="X100">
        <v>152117.6473400699</v>
      </c>
      <c r="Y100">
        <v>152117.6473400699</v>
      </c>
      <c r="Z100">
        <v>152117.6473400699</v>
      </c>
      <c r="AA100">
        <v>152117.6473400699</v>
      </c>
      <c r="AB100">
        <v>152117.6473400699</v>
      </c>
      <c r="AC100">
        <v>152117.6473400699</v>
      </c>
      <c r="AD100">
        <v>152117.6473400699</v>
      </c>
      <c r="AE100">
        <v>152117.6473400699</v>
      </c>
      <c r="AF100">
        <v>152117.6473400699</v>
      </c>
      <c r="AG100">
        <v>152117.6473400699</v>
      </c>
      <c r="AH100">
        <v>152117.6473400699</v>
      </c>
      <c r="AI100">
        <v>152117.6473400699</v>
      </c>
      <c r="AJ100">
        <v>152117.6473400699</v>
      </c>
      <c r="AK100">
        <v>152117.6473400699</v>
      </c>
      <c r="AL100">
        <v>152117.6473400699</v>
      </c>
      <c r="AM100">
        <v>152117.6473400699</v>
      </c>
      <c r="AN100">
        <v>152117.6473400699</v>
      </c>
      <c r="AO100">
        <v>152117.6473400699</v>
      </c>
      <c r="AP100">
        <v>152117.6473400699</v>
      </c>
      <c r="AQ100">
        <v>152117.6473400699</v>
      </c>
      <c r="AR100">
        <v>152117.6473400699</v>
      </c>
      <c r="AS100">
        <v>152117.6473400699</v>
      </c>
      <c r="AT100">
        <v>152117.6473400699</v>
      </c>
      <c r="AU100">
        <v>152117.6473400699</v>
      </c>
      <c r="AV100">
        <v>152117.6473400699</v>
      </c>
      <c r="AW100">
        <v>152117.6473400699</v>
      </c>
      <c r="AX100">
        <v>152117.6473400699</v>
      </c>
    </row>
    <row r="101" spans="1:50" x14ac:dyDescent="0.2">
      <c r="B101" s="122" t="s">
        <v>22</v>
      </c>
      <c r="C101">
        <v>792369.46939863777</v>
      </c>
      <c r="D101">
        <v>792369.46939863777</v>
      </c>
      <c r="E101">
        <v>792369.46939863777</v>
      </c>
      <c r="F101">
        <v>792369.46939863777</v>
      </c>
      <c r="G101">
        <v>792369.46939863847</v>
      </c>
      <c r="H101">
        <v>792369.46939863847</v>
      </c>
      <c r="I101">
        <v>792369.46939863847</v>
      </c>
      <c r="J101">
        <v>792369.46939863847</v>
      </c>
      <c r="K101">
        <v>792369.46939863847</v>
      </c>
      <c r="L101">
        <v>792369.46939863847</v>
      </c>
      <c r="M101">
        <v>792369.46939863847</v>
      </c>
      <c r="N101">
        <v>792369.46939863847</v>
      </c>
      <c r="O101">
        <v>792369.46939863847</v>
      </c>
      <c r="P101">
        <v>792369.46939863847</v>
      </c>
      <c r="Q101">
        <v>792369.46939863847</v>
      </c>
      <c r="R101">
        <v>792369.46939863847</v>
      </c>
      <c r="S101">
        <v>792369.46939863847</v>
      </c>
      <c r="T101">
        <v>792369.46939863847</v>
      </c>
      <c r="U101">
        <v>792369.46939863847</v>
      </c>
      <c r="V101">
        <v>792369.46939863847</v>
      </c>
      <c r="W101">
        <v>792369.46939863847</v>
      </c>
      <c r="X101">
        <v>792369.46939863847</v>
      </c>
      <c r="Y101">
        <v>792369.46939863847</v>
      </c>
      <c r="Z101">
        <v>792369.46939863847</v>
      </c>
      <c r="AA101">
        <v>792369.46939863847</v>
      </c>
      <c r="AB101">
        <v>792369.46939863847</v>
      </c>
      <c r="AC101">
        <v>792369.46939863847</v>
      </c>
      <c r="AD101">
        <v>792369.46939863847</v>
      </c>
      <c r="AE101">
        <v>792369.46939863847</v>
      </c>
      <c r="AF101">
        <v>792369.46939863847</v>
      </c>
      <c r="AG101">
        <v>792369.46939863847</v>
      </c>
      <c r="AH101">
        <v>792369.46939863847</v>
      </c>
      <c r="AI101">
        <v>792369.46939863847</v>
      </c>
      <c r="AJ101">
        <v>792369.46939863847</v>
      </c>
      <c r="AK101">
        <v>792369.46939863847</v>
      </c>
      <c r="AL101">
        <v>792369.46939863847</v>
      </c>
      <c r="AM101">
        <v>792369.46939863847</v>
      </c>
      <c r="AN101">
        <v>792369.46939863847</v>
      </c>
      <c r="AO101">
        <v>792369.46939863847</v>
      </c>
      <c r="AP101">
        <v>792369.46939863847</v>
      </c>
      <c r="AQ101">
        <v>792369.46939863847</v>
      </c>
      <c r="AR101">
        <v>792369.46939863847</v>
      </c>
      <c r="AS101">
        <v>792369.46939863847</v>
      </c>
      <c r="AT101">
        <v>792369.46939863847</v>
      </c>
      <c r="AU101">
        <v>792369.46939863847</v>
      </c>
      <c r="AV101">
        <v>792369.46939863847</v>
      </c>
      <c r="AW101">
        <v>792369.46939863847</v>
      </c>
      <c r="AX101">
        <v>792369.46939863847</v>
      </c>
    </row>
    <row r="102" spans="1:50" x14ac:dyDescent="0.2">
      <c r="B102" s="122" t="s">
        <v>59</v>
      </c>
      <c r="C102">
        <v>87141.333242334018</v>
      </c>
      <c r="D102">
        <v>87141.333242334018</v>
      </c>
      <c r="E102">
        <v>87141.333242334018</v>
      </c>
      <c r="F102">
        <v>87141.333242334018</v>
      </c>
      <c r="G102">
        <v>87141.333242334076</v>
      </c>
      <c r="H102">
        <v>87141.333242334076</v>
      </c>
      <c r="I102">
        <v>87141.333242334076</v>
      </c>
      <c r="J102">
        <v>87141.333242334076</v>
      </c>
      <c r="K102">
        <v>87141.333242334076</v>
      </c>
      <c r="L102">
        <v>87141.333242334076</v>
      </c>
      <c r="M102">
        <v>87141.333242334076</v>
      </c>
      <c r="N102">
        <v>87141.333242334076</v>
      </c>
      <c r="O102">
        <v>87141.333242334076</v>
      </c>
      <c r="P102">
        <v>87141.333242334076</v>
      </c>
      <c r="Q102">
        <v>87141.333242334076</v>
      </c>
      <c r="R102">
        <v>87141.333242334076</v>
      </c>
      <c r="S102">
        <v>87141.333242334076</v>
      </c>
      <c r="T102">
        <v>87141.333242334076</v>
      </c>
      <c r="U102">
        <v>87141.333242334076</v>
      </c>
      <c r="V102">
        <v>87141.333242334076</v>
      </c>
      <c r="W102">
        <v>87141.333242334076</v>
      </c>
      <c r="X102">
        <v>87141.333242334076</v>
      </c>
      <c r="Y102">
        <v>87141.333242334076</v>
      </c>
      <c r="Z102">
        <v>87141.333242334076</v>
      </c>
      <c r="AA102">
        <v>87141.333242334076</v>
      </c>
      <c r="AB102">
        <v>87141.333242334076</v>
      </c>
      <c r="AC102">
        <v>87141.333242334076</v>
      </c>
      <c r="AD102">
        <v>87141.333242334076</v>
      </c>
      <c r="AE102">
        <v>87141.333242334076</v>
      </c>
      <c r="AF102">
        <v>87141.333242334076</v>
      </c>
      <c r="AG102">
        <v>87141.333242334076</v>
      </c>
      <c r="AH102">
        <v>87141.333242334076</v>
      </c>
      <c r="AI102">
        <v>87141.333242334076</v>
      </c>
      <c r="AJ102">
        <v>87141.333242334076</v>
      </c>
      <c r="AK102">
        <v>87141.333242334076</v>
      </c>
      <c r="AL102">
        <v>87141.333242334076</v>
      </c>
      <c r="AM102">
        <v>87141.333242334076</v>
      </c>
      <c r="AN102">
        <v>87141.333242334076</v>
      </c>
      <c r="AO102">
        <v>87141.333242334076</v>
      </c>
      <c r="AP102">
        <v>87141.333242334076</v>
      </c>
      <c r="AQ102">
        <v>87141.333242334076</v>
      </c>
      <c r="AR102">
        <v>87141.333242334076</v>
      </c>
      <c r="AS102">
        <v>87141.333242334076</v>
      </c>
      <c r="AT102">
        <v>87141.333242334076</v>
      </c>
      <c r="AU102">
        <v>87141.333242334076</v>
      </c>
      <c r="AV102">
        <v>87141.333242334076</v>
      </c>
      <c r="AW102">
        <v>87141.333242334076</v>
      </c>
      <c r="AX102">
        <v>87141.333242334076</v>
      </c>
    </row>
    <row r="103" spans="1:50" x14ac:dyDescent="0.2">
      <c r="B103" t="s">
        <v>278</v>
      </c>
      <c r="C103" s="122">
        <f>SUM(C$98:C$102)</f>
        <v>1053847.376542534</v>
      </c>
      <c r="D103" s="122">
        <f t="shared" ref="D103:AX103" si="5">SUM(D$98:D$102)</f>
        <v>1053847.376542534</v>
      </c>
      <c r="E103" s="122">
        <f t="shared" si="5"/>
        <v>1053847.376542534</v>
      </c>
      <c r="F103" s="122">
        <f t="shared" si="5"/>
        <v>1053847.376542534</v>
      </c>
      <c r="G103" s="122">
        <f t="shared" si="5"/>
        <v>1053847.3765425347</v>
      </c>
      <c r="H103" s="122">
        <f t="shared" si="5"/>
        <v>1053847.3765425347</v>
      </c>
      <c r="I103" s="122">
        <f t="shared" si="5"/>
        <v>1053847.3765425347</v>
      </c>
      <c r="J103" s="122">
        <f t="shared" si="5"/>
        <v>1053847.3765425347</v>
      </c>
      <c r="K103" s="122">
        <f t="shared" si="5"/>
        <v>1053847.3765425347</v>
      </c>
      <c r="L103" s="122">
        <f t="shared" si="5"/>
        <v>1053847.3765425347</v>
      </c>
      <c r="M103" s="122">
        <f t="shared" si="5"/>
        <v>1053847.3765425347</v>
      </c>
      <c r="N103" s="122">
        <f t="shared" si="5"/>
        <v>1053847.3765425347</v>
      </c>
      <c r="O103" s="122">
        <f t="shared" si="5"/>
        <v>1053847.3765425347</v>
      </c>
      <c r="P103" s="122">
        <f t="shared" si="5"/>
        <v>1053847.3765425347</v>
      </c>
      <c r="Q103" s="122">
        <f t="shared" si="5"/>
        <v>1053847.3765425347</v>
      </c>
      <c r="R103" s="122">
        <f t="shared" si="5"/>
        <v>1053847.3765425347</v>
      </c>
      <c r="S103" s="122">
        <f t="shared" si="5"/>
        <v>1053847.3765425347</v>
      </c>
      <c r="T103" s="122">
        <f t="shared" si="5"/>
        <v>1053847.3765425347</v>
      </c>
      <c r="U103" s="122">
        <f t="shared" si="5"/>
        <v>1053847.3765425347</v>
      </c>
      <c r="V103" s="122">
        <f t="shared" si="5"/>
        <v>1053847.3765425347</v>
      </c>
      <c r="W103" s="122">
        <f t="shared" si="5"/>
        <v>1053847.3765425347</v>
      </c>
      <c r="X103" s="122">
        <f t="shared" si="5"/>
        <v>1053847.3765425347</v>
      </c>
      <c r="Y103" s="122">
        <f t="shared" si="5"/>
        <v>1053847.3765425347</v>
      </c>
      <c r="Z103" s="122">
        <f t="shared" si="5"/>
        <v>1053847.3765425347</v>
      </c>
      <c r="AA103" s="122">
        <f t="shared" si="5"/>
        <v>1053847.3765425347</v>
      </c>
      <c r="AB103" s="122">
        <f t="shared" si="5"/>
        <v>1053847.3765425347</v>
      </c>
      <c r="AC103" s="122">
        <f t="shared" si="5"/>
        <v>1053847.3765425347</v>
      </c>
      <c r="AD103" s="122">
        <f t="shared" si="5"/>
        <v>1053847.3765425347</v>
      </c>
      <c r="AE103" s="122">
        <f t="shared" si="5"/>
        <v>1053847.3765425347</v>
      </c>
      <c r="AF103" s="122">
        <f t="shared" si="5"/>
        <v>1053847.3765425347</v>
      </c>
      <c r="AG103" s="122">
        <f t="shared" si="5"/>
        <v>1053847.3765425347</v>
      </c>
      <c r="AH103" s="122">
        <f t="shared" si="5"/>
        <v>1053847.3765425347</v>
      </c>
      <c r="AI103" s="122">
        <f t="shared" si="5"/>
        <v>1053847.3765425347</v>
      </c>
      <c r="AJ103" s="122">
        <f t="shared" si="5"/>
        <v>1053847.3765425347</v>
      </c>
      <c r="AK103" s="122">
        <f t="shared" si="5"/>
        <v>1053847.3765425347</v>
      </c>
      <c r="AL103" s="122">
        <f t="shared" si="5"/>
        <v>1053847.3765425347</v>
      </c>
      <c r="AM103" s="122">
        <f t="shared" si="5"/>
        <v>1053847.3765425347</v>
      </c>
      <c r="AN103" s="122">
        <f t="shared" si="5"/>
        <v>1053847.3765425347</v>
      </c>
      <c r="AO103" s="122">
        <f t="shared" si="5"/>
        <v>1053847.3765425347</v>
      </c>
      <c r="AP103" s="122">
        <f t="shared" si="5"/>
        <v>1053847.3765425347</v>
      </c>
      <c r="AQ103" s="122">
        <f t="shared" si="5"/>
        <v>1053847.3765425347</v>
      </c>
      <c r="AR103" s="122">
        <f t="shared" si="5"/>
        <v>1053847.3765425347</v>
      </c>
      <c r="AS103" s="122">
        <f t="shared" si="5"/>
        <v>1053847.3765425347</v>
      </c>
      <c r="AT103" s="122">
        <f t="shared" si="5"/>
        <v>1053847.3765425347</v>
      </c>
      <c r="AU103" s="122">
        <f t="shared" si="5"/>
        <v>1053847.3765425347</v>
      </c>
      <c r="AV103" s="122">
        <f t="shared" si="5"/>
        <v>1053847.3765425347</v>
      </c>
      <c r="AW103" s="122">
        <f t="shared" si="5"/>
        <v>1053847.3765425347</v>
      </c>
      <c r="AX103" s="122">
        <f t="shared" si="5"/>
        <v>1053847.3765425347</v>
      </c>
    </row>
    <row r="104" spans="1:50" x14ac:dyDescent="0.2">
      <c r="A104" s="122" t="s">
        <v>105</v>
      </c>
      <c r="B104" s="122" t="s">
        <v>5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</row>
    <row r="105" spans="1:50" x14ac:dyDescent="0.2">
      <c r="B105" s="122" t="s">
        <v>10</v>
      </c>
      <c r="C105">
        <v>48866.335666237552</v>
      </c>
      <c r="D105">
        <v>48866.335666237552</v>
      </c>
      <c r="E105">
        <v>48866.335666237552</v>
      </c>
      <c r="F105">
        <v>48866.335666237552</v>
      </c>
      <c r="G105">
        <v>48866.335666237552</v>
      </c>
      <c r="H105">
        <v>48866.335666237552</v>
      </c>
      <c r="I105">
        <v>48866.335666237552</v>
      </c>
      <c r="J105">
        <v>48866.335666237552</v>
      </c>
      <c r="K105">
        <v>48866.335666237552</v>
      </c>
      <c r="L105">
        <v>48866.335666237552</v>
      </c>
      <c r="M105">
        <v>48866.335666237552</v>
      </c>
      <c r="N105">
        <v>48866.335666237552</v>
      </c>
      <c r="O105">
        <v>48866.335666237552</v>
      </c>
      <c r="P105">
        <v>48866.335666237552</v>
      </c>
      <c r="Q105">
        <v>42687.371962719357</v>
      </c>
      <c r="R105">
        <v>48866.335666237552</v>
      </c>
      <c r="S105">
        <v>48866.335666237552</v>
      </c>
      <c r="T105">
        <v>48866.335666237552</v>
      </c>
      <c r="U105">
        <v>48866.335666237552</v>
      </c>
      <c r="V105">
        <v>48866.335666237552</v>
      </c>
      <c r="W105">
        <v>48866.335666237552</v>
      </c>
      <c r="X105">
        <v>48866.335666237552</v>
      </c>
      <c r="Y105">
        <v>48866.335666237552</v>
      </c>
      <c r="Z105">
        <v>48866.335666237552</v>
      </c>
      <c r="AA105">
        <v>48866.335666237552</v>
      </c>
      <c r="AB105">
        <v>48866.335666237552</v>
      </c>
      <c r="AC105">
        <v>48866.335666237552</v>
      </c>
      <c r="AD105">
        <v>48866.335666237552</v>
      </c>
      <c r="AE105">
        <v>48866.335666237552</v>
      </c>
      <c r="AF105">
        <v>48866.335666237552</v>
      </c>
      <c r="AG105">
        <v>48866.335666237552</v>
      </c>
      <c r="AH105">
        <v>48866.335666237552</v>
      </c>
      <c r="AI105">
        <v>48866.335666237552</v>
      </c>
      <c r="AJ105">
        <v>48866.335666237552</v>
      </c>
      <c r="AK105">
        <v>48866.335666237552</v>
      </c>
      <c r="AL105">
        <v>48866.335666237552</v>
      </c>
      <c r="AM105">
        <v>48866.335666237552</v>
      </c>
      <c r="AN105">
        <v>48866.335666237552</v>
      </c>
      <c r="AO105">
        <v>48866.335666237552</v>
      </c>
      <c r="AP105">
        <v>48866.335666237552</v>
      </c>
      <c r="AQ105">
        <v>48866.335666237552</v>
      </c>
      <c r="AR105">
        <v>48866.335666237552</v>
      </c>
      <c r="AS105">
        <v>48866.335666237552</v>
      </c>
      <c r="AT105">
        <v>48866.335666237552</v>
      </c>
      <c r="AU105">
        <v>48866.335666237552</v>
      </c>
      <c r="AV105">
        <v>48866.335666237552</v>
      </c>
      <c r="AW105">
        <v>48866.335666237552</v>
      </c>
      <c r="AX105">
        <v>48866.335666237552</v>
      </c>
    </row>
    <row r="106" spans="1:50" x14ac:dyDescent="0.2">
      <c r="B106" s="122" t="s">
        <v>12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</row>
    <row r="107" spans="1:50" x14ac:dyDescent="0.2">
      <c r="B107" s="122" t="s">
        <v>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</row>
    <row r="108" spans="1:50" x14ac:dyDescent="0.2">
      <c r="B108" s="122" t="s">
        <v>59</v>
      </c>
      <c r="C108">
        <v>670034.34014340199</v>
      </c>
      <c r="D108">
        <v>670034.34014340199</v>
      </c>
      <c r="E108">
        <v>670034.34014340199</v>
      </c>
      <c r="F108">
        <v>670034.34014340199</v>
      </c>
      <c r="G108">
        <v>670034.34014340199</v>
      </c>
      <c r="H108">
        <v>670034.34014340199</v>
      </c>
      <c r="I108">
        <v>670034.34014340199</v>
      </c>
      <c r="J108">
        <v>670034.34014340199</v>
      </c>
      <c r="K108">
        <v>670034.34014340199</v>
      </c>
      <c r="L108">
        <v>670034.34014340199</v>
      </c>
      <c r="M108">
        <v>670034.34014340199</v>
      </c>
      <c r="N108">
        <v>670034.34014340199</v>
      </c>
      <c r="O108">
        <v>670034.34014340199</v>
      </c>
      <c r="P108">
        <v>670034.34014340199</v>
      </c>
      <c r="Q108">
        <v>585311.02681509533</v>
      </c>
      <c r="R108">
        <v>670034.34014340199</v>
      </c>
      <c r="S108">
        <v>670034.34014340199</v>
      </c>
      <c r="T108">
        <v>670034.34014340199</v>
      </c>
      <c r="U108">
        <v>670034.34014340199</v>
      </c>
      <c r="V108">
        <v>670034.34014340199</v>
      </c>
      <c r="W108">
        <v>670034.34014340199</v>
      </c>
      <c r="X108">
        <v>670034.34014340199</v>
      </c>
      <c r="Y108">
        <v>670034.34014340199</v>
      </c>
      <c r="Z108">
        <v>670034.34014340199</v>
      </c>
      <c r="AA108">
        <v>670034.34014340199</v>
      </c>
      <c r="AB108">
        <v>670034.34014340199</v>
      </c>
      <c r="AC108">
        <v>670034.34014340199</v>
      </c>
      <c r="AD108">
        <v>670034.34014340199</v>
      </c>
      <c r="AE108">
        <v>670034.34014340199</v>
      </c>
      <c r="AF108">
        <v>670034.34014340199</v>
      </c>
      <c r="AG108">
        <v>670034.34014340199</v>
      </c>
      <c r="AH108">
        <v>670034.34014340199</v>
      </c>
      <c r="AI108">
        <v>670034.34014340199</v>
      </c>
      <c r="AJ108">
        <v>670034.34014340199</v>
      </c>
      <c r="AK108">
        <v>670034.34014340199</v>
      </c>
      <c r="AL108">
        <v>670034.34014340199</v>
      </c>
      <c r="AM108">
        <v>670034.34014340199</v>
      </c>
      <c r="AN108">
        <v>670034.34014340199</v>
      </c>
      <c r="AO108">
        <v>670034.34014340199</v>
      </c>
      <c r="AP108">
        <v>670034.34014340199</v>
      </c>
      <c r="AQ108">
        <v>670034.34014340199</v>
      </c>
      <c r="AR108">
        <v>670034.34014340199</v>
      </c>
      <c r="AS108">
        <v>670034.34014340199</v>
      </c>
      <c r="AT108">
        <v>670034.34014340199</v>
      </c>
      <c r="AU108">
        <v>670034.34014340199</v>
      </c>
      <c r="AV108">
        <v>670034.34014340199</v>
      </c>
      <c r="AW108">
        <v>670034.34014340199</v>
      </c>
      <c r="AX108">
        <v>670034.34014340199</v>
      </c>
    </row>
    <row r="109" spans="1:50" x14ac:dyDescent="0.2">
      <c r="B109" s="119" t="s">
        <v>278</v>
      </c>
      <c r="C109" s="122">
        <f>SUM(C$104:C$108)</f>
        <v>718900.67580963951</v>
      </c>
      <c r="D109" s="122">
        <f t="shared" ref="D109:AX109" si="6">SUM(D$104:D$108)</f>
        <v>718900.67580963951</v>
      </c>
      <c r="E109" s="122">
        <f t="shared" si="6"/>
        <v>718900.67580963951</v>
      </c>
      <c r="F109" s="122">
        <f t="shared" si="6"/>
        <v>718900.67580963951</v>
      </c>
      <c r="G109" s="122">
        <f t="shared" si="6"/>
        <v>718900.67580963951</v>
      </c>
      <c r="H109" s="122">
        <f t="shared" si="6"/>
        <v>718900.67580963951</v>
      </c>
      <c r="I109" s="122">
        <f t="shared" si="6"/>
        <v>718900.67580963951</v>
      </c>
      <c r="J109" s="122">
        <f t="shared" si="6"/>
        <v>718900.67580963951</v>
      </c>
      <c r="K109" s="122">
        <f t="shared" si="6"/>
        <v>718900.67580963951</v>
      </c>
      <c r="L109" s="122">
        <f t="shared" si="6"/>
        <v>718900.67580963951</v>
      </c>
      <c r="M109" s="122">
        <f t="shared" si="6"/>
        <v>718900.67580963951</v>
      </c>
      <c r="N109" s="122">
        <f t="shared" si="6"/>
        <v>718900.67580963951</v>
      </c>
      <c r="O109" s="122">
        <f t="shared" si="6"/>
        <v>718900.67580963951</v>
      </c>
      <c r="P109" s="122">
        <f t="shared" si="6"/>
        <v>718900.67580963951</v>
      </c>
      <c r="Q109" s="122">
        <f t="shared" si="6"/>
        <v>627998.3987778147</v>
      </c>
      <c r="R109" s="122">
        <f t="shared" si="6"/>
        <v>718900.67580963951</v>
      </c>
      <c r="S109" s="122">
        <f t="shared" si="6"/>
        <v>718900.67580963951</v>
      </c>
      <c r="T109" s="122">
        <f t="shared" si="6"/>
        <v>718900.67580963951</v>
      </c>
      <c r="U109" s="122">
        <f t="shared" si="6"/>
        <v>718900.67580963951</v>
      </c>
      <c r="V109" s="122">
        <f t="shared" si="6"/>
        <v>718900.67580963951</v>
      </c>
      <c r="W109" s="122">
        <f t="shared" si="6"/>
        <v>718900.67580963951</v>
      </c>
      <c r="X109" s="122">
        <f t="shared" si="6"/>
        <v>718900.67580963951</v>
      </c>
      <c r="Y109" s="122">
        <f t="shared" si="6"/>
        <v>718900.67580963951</v>
      </c>
      <c r="Z109" s="122">
        <f t="shared" si="6"/>
        <v>718900.67580963951</v>
      </c>
      <c r="AA109" s="122">
        <f t="shared" si="6"/>
        <v>718900.67580963951</v>
      </c>
      <c r="AB109" s="122">
        <f t="shared" si="6"/>
        <v>718900.67580963951</v>
      </c>
      <c r="AC109" s="122">
        <f t="shared" si="6"/>
        <v>718900.67580963951</v>
      </c>
      <c r="AD109" s="122">
        <f t="shared" si="6"/>
        <v>718900.67580963951</v>
      </c>
      <c r="AE109" s="122">
        <f t="shared" si="6"/>
        <v>718900.67580963951</v>
      </c>
      <c r="AF109" s="122">
        <f t="shared" si="6"/>
        <v>718900.67580963951</v>
      </c>
      <c r="AG109" s="122">
        <f t="shared" si="6"/>
        <v>718900.67580963951</v>
      </c>
      <c r="AH109" s="122">
        <f t="shared" si="6"/>
        <v>718900.67580963951</v>
      </c>
      <c r="AI109" s="122">
        <f t="shared" si="6"/>
        <v>718900.67580963951</v>
      </c>
      <c r="AJ109" s="122">
        <f t="shared" si="6"/>
        <v>718900.67580963951</v>
      </c>
      <c r="AK109" s="122">
        <f t="shared" si="6"/>
        <v>718900.67580963951</v>
      </c>
      <c r="AL109" s="122">
        <f t="shared" si="6"/>
        <v>718900.67580963951</v>
      </c>
      <c r="AM109" s="122">
        <f t="shared" si="6"/>
        <v>718900.67580963951</v>
      </c>
      <c r="AN109" s="122">
        <f t="shared" si="6"/>
        <v>718900.67580963951</v>
      </c>
      <c r="AO109" s="122">
        <f t="shared" si="6"/>
        <v>718900.67580963951</v>
      </c>
      <c r="AP109" s="122">
        <f t="shared" si="6"/>
        <v>718900.67580963951</v>
      </c>
      <c r="AQ109" s="122">
        <f t="shared" si="6"/>
        <v>718900.67580963951</v>
      </c>
      <c r="AR109" s="122">
        <f t="shared" si="6"/>
        <v>718900.67580963951</v>
      </c>
      <c r="AS109" s="122">
        <f t="shared" si="6"/>
        <v>718900.67580963951</v>
      </c>
      <c r="AT109" s="122">
        <f t="shared" si="6"/>
        <v>718900.67580963951</v>
      </c>
      <c r="AU109" s="122">
        <f t="shared" si="6"/>
        <v>718900.67580963951</v>
      </c>
      <c r="AV109" s="122">
        <f t="shared" si="6"/>
        <v>718900.67580963951</v>
      </c>
      <c r="AW109" s="122">
        <f t="shared" si="6"/>
        <v>718900.67580963951</v>
      </c>
      <c r="AX109" s="122">
        <f t="shared" si="6"/>
        <v>718900.67580963951</v>
      </c>
    </row>
    <row r="110" spans="1:50" x14ac:dyDescent="0.2">
      <c r="A110" s="122" t="s">
        <v>106</v>
      </c>
      <c r="B110" s="122" t="s">
        <v>5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</row>
    <row r="111" spans="1:50" x14ac:dyDescent="0.2">
      <c r="B111" s="122" t="s">
        <v>10</v>
      </c>
      <c r="C111">
        <v>83256.25</v>
      </c>
      <c r="D111">
        <v>83256.25</v>
      </c>
      <c r="E111">
        <v>83256.25</v>
      </c>
      <c r="F111">
        <v>83256.25</v>
      </c>
      <c r="G111">
        <v>83256.25</v>
      </c>
      <c r="H111">
        <v>83256.25</v>
      </c>
      <c r="I111">
        <v>83256.25</v>
      </c>
      <c r="J111">
        <v>83256.25</v>
      </c>
      <c r="K111">
        <v>83256.25</v>
      </c>
      <c r="L111">
        <v>83256.25</v>
      </c>
      <c r="M111">
        <v>83256.25</v>
      </c>
      <c r="N111">
        <v>83256.25</v>
      </c>
      <c r="O111">
        <v>83256.25</v>
      </c>
      <c r="P111">
        <v>83256.25</v>
      </c>
      <c r="Q111">
        <v>83256.25</v>
      </c>
      <c r="R111">
        <v>83256.25</v>
      </c>
      <c r="S111">
        <v>83256.25</v>
      </c>
      <c r="T111">
        <v>83256.25</v>
      </c>
      <c r="U111">
        <v>83256.25</v>
      </c>
      <c r="V111">
        <v>83256.25</v>
      </c>
      <c r="W111">
        <v>83256.25</v>
      </c>
      <c r="X111">
        <v>83256.25</v>
      </c>
      <c r="Y111">
        <v>83256.25</v>
      </c>
      <c r="Z111">
        <v>83256.25</v>
      </c>
      <c r="AA111">
        <v>83256.25</v>
      </c>
      <c r="AB111">
        <v>83256.25</v>
      </c>
      <c r="AC111">
        <v>83256.25</v>
      </c>
      <c r="AD111">
        <v>83256.25</v>
      </c>
      <c r="AE111">
        <v>83256.25</v>
      </c>
      <c r="AF111">
        <v>83256.25</v>
      </c>
      <c r="AG111">
        <v>83256.25</v>
      </c>
      <c r="AH111">
        <v>83256.25</v>
      </c>
      <c r="AI111">
        <v>83256.25</v>
      </c>
      <c r="AJ111">
        <v>83256.25</v>
      </c>
      <c r="AK111">
        <v>83256.25</v>
      </c>
      <c r="AL111">
        <v>83256.25</v>
      </c>
      <c r="AM111">
        <v>83256.25</v>
      </c>
      <c r="AN111">
        <v>83256.25</v>
      </c>
      <c r="AO111">
        <v>83256.25</v>
      </c>
      <c r="AP111">
        <v>83256.25</v>
      </c>
      <c r="AQ111">
        <v>83256.25</v>
      </c>
      <c r="AR111">
        <v>83256.25</v>
      </c>
      <c r="AS111">
        <v>83256.25</v>
      </c>
      <c r="AT111">
        <v>83256.25</v>
      </c>
      <c r="AU111">
        <v>83256.25</v>
      </c>
      <c r="AV111">
        <v>83256.25</v>
      </c>
      <c r="AW111">
        <v>83256.25</v>
      </c>
      <c r="AX111">
        <v>83256.25</v>
      </c>
    </row>
    <row r="112" spans="1:50" x14ac:dyDescent="0.2">
      <c r="B112" s="122" t="s">
        <v>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</row>
    <row r="113" spans="1:50" x14ac:dyDescent="0.2">
      <c r="B113" s="122" t="s">
        <v>22</v>
      </c>
      <c r="C113">
        <v>13094.809648429697</v>
      </c>
      <c r="D113">
        <v>13094.809648429697</v>
      </c>
      <c r="E113">
        <v>13094.809648429697</v>
      </c>
      <c r="F113">
        <v>13094.809648429697</v>
      </c>
      <c r="G113">
        <v>13094.809648429697</v>
      </c>
      <c r="H113">
        <v>13094.809648429697</v>
      </c>
      <c r="I113">
        <v>13094.809648429697</v>
      </c>
      <c r="J113">
        <v>13094.809648429697</v>
      </c>
      <c r="K113">
        <v>13094.809648429697</v>
      </c>
      <c r="L113">
        <v>13094.809648429697</v>
      </c>
      <c r="M113">
        <v>13094.809648429697</v>
      </c>
      <c r="N113">
        <v>13094.809648429697</v>
      </c>
      <c r="O113">
        <v>13094.809648429697</v>
      </c>
      <c r="P113">
        <v>13094.809648429697</v>
      </c>
      <c r="Q113">
        <v>13094.809648429697</v>
      </c>
      <c r="R113">
        <v>13094.809648429697</v>
      </c>
      <c r="S113">
        <v>13094.809648429697</v>
      </c>
      <c r="T113">
        <v>13094.809648429697</v>
      </c>
      <c r="U113">
        <v>13094.809648429697</v>
      </c>
      <c r="V113">
        <v>13094.809648429697</v>
      </c>
      <c r="W113">
        <v>13094.809648429697</v>
      </c>
      <c r="X113">
        <v>13094.809648429697</v>
      </c>
      <c r="Y113">
        <v>13094.809648429697</v>
      </c>
      <c r="Z113">
        <v>13094.809648429697</v>
      </c>
      <c r="AA113">
        <v>13094.809648429697</v>
      </c>
      <c r="AB113">
        <v>13094.809648429697</v>
      </c>
      <c r="AC113">
        <v>13094.809648429697</v>
      </c>
      <c r="AD113">
        <v>13094.809648429697</v>
      </c>
      <c r="AE113">
        <v>13094.809648429697</v>
      </c>
      <c r="AF113">
        <v>13094.809648429697</v>
      </c>
      <c r="AG113">
        <v>13094.809648429697</v>
      </c>
      <c r="AH113">
        <v>13094.809648429697</v>
      </c>
      <c r="AI113">
        <v>13094.809648429697</v>
      </c>
      <c r="AJ113">
        <v>13094.809648429697</v>
      </c>
      <c r="AK113">
        <v>13094.809648429697</v>
      </c>
      <c r="AL113">
        <v>13094.809648429697</v>
      </c>
      <c r="AM113">
        <v>13094.809648429697</v>
      </c>
      <c r="AN113">
        <v>13094.809648429697</v>
      </c>
      <c r="AO113">
        <v>13094.809648429697</v>
      </c>
      <c r="AP113">
        <v>13094.809648429697</v>
      </c>
      <c r="AQ113">
        <v>13094.809648429697</v>
      </c>
      <c r="AR113">
        <v>13094.809648429697</v>
      </c>
      <c r="AS113">
        <v>13094.809648429697</v>
      </c>
      <c r="AT113">
        <v>13094.809648429697</v>
      </c>
      <c r="AU113">
        <v>13094.809648429697</v>
      </c>
      <c r="AV113">
        <v>13094.809648429697</v>
      </c>
      <c r="AW113">
        <v>13094.809648429697</v>
      </c>
      <c r="AX113">
        <v>13094.809648429697</v>
      </c>
    </row>
    <row r="114" spans="1:50" x14ac:dyDescent="0.2">
      <c r="B114" s="122" t="s">
        <v>59</v>
      </c>
      <c r="C114">
        <v>198571.97099278829</v>
      </c>
      <c r="D114">
        <v>198571.97099278829</v>
      </c>
      <c r="E114">
        <v>198571.97099278829</v>
      </c>
      <c r="F114">
        <v>198571.97099278829</v>
      </c>
      <c r="G114">
        <v>198571.97099278829</v>
      </c>
      <c r="H114">
        <v>198571.97099278829</v>
      </c>
      <c r="I114">
        <v>198571.97099278829</v>
      </c>
      <c r="J114">
        <v>198571.97099278829</v>
      </c>
      <c r="K114">
        <v>198571.97099278829</v>
      </c>
      <c r="L114">
        <v>198571.97099278829</v>
      </c>
      <c r="M114">
        <v>198571.97099278829</v>
      </c>
      <c r="N114">
        <v>198571.97099278829</v>
      </c>
      <c r="O114">
        <v>198571.97099278829</v>
      </c>
      <c r="P114">
        <v>198571.97099278829</v>
      </c>
      <c r="Q114">
        <v>198571.97099278829</v>
      </c>
      <c r="R114">
        <v>198571.97099278829</v>
      </c>
      <c r="S114">
        <v>198571.97099278829</v>
      </c>
      <c r="T114">
        <v>198571.97099278829</v>
      </c>
      <c r="U114">
        <v>198571.97099278829</v>
      </c>
      <c r="V114">
        <v>198571.97099278829</v>
      </c>
      <c r="W114">
        <v>198571.97099278829</v>
      </c>
      <c r="X114">
        <v>198571.97099278829</v>
      </c>
      <c r="Y114">
        <v>198571.97099278829</v>
      </c>
      <c r="Z114">
        <v>198571.97099278829</v>
      </c>
      <c r="AA114">
        <v>198571.97099278829</v>
      </c>
      <c r="AB114">
        <v>198571.97099278829</v>
      </c>
      <c r="AC114">
        <v>198571.97099278829</v>
      </c>
      <c r="AD114">
        <v>198571.97099278829</v>
      </c>
      <c r="AE114">
        <v>198571.97099278829</v>
      </c>
      <c r="AF114">
        <v>198571.97099278829</v>
      </c>
      <c r="AG114">
        <v>198571.97099278829</v>
      </c>
      <c r="AH114">
        <v>198571.97099278829</v>
      </c>
      <c r="AI114">
        <v>198571.97099278829</v>
      </c>
      <c r="AJ114">
        <v>198571.97099278829</v>
      </c>
      <c r="AK114">
        <v>198571.97099278829</v>
      </c>
      <c r="AL114">
        <v>198571.97099278829</v>
      </c>
      <c r="AM114">
        <v>198571.97099278829</v>
      </c>
      <c r="AN114">
        <v>198571.97099278829</v>
      </c>
      <c r="AO114">
        <v>198571.97099278829</v>
      </c>
      <c r="AP114">
        <v>198571.97099278829</v>
      </c>
      <c r="AQ114">
        <v>198571.97099278829</v>
      </c>
      <c r="AR114">
        <v>198571.97099278829</v>
      </c>
      <c r="AS114">
        <v>198571.97099278829</v>
      </c>
      <c r="AT114">
        <v>198571.97099278829</v>
      </c>
      <c r="AU114">
        <v>198571.97099278829</v>
      </c>
      <c r="AV114">
        <v>198571.97099278829</v>
      </c>
      <c r="AW114">
        <v>198571.97099278829</v>
      </c>
      <c r="AX114">
        <v>198571.97099278829</v>
      </c>
    </row>
    <row r="115" spans="1:50" x14ac:dyDescent="0.2">
      <c r="B115" t="s">
        <v>278</v>
      </c>
      <c r="C115" s="122">
        <f>SUM(C$110:C$114)</f>
        <v>294923.03064121801</v>
      </c>
      <c r="D115" s="122">
        <f t="shared" ref="D115:AX115" si="7">SUM(D$110:D$114)</f>
        <v>294923.03064121801</v>
      </c>
      <c r="E115" s="122">
        <f t="shared" si="7"/>
        <v>294923.03064121801</v>
      </c>
      <c r="F115" s="122">
        <f t="shared" si="7"/>
        <v>294923.03064121801</v>
      </c>
      <c r="G115" s="122">
        <f t="shared" si="7"/>
        <v>294923.03064121801</v>
      </c>
      <c r="H115" s="122">
        <f t="shared" si="7"/>
        <v>294923.03064121801</v>
      </c>
      <c r="I115" s="122">
        <f t="shared" si="7"/>
        <v>294923.03064121801</v>
      </c>
      <c r="J115" s="122">
        <f t="shared" si="7"/>
        <v>294923.03064121801</v>
      </c>
      <c r="K115" s="122">
        <f t="shared" si="7"/>
        <v>294923.03064121801</v>
      </c>
      <c r="L115" s="122">
        <f t="shared" si="7"/>
        <v>294923.03064121801</v>
      </c>
      <c r="M115" s="122">
        <f t="shared" si="7"/>
        <v>294923.03064121801</v>
      </c>
      <c r="N115" s="122">
        <f t="shared" si="7"/>
        <v>294923.03064121801</v>
      </c>
      <c r="O115" s="122">
        <f t="shared" si="7"/>
        <v>294923.03064121801</v>
      </c>
      <c r="P115" s="122">
        <f t="shared" si="7"/>
        <v>294923.03064121801</v>
      </c>
      <c r="Q115" s="122">
        <f t="shared" si="7"/>
        <v>294923.03064121801</v>
      </c>
      <c r="R115" s="122">
        <f t="shared" si="7"/>
        <v>294923.03064121801</v>
      </c>
      <c r="S115" s="122">
        <f t="shared" si="7"/>
        <v>294923.03064121801</v>
      </c>
      <c r="T115" s="122">
        <f t="shared" si="7"/>
        <v>294923.03064121801</v>
      </c>
      <c r="U115" s="122">
        <f t="shared" si="7"/>
        <v>294923.03064121801</v>
      </c>
      <c r="V115" s="122">
        <f t="shared" si="7"/>
        <v>294923.03064121801</v>
      </c>
      <c r="W115" s="122">
        <f t="shared" si="7"/>
        <v>294923.03064121801</v>
      </c>
      <c r="X115" s="122">
        <f t="shared" si="7"/>
        <v>294923.03064121801</v>
      </c>
      <c r="Y115" s="122">
        <f t="shared" si="7"/>
        <v>294923.03064121801</v>
      </c>
      <c r="Z115" s="122">
        <f t="shared" si="7"/>
        <v>294923.03064121801</v>
      </c>
      <c r="AA115" s="122">
        <f t="shared" si="7"/>
        <v>294923.03064121801</v>
      </c>
      <c r="AB115" s="122">
        <f t="shared" si="7"/>
        <v>294923.03064121801</v>
      </c>
      <c r="AC115" s="122">
        <f t="shared" si="7"/>
        <v>294923.03064121801</v>
      </c>
      <c r="AD115" s="122">
        <f t="shared" si="7"/>
        <v>294923.03064121801</v>
      </c>
      <c r="AE115" s="122">
        <f t="shared" si="7"/>
        <v>294923.03064121801</v>
      </c>
      <c r="AF115" s="122">
        <f t="shared" si="7"/>
        <v>294923.03064121801</v>
      </c>
      <c r="AG115" s="122">
        <f t="shared" si="7"/>
        <v>294923.03064121801</v>
      </c>
      <c r="AH115" s="122">
        <f t="shared" si="7"/>
        <v>294923.03064121801</v>
      </c>
      <c r="AI115" s="122">
        <f t="shared" si="7"/>
        <v>294923.03064121801</v>
      </c>
      <c r="AJ115" s="122">
        <f t="shared" si="7"/>
        <v>294923.03064121801</v>
      </c>
      <c r="AK115" s="122">
        <f t="shared" si="7"/>
        <v>294923.03064121801</v>
      </c>
      <c r="AL115" s="122">
        <f t="shared" si="7"/>
        <v>294923.03064121801</v>
      </c>
      <c r="AM115" s="122">
        <f t="shared" si="7"/>
        <v>294923.03064121801</v>
      </c>
      <c r="AN115" s="122">
        <f t="shared" si="7"/>
        <v>294923.03064121801</v>
      </c>
      <c r="AO115" s="122">
        <f t="shared" si="7"/>
        <v>294923.03064121801</v>
      </c>
      <c r="AP115" s="122">
        <f t="shared" si="7"/>
        <v>294923.03064121801</v>
      </c>
      <c r="AQ115" s="122">
        <f t="shared" si="7"/>
        <v>294923.03064121801</v>
      </c>
      <c r="AR115" s="122">
        <f t="shared" si="7"/>
        <v>294923.03064121801</v>
      </c>
      <c r="AS115" s="122">
        <f t="shared" si="7"/>
        <v>294923.03064121801</v>
      </c>
      <c r="AT115" s="122">
        <f t="shared" si="7"/>
        <v>294923.03064121801</v>
      </c>
      <c r="AU115" s="122">
        <f t="shared" si="7"/>
        <v>294923.03064121801</v>
      </c>
      <c r="AV115" s="122">
        <f t="shared" si="7"/>
        <v>294923.03064121801</v>
      </c>
      <c r="AW115" s="122">
        <f t="shared" si="7"/>
        <v>294923.03064121801</v>
      </c>
      <c r="AX115" s="122">
        <f t="shared" si="7"/>
        <v>294923.03064121801</v>
      </c>
    </row>
    <row r="116" spans="1:50" x14ac:dyDescent="0.2">
      <c r="A116" s="122" t="s">
        <v>107</v>
      </c>
      <c r="B116" s="122" t="s">
        <v>5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</row>
    <row r="117" spans="1:50" x14ac:dyDescent="0.2">
      <c r="B117" s="122" t="s">
        <v>10</v>
      </c>
      <c r="C117">
        <v>6213.007052045964</v>
      </c>
      <c r="D117">
        <v>6213.007052045964</v>
      </c>
      <c r="E117">
        <v>6213.007052045964</v>
      </c>
      <c r="F117">
        <v>6213.007052045964</v>
      </c>
      <c r="G117">
        <v>6213.007052045964</v>
      </c>
      <c r="H117">
        <v>6213.007052045964</v>
      </c>
      <c r="I117">
        <v>6213.007052045964</v>
      </c>
      <c r="J117">
        <v>6213.007052045964</v>
      </c>
      <c r="K117">
        <v>6213.007052045964</v>
      </c>
      <c r="L117">
        <v>6213.007052045964</v>
      </c>
      <c r="M117">
        <v>6213.007052045964</v>
      </c>
      <c r="N117">
        <v>6213.007052045964</v>
      </c>
      <c r="O117">
        <v>6213.007052045964</v>
      </c>
      <c r="P117">
        <v>6213.007052045964</v>
      </c>
      <c r="Q117">
        <v>6213.007052045964</v>
      </c>
      <c r="R117">
        <v>1258.392566383769</v>
      </c>
      <c r="S117">
        <v>6213.007052045964</v>
      </c>
      <c r="T117">
        <v>6213.007052045964</v>
      </c>
      <c r="U117">
        <v>6213.007052045964</v>
      </c>
      <c r="V117">
        <v>6213.007052045964</v>
      </c>
      <c r="W117">
        <v>6213.007052045964</v>
      </c>
      <c r="X117">
        <v>6213.007052045964</v>
      </c>
      <c r="Y117">
        <v>6213.007052045964</v>
      </c>
      <c r="Z117">
        <v>6213.007052045964</v>
      </c>
      <c r="AA117">
        <v>6213.007052045964</v>
      </c>
      <c r="AB117">
        <v>6213.007052045964</v>
      </c>
      <c r="AC117">
        <v>6213.007052045964</v>
      </c>
      <c r="AD117">
        <v>6213.007052045964</v>
      </c>
      <c r="AE117">
        <v>6213.007052045964</v>
      </c>
      <c r="AF117">
        <v>6213.007052045964</v>
      </c>
      <c r="AG117">
        <v>6213.007052045964</v>
      </c>
      <c r="AH117">
        <v>6213.007052045964</v>
      </c>
      <c r="AI117">
        <v>6213.007052045964</v>
      </c>
      <c r="AJ117">
        <v>6213.007052045964</v>
      </c>
      <c r="AK117">
        <v>6213.007052045964</v>
      </c>
      <c r="AL117">
        <v>6213.007052045964</v>
      </c>
      <c r="AM117">
        <v>6213.007052045964</v>
      </c>
      <c r="AN117">
        <v>6213.007052045964</v>
      </c>
      <c r="AO117">
        <v>6213.007052045964</v>
      </c>
      <c r="AP117">
        <v>6213.007052045964</v>
      </c>
      <c r="AQ117">
        <v>6213.007052045964</v>
      </c>
      <c r="AR117">
        <v>6213.007052045964</v>
      </c>
      <c r="AS117">
        <v>6213.007052045964</v>
      </c>
      <c r="AT117">
        <v>6213.007052045964</v>
      </c>
      <c r="AU117">
        <v>6213.007052045964</v>
      </c>
      <c r="AV117">
        <v>6213.007052045964</v>
      </c>
      <c r="AW117">
        <v>6213.007052045964</v>
      </c>
      <c r="AX117">
        <v>6213.007052045964</v>
      </c>
    </row>
    <row r="118" spans="1:50" x14ac:dyDescent="0.2">
      <c r="B118" s="122" t="s">
        <v>12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</row>
    <row r="119" spans="1:50" x14ac:dyDescent="0.2">
      <c r="B119" s="122" t="s">
        <v>22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</row>
    <row r="120" spans="1:50" x14ac:dyDescent="0.2">
      <c r="B120" s="122" t="s">
        <v>59</v>
      </c>
      <c r="C120">
        <v>631718.85221264453</v>
      </c>
      <c r="D120">
        <v>631718.85221264453</v>
      </c>
      <c r="E120">
        <v>631718.85221264453</v>
      </c>
      <c r="F120">
        <v>631718.85221264453</v>
      </c>
      <c r="G120">
        <v>631718.85221264453</v>
      </c>
      <c r="H120">
        <v>631718.85221264453</v>
      </c>
      <c r="I120">
        <v>631718.85221264453</v>
      </c>
      <c r="J120">
        <v>631718.85221264453</v>
      </c>
      <c r="K120">
        <v>631718.85221264453</v>
      </c>
      <c r="L120">
        <v>631718.85221264453</v>
      </c>
      <c r="M120">
        <v>631718.85221264453</v>
      </c>
      <c r="N120">
        <v>631718.85221264453</v>
      </c>
      <c r="O120">
        <v>631718.85221264453</v>
      </c>
      <c r="P120">
        <v>631718.85221264453</v>
      </c>
      <c r="Q120">
        <v>631718.85221264453</v>
      </c>
      <c r="R120">
        <v>127949.36509964186</v>
      </c>
      <c r="S120">
        <v>631718.85221264453</v>
      </c>
      <c r="T120">
        <v>631718.85221264453</v>
      </c>
      <c r="U120">
        <v>631718.85221264453</v>
      </c>
      <c r="V120">
        <v>631718.85221264453</v>
      </c>
      <c r="W120">
        <v>631718.85221264453</v>
      </c>
      <c r="X120">
        <v>631718.85221264453</v>
      </c>
      <c r="Y120">
        <v>631718.85221264453</v>
      </c>
      <c r="Z120">
        <v>631718.85221264453</v>
      </c>
      <c r="AA120">
        <v>631718.85221264453</v>
      </c>
      <c r="AB120">
        <v>631718.85221264453</v>
      </c>
      <c r="AC120">
        <v>631718.85221264453</v>
      </c>
      <c r="AD120">
        <v>631718.85221264453</v>
      </c>
      <c r="AE120">
        <v>631718.85221264453</v>
      </c>
      <c r="AF120">
        <v>631718.85221264453</v>
      </c>
      <c r="AG120">
        <v>631718.85221264453</v>
      </c>
      <c r="AH120">
        <v>631718.85221264453</v>
      </c>
      <c r="AI120">
        <v>631718.85221264453</v>
      </c>
      <c r="AJ120">
        <v>631718.85221264453</v>
      </c>
      <c r="AK120">
        <v>631718.85221264453</v>
      </c>
      <c r="AL120">
        <v>631718.85221264453</v>
      </c>
      <c r="AM120">
        <v>631718.85221264453</v>
      </c>
      <c r="AN120">
        <v>631718.85221264453</v>
      </c>
      <c r="AO120">
        <v>631718.85221264453</v>
      </c>
      <c r="AP120">
        <v>631718.85221264453</v>
      </c>
      <c r="AQ120">
        <v>631718.85221264453</v>
      </c>
      <c r="AR120">
        <v>631718.85221264453</v>
      </c>
      <c r="AS120">
        <v>631718.85221264453</v>
      </c>
      <c r="AT120">
        <v>631718.85221264453</v>
      </c>
      <c r="AU120">
        <v>631718.85221264453</v>
      </c>
      <c r="AV120">
        <v>631718.85221264453</v>
      </c>
      <c r="AW120">
        <v>631718.85221264453</v>
      </c>
      <c r="AX120">
        <v>631718.85221264453</v>
      </c>
    </row>
    <row r="121" spans="1:50" x14ac:dyDescent="0.2">
      <c r="B121" t="s">
        <v>278</v>
      </c>
      <c r="C121" s="122">
        <f>SUM(C$116:C$120)</f>
        <v>637931.85926469055</v>
      </c>
      <c r="D121" s="122">
        <f t="shared" ref="D121:AX121" si="8">SUM(D$116:D$120)</f>
        <v>637931.85926469055</v>
      </c>
      <c r="E121" s="122">
        <f t="shared" si="8"/>
        <v>637931.85926469055</v>
      </c>
      <c r="F121" s="122">
        <f t="shared" si="8"/>
        <v>637931.85926469055</v>
      </c>
      <c r="G121" s="122">
        <f t="shared" si="8"/>
        <v>637931.85926469055</v>
      </c>
      <c r="H121" s="122">
        <f t="shared" si="8"/>
        <v>637931.85926469055</v>
      </c>
      <c r="I121" s="122">
        <f t="shared" si="8"/>
        <v>637931.85926469055</v>
      </c>
      <c r="J121" s="122">
        <f t="shared" si="8"/>
        <v>637931.85926469055</v>
      </c>
      <c r="K121" s="122">
        <f t="shared" si="8"/>
        <v>637931.85926469055</v>
      </c>
      <c r="L121" s="122">
        <f t="shared" si="8"/>
        <v>637931.85926469055</v>
      </c>
      <c r="M121" s="122">
        <f t="shared" si="8"/>
        <v>637931.85926469055</v>
      </c>
      <c r="N121" s="122">
        <f t="shared" si="8"/>
        <v>637931.85926469055</v>
      </c>
      <c r="O121" s="122">
        <f t="shared" si="8"/>
        <v>637931.85926469055</v>
      </c>
      <c r="P121" s="122">
        <f t="shared" si="8"/>
        <v>637931.85926469055</v>
      </c>
      <c r="Q121" s="122">
        <f t="shared" si="8"/>
        <v>637931.85926469055</v>
      </c>
      <c r="R121" s="122">
        <f t="shared" si="8"/>
        <v>129207.75766602563</v>
      </c>
      <c r="S121" s="122">
        <f t="shared" si="8"/>
        <v>637931.85926469055</v>
      </c>
      <c r="T121" s="122">
        <f t="shared" si="8"/>
        <v>637931.85926469055</v>
      </c>
      <c r="U121" s="122">
        <f t="shared" si="8"/>
        <v>637931.85926469055</v>
      </c>
      <c r="V121" s="122">
        <f t="shared" si="8"/>
        <v>637931.85926469055</v>
      </c>
      <c r="W121" s="122">
        <f t="shared" si="8"/>
        <v>637931.85926469055</v>
      </c>
      <c r="X121" s="122">
        <f t="shared" si="8"/>
        <v>637931.85926469055</v>
      </c>
      <c r="Y121" s="122">
        <f t="shared" si="8"/>
        <v>637931.85926469055</v>
      </c>
      <c r="Z121" s="122">
        <f t="shared" si="8"/>
        <v>637931.85926469055</v>
      </c>
      <c r="AA121" s="122">
        <f t="shared" si="8"/>
        <v>637931.85926469055</v>
      </c>
      <c r="AB121" s="122">
        <f t="shared" si="8"/>
        <v>637931.85926469055</v>
      </c>
      <c r="AC121" s="122">
        <f t="shared" si="8"/>
        <v>637931.85926469055</v>
      </c>
      <c r="AD121" s="122">
        <f t="shared" si="8"/>
        <v>637931.85926469055</v>
      </c>
      <c r="AE121" s="122">
        <f t="shared" si="8"/>
        <v>637931.85926469055</v>
      </c>
      <c r="AF121" s="122">
        <f t="shared" si="8"/>
        <v>637931.85926469055</v>
      </c>
      <c r="AG121" s="122">
        <f t="shared" si="8"/>
        <v>637931.85926469055</v>
      </c>
      <c r="AH121" s="122">
        <f t="shared" si="8"/>
        <v>637931.85926469055</v>
      </c>
      <c r="AI121" s="122">
        <f t="shared" si="8"/>
        <v>637931.85926469055</v>
      </c>
      <c r="AJ121" s="122">
        <f t="shared" si="8"/>
        <v>637931.85926469055</v>
      </c>
      <c r="AK121" s="122">
        <f t="shared" si="8"/>
        <v>637931.85926469055</v>
      </c>
      <c r="AL121" s="122">
        <f t="shared" si="8"/>
        <v>637931.85926469055</v>
      </c>
      <c r="AM121" s="122">
        <f t="shared" si="8"/>
        <v>637931.85926469055</v>
      </c>
      <c r="AN121" s="122">
        <f t="shared" si="8"/>
        <v>637931.85926469055</v>
      </c>
      <c r="AO121" s="122">
        <f t="shared" si="8"/>
        <v>637931.85926469055</v>
      </c>
      <c r="AP121" s="122">
        <f t="shared" si="8"/>
        <v>637931.85926469055</v>
      </c>
      <c r="AQ121" s="122">
        <f t="shared" si="8"/>
        <v>637931.85926469055</v>
      </c>
      <c r="AR121" s="122">
        <f t="shared" si="8"/>
        <v>637931.85926469055</v>
      </c>
      <c r="AS121" s="122">
        <f t="shared" si="8"/>
        <v>637931.85926469055</v>
      </c>
      <c r="AT121" s="122">
        <f t="shared" si="8"/>
        <v>637931.85926469055</v>
      </c>
      <c r="AU121" s="122">
        <f t="shared" si="8"/>
        <v>637931.85926469055</v>
      </c>
      <c r="AV121" s="122">
        <f t="shared" si="8"/>
        <v>637931.85926469055</v>
      </c>
      <c r="AW121" s="122">
        <f t="shared" si="8"/>
        <v>637931.85926469055</v>
      </c>
      <c r="AX121" s="122">
        <f t="shared" si="8"/>
        <v>637931.85926469055</v>
      </c>
    </row>
    <row r="122" spans="1:50" x14ac:dyDescent="0.2">
      <c r="A122" s="122" t="s">
        <v>108</v>
      </c>
      <c r="B122" s="122" t="s">
        <v>5</v>
      </c>
      <c r="C122">
        <v>10896.41640782214</v>
      </c>
      <c r="D122">
        <v>10896.41640782214</v>
      </c>
      <c r="E122">
        <v>10896.41640782214</v>
      </c>
      <c r="F122">
        <v>10896.41640782214</v>
      </c>
      <c r="G122">
        <v>10896.41640782214</v>
      </c>
      <c r="H122">
        <v>10896.41640782214</v>
      </c>
      <c r="I122">
        <v>10896.41640782214</v>
      </c>
      <c r="J122">
        <v>10896.41640782214</v>
      </c>
      <c r="K122">
        <v>10896.41640782214</v>
      </c>
      <c r="L122">
        <v>10896.41640782214</v>
      </c>
      <c r="M122">
        <v>10896.41640782214</v>
      </c>
      <c r="N122">
        <v>10896.41640782214</v>
      </c>
      <c r="O122">
        <v>10896.41640782214</v>
      </c>
      <c r="P122">
        <v>10896.41640782214</v>
      </c>
      <c r="Q122">
        <v>10896.41640782214</v>
      </c>
      <c r="R122">
        <v>10896.41640782214</v>
      </c>
      <c r="S122">
        <v>10896.41640782214</v>
      </c>
      <c r="T122">
        <v>10896.41640782214</v>
      </c>
      <c r="U122">
        <v>10896.41640782214</v>
      </c>
      <c r="V122">
        <v>10896.41640782214</v>
      </c>
      <c r="W122">
        <v>10896.41640782214</v>
      </c>
      <c r="X122">
        <v>10896.41640782214</v>
      </c>
      <c r="Y122">
        <v>10896.41640782214</v>
      </c>
      <c r="Z122">
        <v>10896.41640782214</v>
      </c>
      <c r="AA122">
        <v>10896.41640782214</v>
      </c>
      <c r="AB122">
        <v>10896.41640782214</v>
      </c>
      <c r="AC122">
        <v>10896.41640782214</v>
      </c>
      <c r="AD122">
        <v>10896.41640782214</v>
      </c>
      <c r="AE122">
        <v>10896.41640782214</v>
      </c>
      <c r="AF122">
        <v>10896.41640782214</v>
      </c>
      <c r="AG122">
        <v>10896.41640782214</v>
      </c>
      <c r="AH122">
        <v>10896.41640782214</v>
      </c>
      <c r="AI122">
        <v>10896.41640782214</v>
      </c>
      <c r="AJ122">
        <v>10896.41640782214</v>
      </c>
      <c r="AK122">
        <v>10896.41640782214</v>
      </c>
      <c r="AL122">
        <v>10896.41640782214</v>
      </c>
      <c r="AM122">
        <v>10896.41640782214</v>
      </c>
      <c r="AN122">
        <v>10896.41640782214</v>
      </c>
      <c r="AO122">
        <v>10896.41640782214</v>
      </c>
      <c r="AP122">
        <v>10896.41640782214</v>
      </c>
      <c r="AQ122">
        <v>10896.41640782214</v>
      </c>
      <c r="AR122">
        <v>10896.41640782214</v>
      </c>
      <c r="AS122">
        <v>10896.41640782214</v>
      </c>
      <c r="AT122">
        <v>10896.41640782214</v>
      </c>
      <c r="AU122">
        <v>10896.41640782214</v>
      </c>
      <c r="AV122">
        <v>10896.41640782214</v>
      </c>
      <c r="AW122">
        <v>10896.41640782214</v>
      </c>
      <c r="AX122">
        <v>10896.41640782214</v>
      </c>
    </row>
    <row r="123" spans="1:50" x14ac:dyDescent="0.2">
      <c r="B123" s="122" t="s">
        <v>10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</row>
    <row r="124" spans="1:50" x14ac:dyDescent="0.2">
      <c r="B124" s="122" t="s">
        <v>12</v>
      </c>
      <c r="C124">
        <v>74600.238846295804</v>
      </c>
      <c r="D124">
        <v>74600.238846295804</v>
      </c>
      <c r="E124">
        <v>74600.238846295804</v>
      </c>
      <c r="F124">
        <v>74600.238846295804</v>
      </c>
      <c r="G124">
        <v>74600.238846295804</v>
      </c>
      <c r="H124">
        <v>74600.238846295804</v>
      </c>
      <c r="I124">
        <v>74600.238846295804</v>
      </c>
      <c r="J124">
        <v>74600.238846295804</v>
      </c>
      <c r="K124">
        <v>74600.238846295804</v>
      </c>
      <c r="L124">
        <v>74600.238846295804</v>
      </c>
      <c r="M124">
        <v>74600.238846295804</v>
      </c>
      <c r="N124">
        <v>74600.238846295804</v>
      </c>
      <c r="O124">
        <v>74600.238846295804</v>
      </c>
      <c r="P124">
        <v>74600.238846295804</v>
      </c>
      <c r="Q124">
        <v>74600.238846295804</v>
      </c>
      <c r="R124">
        <v>74600.238846295804</v>
      </c>
      <c r="S124">
        <v>74600.238846295804</v>
      </c>
      <c r="T124">
        <v>74600.238846295804</v>
      </c>
      <c r="U124">
        <v>74600.238846295804</v>
      </c>
      <c r="V124">
        <v>74600.238846295804</v>
      </c>
      <c r="W124">
        <v>74600.238846295804</v>
      </c>
      <c r="X124">
        <v>74600.238846295804</v>
      </c>
      <c r="Y124">
        <v>74600.238846295804</v>
      </c>
      <c r="Z124">
        <v>74600.238846295804</v>
      </c>
      <c r="AA124">
        <v>74600.238846295804</v>
      </c>
      <c r="AB124">
        <v>74600.238846295804</v>
      </c>
      <c r="AC124">
        <v>74600.238846295804</v>
      </c>
      <c r="AD124">
        <v>74600.238846295804</v>
      </c>
      <c r="AE124">
        <v>74600.238846295804</v>
      </c>
      <c r="AF124">
        <v>74600.238846295804</v>
      </c>
      <c r="AG124">
        <v>74600.238846295804</v>
      </c>
      <c r="AH124">
        <v>74600.238846295804</v>
      </c>
      <c r="AI124">
        <v>74600.238846295804</v>
      </c>
      <c r="AJ124">
        <v>74600.238846295804</v>
      </c>
      <c r="AK124">
        <v>74600.238846295804</v>
      </c>
      <c r="AL124">
        <v>74600.238846295804</v>
      </c>
      <c r="AM124">
        <v>74600.238846295804</v>
      </c>
      <c r="AN124">
        <v>74600.238846295804</v>
      </c>
      <c r="AO124">
        <v>74600.238846295804</v>
      </c>
      <c r="AP124">
        <v>74600.238846295804</v>
      </c>
      <c r="AQ124">
        <v>74600.238846295804</v>
      </c>
      <c r="AR124">
        <v>74600.238846295804</v>
      </c>
      <c r="AS124">
        <v>74600.238846295804</v>
      </c>
      <c r="AT124">
        <v>74600.238846295804</v>
      </c>
      <c r="AU124">
        <v>74600.238846295804</v>
      </c>
      <c r="AV124">
        <v>74600.238846295804</v>
      </c>
      <c r="AW124">
        <v>74600.238846295804</v>
      </c>
      <c r="AX124">
        <v>74600.238846295804</v>
      </c>
    </row>
    <row r="125" spans="1:50" x14ac:dyDescent="0.2">
      <c r="B125" s="122" t="s">
        <v>22</v>
      </c>
      <c r="C125">
        <v>119202.33312920529</v>
      </c>
      <c r="D125">
        <v>119202.33312920529</v>
      </c>
      <c r="E125">
        <v>119202.33312920529</v>
      </c>
      <c r="F125">
        <v>119202.33312920529</v>
      </c>
      <c r="G125">
        <v>119202.33312920529</v>
      </c>
      <c r="H125">
        <v>119202.33312920529</v>
      </c>
      <c r="I125">
        <v>119202.33312920529</v>
      </c>
      <c r="J125">
        <v>119202.33312920529</v>
      </c>
      <c r="K125">
        <v>119202.33312920529</v>
      </c>
      <c r="L125">
        <v>119202.33312920529</v>
      </c>
      <c r="M125">
        <v>119202.33312920529</v>
      </c>
      <c r="N125">
        <v>119202.33312920529</v>
      </c>
      <c r="O125">
        <v>119202.33312920529</v>
      </c>
      <c r="P125">
        <v>119202.33312920529</v>
      </c>
      <c r="Q125">
        <v>119202.33312920529</v>
      </c>
      <c r="R125">
        <v>119202.33312920529</v>
      </c>
      <c r="S125">
        <v>119202.33312920529</v>
      </c>
      <c r="T125">
        <v>119202.33312920529</v>
      </c>
      <c r="U125">
        <v>119202.33312920529</v>
      </c>
      <c r="V125">
        <v>119202.33312920529</v>
      </c>
      <c r="W125">
        <v>119202.33312920529</v>
      </c>
      <c r="X125">
        <v>119202.33312920529</v>
      </c>
      <c r="Y125">
        <v>119202.33312920529</v>
      </c>
      <c r="Z125">
        <v>119202.33312920529</v>
      </c>
      <c r="AA125">
        <v>119202.33312920529</v>
      </c>
      <c r="AB125">
        <v>119202.33312920529</v>
      </c>
      <c r="AC125">
        <v>119202.33312920529</v>
      </c>
      <c r="AD125">
        <v>119202.33312920529</v>
      </c>
      <c r="AE125">
        <v>119202.33312920529</v>
      </c>
      <c r="AF125">
        <v>119202.33312920529</v>
      </c>
      <c r="AG125">
        <v>119202.33312920529</v>
      </c>
      <c r="AH125">
        <v>119202.33312920529</v>
      </c>
      <c r="AI125">
        <v>119202.33312920529</v>
      </c>
      <c r="AJ125">
        <v>119202.33312920529</v>
      </c>
      <c r="AK125">
        <v>119202.33312920529</v>
      </c>
      <c r="AL125">
        <v>119202.33312920529</v>
      </c>
      <c r="AM125">
        <v>119202.33312920529</v>
      </c>
      <c r="AN125">
        <v>119202.33312920529</v>
      </c>
      <c r="AO125">
        <v>119202.33312920529</v>
      </c>
      <c r="AP125">
        <v>119202.33312920529</v>
      </c>
      <c r="AQ125">
        <v>119202.33312920529</v>
      </c>
      <c r="AR125">
        <v>119202.33312920529</v>
      </c>
      <c r="AS125">
        <v>119202.33312920529</v>
      </c>
      <c r="AT125">
        <v>119202.33312920529</v>
      </c>
      <c r="AU125">
        <v>119202.33312920529</v>
      </c>
      <c r="AV125">
        <v>119202.33312920529</v>
      </c>
      <c r="AW125">
        <v>119202.33312920529</v>
      </c>
      <c r="AX125">
        <v>119202.33312920529</v>
      </c>
    </row>
    <row r="126" spans="1:50" x14ac:dyDescent="0.2">
      <c r="B126" s="122" t="s">
        <v>59</v>
      </c>
      <c r="C126">
        <v>252338.07737997081</v>
      </c>
      <c r="D126">
        <v>252338.07737997081</v>
      </c>
      <c r="E126">
        <v>252338.07737997081</v>
      </c>
      <c r="F126">
        <v>252338.07737997081</v>
      </c>
      <c r="G126">
        <v>252338.07737997081</v>
      </c>
      <c r="H126">
        <v>252338.07737997081</v>
      </c>
      <c r="I126">
        <v>252338.07737997081</v>
      </c>
      <c r="J126">
        <v>252338.07737997081</v>
      </c>
      <c r="K126">
        <v>252338.07737997081</v>
      </c>
      <c r="L126">
        <v>252338.07737997081</v>
      </c>
      <c r="M126">
        <v>252338.07737997081</v>
      </c>
      <c r="N126">
        <v>252338.07737997081</v>
      </c>
      <c r="O126">
        <v>252338.07737997081</v>
      </c>
      <c r="P126">
        <v>252338.07737997081</v>
      </c>
      <c r="Q126">
        <v>252338.07737997081</v>
      </c>
      <c r="R126">
        <v>252338.07737997081</v>
      </c>
      <c r="S126">
        <v>252338.07737997081</v>
      </c>
      <c r="T126">
        <v>252338.07737997081</v>
      </c>
      <c r="U126">
        <v>252338.07737997081</v>
      </c>
      <c r="V126">
        <v>252338.07737997081</v>
      </c>
      <c r="W126">
        <v>252338.07737997081</v>
      </c>
      <c r="X126">
        <v>252338.07737997081</v>
      </c>
      <c r="Y126">
        <v>252338.07737997081</v>
      </c>
      <c r="Z126">
        <v>252338.07737997081</v>
      </c>
      <c r="AA126">
        <v>252338.07737997081</v>
      </c>
      <c r="AB126">
        <v>252338.07737997081</v>
      </c>
      <c r="AC126">
        <v>252338.07737997081</v>
      </c>
      <c r="AD126">
        <v>252338.07737997081</v>
      </c>
      <c r="AE126">
        <v>252338.07737997081</v>
      </c>
      <c r="AF126">
        <v>252338.07737997081</v>
      </c>
      <c r="AG126">
        <v>252338.07737997081</v>
      </c>
      <c r="AH126">
        <v>252338.07737997081</v>
      </c>
      <c r="AI126">
        <v>252338.07737997081</v>
      </c>
      <c r="AJ126">
        <v>252338.07737997081</v>
      </c>
      <c r="AK126">
        <v>252338.07737997081</v>
      </c>
      <c r="AL126">
        <v>252338.07737997081</v>
      </c>
      <c r="AM126">
        <v>252338.07737997081</v>
      </c>
      <c r="AN126">
        <v>252338.07737997081</v>
      </c>
      <c r="AO126">
        <v>252338.07737997081</v>
      </c>
      <c r="AP126">
        <v>252338.07737997081</v>
      </c>
      <c r="AQ126">
        <v>252338.07737997081</v>
      </c>
      <c r="AR126">
        <v>252338.07737997081</v>
      </c>
      <c r="AS126">
        <v>252338.07737997081</v>
      </c>
      <c r="AT126">
        <v>252338.07737997081</v>
      </c>
      <c r="AU126">
        <v>252338.07737997081</v>
      </c>
      <c r="AV126">
        <v>252338.07737997081</v>
      </c>
      <c r="AW126">
        <v>252338.07737997081</v>
      </c>
      <c r="AX126">
        <v>252338.07737997081</v>
      </c>
    </row>
    <row r="127" spans="1:50" x14ac:dyDescent="0.2">
      <c r="B127" t="s">
        <v>278</v>
      </c>
      <c r="C127" s="122">
        <f>SUM(C$122:C$126)</f>
        <v>457037.06576329406</v>
      </c>
      <c r="D127" s="122">
        <f t="shared" ref="D127:AX127" si="9">SUM(D$122:D$126)</f>
        <v>457037.06576329406</v>
      </c>
      <c r="E127" s="122">
        <f t="shared" si="9"/>
        <v>457037.06576329406</v>
      </c>
      <c r="F127" s="122">
        <f t="shared" si="9"/>
        <v>457037.06576329406</v>
      </c>
      <c r="G127" s="122">
        <f t="shared" si="9"/>
        <v>457037.06576329406</v>
      </c>
      <c r="H127" s="122">
        <f t="shared" si="9"/>
        <v>457037.06576329406</v>
      </c>
      <c r="I127" s="122">
        <f t="shared" si="9"/>
        <v>457037.06576329406</v>
      </c>
      <c r="J127" s="122">
        <f t="shared" si="9"/>
        <v>457037.06576329406</v>
      </c>
      <c r="K127" s="122">
        <f t="shared" si="9"/>
        <v>457037.06576329406</v>
      </c>
      <c r="L127" s="122">
        <f t="shared" si="9"/>
        <v>457037.06576329406</v>
      </c>
      <c r="M127" s="122">
        <f t="shared" si="9"/>
        <v>457037.06576329406</v>
      </c>
      <c r="N127" s="122">
        <f t="shared" si="9"/>
        <v>457037.06576329406</v>
      </c>
      <c r="O127" s="122">
        <f t="shared" si="9"/>
        <v>457037.06576329406</v>
      </c>
      <c r="P127" s="122">
        <f t="shared" si="9"/>
        <v>457037.06576329406</v>
      </c>
      <c r="Q127" s="122">
        <f t="shared" si="9"/>
        <v>457037.06576329406</v>
      </c>
      <c r="R127" s="122">
        <f t="shared" si="9"/>
        <v>457037.06576329406</v>
      </c>
      <c r="S127" s="122">
        <f t="shared" si="9"/>
        <v>457037.06576329406</v>
      </c>
      <c r="T127" s="122">
        <f t="shared" si="9"/>
        <v>457037.06576329406</v>
      </c>
      <c r="U127" s="122">
        <f t="shared" si="9"/>
        <v>457037.06576329406</v>
      </c>
      <c r="V127" s="122">
        <f t="shared" si="9"/>
        <v>457037.06576329406</v>
      </c>
      <c r="W127" s="122">
        <f t="shared" si="9"/>
        <v>457037.06576329406</v>
      </c>
      <c r="X127" s="122">
        <f t="shared" si="9"/>
        <v>457037.06576329406</v>
      </c>
      <c r="Y127" s="122">
        <f t="shared" si="9"/>
        <v>457037.06576329406</v>
      </c>
      <c r="Z127" s="122">
        <f t="shared" si="9"/>
        <v>457037.06576329406</v>
      </c>
      <c r="AA127" s="122">
        <f t="shared" si="9"/>
        <v>457037.06576329406</v>
      </c>
      <c r="AB127" s="122">
        <f t="shared" si="9"/>
        <v>457037.06576329406</v>
      </c>
      <c r="AC127" s="122">
        <f t="shared" si="9"/>
        <v>457037.06576329406</v>
      </c>
      <c r="AD127" s="122">
        <f t="shared" si="9"/>
        <v>457037.06576329406</v>
      </c>
      <c r="AE127" s="122">
        <f t="shared" si="9"/>
        <v>457037.06576329406</v>
      </c>
      <c r="AF127" s="122">
        <f t="shared" si="9"/>
        <v>457037.06576329406</v>
      </c>
      <c r="AG127" s="122">
        <f t="shared" si="9"/>
        <v>457037.06576329406</v>
      </c>
      <c r="AH127" s="122">
        <f t="shared" si="9"/>
        <v>457037.06576329406</v>
      </c>
      <c r="AI127" s="122">
        <f t="shared" si="9"/>
        <v>457037.06576329406</v>
      </c>
      <c r="AJ127" s="122">
        <f t="shared" si="9"/>
        <v>457037.06576329406</v>
      </c>
      <c r="AK127" s="122">
        <f t="shared" si="9"/>
        <v>457037.06576329406</v>
      </c>
      <c r="AL127" s="122">
        <f t="shared" si="9"/>
        <v>457037.06576329406</v>
      </c>
      <c r="AM127" s="122">
        <f t="shared" si="9"/>
        <v>457037.06576329406</v>
      </c>
      <c r="AN127" s="122">
        <f t="shared" si="9"/>
        <v>457037.06576329406</v>
      </c>
      <c r="AO127" s="122">
        <f t="shared" si="9"/>
        <v>457037.06576329406</v>
      </c>
      <c r="AP127" s="122">
        <f t="shared" si="9"/>
        <v>457037.06576329406</v>
      </c>
      <c r="AQ127" s="122">
        <f t="shared" si="9"/>
        <v>457037.06576329406</v>
      </c>
      <c r="AR127" s="122">
        <f t="shared" si="9"/>
        <v>457037.06576329406</v>
      </c>
      <c r="AS127" s="122">
        <f t="shared" si="9"/>
        <v>457037.06576329406</v>
      </c>
      <c r="AT127" s="122">
        <f t="shared" si="9"/>
        <v>457037.06576329406</v>
      </c>
      <c r="AU127" s="122">
        <f t="shared" si="9"/>
        <v>457037.06576329406</v>
      </c>
      <c r="AV127" s="122">
        <f t="shared" si="9"/>
        <v>457037.06576329406</v>
      </c>
      <c r="AW127" s="122">
        <f t="shared" si="9"/>
        <v>457037.06576329406</v>
      </c>
      <c r="AX127" s="122">
        <f t="shared" si="9"/>
        <v>457037.06576329406</v>
      </c>
    </row>
    <row r="128" spans="1:50" x14ac:dyDescent="0.2">
      <c r="A128" s="122" t="s">
        <v>109</v>
      </c>
      <c r="B128" s="122" t="s">
        <v>5</v>
      </c>
      <c r="C128">
        <v>9171.755278594801</v>
      </c>
      <c r="D128">
        <v>9171.755278594801</v>
      </c>
      <c r="E128">
        <v>9171.755278594801</v>
      </c>
      <c r="F128">
        <v>9171.755278594801</v>
      </c>
      <c r="G128">
        <v>9171.755278594801</v>
      </c>
      <c r="H128">
        <v>9171.755278594801</v>
      </c>
      <c r="I128">
        <v>9171.755278594801</v>
      </c>
      <c r="J128">
        <v>9171.755278594801</v>
      </c>
      <c r="K128">
        <v>9171.755278594801</v>
      </c>
      <c r="L128">
        <v>9171.755278594801</v>
      </c>
      <c r="M128">
        <v>9171.755278594801</v>
      </c>
      <c r="N128">
        <v>9171.755278594801</v>
      </c>
      <c r="O128">
        <v>9171.755278594801</v>
      </c>
      <c r="P128">
        <v>9171.755278594801</v>
      </c>
      <c r="Q128">
        <v>9171.755278594801</v>
      </c>
      <c r="R128">
        <v>9171.755278594801</v>
      </c>
      <c r="S128">
        <v>9171.755278594801</v>
      </c>
      <c r="T128">
        <v>9171.755278594801</v>
      </c>
      <c r="U128">
        <v>9171.755278594801</v>
      </c>
      <c r="V128">
        <v>9171.755278594801</v>
      </c>
      <c r="W128">
        <v>9171.755278594801</v>
      </c>
      <c r="X128">
        <v>9171.755278594801</v>
      </c>
      <c r="Y128">
        <v>9171.755278594801</v>
      </c>
      <c r="Z128">
        <v>9171.755278594801</v>
      </c>
      <c r="AA128">
        <v>9171.755278594801</v>
      </c>
      <c r="AB128">
        <v>9171.755278594801</v>
      </c>
      <c r="AC128">
        <v>9171.755278594801</v>
      </c>
      <c r="AD128">
        <v>9171.755278594801</v>
      </c>
      <c r="AE128">
        <v>9171.755278594801</v>
      </c>
      <c r="AF128">
        <v>9171.755278594801</v>
      </c>
      <c r="AG128">
        <v>9171.755278594801</v>
      </c>
      <c r="AH128">
        <v>9171.755278594801</v>
      </c>
      <c r="AI128">
        <v>9171.755278594801</v>
      </c>
      <c r="AJ128">
        <v>9171.755278594801</v>
      </c>
      <c r="AK128">
        <v>9171.755278594801</v>
      </c>
      <c r="AL128">
        <v>9171.755278594801</v>
      </c>
      <c r="AM128">
        <v>9171.755278594801</v>
      </c>
      <c r="AN128">
        <v>9171.755278594801</v>
      </c>
      <c r="AO128">
        <v>9171.755278594801</v>
      </c>
      <c r="AP128">
        <v>9171.755278594801</v>
      </c>
      <c r="AQ128">
        <v>9171.755278594801</v>
      </c>
      <c r="AR128">
        <v>9171.755278594801</v>
      </c>
      <c r="AS128">
        <v>9171.755278594801</v>
      </c>
      <c r="AT128">
        <v>9171.755278594801</v>
      </c>
      <c r="AU128">
        <v>9171.755278594801</v>
      </c>
      <c r="AV128">
        <v>9171.755278594801</v>
      </c>
      <c r="AW128">
        <v>9171.755278594801</v>
      </c>
      <c r="AX128">
        <v>9171.755278594801</v>
      </c>
    </row>
    <row r="129" spans="2:50" x14ac:dyDescent="0.2">
      <c r="B129" s="122" t="s">
        <v>10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</row>
    <row r="130" spans="2:50" x14ac:dyDescent="0.2">
      <c r="B130" s="122" t="s">
        <v>12</v>
      </c>
      <c r="C130">
        <v>62792.675024035743</v>
      </c>
      <c r="D130">
        <v>62792.675024035743</v>
      </c>
      <c r="E130">
        <v>62792.675024035743</v>
      </c>
      <c r="F130">
        <v>62792.675024035743</v>
      </c>
      <c r="G130">
        <v>62792.675024035743</v>
      </c>
      <c r="H130">
        <v>62792.675024035743</v>
      </c>
      <c r="I130">
        <v>62792.675024035743</v>
      </c>
      <c r="J130">
        <v>62792.675024035743</v>
      </c>
      <c r="K130">
        <v>62792.675024035743</v>
      </c>
      <c r="L130">
        <v>62792.675024035743</v>
      </c>
      <c r="M130">
        <v>62792.675024035743</v>
      </c>
      <c r="N130">
        <v>62792.675024035743</v>
      </c>
      <c r="O130">
        <v>62792.675024035743</v>
      </c>
      <c r="P130">
        <v>62792.675024035743</v>
      </c>
      <c r="Q130">
        <v>62792.675024035743</v>
      </c>
      <c r="R130">
        <v>62792.675024035743</v>
      </c>
      <c r="S130">
        <v>62792.675024035743</v>
      </c>
      <c r="T130">
        <v>62792.675024035743</v>
      </c>
      <c r="U130">
        <v>62792.675024035743</v>
      </c>
      <c r="V130">
        <v>62792.675024035743</v>
      </c>
      <c r="W130">
        <v>62792.675024035743</v>
      </c>
      <c r="X130">
        <v>62792.675024035743</v>
      </c>
      <c r="Y130">
        <v>62792.675024035743</v>
      </c>
      <c r="Z130">
        <v>62792.675024035743</v>
      </c>
      <c r="AA130">
        <v>62792.675024035743</v>
      </c>
      <c r="AB130">
        <v>62792.675024035743</v>
      </c>
      <c r="AC130">
        <v>62792.675024035743</v>
      </c>
      <c r="AD130">
        <v>62792.675024035743</v>
      </c>
      <c r="AE130">
        <v>62792.675024035743</v>
      </c>
      <c r="AF130">
        <v>62792.675024035743</v>
      </c>
      <c r="AG130">
        <v>62792.675024035743</v>
      </c>
      <c r="AH130">
        <v>62792.675024035743</v>
      </c>
      <c r="AI130">
        <v>62792.675024035743</v>
      </c>
      <c r="AJ130">
        <v>62792.675024035743</v>
      </c>
      <c r="AK130">
        <v>62792.675024035743</v>
      </c>
      <c r="AL130">
        <v>62792.675024035743</v>
      </c>
      <c r="AM130">
        <v>62792.675024035743</v>
      </c>
      <c r="AN130">
        <v>62792.675024035743</v>
      </c>
      <c r="AO130">
        <v>62792.675024035743</v>
      </c>
      <c r="AP130">
        <v>62792.675024035743</v>
      </c>
      <c r="AQ130">
        <v>62792.675024035743</v>
      </c>
      <c r="AR130">
        <v>62792.675024035743</v>
      </c>
      <c r="AS130">
        <v>62792.675024035743</v>
      </c>
      <c r="AT130">
        <v>62792.675024035743</v>
      </c>
      <c r="AU130">
        <v>62792.675024035743</v>
      </c>
      <c r="AV130">
        <v>62792.675024035743</v>
      </c>
      <c r="AW130">
        <v>62792.675024035743</v>
      </c>
      <c r="AX130">
        <v>62792.675024035743</v>
      </c>
    </row>
    <row r="131" spans="2:50" x14ac:dyDescent="0.2">
      <c r="B131" s="122" t="s">
        <v>22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</row>
    <row r="132" spans="2:50" x14ac:dyDescent="0.2">
      <c r="B132" s="122" t="s">
        <v>59</v>
      </c>
      <c r="C132">
        <v>290467.43591739744</v>
      </c>
      <c r="D132">
        <v>290467.43591739744</v>
      </c>
      <c r="E132">
        <v>290467.43591739744</v>
      </c>
      <c r="F132">
        <v>290467.43591739744</v>
      </c>
      <c r="G132">
        <v>290467.43591739744</v>
      </c>
      <c r="H132">
        <v>290467.43591739744</v>
      </c>
      <c r="I132">
        <v>290467.43591739744</v>
      </c>
      <c r="J132">
        <v>290467.43591739744</v>
      </c>
      <c r="K132">
        <v>290467.43591739744</v>
      </c>
      <c r="L132">
        <v>290467.43591739744</v>
      </c>
      <c r="M132">
        <v>290467.43591739744</v>
      </c>
      <c r="N132">
        <v>290467.43591739744</v>
      </c>
      <c r="O132">
        <v>290467.43591739744</v>
      </c>
      <c r="P132">
        <v>290467.43591739744</v>
      </c>
      <c r="Q132">
        <v>290467.43591739744</v>
      </c>
      <c r="R132">
        <v>290467.43591739744</v>
      </c>
      <c r="S132">
        <v>290467.43591739744</v>
      </c>
      <c r="T132">
        <v>290467.43591739744</v>
      </c>
      <c r="U132">
        <v>290467.43591739744</v>
      </c>
      <c r="V132">
        <v>290467.43591739744</v>
      </c>
      <c r="W132">
        <v>290467.43591739744</v>
      </c>
      <c r="X132">
        <v>290467.43591739744</v>
      </c>
      <c r="Y132">
        <v>290467.43591739744</v>
      </c>
      <c r="Z132">
        <v>290467.43591739744</v>
      </c>
      <c r="AA132">
        <v>290467.43591739744</v>
      </c>
      <c r="AB132">
        <v>290467.43591739744</v>
      </c>
      <c r="AC132">
        <v>290467.43591739744</v>
      </c>
      <c r="AD132">
        <v>290467.43591739744</v>
      </c>
      <c r="AE132">
        <v>290467.43591739744</v>
      </c>
      <c r="AF132">
        <v>290467.43591739744</v>
      </c>
      <c r="AG132">
        <v>290467.43591739744</v>
      </c>
      <c r="AH132">
        <v>290467.43591739744</v>
      </c>
      <c r="AI132">
        <v>290467.43591739744</v>
      </c>
      <c r="AJ132">
        <v>290467.43591739744</v>
      </c>
      <c r="AK132">
        <v>290467.43591739744</v>
      </c>
      <c r="AL132">
        <v>290467.43591739744</v>
      </c>
      <c r="AM132">
        <v>290467.43591739744</v>
      </c>
      <c r="AN132">
        <v>290467.43591739744</v>
      </c>
      <c r="AO132">
        <v>290467.43591739744</v>
      </c>
      <c r="AP132">
        <v>290467.43591739744</v>
      </c>
      <c r="AQ132">
        <v>290467.43591739744</v>
      </c>
      <c r="AR132">
        <v>290467.43591739744</v>
      </c>
      <c r="AS132">
        <v>290467.43591739744</v>
      </c>
      <c r="AT132">
        <v>290467.43591739744</v>
      </c>
      <c r="AU132">
        <v>290467.43591739744</v>
      </c>
      <c r="AV132">
        <v>290467.43591739744</v>
      </c>
      <c r="AW132">
        <v>290467.43591739744</v>
      </c>
      <c r="AX132">
        <v>290467.43591739744</v>
      </c>
    </row>
    <row r="133" spans="2:50" x14ac:dyDescent="0.2">
      <c r="B133" t="s">
        <v>278</v>
      </c>
      <c r="C133" s="122">
        <f>SUM(C$128:C$132)</f>
        <v>362431.86622002797</v>
      </c>
      <c r="D133" s="122">
        <f t="shared" ref="D133:AX133" si="10">SUM(D$128:D$132)</f>
        <v>362431.86622002797</v>
      </c>
      <c r="E133" s="122">
        <f t="shared" si="10"/>
        <v>362431.86622002797</v>
      </c>
      <c r="F133" s="122">
        <f t="shared" si="10"/>
        <v>362431.86622002797</v>
      </c>
      <c r="G133" s="122">
        <f t="shared" si="10"/>
        <v>362431.86622002797</v>
      </c>
      <c r="H133" s="122">
        <f t="shared" si="10"/>
        <v>362431.86622002797</v>
      </c>
      <c r="I133" s="122">
        <f t="shared" si="10"/>
        <v>362431.86622002797</v>
      </c>
      <c r="J133" s="122">
        <f t="shared" si="10"/>
        <v>362431.86622002797</v>
      </c>
      <c r="K133" s="122">
        <f t="shared" si="10"/>
        <v>362431.86622002797</v>
      </c>
      <c r="L133" s="122">
        <f t="shared" si="10"/>
        <v>362431.86622002797</v>
      </c>
      <c r="M133" s="122">
        <f t="shared" si="10"/>
        <v>362431.86622002797</v>
      </c>
      <c r="N133" s="122">
        <f t="shared" si="10"/>
        <v>362431.86622002797</v>
      </c>
      <c r="O133" s="122">
        <f t="shared" si="10"/>
        <v>362431.86622002797</v>
      </c>
      <c r="P133" s="122">
        <f t="shared" si="10"/>
        <v>362431.86622002797</v>
      </c>
      <c r="Q133" s="122">
        <f t="shared" si="10"/>
        <v>362431.86622002797</v>
      </c>
      <c r="R133" s="122">
        <f t="shared" si="10"/>
        <v>362431.86622002797</v>
      </c>
      <c r="S133" s="122">
        <f t="shared" si="10"/>
        <v>362431.86622002797</v>
      </c>
      <c r="T133" s="122">
        <f t="shared" si="10"/>
        <v>362431.86622002797</v>
      </c>
      <c r="U133" s="122">
        <f t="shared" si="10"/>
        <v>362431.86622002797</v>
      </c>
      <c r="V133" s="122">
        <f t="shared" si="10"/>
        <v>362431.86622002797</v>
      </c>
      <c r="W133" s="122">
        <f t="shared" si="10"/>
        <v>362431.86622002797</v>
      </c>
      <c r="X133" s="122">
        <f t="shared" si="10"/>
        <v>362431.86622002797</v>
      </c>
      <c r="Y133" s="122">
        <f t="shared" si="10"/>
        <v>362431.86622002797</v>
      </c>
      <c r="Z133" s="122">
        <f t="shared" si="10"/>
        <v>362431.86622002797</v>
      </c>
      <c r="AA133" s="122">
        <f t="shared" si="10"/>
        <v>362431.86622002797</v>
      </c>
      <c r="AB133" s="122">
        <f t="shared" si="10"/>
        <v>362431.86622002797</v>
      </c>
      <c r="AC133" s="122">
        <f t="shared" si="10"/>
        <v>362431.86622002797</v>
      </c>
      <c r="AD133" s="122">
        <f t="shared" si="10"/>
        <v>362431.86622002797</v>
      </c>
      <c r="AE133" s="122">
        <f t="shared" si="10"/>
        <v>362431.86622002797</v>
      </c>
      <c r="AF133" s="122">
        <f t="shared" si="10"/>
        <v>362431.86622002797</v>
      </c>
      <c r="AG133" s="122">
        <f t="shared" si="10"/>
        <v>362431.86622002797</v>
      </c>
      <c r="AH133" s="122">
        <f t="shared" si="10"/>
        <v>362431.86622002797</v>
      </c>
      <c r="AI133" s="122">
        <f t="shared" si="10"/>
        <v>362431.86622002797</v>
      </c>
      <c r="AJ133" s="122">
        <f t="shared" si="10"/>
        <v>362431.86622002797</v>
      </c>
      <c r="AK133" s="122">
        <f t="shared" si="10"/>
        <v>362431.86622002797</v>
      </c>
      <c r="AL133" s="122">
        <f t="shared" si="10"/>
        <v>362431.86622002797</v>
      </c>
      <c r="AM133" s="122">
        <f t="shared" si="10"/>
        <v>362431.86622002797</v>
      </c>
      <c r="AN133" s="122">
        <f t="shared" si="10"/>
        <v>362431.86622002797</v>
      </c>
      <c r="AO133" s="122">
        <f t="shared" si="10"/>
        <v>362431.86622002797</v>
      </c>
      <c r="AP133" s="122">
        <f t="shared" si="10"/>
        <v>362431.86622002797</v>
      </c>
      <c r="AQ133" s="122">
        <f t="shared" si="10"/>
        <v>362431.86622002797</v>
      </c>
      <c r="AR133" s="122">
        <f t="shared" si="10"/>
        <v>362431.86622002797</v>
      </c>
      <c r="AS133" s="122">
        <f t="shared" si="10"/>
        <v>362431.86622002797</v>
      </c>
      <c r="AT133" s="122">
        <f t="shared" si="10"/>
        <v>362431.86622002797</v>
      </c>
      <c r="AU133" s="122">
        <f t="shared" si="10"/>
        <v>362431.86622002797</v>
      </c>
      <c r="AV133" s="122">
        <f t="shared" si="10"/>
        <v>362431.86622002797</v>
      </c>
      <c r="AW133" s="122">
        <f t="shared" si="10"/>
        <v>362431.86622002797</v>
      </c>
      <c r="AX133" s="122">
        <f t="shared" si="10"/>
        <v>362431.86622002797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customWidth="1"/>
    <col min="2" max="2" width="17.7109375" customWidth="1"/>
    <col min="52" max="52" width="10.7109375" customWidth="1"/>
  </cols>
  <sheetData>
    <row r="1" spans="1:52" x14ac:dyDescent="0.2">
      <c r="A1" s="1" t="s">
        <v>118</v>
      </c>
    </row>
    <row r="2" spans="1:52" x14ac:dyDescent="0.2">
      <c r="A2" t="s">
        <v>303</v>
      </c>
      <c r="B2" s="124" t="s">
        <v>5</v>
      </c>
      <c r="E2" s="127"/>
    </row>
    <row r="3" spans="1:52" x14ac:dyDescent="0.2">
      <c r="A3" t="s">
        <v>286</v>
      </c>
      <c r="B3" s="124">
        <v>345</v>
      </c>
      <c r="E3" s="127"/>
    </row>
    <row r="4" spans="1:52" x14ac:dyDescent="0.2">
      <c r="A4" s="1"/>
      <c r="C4" s="9" t="s">
        <v>287</v>
      </c>
    </row>
    <row r="5" spans="1:52" x14ac:dyDescent="0.2">
      <c r="B5" s="123"/>
      <c r="C5" s="128">
        <v>0</v>
      </c>
      <c r="D5" s="128">
        <v>1</v>
      </c>
      <c r="E5" s="128">
        <v>2</v>
      </c>
      <c r="F5" s="128">
        <v>3</v>
      </c>
      <c r="G5" s="128">
        <v>4</v>
      </c>
      <c r="H5" s="128">
        <v>5</v>
      </c>
      <c r="I5" s="128">
        <v>6</v>
      </c>
      <c r="J5" s="128">
        <v>7</v>
      </c>
      <c r="K5" s="128">
        <v>8</v>
      </c>
      <c r="L5" s="128">
        <v>9</v>
      </c>
      <c r="M5" s="128">
        <v>10</v>
      </c>
      <c r="N5" s="128">
        <v>11</v>
      </c>
      <c r="O5" s="128">
        <v>12</v>
      </c>
      <c r="P5" s="128">
        <v>13</v>
      </c>
      <c r="Q5" s="128">
        <v>14</v>
      </c>
      <c r="R5" s="128">
        <v>15</v>
      </c>
      <c r="S5" s="128">
        <v>16</v>
      </c>
      <c r="T5" s="128">
        <v>17</v>
      </c>
      <c r="U5" s="128">
        <v>18</v>
      </c>
      <c r="V5" s="128">
        <v>19</v>
      </c>
      <c r="W5" s="128">
        <v>20</v>
      </c>
      <c r="X5" s="128">
        <v>21</v>
      </c>
      <c r="Y5" s="128">
        <v>22</v>
      </c>
      <c r="Z5" s="128">
        <v>23</v>
      </c>
      <c r="AA5" s="128">
        <v>24</v>
      </c>
      <c r="AB5" s="128">
        <v>25</v>
      </c>
      <c r="AC5" s="128">
        <v>26</v>
      </c>
      <c r="AD5" s="128">
        <v>27</v>
      </c>
      <c r="AE5" s="128">
        <v>28</v>
      </c>
      <c r="AF5" s="128">
        <v>29</v>
      </c>
      <c r="AG5" s="128">
        <v>30</v>
      </c>
      <c r="AH5" s="128">
        <v>31</v>
      </c>
      <c r="AI5" s="128">
        <v>32</v>
      </c>
      <c r="AJ5" s="128">
        <v>33</v>
      </c>
      <c r="AK5" s="128">
        <v>34</v>
      </c>
      <c r="AL5" s="128">
        <v>35</v>
      </c>
      <c r="AM5" s="128">
        <v>36</v>
      </c>
      <c r="AN5" s="128">
        <v>37</v>
      </c>
      <c r="AO5" s="128">
        <v>38</v>
      </c>
      <c r="AP5" s="128">
        <v>39</v>
      </c>
      <c r="AQ5" s="128">
        <v>40</v>
      </c>
      <c r="AR5" s="128">
        <v>41</v>
      </c>
      <c r="AS5" s="128">
        <v>42</v>
      </c>
      <c r="AT5" s="128">
        <v>43</v>
      </c>
      <c r="AU5" s="128">
        <v>44</v>
      </c>
      <c r="AV5" s="128">
        <v>45</v>
      </c>
      <c r="AW5" s="128">
        <v>46</v>
      </c>
      <c r="AX5" s="128">
        <v>47</v>
      </c>
      <c r="AY5" s="128">
        <v>48</v>
      </c>
    </row>
    <row r="6" spans="1:52" x14ac:dyDescent="0.2">
      <c r="A6" s="1" t="s">
        <v>304</v>
      </c>
      <c r="B6" s="130"/>
      <c r="C6" s="129" t="s">
        <v>288</v>
      </c>
      <c r="D6" s="128" t="s">
        <v>289</v>
      </c>
      <c r="E6" s="128" t="s">
        <v>289</v>
      </c>
      <c r="F6" s="128" t="s">
        <v>289</v>
      </c>
      <c r="G6" s="128" t="s">
        <v>289</v>
      </c>
      <c r="H6" s="128" t="s">
        <v>289</v>
      </c>
      <c r="I6" s="128" t="s">
        <v>289</v>
      </c>
      <c r="J6" s="128" t="s">
        <v>289</v>
      </c>
      <c r="K6" s="128" t="s">
        <v>289</v>
      </c>
      <c r="L6" s="128" t="s">
        <v>289</v>
      </c>
      <c r="M6" s="128" t="s">
        <v>289</v>
      </c>
      <c r="N6" s="128" t="s">
        <v>289</v>
      </c>
      <c r="O6" s="128" t="s">
        <v>289</v>
      </c>
      <c r="P6" s="128" t="s">
        <v>289</v>
      </c>
      <c r="Q6" s="128" t="s">
        <v>289</v>
      </c>
      <c r="R6" s="128" t="s">
        <v>289</v>
      </c>
      <c r="S6" s="128" t="s">
        <v>289</v>
      </c>
      <c r="T6" s="128" t="s">
        <v>289</v>
      </c>
      <c r="U6" s="128" t="s">
        <v>289</v>
      </c>
      <c r="V6" s="128" t="s">
        <v>289</v>
      </c>
      <c r="W6" s="128" t="s">
        <v>289</v>
      </c>
      <c r="X6" s="128" t="s">
        <v>289</v>
      </c>
      <c r="Y6" s="128" t="s">
        <v>289</v>
      </c>
      <c r="Z6" s="128" t="s">
        <v>289</v>
      </c>
      <c r="AA6" s="128" t="s">
        <v>289</v>
      </c>
      <c r="AB6" s="128" t="s">
        <v>289</v>
      </c>
      <c r="AC6" s="128" t="s">
        <v>289</v>
      </c>
      <c r="AD6" s="128" t="s">
        <v>289</v>
      </c>
      <c r="AE6" s="128" t="s">
        <v>289</v>
      </c>
      <c r="AF6" s="128" t="s">
        <v>289</v>
      </c>
      <c r="AG6" s="128" t="s">
        <v>289</v>
      </c>
      <c r="AH6" s="128" t="s">
        <v>289</v>
      </c>
      <c r="AI6" s="128" t="s">
        <v>289</v>
      </c>
      <c r="AJ6" s="128" t="s">
        <v>289</v>
      </c>
      <c r="AK6" s="128" t="s">
        <v>289</v>
      </c>
      <c r="AL6" s="128" t="s">
        <v>289</v>
      </c>
      <c r="AM6" s="128" t="s">
        <v>289</v>
      </c>
      <c r="AN6" s="128" t="s">
        <v>289</v>
      </c>
      <c r="AO6" s="128" t="s">
        <v>289</v>
      </c>
      <c r="AP6" s="128" t="s">
        <v>289</v>
      </c>
      <c r="AQ6" s="128" t="s">
        <v>289</v>
      </c>
      <c r="AR6" s="128" t="s">
        <v>289</v>
      </c>
      <c r="AS6" s="128" t="s">
        <v>289</v>
      </c>
      <c r="AT6" s="128" t="s">
        <v>289</v>
      </c>
      <c r="AU6" s="128" t="s">
        <v>289</v>
      </c>
      <c r="AV6" s="128" t="s">
        <v>289</v>
      </c>
      <c r="AW6" s="128" t="s">
        <v>289</v>
      </c>
      <c r="AX6" s="128" t="s">
        <v>289</v>
      </c>
      <c r="AY6" s="9" t="s">
        <v>290</v>
      </c>
      <c r="AZ6" s="158" t="s">
        <v>150</v>
      </c>
    </row>
    <row r="7" spans="1:52" x14ac:dyDescent="0.2">
      <c r="A7" s="131" t="s">
        <v>125</v>
      </c>
      <c r="B7" s="159">
        <v>1</v>
      </c>
      <c r="C7" s="160" t="s">
        <v>293</v>
      </c>
      <c r="D7" s="160">
        <v>423.3790373238819</v>
      </c>
      <c r="E7" s="160">
        <v>423.3790373238819</v>
      </c>
      <c r="F7" s="160">
        <v>423.3790373238819</v>
      </c>
      <c r="G7" s="160">
        <v>423.3790373238819</v>
      </c>
      <c r="H7" s="160">
        <v>423.37903732388207</v>
      </c>
      <c r="I7" s="160">
        <v>423.37903732388207</v>
      </c>
      <c r="J7" s="160">
        <v>423.37903732388207</v>
      </c>
      <c r="K7" s="160">
        <v>423.37903732388207</v>
      </c>
      <c r="L7" s="160">
        <v>423.37903732388207</v>
      </c>
      <c r="M7" s="160">
        <v>423.37903732388207</v>
      </c>
      <c r="N7" s="160">
        <v>423.37903732388207</v>
      </c>
      <c r="O7" s="160">
        <v>423.37903732388207</v>
      </c>
      <c r="P7" s="160">
        <v>423.37903732388207</v>
      </c>
      <c r="Q7" s="160">
        <v>423.37903732388207</v>
      </c>
      <c r="R7" s="160">
        <v>423.37903732388207</v>
      </c>
      <c r="S7" s="160">
        <v>423.37903732388207</v>
      </c>
      <c r="T7" s="160">
        <v>423.37903732388207</v>
      </c>
      <c r="U7" s="160">
        <v>423.37903732388207</v>
      </c>
      <c r="V7" s="160">
        <v>423.37903732388207</v>
      </c>
      <c r="W7" s="160">
        <v>423.37903732388207</v>
      </c>
      <c r="X7" s="160">
        <v>423.37903732388207</v>
      </c>
      <c r="Y7" s="160">
        <v>423.37903732388207</v>
      </c>
      <c r="Z7" s="160">
        <v>423.37903732388207</v>
      </c>
      <c r="AA7" s="160">
        <v>423.37903732388207</v>
      </c>
      <c r="AB7" s="160">
        <v>423.37903732388207</v>
      </c>
      <c r="AC7" s="160">
        <v>423.37903732388207</v>
      </c>
      <c r="AD7" s="160">
        <v>423.37903732388207</v>
      </c>
      <c r="AE7" s="160">
        <v>423.37903732388207</v>
      </c>
      <c r="AF7" s="160">
        <v>423.37903732388207</v>
      </c>
      <c r="AG7" s="160">
        <v>423.37903732388207</v>
      </c>
      <c r="AH7" s="160">
        <v>423.37903732388207</v>
      </c>
      <c r="AI7" s="160">
        <v>423.37903732388207</v>
      </c>
      <c r="AJ7" s="160">
        <v>423.37903732388207</v>
      </c>
      <c r="AK7" s="160">
        <v>423.37903732388207</v>
      </c>
      <c r="AL7" s="160">
        <v>423.37903732388207</v>
      </c>
      <c r="AM7" s="160">
        <v>423.37903732388207</v>
      </c>
      <c r="AN7" s="160">
        <v>423.37903732388207</v>
      </c>
      <c r="AO7" s="160">
        <v>423.37903732388207</v>
      </c>
      <c r="AP7" s="160">
        <v>423.37903732388207</v>
      </c>
      <c r="AQ7" s="160">
        <v>423.37903732388207</v>
      </c>
      <c r="AR7" s="160">
        <v>423.37903732388207</v>
      </c>
      <c r="AS7" s="160">
        <v>423.37903732388207</v>
      </c>
      <c r="AT7" s="160">
        <v>423.37903732388207</v>
      </c>
      <c r="AU7" s="160">
        <v>423.37903732388207</v>
      </c>
      <c r="AV7" s="160">
        <v>423.37903732388207</v>
      </c>
      <c r="AW7" s="160">
        <v>423.37903732388207</v>
      </c>
      <c r="AX7" s="160">
        <v>423.37903732388207</v>
      </c>
      <c r="AY7" s="160">
        <v>423.37903732388207</v>
      </c>
      <c r="AZ7" s="123"/>
    </row>
    <row r="8" spans="1:52" x14ac:dyDescent="0.2">
      <c r="A8" s="161"/>
      <c r="B8" s="162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3"/>
    </row>
    <row r="9" spans="1:52" x14ac:dyDescent="0.2">
      <c r="A9" s="1" t="s">
        <v>294</v>
      </c>
      <c r="B9" s="164"/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</row>
    <row r="10" spans="1:52" x14ac:dyDescent="0.2">
      <c r="A10" s="165" t="s">
        <v>125</v>
      </c>
      <c r="B10" s="166">
        <v>1</v>
      </c>
      <c r="C10" s="160" t="s">
        <v>293</v>
      </c>
      <c r="D10" s="160">
        <f t="shared" ref="D10:AY10" si="0">MAX(SUM(D$14:D$16)+D$7-$B$3,0)</f>
        <v>78.379037323881903</v>
      </c>
      <c r="E10" s="160">
        <f t="shared" si="0"/>
        <v>78.379037323881903</v>
      </c>
      <c r="F10" s="160">
        <f t="shared" si="0"/>
        <v>78.379037323881903</v>
      </c>
      <c r="G10" s="160">
        <f t="shared" si="0"/>
        <v>78.379037323881903</v>
      </c>
      <c r="H10" s="160">
        <f t="shared" si="0"/>
        <v>78.379037323882073</v>
      </c>
      <c r="I10" s="160">
        <f t="shared" si="0"/>
        <v>78.379037323882073</v>
      </c>
      <c r="J10" s="160">
        <f t="shared" si="0"/>
        <v>78.379037323882073</v>
      </c>
      <c r="K10" s="160">
        <f t="shared" si="0"/>
        <v>78.379037323882073</v>
      </c>
      <c r="L10" s="160">
        <f t="shared" si="0"/>
        <v>78.379037323882073</v>
      </c>
      <c r="M10" s="160">
        <f t="shared" si="0"/>
        <v>78.379037323882073</v>
      </c>
      <c r="N10" s="160">
        <f t="shared" si="0"/>
        <v>78.379037323882073</v>
      </c>
      <c r="O10" s="160">
        <f t="shared" si="0"/>
        <v>78.379037323882073</v>
      </c>
      <c r="P10" s="160">
        <f t="shared" si="0"/>
        <v>78.379037323882073</v>
      </c>
      <c r="Q10" s="160">
        <f t="shared" si="0"/>
        <v>78.379037323882073</v>
      </c>
      <c r="R10" s="160">
        <f t="shared" si="0"/>
        <v>78.379037323882073</v>
      </c>
      <c r="S10" s="160">
        <f t="shared" si="0"/>
        <v>78.379037323882073</v>
      </c>
      <c r="T10" s="160">
        <f t="shared" si="0"/>
        <v>78.379037323882073</v>
      </c>
      <c r="U10" s="160">
        <f t="shared" si="0"/>
        <v>78.379037323882073</v>
      </c>
      <c r="V10" s="160">
        <f t="shared" si="0"/>
        <v>78.379037323882073</v>
      </c>
      <c r="W10" s="160">
        <f t="shared" si="0"/>
        <v>78.379037323882073</v>
      </c>
      <c r="X10" s="160">
        <f t="shared" si="0"/>
        <v>78.379037323882073</v>
      </c>
      <c r="Y10" s="160">
        <f t="shared" si="0"/>
        <v>78.379037323882073</v>
      </c>
      <c r="Z10" s="160">
        <f t="shared" si="0"/>
        <v>78.379037323882073</v>
      </c>
      <c r="AA10" s="160">
        <f t="shared" si="0"/>
        <v>78.379037323882073</v>
      </c>
      <c r="AB10" s="160">
        <f t="shared" si="0"/>
        <v>78.379037323882073</v>
      </c>
      <c r="AC10" s="160">
        <f t="shared" si="0"/>
        <v>78.379037323882073</v>
      </c>
      <c r="AD10" s="160">
        <f t="shared" si="0"/>
        <v>78.379037323882073</v>
      </c>
      <c r="AE10" s="160">
        <f t="shared" si="0"/>
        <v>78.379037323882073</v>
      </c>
      <c r="AF10" s="160">
        <f t="shared" si="0"/>
        <v>78.379037323882073</v>
      </c>
      <c r="AG10" s="160">
        <f t="shared" si="0"/>
        <v>78.379037323882073</v>
      </c>
      <c r="AH10" s="160">
        <f t="shared" si="0"/>
        <v>78.379037323882073</v>
      </c>
      <c r="AI10" s="160">
        <f t="shared" si="0"/>
        <v>78.379037323882073</v>
      </c>
      <c r="AJ10" s="160">
        <f t="shared" si="0"/>
        <v>78.379037323882073</v>
      </c>
      <c r="AK10" s="160">
        <f t="shared" si="0"/>
        <v>78.379037323882073</v>
      </c>
      <c r="AL10" s="160">
        <f t="shared" si="0"/>
        <v>78.379037323882073</v>
      </c>
      <c r="AM10" s="160">
        <f t="shared" si="0"/>
        <v>78.379037323882073</v>
      </c>
      <c r="AN10" s="160">
        <f t="shared" si="0"/>
        <v>78.379037323882073</v>
      </c>
      <c r="AO10" s="160">
        <f t="shared" si="0"/>
        <v>78.379037323882073</v>
      </c>
      <c r="AP10" s="160">
        <f t="shared" si="0"/>
        <v>78.379037323882073</v>
      </c>
      <c r="AQ10" s="160">
        <f t="shared" si="0"/>
        <v>78.379037323882073</v>
      </c>
      <c r="AR10" s="160">
        <f t="shared" si="0"/>
        <v>78.379037323882073</v>
      </c>
      <c r="AS10" s="160">
        <f t="shared" si="0"/>
        <v>78.379037323882073</v>
      </c>
      <c r="AT10" s="160">
        <f t="shared" si="0"/>
        <v>78.379037323882073</v>
      </c>
      <c r="AU10" s="160">
        <f t="shared" si="0"/>
        <v>78.379037323882073</v>
      </c>
      <c r="AV10" s="160">
        <f t="shared" si="0"/>
        <v>78.379037323882073</v>
      </c>
      <c r="AW10" s="160">
        <f t="shared" si="0"/>
        <v>423.37903732388213</v>
      </c>
      <c r="AX10" s="160">
        <f t="shared" si="0"/>
        <v>78.379037323882073</v>
      </c>
      <c r="AY10" s="160">
        <f t="shared" si="0"/>
        <v>78.379037323882073</v>
      </c>
      <c r="AZ10" s="167">
        <f>SUM($D10:$AY10)</f>
        <v>4107.1937915463404</v>
      </c>
    </row>
    <row r="11" spans="1:52" x14ac:dyDescent="0.2">
      <c r="C11" s="127"/>
    </row>
    <row r="12" spans="1:52" x14ac:dyDescent="0.2">
      <c r="A12" s="168" t="s">
        <v>295</v>
      </c>
      <c r="B12" s="162"/>
      <c r="C12" s="127"/>
    </row>
    <row r="13" spans="1:52" x14ac:dyDescent="0.2">
      <c r="A13" s="138" t="s">
        <v>125</v>
      </c>
      <c r="B13" s="139">
        <v>1</v>
      </c>
      <c r="C13" s="140">
        <v>345</v>
      </c>
      <c r="D13" s="154">
        <f t="shared" ref="D13:AY13" si="1">D$7-D$10</f>
        <v>345</v>
      </c>
      <c r="E13" s="154">
        <f t="shared" si="1"/>
        <v>345</v>
      </c>
      <c r="F13" s="154">
        <f t="shared" si="1"/>
        <v>345</v>
      </c>
      <c r="G13" s="154">
        <f t="shared" si="1"/>
        <v>345</v>
      </c>
      <c r="H13" s="154">
        <f t="shared" si="1"/>
        <v>345</v>
      </c>
      <c r="I13" s="154">
        <f t="shared" si="1"/>
        <v>345</v>
      </c>
      <c r="J13" s="154">
        <f t="shared" si="1"/>
        <v>345</v>
      </c>
      <c r="K13" s="154">
        <f t="shared" si="1"/>
        <v>345</v>
      </c>
      <c r="L13" s="154">
        <f t="shared" si="1"/>
        <v>345</v>
      </c>
      <c r="M13" s="154">
        <f t="shared" si="1"/>
        <v>345</v>
      </c>
      <c r="N13" s="154">
        <f t="shared" si="1"/>
        <v>345</v>
      </c>
      <c r="O13" s="154">
        <f t="shared" si="1"/>
        <v>345</v>
      </c>
      <c r="P13" s="154">
        <f t="shared" si="1"/>
        <v>345</v>
      </c>
      <c r="Q13" s="154">
        <f t="shared" si="1"/>
        <v>345</v>
      </c>
      <c r="R13" s="154">
        <f t="shared" si="1"/>
        <v>345</v>
      </c>
      <c r="S13" s="154">
        <f t="shared" si="1"/>
        <v>345</v>
      </c>
      <c r="T13" s="154">
        <f t="shared" si="1"/>
        <v>345</v>
      </c>
      <c r="U13" s="154">
        <f t="shared" si="1"/>
        <v>345</v>
      </c>
      <c r="V13" s="154">
        <f t="shared" si="1"/>
        <v>345</v>
      </c>
      <c r="W13" s="154">
        <f t="shared" si="1"/>
        <v>345</v>
      </c>
      <c r="X13" s="154">
        <f t="shared" si="1"/>
        <v>345</v>
      </c>
      <c r="Y13" s="154">
        <f t="shared" si="1"/>
        <v>345</v>
      </c>
      <c r="Z13" s="154">
        <f t="shared" si="1"/>
        <v>345</v>
      </c>
      <c r="AA13" s="154">
        <f t="shared" si="1"/>
        <v>345</v>
      </c>
      <c r="AB13" s="154">
        <f t="shared" si="1"/>
        <v>345</v>
      </c>
      <c r="AC13" s="154">
        <f t="shared" si="1"/>
        <v>345</v>
      </c>
      <c r="AD13" s="154">
        <f t="shared" si="1"/>
        <v>345</v>
      </c>
      <c r="AE13" s="154">
        <f t="shared" si="1"/>
        <v>345</v>
      </c>
      <c r="AF13" s="154">
        <f t="shared" si="1"/>
        <v>345</v>
      </c>
      <c r="AG13" s="154">
        <f t="shared" si="1"/>
        <v>345</v>
      </c>
      <c r="AH13" s="154">
        <f t="shared" si="1"/>
        <v>345</v>
      </c>
      <c r="AI13" s="154">
        <f t="shared" si="1"/>
        <v>345</v>
      </c>
      <c r="AJ13" s="154">
        <f t="shared" si="1"/>
        <v>345</v>
      </c>
      <c r="AK13" s="154">
        <f t="shared" si="1"/>
        <v>345</v>
      </c>
      <c r="AL13" s="154">
        <f t="shared" si="1"/>
        <v>345</v>
      </c>
      <c r="AM13" s="154">
        <f t="shared" si="1"/>
        <v>345</v>
      </c>
      <c r="AN13" s="154">
        <f t="shared" si="1"/>
        <v>345</v>
      </c>
      <c r="AO13" s="154">
        <f t="shared" si="1"/>
        <v>345</v>
      </c>
      <c r="AP13" s="154">
        <f t="shared" si="1"/>
        <v>345</v>
      </c>
      <c r="AQ13" s="154">
        <f t="shared" si="1"/>
        <v>345</v>
      </c>
      <c r="AR13" s="154">
        <f t="shared" si="1"/>
        <v>345</v>
      </c>
      <c r="AS13" s="154">
        <f t="shared" si="1"/>
        <v>345</v>
      </c>
      <c r="AT13" s="154">
        <f t="shared" si="1"/>
        <v>345</v>
      </c>
      <c r="AU13" s="154">
        <f t="shared" si="1"/>
        <v>345</v>
      </c>
      <c r="AV13" s="154">
        <f t="shared" si="1"/>
        <v>345</v>
      </c>
      <c r="AW13" s="154">
        <f t="shared" si="1"/>
        <v>0</v>
      </c>
      <c r="AX13" s="154">
        <f t="shared" si="1"/>
        <v>345</v>
      </c>
      <c r="AY13" s="154">
        <f t="shared" si="1"/>
        <v>345</v>
      </c>
      <c r="AZ13" s="126"/>
    </row>
    <row r="14" spans="1:52" x14ac:dyDescent="0.2">
      <c r="A14" s="127"/>
      <c r="B14" s="136">
        <v>2</v>
      </c>
      <c r="C14" s="127">
        <v>0</v>
      </c>
      <c r="D14" s="123">
        <f>IF(C$20="Yes",C13,0)</f>
        <v>0</v>
      </c>
      <c r="E14" s="123">
        <f t="shared" ref="E14:AY17" si="2">IF(D$20="Yes",D13,0)</f>
        <v>0</v>
      </c>
      <c r="F14" s="123">
        <f t="shared" si="2"/>
        <v>0</v>
      </c>
      <c r="G14" s="123">
        <f t="shared" si="2"/>
        <v>0</v>
      </c>
      <c r="H14" s="123">
        <f t="shared" si="2"/>
        <v>0</v>
      </c>
      <c r="I14" s="123">
        <f t="shared" si="2"/>
        <v>0</v>
      </c>
      <c r="J14" s="123">
        <f t="shared" si="2"/>
        <v>0</v>
      </c>
      <c r="K14" s="123">
        <f t="shared" si="2"/>
        <v>0</v>
      </c>
      <c r="L14" s="123">
        <f t="shared" si="2"/>
        <v>0</v>
      </c>
      <c r="M14" s="123">
        <f t="shared" si="2"/>
        <v>0</v>
      </c>
      <c r="N14" s="123">
        <f t="shared" si="2"/>
        <v>0</v>
      </c>
      <c r="O14" s="123">
        <f t="shared" si="2"/>
        <v>0</v>
      </c>
      <c r="P14" s="123">
        <f t="shared" si="2"/>
        <v>0</v>
      </c>
      <c r="Q14" s="123">
        <f t="shared" si="2"/>
        <v>0</v>
      </c>
      <c r="R14" s="123">
        <f t="shared" si="2"/>
        <v>0</v>
      </c>
      <c r="S14" s="123">
        <f t="shared" si="2"/>
        <v>0</v>
      </c>
      <c r="T14" s="123">
        <f t="shared" si="2"/>
        <v>0</v>
      </c>
      <c r="U14" s="123">
        <f t="shared" si="2"/>
        <v>0</v>
      </c>
      <c r="V14" s="123">
        <f t="shared" si="2"/>
        <v>0</v>
      </c>
      <c r="W14" s="123">
        <f t="shared" si="2"/>
        <v>0</v>
      </c>
      <c r="X14" s="123">
        <f t="shared" si="2"/>
        <v>0</v>
      </c>
      <c r="Y14" s="123">
        <f t="shared" si="2"/>
        <v>0</v>
      </c>
      <c r="Z14" s="123">
        <f t="shared" si="2"/>
        <v>0</v>
      </c>
      <c r="AA14" s="123">
        <f t="shared" si="2"/>
        <v>0</v>
      </c>
      <c r="AB14" s="123">
        <f t="shared" si="2"/>
        <v>0</v>
      </c>
      <c r="AC14" s="123">
        <f t="shared" si="2"/>
        <v>0</v>
      </c>
      <c r="AD14" s="123">
        <f t="shared" si="2"/>
        <v>0</v>
      </c>
      <c r="AE14" s="123">
        <f t="shared" si="2"/>
        <v>0</v>
      </c>
      <c r="AF14" s="123">
        <f t="shared" si="2"/>
        <v>0</v>
      </c>
      <c r="AG14" s="123">
        <f t="shared" si="2"/>
        <v>0</v>
      </c>
      <c r="AH14" s="123">
        <f t="shared" si="2"/>
        <v>0</v>
      </c>
      <c r="AI14" s="123">
        <f t="shared" si="2"/>
        <v>0</v>
      </c>
      <c r="AJ14" s="123">
        <f t="shared" si="2"/>
        <v>0</v>
      </c>
      <c r="AK14" s="123">
        <f t="shared" si="2"/>
        <v>0</v>
      </c>
      <c r="AL14" s="123">
        <f t="shared" si="2"/>
        <v>0</v>
      </c>
      <c r="AM14" s="123">
        <f t="shared" si="2"/>
        <v>0</v>
      </c>
      <c r="AN14" s="123">
        <f t="shared" si="2"/>
        <v>0</v>
      </c>
      <c r="AO14" s="123">
        <f t="shared" si="2"/>
        <v>0</v>
      </c>
      <c r="AP14" s="123">
        <f t="shared" si="2"/>
        <v>0</v>
      </c>
      <c r="AQ14" s="123">
        <f t="shared" si="2"/>
        <v>0</v>
      </c>
      <c r="AR14" s="123">
        <f t="shared" si="2"/>
        <v>0</v>
      </c>
      <c r="AS14" s="123">
        <f t="shared" si="2"/>
        <v>0</v>
      </c>
      <c r="AT14" s="123">
        <f t="shared" si="2"/>
        <v>0</v>
      </c>
      <c r="AU14" s="123">
        <f t="shared" si="2"/>
        <v>0</v>
      </c>
      <c r="AV14" s="123">
        <f t="shared" si="2"/>
        <v>0</v>
      </c>
      <c r="AW14" s="123">
        <f t="shared" si="2"/>
        <v>345</v>
      </c>
      <c r="AX14" s="123">
        <f t="shared" si="2"/>
        <v>0</v>
      </c>
      <c r="AY14" s="123">
        <f t="shared" si="2"/>
        <v>0</v>
      </c>
      <c r="AZ14" s="126"/>
    </row>
    <row r="15" spans="1:52" x14ac:dyDescent="0.2">
      <c r="A15" s="127"/>
      <c r="B15" s="143">
        <v>3</v>
      </c>
      <c r="C15" s="127">
        <v>0</v>
      </c>
      <c r="D15" s="123">
        <f>IF(C$20="Yes",C14,0)</f>
        <v>0</v>
      </c>
      <c r="E15" s="123">
        <f t="shared" si="2"/>
        <v>0</v>
      </c>
      <c r="F15" s="123">
        <f t="shared" si="2"/>
        <v>0</v>
      </c>
      <c r="G15" s="123">
        <f t="shared" si="2"/>
        <v>0</v>
      </c>
      <c r="H15" s="123">
        <f t="shared" si="2"/>
        <v>0</v>
      </c>
      <c r="I15" s="123">
        <f t="shared" si="2"/>
        <v>0</v>
      </c>
      <c r="J15" s="123">
        <f t="shared" si="2"/>
        <v>0</v>
      </c>
      <c r="K15" s="123">
        <f t="shared" si="2"/>
        <v>0</v>
      </c>
      <c r="L15" s="123">
        <f t="shared" si="2"/>
        <v>0</v>
      </c>
      <c r="M15" s="123">
        <f t="shared" si="2"/>
        <v>0</v>
      </c>
      <c r="N15" s="123">
        <f t="shared" si="2"/>
        <v>0</v>
      </c>
      <c r="O15" s="123">
        <f t="shared" si="2"/>
        <v>0</v>
      </c>
      <c r="P15" s="123">
        <f t="shared" si="2"/>
        <v>0</v>
      </c>
      <c r="Q15" s="123">
        <f t="shared" si="2"/>
        <v>0</v>
      </c>
      <c r="R15" s="123">
        <f t="shared" si="2"/>
        <v>0</v>
      </c>
      <c r="S15" s="123">
        <f t="shared" si="2"/>
        <v>0</v>
      </c>
      <c r="T15" s="123">
        <f t="shared" si="2"/>
        <v>0</v>
      </c>
      <c r="U15" s="123">
        <f t="shared" si="2"/>
        <v>0</v>
      </c>
      <c r="V15" s="123">
        <f t="shared" si="2"/>
        <v>0</v>
      </c>
      <c r="W15" s="123">
        <f t="shared" si="2"/>
        <v>0</v>
      </c>
      <c r="X15" s="123">
        <f t="shared" si="2"/>
        <v>0</v>
      </c>
      <c r="Y15" s="123">
        <f t="shared" si="2"/>
        <v>0</v>
      </c>
      <c r="Z15" s="123">
        <f t="shared" si="2"/>
        <v>0</v>
      </c>
      <c r="AA15" s="123">
        <f t="shared" si="2"/>
        <v>0</v>
      </c>
      <c r="AB15" s="123">
        <f t="shared" si="2"/>
        <v>0</v>
      </c>
      <c r="AC15" s="123">
        <f t="shared" si="2"/>
        <v>0</v>
      </c>
      <c r="AD15" s="123">
        <f t="shared" si="2"/>
        <v>0</v>
      </c>
      <c r="AE15" s="123">
        <f t="shared" si="2"/>
        <v>0</v>
      </c>
      <c r="AF15" s="123">
        <f t="shared" si="2"/>
        <v>0</v>
      </c>
      <c r="AG15" s="123">
        <f t="shared" si="2"/>
        <v>0</v>
      </c>
      <c r="AH15" s="123">
        <f t="shared" si="2"/>
        <v>0</v>
      </c>
      <c r="AI15" s="123">
        <f t="shared" si="2"/>
        <v>0</v>
      </c>
      <c r="AJ15" s="123">
        <f t="shared" si="2"/>
        <v>0</v>
      </c>
      <c r="AK15" s="123">
        <f t="shared" si="2"/>
        <v>0</v>
      </c>
      <c r="AL15" s="123">
        <f t="shared" si="2"/>
        <v>0</v>
      </c>
      <c r="AM15" s="123">
        <f t="shared" si="2"/>
        <v>0</v>
      </c>
      <c r="AN15" s="123">
        <f t="shared" si="2"/>
        <v>0</v>
      </c>
      <c r="AO15" s="123">
        <f t="shared" si="2"/>
        <v>0</v>
      </c>
      <c r="AP15" s="123">
        <f t="shared" si="2"/>
        <v>0</v>
      </c>
      <c r="AQ15" s="123">
        <f t="shared" si="2"/>
        <v>0</v>
      </c>
      <c r="AR15" s="123">
        <f t="shared" si="2"/>
        <v>0</v>
      </c>
      <c r="AS15" s="123">
        <f t="shared" si="2"/>
        <v>0</v>
      </c>
      <c r="AT15" s="123">
        <f t="shared" si="2"/>
        <v>0</v>
      </c>
      <c r="AU15" s="123">
        <f t="shared" si="2"/>
        <v>0</v>
      </c>
      <c r="AV15" s="123">
        <f t="shared" si="2"/>
        <v>0</v>
      </c>
      <c r="AW15" s="123">
        <f t="shared" si="2"/>
        <v>0</v>
      </c>
      <c r="AX15" s="123">
        <f t="shared" si="2"/>
        <v>0</v>
      </c>
      <c r="AY15" s="123">
        <f t="shared" si="2"/>
        <v>0</v>
      </c>
      <c r="AZ15" s="126"/>
    </row>
    <row r="16" spans="1:52" x14ac:dyDescent="0.2">
      <c r="A16" s="127"/>
      <c r="B16" s="146">
        <v>4</v>
      </c>
      <c r="C16" s="127">
        <v>0</v>
      </c>
      <c r="D16" s="123">
        <f>IF(C$20="Yes",C15,0)</f>
        <v>0</v>
      </c>
      <c r="E16" s="123">
        <f t="shared" si="2"/>
        <v>0</v>
      </c>
      <c r="F16" s="123">
        <f t="shared" si="2"/>
        <v>0</v>
      </c>
      <c r="G16" s="123">
        <f t="shared" si="2"/>
        <v>0</v>
      </c>
      <c r="H16" s="123">
        <f t="shared" si="2"/>
        <v>0</v>
      </c>
      <c r="I16" s="123">
        <f t="shared" si="2"/>
        <v>0</v>
      </c>
      <c r="J16" s="123">
        <f t="shared" si="2"/>
        <v>0</v>
      </c>
      <c r="K16" s="123">
        <f t="shared" si="2"/>
        <v>0</v>
      </c>
      <c r="L16" s="123">
        <f t="shared" si="2"/>
        <v>0</v>
      </c>
      <c r="M16" s="123">
        <f t="shared" si="2"/>
        <v>0</v>
      </c>
      <c r="N16" s="123">
        <f t="shared" si="2"/>
        <v>0</v>
      </c>
      <c r="O16" s="123">
        <f t="shared" si="2"/>
        <v>0</v>
      </c>
      <c r="P16" s="123">
        <f t="shared" si="2"/>
        <v>0</v>
      </c>
      <c r="Q16" s="123">
        <f t="shared" si="2"/>
        <v>0</v>
      </c>
      <c r="R16" s="123">
        <f t="shared" si="2"/>
        <v>0</v>
      </c>
      <c r="S16" s="123">
        <f t="shared" si="2"/>
        <v>0</v>
      </c>
      <c r="T16" s="123">
        <f t="shared" si="2"/>
        <v>0</v>
      </c>
      <c r="U16" s="123">
        <f t="shared" si="2"/>
        <v>0</v>
      </c>
      <c r="V16" s="123">
        <f t="shared" si="2"/>
        <v>0</v>
      </c>
      <c r="W16" s="123">
        <f t="shared" si="2"/>
        <v>0</v>
      </c>
      <c r="X16" s="123">
        <f t="shared" si="2"/>
        <v>0</v>
      </c>
      <c r="Y16" s="123">
        <f t="shared" si="2"/>
        <v>0</v>
      </c>
      <c r="Z16" s="123">
        <f t="shared" si="2"/>
        <v>0</v>
      </c>
      <c r="AA16" s="123">
        <f t="shared" si="2"/>
        <v>0</v>
      </c>
      <c r="AB16" s="123">
        <f t="shared" si="2"/>
        <v>0</v>
      </c>
      <c r="AC16" s="123">
        <f t="shared" si="2"/>
        <v>0</v>
      </c>
      <c r="AD16" s="123">
        <f t="shared" si="2"/>
        <v>0</v>
      </c>
      <c r="AE16" s="123">
        <f t="shared" si="2"/>
        <v>0</v>
      </c>
      <c r="AF16" s="123">
        <f t="shared" si="2"/>
        <v>0</v>
      </c>
      <c r="AG16" s="123">
        <f t="shared" si="2"/>
        <v>0</v>
      </c>
      <c r="AH16" s="123">
        <f t="shared" si="2"/>
        <v>0</v>
      </c>
      <c r="AI16" s="123">
        <f t="shared" si="2"/>
        <v>0</v>
      </c>
      <c r="AJ16" s="123">
        <f t="shared" si="2"/>
        <v>0</v>
      </c>
      <c r="AK16" s="123">
        <f t="shared" si="2"/>
        <v>0</v>
      </c>
      <c r="AL16" s="123">
        <f t="shared" si="2"/>
        <v>0</v>
      </c>
      <c r="AM16" s="123">
        <f t="shared" si="2"/>
        <v>0</v>
      </c>
      <c r="AN16" s="123">
        <f t="shared" si="2"/>
        <v>0</v>
      </c>
      <c r="AO16" s="123">
        <f t="shared" si="2"/>
        <v>0</v>
      </c>
      <c r="AP16" s="123">
        <f t="shared" si="2"/>
        <v>0</v>
      </c>
      <c r="AQ16" s="123">
        <f t="shared" si="2"/>
        <v>0</v>
      </c>
      <c r="AR16" s="123">
        <f t="shared" si="2"/>
        <v>0</v>
      </c>
      <c r="AS16" s="123">
        <f t="shared" si="2"/>
        <v>0</v>
      </c>
      <c r="AT16" s="123">
        <f t="shared" si="2"/>
        <v>0</v>
      </c>
      <c r="AU16" s="123">
        <f t="shared" si="2"/>
        <v>0</v>
      </c>
      <c r="AV16" s="123">
        <f t="shared" si="2"/>
        <v>0</v>
      </c>
      <c r="AW16" s="123">
        <f t="shared" si="2"/>
        <v>0</v>
      </c>
      <c r="AX16" s="123">
        <f t="shared" si="2"/>
        <v>0</v>
      </c>
      <c r="AY16" s="123">
        <f t="shared" si="2"/>
        <v>0</v>
      </c>
      <c r="AZ16" s="144"/>
    </row>
    <row r="17" spans="1:52" x14ac:dyDescent="0.2">
      <c r="A17" s="141"/>
      <c r="B17" s="148" t="s">
        <v>296</v>
      </c>
      <c r="C17" s="141">
        <v>0</v>
      </c>
      <c r="D17" s="130">
        <f>IF(C$20="Yes",C16,0)</f>
        <v>0</v>
      </c>
      <c r="E17" s="130">
        <f t="shared" si="2"/>
        <v>0</v>
      </c>
      <c r="F17" s="130">
        <f t="shared" si="2"/>
        <v>0</v>
      </c>
      <c r="G17" s="130">
        <f t="shared" si="2"/>
        <v>0</v>
      </c>
      <c r="H17" s="130">
        <f t="shared" si="2"/>
        <v>0</v>
      </c>
      <c r="I17" s="130">
        <f t="shared" si="2"/>
        <v>0</v>
      </c>
      <c r="J17" s="130">
        <f t="shared" si="2"/>
        <v>0</v>
      </c>
      <c r="K17" s="130">
        <f t="shared" si="2"/>
        <v>0</v>
      </c>
      <c r="L17" s="130">
        <f t="shared" si="2"/>
        <v>0</v>
      </c>
      <c r="M17" s="130">
        <f t="shared" si="2"/>
        <v>0</v>
      </c>
      <c r="N17" s="130">
        <f t="shared" si="2"/>
        <v>0</v>
      </c>
      <c r="O17" s="130">
        <f t="shared" si="2"/>
        <v>0</v>
      </c>
      <c r="P17" s="130">
        <f t="shared" si="2"/>
        <v>0</v>
      </c>
      <c r="Q17" s="130">
        <f t="shared" si="2"/>
        <v>0</v>
      </c>
      <c r="R17" s="130">
        <f t="shared" si="2"/>
        <v>0</v>
      </c>
      <c r="S17" s="130">
        <f t="shared" si="2"/>
        <v>0</v>
      </c>
      <c r="T17" s="130">
        <f t="shared" si="2"/>
        <v>0</v>
      </c>
      <c r="U17" s="130">
        <f t="shared" si="2"/>
        <v>0</v>
      </c>
      <c r="V17" s="130">
        <f t="shared" si="2"/>
        <v>0</v>
      </c>
      <c r="W17" s="130">
        <f t="shared" si="2"/>
        <v>0</v>
      </c>
      <c r="X17" s="130">
        <f t="shared" si="2"/>
        <v>0</v>
      </c>
      <c r="Y17" s="130">
        <f t="shared" si="2"/>
        <v>0</v>
      </c>
      <c r="Z17" s="130">
        <f t="shared" si="2"/>
        <v>0</v>
      </c>
      <c r="AA17" s="130">
        <f t="shared" si="2"/>
        <v>0</v>
      </c>
      <c r="AB17" s="130">
        <f t="shared" si="2"/>
        <v>0</v>
      </c>
      <c r="AC17" s="130">
        <f t="shared" si="2"/>
        <v>0</v>
      </c>
      <c r="AD17" s="130">
        <f t="shared" si="2"/>
        <v>0</v>
      </c>
      <c r="AE17" s="130">
        <f t="shared" si="2"/>
        <v>0</v>
      </c>
      <c r="AF17" s="130">
        <f t="shared" si="2"/>
        <v>0</v>
      </c>
      <c r="AG17" s="130">
        <f t="shared" si="2"/>
        <v>0</v>
      </c>
      <c r="AH17" s="130">
        <f t="shared" si="2"/>
        <v>0</v>
      </c>
      <c r="AI17" s="130">
        <f t="shared" si="2"/>
        <v>0</v>
      </c>
      <c r="AJ17" s="130">
        <f t="shared" si="2"/>
        <v>0</v>
      </c>
      <c r="AK17" s="130">
        <f t="shared" si="2"/>
        <v>0</v>
      </c>
      <c r="AL17" s="130">
        <f t="shared" si="2"/>
        <v>0</v>
      </c>
      <c r="AM17" s="130">
        <f t="shared" si="2"/>
        <v>0</v>
      </c>
      <c r="AN17" s="130">
        <f t="shared" si="2"/>
        <v>0</v>
      </c>
      <c r="AO17" s="130">
        <f t="shared" si="2"/>
        <v>0</v>
      </c>
      <c r="AP17" s="130">
        <f t="shared" si="2"/>
        <v>0</v>
      </c>
      <c r="AQ17" s="130">
        <f t="shared" si="2"/>
        <v>0</v>
      </c>
      <c r="AR17" s="130">
        <f t="shared" si="2"/>
        <v>0</v>
      </c>
      <c r="AS17" s="130">
        <f t="shared" si="2"/>
        <v>0</v>
      </c>
      <c r="AT17" s="130">
        <f t="shared" si="2"/>
        <v>0</v>
      </c>
      <c r="AU17" s="130">
        <f t="shared" si="2"/>
        <v>0</v>
      </c>
      <c r="AV17" s="130">
        <f t="shared" si="2"/>
        <v>0</v>
      </c>
      <c r="AW17" s="130">
        <f t="shared" si="2"/>
        <v>0</v>
      </c>
      <c r="AX17" s="130">
        <f t="shared" si="2"/>
        <v>0</v>
      </c>
      <c r="AY17" s="130">
        <f t="shared" si="2"/>
        <v>0</v>
      </c>
      <c r="AZ17" s="167">
        <f>SUM($D$17:$AY$17)</f>
        <v>0</v>
      </c>
    </row>
    <row r="18" spans="1:52" x14ac:dyDescent="0.2">
      <c r="A18" s="123"/>
      <c r="B18" s="169"/>
      <c r="C18" s="154"/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154"/>
      <c r="X18" s="154"/>
      <c r="Y18" s="154"/>
      <c r="Z18" s="154"/>
      <c r="AA18" s="154"/>
      <c r="AB18" s="154"/>
      <c r="AC18" s="154"/>
      <c r="AD18" s="154"/>
      <c r="AE18" s="154"/>
      <c r="AF18" s="154"/>
      <c r="AG18" s="154"/>
      <c r="AH18" s="154"/>
      <c r="AI18" s="154"/>
      <c r="AJ18" s="154"/>
      <c r="AK18" s="154"/>
      <c r="AL18" s="154"/>
      <c r="AM18" s="154"/>
      <c r="AN18" s="154"/>
      <c r="AO18" s="154"/>
      <c r="AP18" s="154"/>
      <c r="AQ18" s="154"/>
      <c r="AR18" s="154"/>
      <c r="AS18" s="154"/>
      <c r="AT18" s="154"/>
      <c r="AU18" s="154"/>
      <c r="AV18" s="154"/>
      <c r="AW18" s="154"/>
      <c r="AX18" s="154"/>
      <c r="AY18" s="154"/>
      <c r="AZ18" s="123"/>
    </row>
    <row r="19" spans="1:52" x14ac:dyDescent="0.2">
      <c r="A19" s="1" t="s">
        <v>116</v>
      </c>
      <c r="B19" s="123"/>
      <c r="C19" s="123"/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  <c r="AP19" s="123"/>
      <c r="AQ19" s="123"/>
      <c r="AR19" s="123"/>
      <c r="AS19" s="123"/>
      <c r="AT19" s="123"/>
      <c r="AU19" s="123"/>
      <c r="AV19" s="123"/>
      <c r="AW19" s="123"/>
      <c r="AX19" s="123"/>
      <c r="AY19" s="123"/>
    </row>
    <row r="20" spans="1:52" s="127" customFormat="1" x14ac:dyDescent="0.2">
      <c r="A20" s="131" t="s">
        <v>305</v>
      </c>
      <c r="B20" s="170" t="s">
        <v>306</v>
      </c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  <c r="S20" s="133"/>
      <c r="T20" s="133"/>
      <c r="U20" s="133"/>
      <c r="V20" s="133"/>
      <c r="W20" s="133"/>
      <c r="X20" s="133"/>
      <c r="Y20" s="133"/>
      <c r="Z20" s="133"/>
      <c r="AA20" s="133"/>
      <c r="AB20" s="133"/>
      <c r="AC20" s="133"/>
      <c r="AD20" s="133"/>
      <c r="AE20" s="133"/>
      <c r="AF20" s="133"/>
      <c r="AG20" s="133"/>
      <c r="AH20" s="133"/>
      <c r="AI20" s="133"/>
      <c r="AJ20" s="133"/>
      <c r="AK20" s="133"/>
      <c r="AL20" s="133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 t="s">
        <v>313</v>
      </c>
      <c r="AW20" s="133"/>
      <c r="AX20" s="133"/>
      <c r="AY20" s="133"/>
      <c r="AZ20" s="124"/>
    </row>
    <row r="21" spans="1:52" s="127" customFormat="1" x14ac:dyDescent="0.2">
      <c r="A21" s="171" t="s">
        <v>133</v>
      </c>
      <c r="B21" s="172">
        <f>shipping_manufacturing!$C$19/100</f>
        <v>0.7</v>
      </c>
      <c r="C21" s="172" t="s">
        <v>293</v>
      </c>
      <c r="D21" s="123">
        <f>IF(C$20="Yes",0,SUM(C$13:C$16)*$B$21)</f>
        <v>241.49999999999997</v>
      </c>
      <c r="E21" s="123">
        <f t="shared" ref="E21:AY21" si="3">IF(D$20="Yes",0,SUM(D$13:D$16)*$B$21)</f>
        <v>241.49999999999997</v>
      </c>
      <c r="F21" s="123">
        <f t="shared" si="3"/>
        <v>241.49999999999997</v>
      </c>
      <c r="G21" s="123">
        <f t="shared" si="3"/>
        <v>241.49999999999997</v>
      </c>
      <c r="H21" s="123">
        <f t="shared" si="3"/>
        <v>241.49999999999997</v>
      </c>
      <c r="I21" s="123">
        <f t="shared" si="3"/>
        <v>241.49999999999997</v>
      </c>
      <c r="J21" s="123">
        <f t="shared" si="3"/>
        <v>241.49999999999997</v>
      </c>
      <c r="K21" s="123">
        <f t="shared" si="3"/>
        <v>241.49999999999997</v>
      </c>
      <c r="L21" s="123">
        <f t="shared" si="3"/>
        <v>241.49999999999997</v>
      </c>
      <c r="M21" s="123">
        <f t="shared" si="3"/>
        <v>241.49999999999997</v>
      </c>
      <c r="N21" s="123">
        <f t="shared" si="3"/>
        <v>241.49999999999997</v>
      </c>
      <c r="O21" s="123">
        <f t="shared" si="3"/>
        <v>241.49999999999997</v>
      </c>
      <c r="P21" s="123">
        <f t="shared" si="3"/>
        <v>241.49999999999997</v>
      </c>
      <c r="Q21" s="123">
        <f t="shared" si="3"/>
        <v>241.49999999999997</v>
      </c>
      <c r="R21" s="123">
        <f t="shared" si="3"/>
        <v>241.49999999999997</v>
      </c>
      <c r="S21" s="123">
        <f t="shared" si="3"/>
        <v>241.49999999999997</v>
      </c>
      <c r="T21" s="123">
        <f t="shared" si="3"/>
        <v>241.49999999999997</v>
      </c>
      <c r="U21" s="123">
        <f t="shared" si="3"/>
        <v>241.49999999999997</v>
      </c>
      <c r="V21" s="123">
        <f t="shared" si="3"/>
        <v>241.49999999999997</v>
      </c>
      <c r="W21" s="123">
        <f t="shared" si="3"/>
        <v>241.49999999999997</v>
      </c>
      <c r="X21" s="123">
        <f t="shared" si="3"/>
        <v>241.49999999999997</v>
      </c>
      <c r="Y21" s="123">
        <f t="shared" si="3"/>
        <v>241.49999999999997</v>
      </c>
      <c r="Z21" s="123">
        <f t="shared" si="3"/>
        <v>241.49999999999997</v>
      </c>
      <c r="AA21" s="123">
        <f t="shared" si="3"/>
        <v>241.49999999999997</v>
      </c>
      <c r="AB21" s="123">
        <f t="shared" si="3"/>
        <v>241.49999999999997</v>
      </c>
      <c r="AC21" s="123">
        <f t="shared" si="3"/>
        <v>241.49999999999997</v>
      </c>
      <c r="AD21" s="123">
        <f t="shared" si="3"/>
        <v>241.49999999999997</v>
      </c>
      <c r="AE21" s="123">
        <f t="shared" si="3"/>
        <v>241.49999999999997</v>
      </c>
      <c r="AF21" s="123">
        <f t="shared" si="3"/>
        <v>241.49999999999997</v>
      </c>
      <c r="AG21" s="123">
        <f t="shared" si="3"/>
        <v>241.49999999999997</v>
      </c>
      <c r="AH21" s="123">
        <f t="shared" si="3"/>
        <v>241.49999999999997</v>
      </c>
      <c r="AI21" s="123">
        <f t="shared" si="3"/>
        <v>241.49999999999997</v>
      </c>
      <c r="AJ21" s="123">
        <f t="shared" si="3"/>
        <v>241.49999999999997</v>
      </c>
      <c r="AK21" s="123">
        <f t="shared" si="3"/>
        <v>241.49999999999997</v>
      </c>
      <c r="AL21" s="123">
        <f t="shared" si="3"/>
        <v>241.49999999999997</v>
      </c>
      <c r="AM21" s="123">
        <f t="shared" si="3"/>
        <v>241.49999999999997</v>
      </c>
      <c r="AN21" s="123">
        <f t="shared" si="3"/>
        <v>241.49999999999997</v>
      </c>
      <c r="AO21" s="123">
        <f t="shared" si="3"/>
        <v>241.49999999999997</v>
      </c>
      <c r="AP21" s="123">
        <f t="shared" si="3"/>
        <v>241.49999999999997</v>
      </c>
      <c r="AQ21" s="123">
        <f t="shared" si="3"/>
        <v>241.49999999999997</v>
      </c>
      <c r="AR21" s="123">
        <f t="shared" si="3"/>
        <v>241.49999999999997</v>
      </c>
      <c r="AS21" s="123">
        <f t="shared" si="3"/>
        <v>241.49999999999997</v>
      </c>
      <c r="AT21" s="123">
        <f t="shared" si="3"/>
        <v>241.49999999999997</v>
      </c>
      <c r="AU21" s="123">
        <f t="shared" si="3"/>
        <v>241.49999999999997</v>
      </c>
      <c r="AV21" s="123">
        <f t="shared" si="3"/>
        <v>241.49999999999997</v>
      </c>
      <c r="AW21" s="123">
        <f t="shared" si="3"/>
        <v>0</v>
      </c>
      <c r="AX21" s="123">
        <f t="shared" si="3"/>
        <v>241.49999999999997</v>
      </c>
      <c r="AY21" s="123">
        <f t="shared" si="3"/>
        <v>241.49999999999997</v>
      </c>
      <c r="AZ21" s="173">
        <f>SUM($D21:$AY21)</f>
        <v>11350.499999999998</v>
      </c>
    </row>
    <row r="22" spans="1:52" s="127" customFormat="1" x14ac:dyDescent="0.2">
      <c r="A22" s="174" t="s">
        <v>123</v>
      </c>
      <c r="B22" s="175">
        <f>1-$B$21</f>
        <v>0.30000000000000004</v>
      </c>
      <c r="C22" s="175" t="s">
        <v>293</v>
      </c>
      <c r="D22" s="130">
        <f>IF(C$20="Yes",0,SUM(C$13:C$16)*$B$22)</f>
        <v>103.50000000000001</v>
      </c>
      <c r="E22" s="130">
        <f t="shared" ref="E22:AY22" si="4">IF(D$20="Yes",0,SUM(D$13:D$16)*$B$22)</f>
        <v>103.50000000000001</v>
      </c>
      <c r="F22" s="130">
        <f t="shared" si="4"/>
        <v>103.50000000000001</v>
      </c>
      <c r="G22" s="130">
        <f t="shared" si="4"/>
        <v>103.50000000000001</v>
      </c>
      <c r="H22" s="130">
        <f t="shared" si="4"/>
        <v>103.50000000000001</v>
      </c>
      <c r="I22" s="130">
        <f t="shared" si="4"/>
        <v>103.50000000000001</v>
      </c>
      <c r="J22" s="130">
        <f t="shared" si="4"/>
        <v>103.50000000000001</v>
      </c>
      <c r="K22" s="130">
        <f t="shared" si="4"/>
        <v>103.50000000000001</v>
      </c>
      <c r="L22" s="130">
        <f t="shared" si="4"/>
        <v>103.50000000000001</v>
      </c>
      <c r="M22" s="130">
        <f t="shared" si="4"/>
        <v>103.50000000000001</v>
      </c>
      <c r="N22" s="130">
        <f t="shared" si="4"/>
        <v>103.50000000000001</v>
      </c>
      <c r="O22" s="130">
        <f t="shared" si="4"/>
        <v>103.50000000000001</v>
      </c>
      <c r="P22" s="130">
        <f t="shared" si="4"/>
        <v>103.50000000000001</v>
      </c>
      <c r="Q22" s="130">
        <f t="shared" si="4"/>
        <v>103.50000000000001</v>
      </c>
      <c r="R22" s="130">
        <f t="shared" si="4"/>
        <v>103.50000000000001</v>
      </c>
      <c r="S22" s="130">
        <f t="shared" si="4"/>
        <v>103.50000000000001</v>
      </c>
      <c r="T22" s="130">
        <f t="shared" si="4"/>
        <v>103.50000000000001</v>
      </c>
      <c r="U22" s="130">
        <f t="shared" si="4"/>
        <v>103.50000000000001</v>
      </c>
      <c r="V22" s="130">
        <f t="shared" si="4"/>
        <v>103.50000000000001</v>
      </c>
      <c r="W22" s="130">
        <f t="shared" si="4"/>
        <v>103.50000000000001</v>
      </c>
      <c r="X22" s="130">
        <f t="shared" si="4"/>
        <v>103.50000000000001</v>
      </c>
      <c r="Y22" s="130">
        <f t="shared" si="4"/>
        <v>103.50000000000001</v>
      </c>
      <c r="Z22" s="130">
        <f t="shared" si="4"/>
        <v>103.50000000000001</v>
      </c>
      <c r="AA22" s="130">
        <f t="shared" si="4"/>
        <v>103.50000000000001</v>
      </c>
      <c r="AB22" s="130">
        <f t="shared" si="4"/>
        <v>103.50000000000001</v>
      </c>
      <c r="AC22" s="130">
        <f t="shared" si="4"/>
        <v>103.50000000000001</v>
      </c>
      <c r="AD22" s="130">
        <f t="shared" si="4"/>
        <v>103.50000000000001</v>
      </c>
      <c r="AE22" s="130">
        <f t="shared" si="4"/>
        <v>103.50000000000001</v>
      </c>
      <c r="AF22" s="130">
        <f t="shared" si="4"/>
        <v>103.50000000000001</v>
      </c>
      <c r="AG22" s="130">
        <f t="shared" si="4"/>
        <v>103.50000000000001</v>
      </c>
      <c r="AH22" s="130">
        <f t="shared" si="4"/>
        <v>103.50000000000001</v>
      </c>
      <c r="AI22" s="130">
        <f t="shared" si="4"/>
        <v>103.50000000000001</v>
      </c>
      <c r="AJ22" s="130">
        <f t="shared" si="4"/>
        <v>103.50000000000001</v>
      </c>
      <c r="AK22" s="130">
        <f t="shared" si="4"/>
        <v>103.50000000000001</v>
      </c>
      <c r="AL22" s="130">
        <f t="shared" si="4"/>
        <v>103.50000000000001</v>
      </c>
      <c r="AM22" s="130">
        <f t="shared" si="4"/>
        <v>103.50000000000001</v>
      </c>
      <c r="AN22" s="130">
        <f t="shared" si="4"/>
        <v>103.50000000000001</v>
      </c>
      <c r="AO22" s="130">
        <f t="shared" si="4"/>
        <v>103.50000000000001</v>
      </c>
      <c r="AP22" s="130">
        <f t="shared" si="4"/>
        <v>103.50000000000001</v>
      </c>
      <c r="AQ22" s="130">
        <f t="shared" si="4"/>
        <v>103.50000000000001</v>
      </c>
      <c r="AR22" s="130">
        <f t="shared" si="4"/>
        <v>103.50000000000001</v>
      </c>
      <c r="AS22" s="130">
        <f t="shared" si="4"/>
        <v>103.50000000000001</v>
      </c>
      <c r="AT22" s="130">
        <f t="shared" si="4"/>
        <v>103.50000000000001</v>
      </c>
      <c r="AU22" s="130">
        <f t="shared" si="4"/>
        <v>103.50000000000001</v>
      </c>
      <c r="AV22" s="130">
        <f t="shared" si="4"/>
        <v>103.50000000000001</v>
      </c>
      <c r="AW22" s="130">
        <f t="shared" si="4"/>
        <v>0</v>
      </c>
      <c r="AX22" s="130">
        <f t="shared" si="4"/>
        <v>103.50000000000001</v>
      </c>
      <c r="AY22" s="130">
        <f t="shared" si="4"/>
        <v>103.50000000000001</v>
      </c>
      <c r="AZ22" s="157">
        <f t="shared" ref="AZ22:AZ30" si="5">SUM($D22:$AY22)</f>
        <v>4864.5000000000009</v>
      </c>
    </row>
    <row r="23" spans="1:52" x14ac:dyDescent="0.2">
      <c r="A23" s="176" t="s">
        <v>307</v>
      </c>
      <c r="B23" s="140">
        <v>2000</v>
      </c>
      <c r="C23" t="s">
        <v>293</v>
      </c>
      <c r="D23">
        <f>D$21*$B$23</f>
        <v>482999.99999999994</v>
      </c>
      <c r="E23">
        <f t="shared" ref="E23:AY23" si="6">E$21*$B$23</f>
        <v>482999.99999999994</v>
      </c>
      <c r="F23">
        <f t="shared" si="6"/>
        <v>482999.99999999994</v>
      </c>
      <c r="G23">
        <f t="shared" si="6"/>
        <v>482999.99999999994</v>
      </c>
      <c r="H23">
        <f t="shared" si="6"/>
        <v>482999.99999999994</v>
      </c>
      <c r="I23">
        <f t="shared" si="6"/>
        <v>482999.99999999994</v>
      </c>
      <c r="J23">
        <f t="shared" si="6"/>
        <v>482999.99999999994</v>
      </c>
      <c r="K23">
        <f t="shared" si="6"/>
        <v>482999.99999999994</v>
      </c>
      <c r="L23">
        <f t="shared" si="6"/>
        <v>482999.99999999994</v>
      </c>
      <c r="M23">
        <f t="shared" si="6"/>
        <v>482999.99999999994</v>
      </c>
      <c r="N23">
        <f t="shared" si="6"/>
        <v>482999.99999999994</v>
      </c>
      <c r="O23">
        <f t="shared" si="6"/>
        <v>482999.99999999994</v>
      </c>
      <c r="P23">
        <f t="shared" si="6"/>
        <v>482999.99999999994</v>
      </c>
      <c r="Q23">
        <f t="shared" si="6"/>
        <v>482999.99999999994</v>
      </c>
      <c r="R23">
        <f t="shared" si="6"/>
        <v>482999.99999999994</v>
      </c>
      <c r="S23">
        <f t="shared" si="6"/>
        <v>482999.99999999994</v>
      </c>
      <c r="T23">
        <f t="shared" si="6"/>
        <v>482999.99999999994</v>
      </c>
      <c r="U23">
        <f t="shared" si="6"/>
        <v>482999.99999999994</v>
      </c>
      <c r="V23">
        <f t="shared" si="6"/>
        <v>482999.99999999994</v>
      </c>
      <c r="W23">
        <f t="shared" si="6"/>
        <v>482999.99999999994</v>
      </c>
      <c r="X23">
        <f t="shared" si="6"/>
        <v>482999.99999999994</v>
      </c>
      <c r="Y23">
        <f t="shared" si="6"/>
        <v>482999.99999999994</v>
      </c>
      <c r="Z23">
        <f t="shared" si="6"/>
        <v>482999.99999999994</v>
      </c>
      <c r="AA23">
        <f t="shared" si="6"/>
        <v>482999.99999999994</v>
      </c>
      <c r="AB23">
        <f t="shared" si="6"/>
        <v>482999.99999999994</v>
      </c>
      <c r="AC23">
        <f t="shared" si="6"/>
        <v>482999.99999999994</v>
      </c>
      <c r="AD23">
        <f t="shared" si="6"/>
        <v>482999.99999999994</v>
      </c>
      <c r="AE23">
        <f t="shared" si="6"/>
        <v>482999.99999999994</v>
      </c>
      <c r="AF23">
        <f t="shared" si="6"/>
        <v>482999.99999999994</v>
      </c>
      <c r="AG23">
        <f t="shared" si="6"/>
        <v>482999.99999999994</v>
      </c>
      <c r="AH23">
        <f t="shared" si="6"/>
        <v>482999.99999999994</v>
      </c>
      <c r="AI23">
        <f t="shared" si="6"/>
        <v>482999.99999999994</v>
      </c>
      <c r="AJ23">
        <f t="shared" si="6"/>
        <v>482999.99999999994</v>
      </c>
      <c r="AK23">
        <f t="shared" si="6"/>
        <v>482999.99999999994</v>
      </c>
      <c r="AL23">
        <f t="shared" si="6"/>
        <v>482999.99999999994</v>
      </c>
      <c r="AM23">
        <f t="shared" si="6"/>
        <v>482999.99999999994</v>
      </c>
      <c r="AN23">
        <f t="shared" si="6"/>
        <v>482999.99999999994</v>
      </c>
      <c r="AO23">
        <f t="shared" si="6"/>
        <v>482999.99999999994</v>
      </c>
      <c r="AP23">
        <f t="shared" si="6"/>
        <v>482999.99999999994</v>
      </c>
      <c r="AQ23">
        <f t="shared" si="6"/>
        <v>482999.99999999994</v>
      </c>
      <c r="AR23">
        <f t="shared" si="6"/>
        <v>482999.99999999994</v>
      </c>
      <c r="AS23">
        <f t="shared" si="6"/>
        <v>482999.99999999994</v>
      </c>
      <c r="AT23">
        <f t="shared" si="6"/>
        <v>482999.99999999994</v>
      </c>
      <c r="AU23">
        <f t="shared" si="6"/>
        <v>482999.99999999994</v>
      </c>
      <c r="AV23">
        <f t="shared" si="6"/>
        <v>482999.99999999994</v>
      </c>
      <c r="AW23">
        <f t="shared" si="6"/>
        <v>0</v>
      </c>
      <c r="AX23">
        <f t="shared" si="6"/>
        <v>482999.99999999994</v>
      </c>
      <c r="AY23">
        <f t="shared" si="6"/>
        <v>482999.99999999994</v>
      </c>
      <c r="AZ23" s="155">
        <f t="shared" si="5"/>
        <v>22700999.999999996</v>
      </c>
    </row>
    <row r="24" spans="1:52" s="127" customFormat="1" x14ac:dyDescent="0.2">
      <c r="A24" s="177" t="s">
        <v>308</v>
      </c>
      <c r="B24" s="178">
        <v>1000</v>
      </c>
      <c r="C24" s="172" t="s">
        <v>293</v>
      </c>
      <c r="D24" s="123">
        <f>D$22*$B$24</f>
        <v>103500.00000000001</v>
      </c>
      <c r="E24" s="123">
        <f t="shared" ref="E24:AY24" si="7">E$22*$B$24</f>
        <v>103500.00000000001</v>
      </c>
      <c r="F24" s="123">
        <f t="shared" si="7"/>
        <v>103500.00000000001</v>
      </c>
      <c r="G24" s="123">
        <f t="shared" si="7"/>
        <v>103500.00000000001</v>
      </c>
      <c r="H24" s="123">
        <f t="shared" si="7"/>
        <v>103500.00000000001</v>
      </c>
      <c r="I24" s="123">
        <f t="shared" si="7"/>
        <v>103500.00000000001</v>
      </c>
      <c r="J24" s="123">
        <f t="shared" si="7"/>
        <v>103500.00000000001</v>
      </c>
      <c r="K24" s="123">
        <f t="shared" si="7"/>
        <v>103500.00000000001</v>
      </c>
      <c r="L24" s="123">
        <f t="shared" si="7"/>
        <v>103500.00000000001</v>
      </c>
      <c r="M24" s="123">
        <f t="shared" si="7"/>
        <v>103500.00000000001</v>
      </c>
      <c r="N24" s="123">
        <f t="shared" si="7"/>
        <v>103500.00000000001</v>
      </c>
      <c r="O24" s="123">
        <f t="shared" si="7"/>
        <v>103500.00000000001</v>
      </c>
      <c r="P24" s="123">
        <f t="shared" si="7"/>
        <v>103500.00000000001</v>
      </c>
      <c r="Q24" s="123">
        <f t="shared" si="7"/>
        <v>103500.00000000001</v>
      </c>
      <c r="R24" s="123">
        <f t="shared" si="7"/>
        <v>103500.00000000001</v>
      </c>
      <c r="S24" s="123">
        <f t="shared" si="7"/>
        <v>103500.00000000001</v>
      </c>
      <c r="T24" s="123">
        <f t="shared" si="7"/>
        <v>103500.00000000001</v>
      </c>
      <c r="U24" s="123">
        <f t="shared" si="7"/>
        <v>103500.00000000001</v>
      </c>
      <c r="V24" s="123">
        <f t="shared" si="7"/>
        <v>103500.00000000001</v>
      </c>
      <c r="W24" s="123">
        <f t="shared" si="7"/>
        <v>103500.00000000001</v>
      </c>
      <c r="X24" s="123">
        <f t="shared" si="7"/>
        <v>103500.00000000001</v>
      </c>
      <c r="Y24" s="123">
        <f t="shared" si="7"/>
        <v>103500.00000000001</v>
      </c>
      <c r="Z24" s="123">
        <f t="shared" si="7"/>
        <v>103500.00000000001</v>
      </c>
      <c r="AA24" s="123">
        <f t="shared" si="7"/>
        <v>103500.00000000001</v>
      </c>
      <c r="AB24" s="123">
        <f t="shared" si="7"/>
        <v>103500.00000000001</v>
      </c>
      <c r="AC24" s="123">
        <f t="shared" si="7"/>
        <v>103500.00000000001</v>
      </c>
      <c r="AD24" s="123">
        <f t="shared" si="7"/>
        <v>103500.00000000001</v>
      </c>
      <c r="AE24" s="123">
        <f t="shared" si="7"/>
        <v>103500.00000000001</v>
      </c>
      <c r="AF24" s="123">
        <f t="shared" si="7"/>
        <v>103500.00000000001</v>
      </c>
      <c r="AG24" s="123">
        <f t="shared" si="7"/>
        <v>103500.00000000001</v>
      </c>
      <c r="AH24" s="123">
        <f t="shared" si="7"/>
        <v>103500.00000000001</v>
      </c>
      <c r="AI24" s="123">
        <f t="shared" si="7"/>
        <v>103500.00000000001</v>
      </c>
      <c r="AJ24" s="123">
        <f t="shared" si="7"/>
        <v>103500.00000000001</v>
      </c>
      <c r="AK24" s="123">
        <f t="shared" si="7"/>
        <v>103500.00000000001</v>
      </c>
      <c r="AL24" s="123">
        <f t="shared" si="7"/>
        <v>103500.00000000001</v>
      </c>
      <c r="AM24" s="123">
        <f t="shared" si="7"/>
        <v>103500.00000000001</v>
      </c>
      <c r="AN24" s="123">
        <f t="shared" si="7"/>
        <v>103500.00000000001</v>
      </c>
      <c r="AO24" s="123">
        <f t="shared" si="7"/>
        <v>103500.00000000001</v>
      </c>
      <c r="AP24" s="123">
        <f t="shared" si="7"/>
        <v>103500.00000000001</v>
      </c>
      <c r="AQ24" s="123">
        <f t="shared" si="7"/>
        <v>103500.00000000001</v>
      </c>
      <c r="AR24" s="123">
        <f t="shared" si="7"/>
        <v>103500.00000000001</v>
      </c>
      <c r="AS24" s="123">
        <f t="shared" si="7"/>
        <v>103500.00000000001</v>
      </c>
      <c r="AT24" s="123">
        <f t="shared" si="7"/>
        <v>103500.00000000001</v>
      </c>
      <c r="AU24" s="123">
        <f t="shared" si="7"/>
        <v>103500.00000000001</v>
      </c>
      <c r="AV24" s="123">
        <f t="shared" si="7"/>
        <v>103500.00000000001</v>
      </c>
      <c r="AW24" s="123">
        <f t="shared" si="7"/>
        <v>0</v>
      </c>
      <c r="AX24" s="123">
        <f t="shared" si="7"/>
        <v>103500.00000000001</v>
      </c>
      <c r="AY24" s="123">
        <f t="shared" si="7"/>
        <v>103500.00000000001</v>
      </c>
      <c r="AZ24" s="157">
        <f t="shared" si="5"/>
        <v>4864500.0000000009</v>
      </c>
    </row>
    <row r="25" spans="1:52" x14ac:dyDescent="0.2">
      <c r="C25" s="154"/>
      <c r="D25" s="154"/>
      <c r="E25" s="154"/>
      <c r="F25" s="154"/>
      <c r="G25" s="154"/>
      <c r="H25" s="154"/>
      <c r="I25" s="154"/>
      <c r="J25" s="154"/>
      <c r="K25" s="154"/>
      <c r="L25" s="154"/>
      <c r="M25" s="154"/>
      <c r="N25" s="154"/>
      <c r="O25" s="154"/>
      <c r="P25" s="154"/>
      <c r="Q25" s="154"/>
      <c r="R25" s="154"/>
      <c r="S25" s="154"/>
      <c r="T25" s="154"/>
      <c r="U25" s="154"/>
      <c r="V25" s="154"/>
      <c r="W25" s="154"/>
      <c r="X25" s="154"/>
      <c r="Y25" s="154"/>
      <c r="Z25" s="154"/>
      <c r="AA25" s="154"/>
      <c r="AB25" s="154"/>
      <c r="AC25" s="154"/>
      <c r="AD25" s="154"/>
      <c r="AE25" s="154"/>
      <c r="AF25" s="154"/>
      <c r="AG25" s="154"/>
      <c r="AH25" s="154"/>
      <c r="AI25" s="154"/>
      <c r="AJ25" s="154"/>
      <c r="AK25" s="154"/>
      <c r="AL25" s="154"/>
      <c r="AM25" s="154"/>
      <c r="AN25" s="154"/>
      <c r="AO25" s="154"/>
      <c r="AP25" s="154"/>
      <c r="AQ25" s="154"/>
      <c r="AR25" s="154"/>
      <c r="AS25" s="154"/>
      <c r="AT25" s="154"/>
      <c r="AU25" s="154"/>
      <c r="AV25" s="154"/>
      <c r="AW25" s="154"/>
      <c r="AX25" s="154"/>
      <c r="AY25" s="154"/>
      <c r="AZ25" s="123"/>
    </row>
    <row r="26" spans="1:52" x14ac:dyDescent="0.2">
      <c r="A26" s="179" t="s">
        <v>18</v>
      </c>
      <c r="C26" s="123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</row>
    <row r="27" spans="1:52" x14ac:dyDescent="0.2">
      <c r="B27" s="151" t="s">
        <v>309</v>
      </c>
      <c r="C27" s="140">
        <v>11</v>
      </c>
      <c r="D27" s="140">
        <f>C$27-C$28+C$29</f>
        <v>0</v>
      </c>
      <c r="E27" s="140">
        <f t="shared" ref="E27:AY27" si="8">D27-D28+D29</f>
        <v>11</v>
      </c>
      <c r="F27" s="140">
        <f t="shared" si="8"/>
        <v>0</v>
      </c>
      <c r="G27" s="140">
        <f t="shared" si="8"/>
        <v>11</v>
      </c>
      <c r="H27" s="140">
        <f t="shared" si="8"/>
        <v>0</v>
      </c>
      <c r="I27" s="140">
        <f t="shared" si="8"/>
        <v>11</v>
      </c>
      <c r="J27" s="140">
        <f t="shared" si="8"/>
        <v>0</v>
      </c>
      <c r="K27" s="140">
        <f t="shared" si="8"/>
        <v>11</v>
      </c>
      <c r="L27" s="140">
        <f t="shared" si="8"/>
        <v>0</v>
      </c>
      <c r="M27" s="140">
        <f t="shared" si="8"/>
        <v>11</v>
      </c>
      <c r="N27" s="140">
        <f t="shared" si="8"/>
        <v>0</v>
      </c>
      <c r="O27" s="140">
        <f t="shared" si="8"/>
        <v>11</v>
      </c>
      <c r="P27" s="140">
        <f t="shared" si="8"/>
        <v>0</v>
      </c>
      <c r="Q27" s="140">
        <f t="shared" si="8"/>
        <v>11</v>
      </c>
      <c r="R27" s="140">
        <f t="shared" si="8"/>
        <v>0</v>
      </c>
      <c r="S27" s="140">
        <f t="shared" si="8"/>
        <v>11</v>
      </c>
      <c r="T27" s="140">
        <f t="shared" si="8"/>
        <v>0</v>
      </c>
      <c r="U27" s="140">
        <f t="shared" si="8"/>
        <v>11</v>
      </c>
      <c r="V27" s="140">
        <f t="shared" si="8"/>
        <v>0</v>
      </c>
      <c r="W27" s="140">
        <f t="shared" si="8"/>
        <v>11</v>
      </c>
      <c r="X27" s="140">
        <f t="shared" si="8"/>
        <v>0</v>
      </c>
      <c r="Y27" s="140">
        <f t="shared" si="8"/>
        <v>11</v>
      </c>
      <c r="Z27" s="140">
        <f t="shared" si="8"/>
        <v>0</v>
      </c>
      <c r="AA27" s="140">
        <f t="shared" si="8"/>
        <v>11</v>
      </c>
      <c r="AB27" s="140">
        <f t="shared" si="8"/>
        <v>0</v>
      </c>
      <c r="AC27" s="140">
        <f t="shared" si="8"/>
        <v>11</v>
      </c>
      <c r="AD27" s="140">
        <f t="shared" si="8"/>
        <v>0</v>
      </c>
      <c r="AE27" s="140">
        <f t="shared" si="8"/>
        <v>11</v>
      </c>
      <c r="AF27" s="140">
        <f t="shared" si="8"/>
        <v>0</v>
      </c>
      <c r="AG27" s="140">
        <f t="shared" si="8"/>
        <v>11</v>
      </c>
      <c r="AH27" s="140">
        <f t="shared" si="8"/>
        <v>0</v>
      </c>
      <c r="AI27" s="140">
        <f t="shared" si="8"/>
        <v>11</v>
      </c>
      <c r="AJ27" s="140">
        <f t="shared" si="8"/>
        <v>0</v>
      </c>
      <c r="AK27" s="140">
        <f t="shared" si="8"/>
        <v>11</v>
      </c>
      <c r="AL27" s="140">
        <f t="shared" si="8"/>
        <v>0</v>
      </c>
      <c r="AM27" s="140">
        <f t="shared" si="8"/>
        <v>11</v>
      </c>
      <c r="AN27" s="140">
        <f t="shared" si="8"/>
        <v>0</v>
      </c>
      <c r="AO27" s="140">
        <f t="shared" si="8"/>
        <v>11</v>
      </c>
      <c r="AP27" s="140">
        <f t="shared" si="8"/>
        <v>0</v>
      </c>
      <c r="AQ27" s="140">
        <f t="shared" si="8"/>
        <v>11</v>
      </c>
      <c r="AR27" s="140">
        <f t="shared" si="8"/>
        <v>0</v>
      </c>
      <c r="AS27" s="140">
        <f t="shared" si="8"/>
        <v>11</v>
      </c>
      <c r="AT27" s="140">
        <f t="shared" si="8"/>
        <v>0</v>
      </c>
      <c r="AU27" s="140">
        <f t="shared" si="8"/>
        <v>11</v>
      </c>
      <c r="AV27" s="140">
        <f t="shared" si="8"/>
        <v>0</v>
      </c>
      <c r="AW27" s="140">
        <f t="shared" si="8"/>
        <v>11</v>
      </c>
      <c r="AX27" s="140">
        <f t="shared" si="8"/>
        <v>11</v>
      </c>
      <c r="AY27" s="180">
        <f t="shared" si="8"/>
        <v>0</v>
      </c>
      <c r="AZ27" s="123"/>
    </row>
    <row r="28" spans="1:52" x14ac:dyDescent="0.2">
      <c r="B28" s="181" t="s">
        <v>310</v>
      </c>
      <c r="C28" s="127">
        <v>11</v>
      </c>
      <c r="D28" s="127">
        <v>0</v>
      </c>
      <c r="E28" s="127">
        <v>11</v>
      </c>
      <c r="F28" s="127">
        <v>0</v>
      </c>
      <c r="G28" s="127">
        <v>11</v>
      </c>
      <c r="H28" s="127">
        <v>0</v>
      </c>
      <c r="I28" s="127">
        <v>11</v>
      </c>
      <c r="J28" s="127">
        <v>0</v>
      </c>
      <c r="K28" s="127">
        <v>11</v>
      </c>
      <c r="L28" s="127">
        <v>0</v>
      </c>
      <c r="M28" s="127">
        <v>11</v>
      </c>
      <c r="N28" s="127">
        <v>0</v>
      </c>
      <c r="O28" s="127">
        <v>11</v>
      </c>
      <c r="P28" s="127">
        <v>0</v>
      </c>
      <c r="Q28" s="127">
        <v>11</v>
      </c>
      <c r="R28" s="127">
        <v>0</v>
      </c>
      <c r="S28" s="127">
        <v>11</v>
      </c>
      <c r="T28" s="127">
        <v>0</v>
      </c>
      <c r="U28" s="127">
        <v>11</v>
      </c>
      <c r="V28" s="127">
        <v>0</v>
      </c>
      <c r="W28" s="127">
        <v>11</v>
      </c>
      <c r="X28" s="127">
        <v>0</v>
      </c>
      <c r="Y28" s="127">
        <v>11</v>
      </c>
      <c r="Z28" s="127">
        <v>0</v>
      </c>
      <c r="AA28" s="127">
        <v>11</v>
      </c>
      <c r="AB28" s="127">
        <v>0</v>
      </c>
      <c r="AC28" s="127">
        <v>11</v>
      </c>
      <c r="AD28" s="127">
        <v>0</v>
      </c>
      <c r="AE28" s="127">
        <v>11</v>
      </c>
      <c r="AF28" s="127">
        <v>0</v>
      </c>
      <c r="AG28" s="127">
        <v>11</v>
      </c>
      <c r="AH28" s="127">
        <v>0</v>
      </c>
      <c r="AI28" s="127">
        <v>11</v>
      </c>
      <c r="AJ28" s="127">
        <v>0</v>
      </c>
      <c r="AK28" s="127">
        <v>11</v>
      </c>
      <c r="AL28" s="127">
        <v>0</v>
      </c>
      <c r="AM28" s="127">
        <v>11</v>
      </c>
      <c r="AN28" s="127">
        <v>0</v>
      </c>
      <c r="AO28" s="127">
        <v>11</v>
      </c>
      <c r="AP28" s="127">
        <v>0</v>
      </c>
      <c r="AQ28" s="127">
        <v>11</v>
      </c>
      <c r="AR28" s="127">
        <v>0</v>
      </c>
      <c r="AS28" s="127">
        <v>11</v>
      </c>
      <c r="AT28" s="127">
        <v>0</v>
      </c>
      <c r="AU28" s="127">
        <v>11</v>
      </c>
      <c r="AV28" s="127">
        <v>0</v>
      </c>
      <c r="AW28" s="127">
        <v>0</v>
      </c>
      <c r="AX28" s="127">
        <v>11</v>
      </c>
      <c r="AY28" s="182">
        <v>0</v>
      </c>
      <c r="AZ28" s="123"/>
    </row>
    <row r="29" spans="1:52" x14ac:dyDescent="0.2">
      <c r="B29" s="152" t="s">
        <v>311</v>
      </c>
      <c r="C29" s="141">
        <v>0</v>
      </c>
      <c r="D29" s="141">
        <f>C$28</f>
        <v>11</v>
      </c>
      <c r="E29" s="141">
        <f t="shared" ref="E29:AY29" si="9">D$28</f>
        <v>0</v>
      </c>
      <c r="F29" s="141">
        <f t="shared" si="9"/>
        <v>11</v>
      </c>
      <c r="G29" s="141">
        <f t="shared" si="9"/>
        <v>0</v>
      </c>
      <c r="H29" s="141">
        <f t="shared" si="9"/>
        <v>11</v>
      </c>
      <c r="I29" s="141">
        <f t="shared" si="9"/>
        <v>0</v>
      </c>
      <c r="J29" s="141">
        <f t="shared" si="9"/>
        <v>11</v>
      </c>
      <c r="K29" s="141">
        <f t="shared" si="9"/>
        <v>0</v>
      </c>
      <c r="L29" s="141">
        <f t="shared" si="9"/>
        <v>11</v>
      </c>
      <c r="M29" s="141">
        <f t="shared" si="9"/>
        <v>0</v>
      </c>
      <c r="N29" s="141">
        <f t="shared" si="9"/>
        <v>11</v>
      </c>
      <c r="O29" s="141">
        <f t="shared" si="9"/>
        <v>0</v>
      </c>
      <c r="P29" s="141">
        <f t="shared" si="9"/>
        <v>11</v>
      </c>
      <c r="Q29" s="141">
        <f t="shared" si="9"/>
        <v>0</v>
      </c>
      <c r="R29" s="141">
        <f t="shared" si="9"/>
        <v>11</v>
      </c>
      <c r="S29" s="141">
        <f t="shared" si="9"/>
        <v>0</v>
      </c>
      <c r="T29" s="141">
        <f t="shared" si="9"/>
        <v>11</v>
      </c>
      <c r="U29" s="141">
        <f t="shared" si="9"/>
        <v>0</v>
      </c>
      <c r="V29" s="141">
        <f t="shared" si="9"/>
        <v>11</v>
      </c>
      <c r="W29" s="141">
        <f t="shared" si="9"/>
        <v>0</v>
      </c>
      <c r="X29" s="141">
        <f t="shared" si="9"/>
        <v>11</v>
      </c>
      <c r="Y29" s="141">
        <f t="shared" si="9"/>
        <v>0</v>
      </c>
      <c r="Z29" s="141">
        <f t="shared" si="9"/>
        <v>11</v>
      </c>
      <c r="AA29" s="141">
        <f t="shared" si="9"/>
        <v>0</v>
      </c>
      <c r="AB29" s="141">
        <f t="shared" si="9"/>
        <v>11</v>
      </c>
      <c r="AC29" s="141">
        <f t="shared" si="9"/>
        <v>0</v>
      </c>
      <c r="AD29" s="141">
        <f t="shared" si="9"/>
        <v>11</v>
      </c>
      <c r="AE29" s="141">
        <f t="shared" si="9"/>
        <v>0</v>
      </c>
      <c r="AF29" s="141">
        <f t="shared" si="9"/>
        <v>11</v>
      </c>
      <c r="AG29" s="141">
        <f t="shared" si="9"/>
        <v>0</v>
      </c>
      <c r="AH29" s="141">
        <f t="shared" si="9"/>
        <v>11</v>
      </c>
      <c r="AI29" s="141">
        <f t="shared" si="9"/>
        <v>0</v>
      </c>
      <c r="AJ29" s="141">
        <f t="shared" si="9"/>
        <v>11</v>
      </c>
      <c r="AK29" s="141">
        <f t="shared" si="9"/>
        <v>0</v>
      </c>
      <c r="AL29" s="141">
        <f t="shared" si="9"/>
        <v>11</v>
      </c>
      <c r="AM29" s="141">
        <f t="shared" si="9"/>
        <v>0</v>
      </c>
      <c r="AN29" s="141">
        <f t="shared" si="9"/>
        <v>11</v>
      </c>
      <c r="AO29" s="141">
        <f t="shared" si="9"/>
        <v>0</v>
      </c>
      <c r="AP29" s="141">
        <f t="shared" si="9"/>
        <v>11</v>
      </c>
      <c r="AQ29" s="141">
        <f t="shared" si="9"/>
        <v>0</v>
      </c>
      <c r="AR29" s="141">
        <f t="shared" si="9"/>
        <v>11</v>
      </c>
      <c r="AS29" s="141">
        <f t="shared" si="9"/>
        <v>0</v>
      </c>
      <c r="AT29" s="141">
        <f t="shared" si="9"/>
        <v>11</v>
      </c>
      <c r="AU29" s="141">
        <f t="shared" si="9"/>
        <v>0</v>
      </c>
      <c r="AV29" s="141">
        <f t="shared" si="9"/>
        <v>11</v>
      </c>
      <c r="AW29" s="141">
        <f t="shared" si="9"/>
        <v>0</v>
      </c>
      <c r="AX29" s="141">
        <f t="shared" si="9"/>
        <v>0</v>
      </c>
      <c r="AY29" s="183">
        <f t="shared" si="9"/>
        <v>11</v>
      </c>
      <c r="AZ29" s="184"/>
    </row>
    <row r="30" spans="1:52" x14ac:dyDescent="0.2">
      <c r="A30" s="185" t="s">
        <v>312</v>
      </c>
      <c r="B30" s="160">
        <v>10</v>
      </c>
      <c r="C30" s="133" t="s">
        <v>293</v>
      </c>
      <c r="D30" s="133">
        <f>D$27*$B$30</f>
        <v>0</v>
      </c>
      <c r="E30" s="133">
        <f t="shared" ref="E30:AY30" si="10">E$27*$B$30</f>
        <v>110</v>
      </c>
      <c r="F30" s="133">
        <f t="shared" si="10"/>
        <v>0</v>
      </c>
      <c r="G30" s="133">
        <f t="shared" si="10"/>
        <v>110</v>
      </c>
      <c r="H30" s="133">
        <f t="shared" si="10"/>
        <v>0</v>
      </c>
      <c r="I30" s="133">
        <f t="shared" si="10"/>
        <v>110</v>
      </c>
      <c r="J30" s="133">
        <f t="shared" si="10"/>
        <v>0</v>
      </c>
      <c r="K30" s="133">
        <f t="shared" si="10"/>
        <v>110</v>
      </c>
      <c r="L30" s="133">
        <f t="shared" si="10"/>
        <v>0</v>
      </c>
      <c r="M30" s="133">
        <f t="shared" si="10"/>
        <v>110</v>
      </c>
      <c r="N30" s="133">
        <f t="shared" si="10"/>
        <v>0</v>
      </c>
      <c r="O30" s="133">
        <f t="shared" si="10"/>
        <v>110</v>
      </c>
      <c r="P30" s="133">
        <f t="shared" si="10"/>
        <v>0</v>
      </c>
      <c r="Q30" s="133">
        <f t="shared" si="10"/>
        <v>110</v>
      </c>
      <c r="R30" s="133">
        <f>R$27*$B$30</f>
        <v>0</v>
      </c>
      <c r="S30" s="133">
        <f t="shared" si="10"/>
        <v>110</v>
      </c>
      <c r="T30" s="133">
        <f t="shared" si="10"/>
        <v>0</v>
      </c>
      <c r="U30" s="133">
        <f t="shared" si="10"/>
        <v>110</v>
      </c>
      <c r="V30" s="133">
        <f t="shared" si="10"/>
        <v>0</v>
      </c>
      <c r="W30" s="133">
        <f t="shared" si="10"/>
        <v>110</v>
      </c>
      <c r="X30" s="133">
        <f t="shared" si="10"/>
        <v>0</v>
      </c>
      <c r="Y30" s="133">
        <f t="shared" si="10"/>
        <v>110</v>
      </c>
      <c r="Z30" s="133">
        <f t="shared" si="10"/>
        <v>0</v>
      </c>
      <c r="AA30" s="133">
        <f t="shared" si="10"/>
        <v>110</v>
      </c>
      <c r="AB30" s="133">
        <f t="shared" si="10"/>
        <v>0</v>
      </c>
      <c r="AC30" s="133">
        <f t="shared" si="10"/>
        <v>110</v>
      </c>
      <c r="AD30" s="133">
        <f t="shared" si="10"/>
        <v>0</v>
      </c>
      <c r="AE30" s="133">
        <f>AE$27*$B$30</f>
        <v>110</v>
      </c>
      <c r="AF30" s="133">
        <f t="shared" si="10"/>
        <v>0</v>
      </c>
      <c r="AG30" s="133">
        <f t="shared" si="10"/>
        <v>110</v>
      </c>
      <c r="AH30" s="133">
        <f t="shared" si="10"/>
        <v>0</v>
      </c>
      <c r="AI30" s="133">
        <f t="shared" si="10"/>
        <v>110</v>
      </c>
      <c r="AJ30" s="133">
        <f t="shared" si="10"/>
        <v>0</v>
      </c>
      <c r="AK30" s="133">
        <f t="shared" si="10"/>
        <v>110</v>
      </c>
      <c r="AL30" s="133">
        <f t="shared" si="10"/>
        <v>0</v>
      </c>
      <c r="AM30" s="133">
        <f t="shared" si="10"/>
        <v>110</v>
      </c>
      <c r="AN30" s="133">
        <f t="shared" si="10"/>
        <v>0</v>
      </c>
      <c r="AO30" s="133">
        <f t="shared" si="10"/>
        <v>110</v>
      </c>
      <c r="AP30" s="133">
        <f t="shared" si="10"/>
        <v>0</v>
      </c>
      <c r="AQ30" s="133">
        <f t="shared" si="10"/>
        <v>110</v>
      </c>
      <c r="AR30" s="133">
        <f t="shared" si="10"/>
        <v>0</v>
      </c>
      <c r="AS30" s="133">
        <f t="shared" si="10"/>
        <v>110</v>
      </c>
      <c r="AT30" s="133">
        <f t="shared" si="10"/>
        <v>0</v>
      </c>
      <c r="AU30" s="133">
        <f t="shared" si="10"/>
        <v>110</v>
      </c>
      <c r="AV30" s="133">
        <f t="shared" si="10"/>
        <v>0</v>
      </c>
      <c r="AW30" s="133">
        <f t="shared" si="10"/>
        <v>110</v>
      </c>
      <c r="AX30" s="133">
        <f t="shared" si="10"/>
        <v>110</v>
      </c>
      <c r="AY30" s="133">
        <f t="shared" si="10"/>
        <v>0</v>
      </c>
      <c r="AZ30" s="157">
        <f t="shared" si="5"/>
        <v>2640</v>
      </c>
    </row>
    <row r="32" spans="1:52" x14ac:dyDescent="0.2">
      <c r="A32" s="1" t="s">
        <v>300</v>
      </c>
    </row>
    <row r="33" spans="1:52" x14ac:dyDescent="0.2">
      <c r="A33" s="151" t="s">
        <v>22</v>
      </c>
      <c r="B33" s="151" t="s">
        <v>341</v>
      </c>
      <c r="C33" s="140"/>
      <c r="D33" s="140">
        <f>D$21*shipping_manufacturing!$D$27/100</f>
        <v>241.49999999999997</v>
      </c>
      <c r="E33" s="140">
        <f>E$21*shipping_manufacturing!$D$27/100</f>
        <v>241.49999999999997</v>
      </c>
      <c r="F33" s="140">
        <f>F$21*shipping_manufacturing!$D$27/100</f>
        <v>241.49999999999997</v>
      </c>
      <c r="G33" s="140">
        <f>G$21*shipping_manufacturing!$D$27/100</f>
        <v>241.49999999999997</v>
      </c>
      <c r="H33" s="140">
        <f>H$21*shipping_manufacturing!$D$27/100</f>
        <v>241.49999999999997</v>
      </c>
      <c r="I33" s="140">
        <f>I$21*shipping_manufacturing!$D$27/100</f>
        <v>241.49999999999997</v>
      </c>
      <c r="J33" s="140">
        <f>J$21*shipping_manufacturing!$D$27/100</f>
        <v>241.49999999999997</v>
      </c>
      <c r="K33" s="140">
        <f>K$21*shipping_manufacturing!$D$27/100</f>
        <v>241.49999999999997</v>
      </c>
      <c r="L33" s="140">
        <f>L$21*shipping_manufacturing!$D$27/100</f>
        <v>241.49999999999997</v>
      </c>
      <c r="M33" s="140">
        <f>M$21*shipping_manufacturing!$D$27/100</f>
        <v>241.49999999999997</v>
      </c>
      <c r="N33" s="140">
        <f>N$21*shipping_manufacturing!$D$27/100</f>
        <v>241.49999999999997</v>
      </c>
      <c r="O33" s="140">
        <f>O$21*shipping_manufacturing!$D$27/100</f>
        <v>241.49999999999997</v>
      </c>
      <c r="P33" s="140">
        <f>P$21*shipping_manufacturing!$D$27/100</f>
        <v>241.49999999999997</v>
      </c>
      <c r="Q33" s="140">
        <f>Q$21*shipping_manufacturing!$D$27/100</f>
        <v>241.49999999999997</v>
      </c>
      <c r="R33" s="140">
        <f>R$21*shipping_manufacturing!$D$27/100</f>
        <v>241.49999999999997</v>
      </c>
      <c r="S33" s="140">
        <f>S$21*shipping_manufacturing!$D$27/100</f>
        <v>241.49999999999997</v>
      </c>
      <c r="T33" s="140">
        <f>T$21*shipping_manufacturing!$D$27/100</f>
        <v>241.49999999999997</v>
      </c>
      <c r="U33" s="140">
        <f>U$21*shipping_manufacturing!$D$27/100</f>
        <v>241.49999999999997</v>
      </c>
      <c r="V33" s="140">
        <f>V$21*shipping_manufacturing!$D$27/100</f>
        <v>241.49999999999997</v>
      </c>
      <c r="W33" s="140">
        <f>W$21*shipping_manufacturing!$D$27/100</f>
        <v>241.49999999999997</v>
      </c>
      <c r="X33" s="140">
        <f>X$21*shipping_manufacturing!$D$27/100</f>
        <v>241.49999999999997</v>
      </c>
      <c r="Y33" s="140">
        <f>Y$21*shipping_manufacturing!$D$27/100</f>
        <v>241.49999999999997</v>
      </c>
      <c r="Z33" s="140">
        <f>Z$21*shipping_manufacturing!$D$27/100</f>
        <v>241.49999999999997</v>
      </c>
      <c r="AA33" s="140">
        <f>AA$21*shipping_manufacturing!$D$27/100</f>
        <v>241.49999999999997</v>
      </c>
      <c r="AB33" s="140">
        <f>AB$21*shipping_manufacturing!$D$27/100</f>
        <v>241.49999999999997</v>
      </c>
      <c r="AC33" s="140">
        <f>AC$21*shipping_manufacturing!$D$27/100</f>
        <v>241.49999999999997</v>
      </c>
      <c r="AD33" s="140">
        <f>AD$21*shipping_manufacturing!$D$27/100</f>
        <v>241.49999999999997</v>
      </c>
      <c r="AE33" s="140">
        <f>AE$21*shipping_manufacturing!$D$27/100</f>
        <v>241.49999999999997</v>
      </c>
      <c r="AF33" s="140">
        <f>AF$21*shipping_manufacturing!$D$27/100</f>
        <v>241.49999999999997</v>
      </c>
      <c r="AG33" s="140">
        <f>AG$21*shipping_manufacturing!$D$27/100</f>
        <v>241.49999999999997</v>
      </c>
      <c r="AH33" s="140">
        <f>AH$21*shipping_manufacturing!$D$27/100</f>
        <v>241.49999999999997</v>
      </c>
      <c r="AI33" s="140">
        <f>AI$21*shipping_manufacturing!$D$27/100</f>
        <v>241.49999999999997</v>
      </c>
      <c r="AJ33" s="140">
        <f>AJ$21*shipping_manufacturing!$D$27/100</f>
        <v>241.49999999999997</v>
      </c>
      <c r="AK33" s="140">
        <f>AK$21*shipping_manufacturing!$D$27/100</f>
        <v>241.49999999999997</v>
      </c>
      <c r="AL33" s="140">
        <f>AL$21*shipping_manufacturing!$D$27/100</f>
        <v>241.49999999999997</v>
      </c>
      <c r="AM33" s="140">
        <f>AM$21*shipping_manufacturing!$D$27/100</f>
        <v>241.49999999999997</v>
      </c>
      <c r="AN33" s="140">
        <f>AN$21*shipping_manufacturing!$D$27/100</f>
        <v>241.49999999999997</v>
      </c>
      <c r="AO33" s="140">
        <f>AO$21*shipping_manufacturing!$D$27/100</f>
        <v>241.49999999999997</v>
      </c>
      <c r="AP33" s="140">
        <f>AP$21*shipping_manufacturing!$D$27/100</f>
        <v>241.49999999999997</v>
      </c>
      <c r="AQ33" s="140">
        <f>AQ$21*shipping_manufacturing!$D$27/100</f>
        <v>241.49999999999997</v>
      </c>
      <c r="AR33" s="140">
        <f>AR$21*shipping_manufacturing!$D$27/100</f>
        <v>241.49999999999997</v>
      </c>
      <c r="AS33" s="140">
        <f>AS$21*shipping_manufacturing!$D$27/100</f>
        <v>241.49999999999997</v>
      </c>
      <c r="AT33" s="140">
        <f>AT$21*shipping_manufacturing!$D$27/100</f>
        <v>241.49999999999997</v>
      </c>
      <c r="AU33" s="140">
        <f>AU$21*shipping_manufacturing!$D$27/100</f>
        <v>241.49999999999997</v>
      </c>
      <c r="AV33" s="140">
        <f>AV$21*shipping_manufacturing!$D$27/100</f>
        <v>241.49999999999997</v>
      </c>
      <c r="AW33" s="140">
        <f>AW$21*shipping_manufacturing!$D$27/100</f>
        <v>0</v>
      </c>
      <c r="AX33" s="140">
        <f>AX$21*shipping_manufacturing!$D$27/100</f>
        <v>241.49999999999997</v>
      </c>
      <c r="AY33" s="140">
        <f>AY$21*shipping_manufacturing!$D$27/100</f>
        <v>241.49999999999997</v>
      </c>
    </row>
    <row r="34" spans="1:52" x14ac:dyDescent="0.2">
      <c r="A34" s="129" t="s">
        <v>340</v>
      </c>
      <c r="B34" s="181" t="s">
        <v>342</v>
      </c>
      <c r="C34" s="127"/>
      <c r="D34" s="127">
        <f>D$22*shipping_manufacturing!$E$27/100</f>
        <v>103.50000000000001</v>
      </c>
      <c r="E34" s="127">
        <f>E$22*shipping_manufacturing!$E$27/100</f>
        <v>103.50000000000001</v>
      </c>
      <c r="F34" s="127">
        <f>F$22*shipping_manufacturing!$E$27/100</f>
        <v>103.50000000000001</v>
      </c>
      <c r="G34" s="127">
        <f>G$22*shipping_manufacturing!$E$27/100</f>
        <v>103.50000000000001</v>
      </c>
      <c r="H34" s="127">
        <f>H$22*shipping_manufacturing!$E$27/100</f>
        <v>103.50000000000001</v>
      </c>
      <c r="I34" s="127">
        <f>I$22*shipping_manufacturing!$E$27/100</f>
        <v>103.50000000000001</v>
      </c>
      <c r="J34" s="127">
        <f>J$22*shipping_manufacturing!$E$27/100</f>
        <v>103.50000000000001</v>
      </c>
      <c r="K34" s="127">
        <f>K$22*shipping_manufacturing!$E$27/100</f>
        <v>103.50000000000001</v>
      </c>
      <c r="L34" s="127">
        <f>L$22*shipping_manufacturing!$E$27/100</f>
        <v>103.50000000000001</v>
      </c>
      <c r="M34" s="127">
        <f>M$22*shipping_manufacturing!$E$27/100</f>
        <v>103.50000000000001</v>
      </c>
      <c r="N34" s="127">
        <f>N$22*shipping_manufacturing!$E$27/100</f>
        <v>103.50000000000001</v>
      </c>
      <c r="O34" s="127">
        <f>O$22*shipping_manufacturing!$E$27/100</f>
        <v>103.50000000000001</v>
      </c>
      <c r="P34" s="127">
        <f>P$22*shipping_manufacturing!$E$27/100</f>
        <v>103.50000000000001</v>
      </c>
      <c r="Q34" s="127">
        <f>Q$22*shipping_manufacturing!$E$27/100</f>
        <v>103.50000000000001</v>
      </c>
      <c r="R34" s="127">
        <f>R$22*shipping_manufacturing!$E$27/100</f>
        <v>103.50000000000001</v>
      </c>
      <c r="S34" s="127">
        <f>S$22*shipping_manufacturing!$E$27/100</f>
        <v>103.50000000000001</v>
      </c>
      <c r="T34" s="127">
        <f>T$22*shipping_manufacturing!$E$27/100</f>
        <v>103.50000000000001</v>
      </c>
      <c r="U34" s="127">
        <f>U$22*shipping_manufacturing!$E$27/100</f>
        <v>103.50000000000001</v>
      </c>
      <c r="V34" s="127">
        <f>V$22*shipping_manufacturing!$E$27/100</f>
        <v>103.50000000000001</v>
      </c>
      <c r="W34" s="127">
        <f>W$22*shipping_manufacturing!$E$27/100</f>
        <v>103.50000000000001</v>
      </c>
      <c r="X34" s="127">
        <f>X$22*shipping_manufacturing!$E$27/100</f>
        <v>103.50000000000001</v>
      </c>
      <c r="Y34" s="127">
        <f>Y$22*shipping_manufacturing!$E$27/100</f>
        <v>103.50000000000001</v>
      </c>
      <c r="Z34" s="127">
        <f>Z$22*shipping_manufacturing!$E$27/100</f>
        <v>103.50000000000001</v>
      </c>
      <c r="AA34" s="127">
        <f>AA$22*shipping_manufacturing!$E$27/100</f>
        <v>103.50000000000001</v>
      </c>
      <c r="AB34" s="127">
        <f>AB$22*shipping_manufacturing!$E$27/100</f>
        <v>103.50000000000001</v>
      </c>
      <c r="AC34" s="127">
        <f>AC$22*shipping_manufacturing!$E$27/100</f>
        <v>103.50000000000001</v>
      </c>
      <c r="AD34" s="127">
        <f>AD$22*shipping_manufacturing!$E$27/100</f>
        <v>103.50000000000001</v>
      </c>
      <c r="AE34" s="127">
        <f>AE$22*shipping_manufacturing!$E$27/100</f>
        <v>103.50000000000001</v>
      </c>
      <c r="AF34" s="127">
        <f>AF$22*shipping_manufacturing!$E$27/100</f>
        <v>103.50000000000001</v>
      </c>
      <c r="AG34" s="127">
        <f>AG$22*shipping_manufacturing!$E$27/100</f>
        <v>103.50000000000001</v>
      </c>
      <c r="AH34" s="127">
        <f>AH$22*shipping_manufacturing!$E$27/100</f>
        <v>103.50000000000001</v>
      </c>
      <c r="AI34" s="127">
        <f>AI$22*shipping_manufacturing!$E$27/100</f>
        <v>103.50000000000001</v>
      </c>
      <c r="AJ34" s="127">
        <f>AJ$22*shipping_manufacturing!$E$27/100</f>
        <v>103.50000000000001</v>
      </c>
      <c r="AK34" s="127">
        <f>AK$22*shipping_manufacturing!$E$27/100</f>
        <v>103.50000000000001</v>
      </c>
      <c r="AL34" s="127">
        <f>AL$22*shipping_manufacturing!$E$27/100</f>
        <v>103.50000000000001</v>
      </c>
      <c r="AM34" s="127">
        <f>AM$22*shipping_manufacturing!$E$27/100</f>
        <v>103.50000000000001</v>
      </c>
      <c r="AN34" s="127">
        <f>AN$22*shipping_manufacturing!$E$27/100</f>
        <v>103.50000000000001</v>
      </c>
      <c r="AO34" s="127">
        <f>AO$22*shipping_manufacturing!$E$27/100</f>
        <v>103.50000000000001</v>
      </c>
      <c r="AP34" s="127">
        <f>AP$22*shipping_manufacturing!$E$27/100</f>
        <v>103.50000000000001</v>
      </c>
      <c r="AQ34" s="127">
        <f>AQ$22*shipping_manufacturing!$E$27/100</f>
        <v>103.50000000000001</v>
      </c>
      <c r="AR34" s="127">
        <f>AR$22*shipping_manufacturing!$E$27/100</f>
        <v>103.50000000000001</v>
      </c>
      <c r="AS34" s="127">
        <f>AS$22*shipping_manufacturing!$E$27/100</f>
        <v>103.50000000000001</v>
      </c>
      <c r="AT34" s="127">
        <f>AT$22*shipping_manufacturing!$E$27/100</f>
        <v>103.50000000000001</v>
      </c>
      <c r="AU34" s="127">
        <f>AU$22*shipping_manufacturing!$E$27/100</f>
        <v>103.50000000000001</v>
      </c>
      <c r="AV34" s="127">
        <f>AV$22*shipping_manufacturing!$E$27/100</f>
        <v>103.50000000000001</v>
      </c>
      <c r="AW34" s="127">
        <f>AW$22*shipping_manufacturing!$E$27/100</f>
        <v>0</v>
      </c>
      <c r="AX34" s="127">
        <f>AX$22*shipping_manufacturing!$E$27/100</f>
        <v>103.50000000000001</v>
      </c>
      <c r="AY34" s="127">
        <f>AY$22*shipping_manufacturing!$E$27/100</f>
        <v>103.50000000000001</v>
      </c>
    </row>
    <row r="35" spans="1:52" x14ac:dyDescent="0.2">
      <c r="A35" s="127">
        <v>1335</v>
      </c>
      <c r="B35" s="181" t="s">
        <v>343</v>
      </c>
      <c r="C35" s="127"/>
      <c r="D35" s="127">
        <f>SUM(D33:D34)</f>
        <v>345</v>
      </c>
      <c r="E35" s="127">
        <f t="shared" ref="E35:AY35" si="11">SUM(E33:E34)</f>
        <v>345</v>
      </c>
      <c r="F35" s="127">
        <f t="shared" si="11"/>
        <v>345</v>
      </c>
      <c r="G35" s="127">
        <f t="shared" si="11"/>
        <v>345</v>
      </c>
      <c r="H35" s="127">
        <f t="shared" si="11"/>
        <v>345</v>
      </c>
      <c r="I35" s="127">
        <f t="shared" si="11"/>
        <v>345</v>
      </c>
      <c r="J35" s="127">
        <f t="shared" si="11"/>
        <v>345</v>
      </c>
      <c r="K35" s="127">
        <f t="shared" si="11"/>
        <v>345</v>
      </c>
      <c r="L35" s="127">
        <f t="shared" si="11"/>
        <v>345</v>
      </c>
      <c r="M35" s="127">
        <f t="shared" si="11"/>
        <v>345</v>
      </c>
      <c r="N35" s="127">
        <f t="shared" si="11"/>
        <v>345</v>
      </c>
      <c r="O35" s="127">
        <f t="shared" si="11"/>
        <v>345</v>
      </c>
      <c r="P35" s="127">
        <f t="shared" si="11"/>
        <v>345</v>
      </c>
      <c r="Q35" s="127">
        <f t="shared" si="11"/>
        <v>345</v>
      </c>
      <c r="R35" s="127">
        <f t="shared" si="11"/>
        <v>345</v>
      </c>
      <c r="S35" s="127">
        <f t="shared" si="11"/>
        <v>345</v>
      </c>
      <c r="T35" s="127">
        <f t="shared" si="11"/>
        <v>345</v>
      </c>
      <c r="U35" s="127">
        <f t="shared" si="11"/>
        <v>345</v>
      </c>
      <c r="V35" s="127">
        <f t="shared" si="11"/>
        <v>345</v>
      </c>
      <c r="W35" s="127">
        <f t="shared" si="11"/>
        <v>345</v>
      </c>
      <c r="X35" s="127">
        <f t="shared" si="11"/>
        <v>345</v>
      </c>
      <c r="Y35" s="127">
        <f t="shared" si="11"/>
        <v>345</v>
      </c>
      <c r="Z35" s="127">
        <f t="shared" si="11"/>
        <v>345</v>
      </c>
      <c r="AA35" s="127">
        <f t="shared" si="11"/>
        <v>345</v>
      </c>
      <c r="AB35" s="127">
        <f t="shared" si="11"/>
        <v>345</v>
      </c>
      <c r="AC35" s="127">
        <f t="shared" si="11"/>
        <v>345</v>
      </c>
      <c r="AD35" s="127">
        <f t="shared" si="11"/>
        <v>345</v>
      </c>
      <c r="AE35" s="127">
        <f t="shared" si="11"/>
        <v>345</v>
      </c>
      <c r="AF35" s="127">
        <f t="shared" si="11"/>
        <v>345</v>
      </c>
      <c r="AG35" s="127">
        <f t="shared" si="11"/>
        <v>345</v>
      </c>
      <c r="AH35" s="127">
        <f t="shared" si="11"/>
        <v>345</v>
      </c>
      <c r="AI35" s="127">
        <f t="shared" si="11"/>
        <v>345</v>
      </c>
      <c r="AJ35" s="127">
        <f t="shared" si="11"/>
        <v>345</v>
      </c>
      <c r="AK35" s="127">
        <f t="shared" si="11"/>
        <v>345</v>
      </c>
      <c r="AL35" s="127">
        <f t="shared" si="11"/>
        <v>345</v>
      </c>
      <c r="AM35" s="127">
        <f t="shared" si="11"/>
        <v>345</v>
      </c>
      <c r="AN35" s="127">
        <f t="shared" si="11"/>
        <v>345</v>
      </c>
      <c r="AO35" s="127">
        <f t="shared" si="11"/>
        <v>345</v>
      </c>
      <c r="AP35" s="127">
        <f t="shared" si="11"/>
        <v>345</v>
      </c>
      <c r="AQ35" s="127">
        <f t="shared" si="11"/>
        <v>345</v>
      </c>
      <c r="AR35" s="127">
        <f t="shared" si="11"/>
        <v>345</v>
      </c>
      <c r="AS35" s="127">
        <f t="shared" si="11"/>
        <v>345</v>
      </c>
      <c r="AT35" s="127">
        <f t="shared" si="11"/>
        <v>345</v>
      </c>
      <c r="AU35" s="127">
        <f t="shared" si="11"/>
        <v>345</v>
      </c>
      <c r="AV35" s="127">
        <f t="shared" si="11"/>
        <v>345</v>
      </c>
      <c r="AW35" s="127">
        <f t="shared" si="11"/>
        <v>0</v>
      </c>
      <c r="AX35" s="127">
        <f t="shared" si="11"/>
        <v>345</v>
      </c>
      <c r="AY35" s="127">
        <f t="shared" si="11"/>
        <v>345</v>
      </c>
    </row>
    <row r="36" spans="1:52" x14ac:dyDescent="0.2">
      <c r="A36" s="127"/>
      <c r="B36" s="181" t="s">
        <v>344</v>
      </c>
      <c r="C36" s="127"/>
      <c r="D36" s="127"/>
      <c r="E36" s="127">
        <v>230.99999999999997</v>
      </c>
      <c r="F36" s="127"/>
      <c r="G36" s="127">
        <v>230.99999999999997</v>
      </c>
      <c r="H36" s="127"/>
      <c r="I36" s="127">
        <v>230.99999999999997</v>
      </c>
      <c r="J36" s="127"/>
      <c r="K36" s="127">
        <v>230.99999999999997</v>
      </c>
      <c r="L36" s="127"/>
      <c r="M36" s="127">
        <v>230.99999999999997</v>
      </c>
      <c r="N36" s="127"/>
      <c r="O36" s="127">
        <v>230.99999999999997</v>
      </c>
      <c r="P36" s="127"/>
      <c r="Q36" s="127">
        <v>230.99999999999997</v>
      </c>
      <c r="R36" s="127"/>
      <c r="S36" s="127">
        <v>230.99999999999997</v>
      </c>
      <c r="T36" s="127"/>
      <c r="U36" s="127">
        <v>230.99999999999997</v>
      </c>
      <c r="V36" s="127"/>
      <c r="W36" s="127">
        <v>230.99999999999997</v>
      </c>
      <c r="X36" s="127"/>
      <c r="Y36" s="127">
        <v>230.99999999999997</v>
      </c>
      <c r="Z36" s="127"/>
      <c r="AA36" s="127">
        <v>230.99999999999997</v>
      </c>
      <c r="AB36" s="127"/>
      <c r="AC36" s="127">
        <v>230.99999999999997</v>
      </c>
      <c r="AD36" s="127"/>
      <c r="AE36" s="127">
        <v>230.99999999999997</v>
      </c>
      <c r="AF36" s="127"/>
      <c r="AG36" s="127">
        <v>230.99999999999997</v>
      </c>
      <c r="AH36" s="127"/>
      <c r="AI36" s="127">
        <v>230.99999999999997</v>
      </c>
      <c r="AJ36" s="127"/>
      <c r="AK36" s="127">
        <v>230.99999999999997</v>
      </c>
      <c r="AL36" s="127"/>
      <c r="AM36" s="127">
        <v>230.99999999999997</v>
      </c>
      <c r="AN36" s="127"/>
      <c r="AO36" s="127">
        <v>230.99999999999997</v>
      </c>
      <c r="AP36" s="127"/>
      <c r="AQ36" s="127">
        <v>230.99999999999997</v>
      </c>
      <c r="AR36" s="127"/>
      <c r="AS36" s="127">
        <v>230.99999999999997</v>
      </c>
      <c r="AT36" s="127"/>
      <c r="AU36" s="127">
        <v>230.99999999999997</v>
      </c>
      <c r="AV36" s="127"/>
      <c r="AW36" s="127"/>
      <c r="AX36" s="127">
        <v>230.99999999999997</v>
      </c>
      <c r="AY36" s="127"/>
    </row>
    <row r="37" spans="1:52" x14ac:dyDescent="0.2">
      <c r="A37" s="127"/>
      <c r="B37" s="181" t="s">
        <v>345</v>
      </c>
      <c r="C37" s="127"/>
      <c r="D37" s="127"/>
      <c r="E37" s="127">
        <v>99.000000000000014</v>
      </c>
      <c r="F37" s="127"/>
      <c r="G37" s="127">
        <v>99.000000000000014</v>
      </c>
      <c r="H37" s="127"/>
      <c r="I37" s="127">
        <v>99.000000000000014</v>
      </c>
      <c r="J37" s="127"/>
      <c r="K37" s="127">
        <v>99.000000000000014</v>
      </c>
      <c r="L37" s="127"/>
      <c r="M37" s="127">
        <v>99.000000000000014</v>
      </c>
      <c r="N37" s="127"/>
      <c r="O37" s="127">
        <v>99.000000000000014</v>
      </c>
      <c r="P37" s="127"/>
      <c r="Q37" s="127">
        <v>99.000000000000014</v>
      </c>
      <c r="R37" s="127"/>
      <c r="S37" s="127">
        <v>99.000000000000014</v>
      </c>
      <c r="T37" s="127"/>
      <c r="U37" s="127">
        <v>99.000000000000014</v>
      </c>
      <c r="V37" s="127"/>
      <c r="W37" s="127">
        <v>99.000000000000014</v>
      </c>
      <c r="X37" s="127"/>
      <c r="Y37" s="127">
        <v>99.000000000000014</v>
      </c>
      <c r="Z37" s="127"/>
      <c r="AA37" s="127">
        <v>99.000000000000014</v>
      </c>
      <c r="AB37" s="127"/>
      <c r="AC37" s="127">
        <v>99.000000000000014</v>
      </c>
      <c r="AD37" s="127"/>
      <c r="AE37" s="127">
        <v>99.000000000000014</v>
      </c>
      <c r="AF37" s="127"/>
      <c r="AG37" s="127">
        <v>99.000000000000014</v>
      </c>
      <c r="AH37" s="127"/>
      <c r="AI37" s="127">
        <v>99.000000000000014</v>
      </c>
      <c r="AJ37" s="127"/>
      <c r="AK37" s="127">
        <v>99.000000000000014</v>
      </c>
      <c r="AL37" s="127"/>
      <c r="AM37" s="127">
        <v>99.000000000000014</v>
      </c>
      <c r="AN37" s="127"/>
      <c r="AO37" s="127">
        <v>99.000000000000014</v>
      </c>
      <c r="AP37" s="127"/>
      <c r="AQ37" s="127">
        <v>99.000000000000014</v>
      </c>
      <c r="AR37" s="127"/>
      <c r="AS37" s="127">
        <v>99.000000000000014</v>
      </c>
      <c r="AT37" s="127"/>
      <c r="AU37" s="127">
        <v>99.000000000000014</v>
      </c>
      <c r="AV37" s="127"/>
      <c r="AW37" s="127"/>
      <c r="AX37" s="127">
        <v>99.000000000000014</v>
      </c>
      <c r="AY37" s="127"/>
    </row>
    <row r="38" spans="1:52" x14ac:dyDescent="0.2">
      <c r="A38" s="127"/>
      <c r="B38" s="181" t="s">
        <v>346</v>
      </c>
      <c r="C38" s="127"/>
      <c r="D38" s="127"/>
      <c r="E38" s="127">
        <v>11</v>
      </c>
      <c r="F38" s="127"/>
      <c r="G38" s="127">
        <v>11</v>
      </c>
      <c r="H38" s="127"/>
      <c r="I38" s="127">
        <v>11</v>
      </c>
      <c r="J38" s="127"/>
      <c r="K38" s="127">
        <v>11</v>
      </c>
      <c r="L38" s="127"/>
      <c r="M38" s="127">
        <v>11</v>
      </c>
      <c r="N38" s="127"/>
      <c r="O38" s="127">
        <v>11</v>
      </c>
      <c r="P38" s="127"/>
      <c r="Q38" s="127">
        <v>11</v>
      </c>
      <c r="R38" s="127"/>
      <c r="S38" s="127">
        <v>11</v>
      </c>
      <c r="T38" s="127"/>
      <c r="U38" s="127">
        <v>11</v>
      </c>
      <c r="V38" s="127"/>
      <c r="W38" s="127">
        <v>11</v>
      </c>
      <c r="X38" s="127"/>
      <c r="Y38" s="127">
        <v>11</v>
      </c>
      <c r="Z38" s="127"/>
      <c r="AA38" s="127">
        <v>11</v>
      </c>
      <c r="AB38" s="127"/>
      <c r="AC38" s="127">
        <v>11</v>
      </c>
      <c r="AD38" s="127"/>
      <c r="AE38" s="127">
        <v>11</v>
      </c>
      <c r="AF38" s="127"/>
      <c r="AG38" s="127">
        <v>11</v>
      </c>
      <c r="AH38" s="127"/>
      <c r="AI38" s="127">
        <v>11</v>
      </c>
      <c r="AJ38" s="127"/>
      <c r="AK38" s="127">
        <v>11</v>
      </c>
      <c r="AL38" s="127"/>
      <c r="AM38" s="127">
        <v>11</v>
      </c>
      <c r="AN38" s="127"/>
      <c r="AO38" s="127">
        <v>11</v>
      </c>
      <c r="AP38" s="127"/>
      <c r="AQ38" s="127">
        <v>11</v>
      </c>
      <c r="AR38" s="127"/>
      <c r="AS38" s="127">
        <v>11</v>
      </c>
      <c r="AT38" s="127"/>
      <c r="AU38" s="127">
        <v>11</v>
      </c>
      <c r="AV38" s="127"/>
      <c r="AW38" s="127"/>
      <c r="AX38" s="127">
        <v>11</v>
      </c>
      <c r="AY38" s="127"/>
    </row>
    <row r="39" spans="1:52" x14ac:dyDescent="0.2">
      <c r="A39" s="127"/>
      <c r="B39" s="181" t="s">
        <v>347</v>
      </c>
      <c r="C39" s="127"/>
      <c r="D39" s="127">
        <f>D33-D36</f>
        <v>241.49999999999997</v>
      </c>
      <c r="E39" s="127">
        <f t="shared" ref="E39:AY39" si="12">E33-E36</f>
        <v>10.5</v>
      </c>
      <c r="F39" s="127">
        <f t="shared" si="12"/>
        <v>241.49999999999997</v>
      </c>
      <c r="G39" s="127">
        <f t="shared" si="12"/>
        <v>10.5</v>
      </c>
      <c r="H39" s="127">
        <f t="shared" si="12"/>
        <v>241.49999999999997</v>
      </c>
      <c r="I39" s="127">
        <f t="shared" si="12"/>
        <v>10.5</v>
      </c>
      <c r="J39" s="127">
        <f t="shared" si="12"/>
        <v>241.49999999999997</v>
      </c>
      <c r="K39" s="127">
        <f t="shared" si="12"/>
        <v>10.5</v>
      </c>
      <c r="L39" s="127">
        <f t="shared" si="12"/>
        <v>241.49999999999997</v>
      </c>
      <c r="M39" s="127">
        <f t="shared" si="12"/>
        <v>10.5</v>
      </c>
      <c r="N39" s="127">
        <f t="shared" si="12"/>
        <v>241.49999999999997</v>
      </c>
      <c r="O39" s="127">
        <f t="shared" si="12"/>
        <v>10.5</v>
      </c>
      <c r="P39" s="127">
        <f t="shared" si="12"/>
        <v>241.49999999999997</v>
      </c>
      <c r="Q39" s="127">
        <f t="shared" si="12"/>
        <v>10.5</v>
      </c>
      <c r="R39" s="127">
        <f t="shared" si="12"/>
        <v>241.49999999999997</v>
      </c>
      <c r="S39" s="127">
        <f t="shared" si="12"/>
        <v>10.5</v>
      </c>
      <c r="T39" s="127">
        <f t="shared" si="12"/>
        <v>241.49999999999997</v>
      </c>
      <c r="U39" s="127">
        <f t="shared" si="12"/>
        <v>10.5</v>
      </c>
      <c r="V39" s="127">
        <f t="shared" si="12"/>
        <v>241.49999999999997</v>
      </c>
      <c r="W39" s="127">
        <f t="shared" si="12"/>
        <v>10.5</v>
      </c>
      <c r="X39" s="127">
        <f t="shared" si="12"/>
        <v>241.49999999999997</v>
      </c>
      <c r="Y39" s="127">
        <f t="shared" si="12"/>
        <v>10.5</v>
      </c>
      <c r="Z39" s="127">
        <f t="shared" si="12"/>
        <v>241.49999999999997</v>
      </c>
      <c r="AA39" s="127">
        <f t="shared" si="12"/>
        <v>10.5</v>
      </c>
      <c r="AB39" s="127">
        <f t="shared" si="12"/>
        <v>241.49999999999997</v>
      </c>
      <c r="AC39" s="127">
        <f t="shared" si="12"/>
        <v>10.5</v>
      </c>
      <c r="AD39" s="127">
        <f t="shared" si="12"/>
        <v>241.49999999999997</v>
      </c>
      <c r="AE39" s="127">
        <f t="shared" si="12"/>
        <v>10.5</v>
      </c>
      <c r="AF39" s="127">
        <f t="shared" si="12"/>
        <v>241.49999999999997</v>
      </c>
      <c r="AG39" s="127">
        <f t="shared" si="12"/>
        <v>10.5</v>
      </c>
      <c r="AH39" s="127">
        <f t="shared" si="12"/>
        <v>241.49999999999997</v>
      </c>
      <c r="AI39" s="127">
        <f t="shared" si="12"/>
        <v>10.5</v>
      </c>
      <c r="AJ39" s="127">
        <f t="shared" si="12"/>
        <v>241.49999999999997</v>
      </c>
      <c r="AK39" s="127">
        <f t="shared" si="12"/>
        <v>10.5</v>
      </c>
      <c r="AL39" s="127">
        <f t="shared" si="12"/>
        <v>241.49999999999997</v>
      </c>
      <c r="AM39" s="127">
        <f t="shared" si="12"/>
        <v>10.5</v>
      </c>
      <c r="AN39" s="127">
        <f t="shared" si="12"/>
        <v>241.49999999999997</v>
      </c>
      <c r="AO39" s="127">
        <f t="shared" si="12"/>
        <v>10.5</v>
      </c>
      <c r="AP39" s="127">
        <f t="shared" si="12"/>
        <v>241.49999999999997</v>
      </c>
      <c r="AQ39" s="127">
        <f t="shared" si="12"/>
        <v>10.5</v>
      </c>
      <c r="AR39" s="127">
        <f t="shared" si="12"/>
        <v>241.49999999999997</v>
      </c>
      <c r="AS39" s="127">
        <f t="shared" si="12"/>
        <v>10.5</v>
      </c>
      <c r="AT39" s="127">
        <f t="shared" si="12"/>
        <v>241.49999999999997</v>
      </c>
      <c r="AU39" s="127">
        <f t="shared" si="12"/>
        <v>10.5</v>
      </c>
      <c r="AV39" s="127">
        <f t="shared" si="12"/>
        <v>241.49999999999997</v>
      </c>
      <c r="AW39" s="127">
        <f t="shared" si="12"/>
        <v>0</v>
      </c>
      <c r="AX39" s="127">
        <f t="shared" si="12"/>
        <v>10.5</v>
      </c>
      <c r="AY39" s="127">
        <f t="shared" si="12"/>
        <v>241.49999999999997</v>
      </c>
    </row>
    <row r="40" spans="1:52" x14ac:dyDescent="0.2">
      <c r="A40" s="127"/>
      <c r="B40" s="181" t="s">
        <v>348</v>
      </c>
      <c r="C40" s="127"/>
      <c r="D40" s="127">
        <f>D34-D37</f>
        <v>103.50000000000001</v>
      </c>
      <c r="E40" s="127">
        <f t="shared" ref="E40:AY40" si="13">E34-E37</f>
        <v>4.5</v>
      </c>
      <c r="F40" s="127">
        <f t="shared" si="13"/>
        <v>103.50000000000001</v>
      </c>
      <c r="G40" s="127">
        <f t="shared" si="13"/>
        <v>4.5</v>
      </c>
      <c r="H40" s="127">
        <f t="shared" si="13"/>
        <v>103.50000000000001</v>
      </c>
      <c r="I40" s="127">
        <f t="shared" si="13"/>
        <v>4.5</v>
      </c>
      <c r="J40" s="127">
        <f t="shared" si="13"/>
        <v>103.50000000000001</v>
      </c>
      <c r="K40" s="127">
        <f t="shared" si="13"/>
        <v>4.5</v>
      </c>
      <c r="L40" s="127">
        <f t="shared" si="13"/>
        <v>103.50000000000001</v>
      </c>
      <c r="M40" s="127">
        <f t="shared" si="13"/>
        <v>4.5</v>
      </c>
      <c r="N40" s="127">
        <f t="shared" si="13"/>
        <v>103.50000000000001</v>
      </c>
      <c r="O40" s="127">
        <f t="shared" si="13"/>
        <v>4.5</v>
      </c>
      <c r="P40" s="127">
        <f t="shared" si="13"/>
        <v>103.50000000000001</v>
      </c>
      <c r="Q40" s="127">
        <f t="shared" si="13"/>
        <v>4.5</v>
      </c>
      <c r="R40" s="127">
        <f t="shared" si="13"/>
        <v>103.50000000000001</v>
      </c>
      <c r="S40" s="127">
        <f t="shared" si="13"/>
        <v>4.5</v>
      </c>
      <c r="T40" s="127">
        <f t="shared" si="13"/>
        <v>103.50000000000001</v>
      </c>
      <c r="U40" s="127">
        <f t="shared" si="13"/>
        <v>4.5</v>
      </c>
      <c r="V40" s="127">
        <f t="shared" si="13"/>
        <v>103.50000000000001</v>
      </c>
      <c r="W40" s="127">
        <f t="shared" si="13"/>
        <v>4.5</v>
      </c>
      <c r="X40" s="127">
        <f t="shared" si="13"/>
        <v>103.50000000000001</v>
      </c>
      <c r="Y40" s="127">
        <f t="shared" si="13"/>
        <v>4.5</v>
      </c>
      <c r="Z40" s="127">
        <f t="shared" si="13"/>
        <v>103.50000000000001</v>
      </c>
      <c r="AA40" s="127">
        <f t="shared" si="13"/>
        <v>4.5</v>
      </c>
      <c r="AB40" s="127">
        <f t="shared" si="13"/>
        <v>103.50000000000001</v>
      </c>
      <c r="AC40" s="127">
        <f t="shared" si="13"/>
        <v>4.5</v>
      </c>
      <c r="AD40" s="127">
        <f t="shared" si="13"/>
        <v>103.50000000000001</v>
      </c>
      <c r="AE40" s="127">
        <f t="shared" si="13"/>
        <v>4.5</v>
      </c>
      <c r="AF40" s="127">
        <f t="shared" si="13"/>
        <v>103.50000000000001</v>
      </c>
      <c r="AG40" s="127">
        <f t="shared" si="13"/>
        <v>4.5</v>
      </c>
      <c r="AH40" s="127">
        <f t="shared" si="13"/>
        <v>103.50000000000001</v>
      </c>
      <c r="AI40" s="127">
        <f t="shared" si="13"/>
        <v>4.5</v>
      </c>
      <c r="AJ40" s="127">
        <f t="shared" si="13"/>
        <v>103.50000000000001</v>
      </c>
      <c r="AK40" s="127">
        <f t="shared" si="13"/>
        <v>4.5</v>
      </c>
      <c r="AL40" s="127">
        <f t="shared" si="13"/>
        <v>103.50000000000001</v>
      </c>
      <c r="AM40" s="127">
        <f t="shared" si="13"/>
        <v>4.5</v>
      </c>
      <c r="AN40" s="127">
        <f t="shared" si="13"/>
        <v>103.50000000000001</v>
      </c>
      <c r="AO40" s="127">
        <f t="shared" si="13"/>
        <v>4.5</v>
      </c>
      <c r="AP40" s="127">
        <f t="shared" si="13"/>
        <v>103.50000000000001</v>
      </c>
      <c r="AQ40" s="127">
        <f t="shared" si="13"/>
        <v>4.5</v>
      </c>
      <c r="AR40" s="127">
        <f t="shared" si="13"/>
        <v>103.50000000000001</v>
      </c>
      <c r="AS40" s="127">
        <f t="shared" si="13"/>
        <v>4.5</v>
      </c>
      <c r="AT40" s="127">
        <f t="shared" si="13"/>
        <v>103.50000000000001</v>
      </c>
      <c r="AU40" s="127">
        <f t="shared" si="13"/>
        <v>4.5</v>
      </c>
      <c r="AV40" s="127">
        <f t="shared" si="13"/>
        <v>103.50000000000001</v>
      </c>
      <c r="AW40" s="127">
        <f t="shared" si="13"/>
        <v>0</v>
      </c>
      <c r="AX40" s="127">
        <f t="shared" si="13"/>
        <v>4.5</v>
      </c>
      <c r="AY40" s="127">
        <f t="shared" si="13"/>
        <v>103.50000000000001</v>
      </c>
    </row>
    <row r="41" spans="1:52" x14ac:dyDescent="0.2">
      <c r="A41" s="127"/>
      <c r="B41" s="181" t="s">
        <v>349</v>
      </c>
      <c r="C41" s="127"/>
      <c r="D41" s="127">
        <v>2</v>
      </c>
      <c r="E41" s="127">
        <v>1</v>
      </c>
      <c r="F41" s="127">
        <v>1</v>
      </c>
      <c r="G41" s="127">
        <v>1</v>
      </c>
      <c r="H41" s="127">
        <v>2</v>
      </c>
      <c r="I41" s="127">
        <v>1</v>
      </c>
      <c r="J41" s="127">
        <v>1</v>
      </c>
      <c r="K41" s="127">
        <v>1</v>
      </c>
      <c r="L41" s="127">
        <v>2</v>
      </c>
      <c r="M41" s="127">
        <v>1</v>
      </c>
      <c r="N41" s="127">
        <v>3</v>
      </c>
      <c r="O41" s="127">
        <v>2</v>
      </c>
      <c r="P41" s="127">
        <v>3</v>
      </c>
      <c r="Q41" s="127">
        <v>1</v>
      </c>
      <c r="R41" s="127">
        <v>2</v>
      </c>
      <c r="S41" s="127">
        <v>2</v>
      </c>
      <c r="T41" s="127">
        <v>2</v>
      </c>
      <c r="U41" s="127">
        <v>1</v>
      </c>
      <c r="V41" s="127">
        <v>1</v>
      </c>
      <c r="W41" s="127">
        <v>1</v>
      </c>
      <c r="X41" s="127">
        <v>3</v>
      </c>
      <c r="Y41" s="127">
        <v>1</v>
      </c>
      <c r="Z41" s="127">
        <v>1</v>
      </c>
      <c r="AA41" s="127">
        <v>1</v>
      </c>
      <c r="AB41" s="127">
        <v>2</v>
      </c>
      <c r="AC41" s="127">
        <v>1</v>
      </c>
      <c r="AD41" s="127">
        <v>1</v>
      </c>
      <c r="AE41" s="127">
        <v>2</v>
      </c>
      <c r="AF41" s="127">
        <v>2</v>
      </c>
      <c r="AG41" s="127">
        <v>2</v>
      </c>
      <c r="AH41" s="127">
        <v>2</v>
      </c>
      <c r="AI41" s="127">
        <v>3</v>
      </c>
      <c r="AJ41" s="127">
        <v>1</v>
      </c>
      <c r="AK41" s="127">
        <v>1</v>
      </c>
      <c r="AL41" s="127">
        <v>1</v>
      </c>
      <c r="AM41" s="127">
        <v>3</v>
      </c>
      <c r="AN41" s="127">
        <v>2</v>
      </c>
      <c r="AO41" s="127">
        <v>1</v>
      </c>
      <c r="AP41" s="127">
        <v>1</v>
      </c>
      <c r="AQ41" s="127">
        <v>3</v>
      </c>
      <c r="AR41" s="127">
        <v>1</v>
      </c>
      <c r="AS41" s="127">
        <v>1</v>
      </c>
      <c r="AT41" s="127">
        <v>1</v>
      </c>
      <c r="AU41" s="127">
        <v>3</v>
      </c>
      <c r="AV41" s="127">
        <v>1</v>
      </c>
      <c r="AW41" s="127">
        <v>1</v>
      </c>
      <c r="AX41" s="127">
        <v>3</v>
      </c>
      <c r="AY41" s="127">
        <v>3</v>
      </c>
    </row>
    <row r="42" spans="1:52" x14ac:dyDescent="0.2">
      <c r="A42" s="127"/>
      <c r="B42" s="192" t="s">
        <v>350</v>
      </c>
      <c r="C42" s="127"/>
      <c r="D42" s="127">
        <v>0</v>
      </c>
      <c r="E42" s="127">
        <v>528660</v>
      </c>
      <c r="F42" s="127">
        <v>0</v>
      </c>
      <c r="G42" s="127">
        <v>528660</v>
      </c>
      <c r="H42" s="127">
        <v>0</v>
      </c>
      <c r="I42" s="127">
        <v>528660</v>
      </c>
      <c r="J42" s="127">
        <v>0</v>
      </c>
      <c r="K42" s="127">
        <v>528660</v>
      </c>
      <c r="L42" s="127">
        <v>0</v>
      </c>
      <c r="M42" s="127">
        <v>528660</v>
      </c>
      <c r="N42" s="127">
        <v>0</v>
      </c>
      <c r="O42" s="127">
        <v>528660</v>
      </c>
      <c r="P42" s="127">
        <v>0</v>
      </c>
      <c r="Q42" s="127">
        <v>528660</v>
      </c>
      <c r="R42" s="127">
        <v>0</v>
      </c>
      <c r="S42" s="127">
        <v>528660</v>
      </c>
      <c r="T42" s="127">
        <v>0</v>
      </c>
      <c r="U42" s="127">
        <v>528660</v>
      </c>
      <c r="V42" s="127">
        <v>0</v>
      </c>
      <c r="W42" s="127">
        <v>528660</v>
      </c>
      <c r="X42" s="127">
        <v>0</v>
      </c>
      <c r="Y42" s="127">
        <v>528660</v>
      </c>
      <c r="Z42" s="127">
        <v>0</v>
      </c>
      <c r="AA42" s="127">
        <v>528660</v>
      </c>
      <c r="AB42" s="127">
        <v>0</v>
      </c>
      <c r="AC42" s="127">
        <v>528660</v>
      </c>
      <c r="AD42" s="127">
        <v>0</v>
      </c>
      <c r="AE42" s="127">
        <v>528660</v>
      </c>
      <c r="AF42" s="127">
        <v>0</v>
      </c>
      <c r="AG42" s="127">
        <v>528660</v>
      </c>
      <c r="AH42" s="127">
        <v>0</v>
      </c>
      <c r="AI42" s="127">
        <v>528660</v>
      </c>
      <c r="AJ42" s="127">
        <v>0</v>
      </c>
      <c r="AK42" s="127">
        <v>528660</v>
      </c>
      <c r="AL42" s="127">
        <v>0</v>
      </c>
      <c r="AM42" s="127">
        <v>528660</v>
      </c>
      <c r="AN42" s="127">
        <v>0</v>
      </c>
      <c r="AO42" s="127">
        <v>528660</v>
      </c>
      <c r="AP42" s="127">
        <v>0</v>
      </c>
      <c r="AQ42" s="127">
        <v>528660</v>
      </c>
      <c r="AR42" s="127">
        <v>0</v>
      </c>
      <c r="AS42" s="127">
        <v>528660</v>
      </c>
      <c r="AT42" s="127">
        <v>0</v>
      </c>
      <c r="AU42" s="127">
        <v>528660</v>
      </c>
      <c r="AV42" s="127">
        <v>0</v>
      </c>
      <c r="AW42" s="127">
        <v>0</v>
      </c>
      <c r="AX42" s="127">
        <v>528660</v>
      </c>
      <c r="AY42" s="127">
        <v>0</v>
      </c>
      <c r="AZ42">
        <f>SUM($D$42:$AY$42)</f>
        <v>12159180</v>
      </c>
    </row>
    <row r="43" spans="1:52" x14ac:dyDescent="0.2">
      <c r="A43" s="127"/>
      <c r="B43" s="192" t="s">
        <v>351</v>
      </c>
      <c r="C43" s="127"/>
      <c r="D43" s="127">
        <v>299373.75</v>
      </c>
      <c r="E43" s="127">
        <v>13016.25</v>
      </c>
      <c r="F43" s="127">
        <v>299373.75</v>
      </c>
      <c r="G43" s="127">
        <v>13016.25</v>
      </c>
      <c r="H43" s="127">
        <v>299373.75</v>
      </c>
      <c r="I43" s="127">
        <v>13016.25</v>
      </c>
      <c r="J43" s="127">
        <v>299373.75</v>
      </c>
      <c r="K43" s="127">
        <v>13016.25</v>
      </c>
      <c r="L43" s="127">
        <v>299373.75</v>
      </c>
      <c r="M43" s="127">
        <v>13016.25</v>
      </c>
      <c r="N43" s="127">
        <v>299373.75</v>
      </c>
      <c r="O43" s="127">
        <v>13016.25</v>
      </c>
      <c r="P43" s="127">
        <v>299373.75</v>
      </c>
      <c r="Q43" s="127">
        <v>13016.25</v>
      </c>
      <c r="R43" s="127">
        <v>299373.75</v>
      </c>
      <c r="S43" s="127">
        <v>13016.25</v>
      </c>
      <c r="T43" s="127">
        <v>299373.75</v>
      </c>
      <c r="U43" s="127">
        <v>13016.25</v>
      </c>
      <c r="V43" s="127">
        <v>299373.75</v>
      </c>
      <c r="W43" s="127">
        <v>13016.25</v>
      </c>
      <c r="X43" s="127">
        <v>299373.75</v>
      </c>
      <c r="Y43" s="127">
        <v>13016.25</v>
      </c>
      <c r="Z43" s="127">
        <v>299373.75</v>
      </c>
      <c r="AA43" s="127">
        <v>13016.25</v>
      </c>
      <c r="AB43" s="127">
        <v>299373.75</v>
      </c>
      <c r="AC43" s="127">
        <v>13016.25</v>
      </c>
      <c r="AD43" s="127">
        <v>299373.75</v>
      </c>
      <c r="AE43" s="127">
        <v>13016.25</v>
      </c>
      <c r="AF43" s="127">
        <v>299373.75</v>
      </c>
      <c r="AG43" s="127">
        <v>13016.25</v>
      </c>
      <c r="AH43" s="127">
        <v>299373.75</v>
      </c>
      <c r="AI43" s="127">
        <v>13016.25</v>
      </c>
      <c r="AJ43" s="127">
        <v>299373.75</v>
      </c>
      <c r="AK43" s="127">
        <v>13016.25</v>
      </c>
      <c r="AL43" s="127">
        <v>299373.75</v>
      </c>
      <c r="AM43" s="127">
        <v>13016.25</v>
      </c>
      <c r="AN43" s="127">
        <v>299373.75</v>
      </c>
      <c r="AO43" s="127">
        <v>13016.25</v>
      </c>
      <c r="AP43" s="127">
        <v>299373.75</v>
      </c>
      <c r="AQ43" s="127">
        <v>13016.25</v>
      </c>
      <c r="AR43" s="127">
        <v>299373.75</v>
      </c>
      <c r="AS43" s="127">
        <v>13016.25</v>
      </c>
      <c r="AT43" s="127">
        <v>299373.75</v>
      </c>
      <c r="AU43" s="127">
        <v>13016.25</v>
      </c>
      <c r="AV43" s="127">
        <v>299373.75</v>
      </c>
      <c r="AW43" s="127">
        <v>0</v>
      </c>
      <c r="AX43" s="127">
        <v>13016.25</v>
      </c>
      <c r="AY43" s="127">
        <v>299373.75</v>
      </c>
      <c r="AZ43">
        <f>SUM($D$43:$AY$43)</f>
        <v>7484343.75</v>
      </c>
    </row>
    <row r="44" spans="1:52" x14ac:dyDescent="0.2">
      <c r="A44" s="151" t="s">
        <v>59</v>
      </c>
      <c r="B44" s="151" t="s">
        <v>341</v>
      </c>
      <c r="C44" s="140"/>
      <c r="D44" s="140">
        <f>D$21*shipping_manufacturing!$D$28/100</f>
        <v>0</v>
      </c>
      <c r="E44" s="140">
        <f>E$21*shipping_manufacturing!$D$28/100</f>
        <v>0</v>
      </c>
      <c r="F44" s="140">
        <f>F$21*shipping_manufacturing!$D$28/100</f>
        <v>0</v>
      </c>
      <c r="G44" s="140">
        <f>G$21*shipping_manufacturing!$D$28/100</f>
        <v>0</v>
      </c>
      <c r="H44" s="140">
        <f>H$21*shipping_manufacturing!$D$28/100</f>
        <v>0</v>
      </c>
      <c r="I44" s="140">
        <f>I$21*shipping_manufacturing!$D$28/100</f>
        <v>0</v>
      </c>
      <c r="J44" s="140">
        <f>J$21*shipping_manufacturing!$D$28/100</f>
        <v>0</v>
      </c>
      <c r="K44" s="140">
        <f>K$21*shipping_manufacturing!$D$28/100</f>
        <v>0</v>
      </c>
      <c r="L44" s="140">
        <f>L$21*shipping_manufacturing!$D$28/100</f>
        <v>0</v>
      </c>
      <c r="M44" s="140">
        <f>M$21*shipping_manufacturing!$D$28/100</f>
        <v>0</v>
      </c>
      <c r="N44" s="140">
        <f>N$21*shipping_manufacturing!$D$28/100</f>
        <v>0</v>
      </c>
      <c r="O44" s="140">
        <f>O$21*shipping_manufacturing!$D$28/100</f>
        <v>0</v>
      </c>
      <c r="P44" s="140">
        <f>P$21*shipping_manufacturing!$D$28/100</f>
        <v>0</v>
      </c>
      <c r="Q44" s="140">
        <f>Q$21*shipping_manufacturing!$D$28/100</f>
        <v>0</v>
      </c>
      <c r="R44" s="140">
        <f>R$21*shipping_manufacturing!$D$28/100</f>
        <v>0</v>
      </c>
      <c r="S44" s="140">
        <f>S$21*shipping_manufacturing!$D$28/100</f>
        <v>0</v>
      </c>
      <c r="T44" s="140">
        <f>T$21*shipping_manufacturing!$D$28/100</f>
        <v>0</v>
      </c>
      <c r="U44" s="140">
        <f>U$21*shipping_manufacturing!$D$28/100</f>
        <v>0</v>
      </c>
      <c r="V44" s="140">
        <f>V$21*shipping_manufacturing!$D$28/100</f>
        <v>0</v>
      </c>
      <c r="W44" s="140">
        <f>W$21*shipping_manufacturing!$D$28/100</f>
        <v>0</v>
      </c>
      <c r="X44" s="140">
        <f>X$21*shipping_manufacturing!$D$28/100</f>
        <v>0</v>
      </c>
      <c r="Y44" s="140">
        <f>Y$21*shipping_manufacturing!$D$28/100</f>
        <v>0</v>
      </c>
      <c r="Z44" s="140">
        <f>Z$21*shipping_manufacturing!$D$28/100</f>
        <v>0</v>
      </c>
      <c r="AA44" s="140">
        <f>AA$21*shipping_manufacturing!$D$28/100</f>
        <v>0</v>
      </c>
      <c r="AB44" s="140">
        <f>AB$21*shipping_manufacturing!$D$28/100</f>
        <v>0</v>
      </c>
      <c r="AC44" s="140">
        <f>AC$21*shipping_manufacturing!$D$28/100</f>
        <v>0</v>
      </c>
      <c r="AD44" s="140">
        <f>AD$21*shipping_manufacturing!$D$28/100</f>
        <v>0</v>
      </c>
      <c r="AE44" s="140">
        <f>AE$21*shipping_manufacturing!$D$28/100</f>
        <v>0</v>
      </c>
      <c r="AF44" s="140">
        <f>AF$21*shipping_manufacturing!$D$28/100</f>
        <v>0</v>
      </c>
      <c r="AG44" s="140">
        <f>AG$21*shipping_manufacturing!$D$28/100</f>
        <v>0</v>
      </c>
      <c r="AH44" s="140">
        <f>AH$21*shipping_manufacturing!$D$28/100</f>
        <v>0</v>
      </c>
      <c r="AI44" s="140">
        <f>AI$21*shipping_manufacturing!$D$28/100</f>
        <v>0</v>
      </c>
      <c r="AJ44" s="140">
        <f>AJ$21*shipping_manufacturing!$D$28/100</f>
        <v>0</v>
      </c>
      <c r="AK44" s="140">
        <f>AK$21*shipping_manufacturing!$D$28/100</f>
        <v>0</v>
      </c>
      <c r="AL44" s="140">
        <f>AL$21*shipping_manufacturing!$D$28/100</f>
        <v>0</v>
      </c>
      <c r="AM44" s="140">
        <f>AM$21*shipping_manufacturing!$D$28/100</f>
        <v>0</v>
      </c>
      <c r="AN44" s="140">
        <f>AN$21*shipping_manufacturing!$D$28/100</f>
        <v>0</v>
      </c>
      <c r="AO44" s="140">
        <f>AO$21*shipping_manufacturing!$D$28/100</f>
        <v>0</v>
      </c>
      <c r="AP44" s="140">
        <f>AP$21*shipping_manufacturing!$D$28/100</f>
        <v>0</v>
      </c>
      <c r="AQ44" s="140">
        <f>AQ$21*shipping_manufacturing!$D$28/100</f>
        <v>0</v>
      </c>
      <c r="AR44" s="140">
        <f>AR$21*shipping_manufacturing!$D$28/100</f>
        <v>0</v>
      </c>
      <c r="AS44" s="140">
        <f>AS$21*shipping_manufacturing!$D$28/100</f>
        <v>0</v>
      </c>
      <c r="AT44" s="140">
        <f>AT$21*shipping_manufacturing!$D$28/100</f>
        <v>0</v>
      </c>
      <c r="AU44" s="140">
        <f>AU$21*shipping_manufacturing!$D$28/100</f>
        <v>0</v>
      </c>
      <c r="AV44" s="140">
        <f>AV$21*shipping_manufacturing!$D$28/100</f>
        <v>0</v>
      </c>
      <c r="AW44" s="140">
        <f>AW$21*shipping_manufacturing!$D$28/100</f>
        <v>0</v>
      </c>
      <c r="AX44" s="140">
        <f>AX$21*shipping_manufacturing!$D$28/100</f>
        <v>0</v>
      </c>
      <c r="AY44" s="140">
        <f>AY$21*shipping_manufacturing!$D$28/100</f>
        <v>0</v>
      </c>
    </row>
    <row r="45" spans="1:52" x14ac:dyDescent="0.2">
      <c r="A45" s="129" t="s">
        <v>340</v>
      </c>
      <c r="B45" s="181" t="s">
        <v>342</v>
      </c>
      <c r="C45" s="127"/>
      <c r="D45" s="127">
        <f>D$22*shipping_manufacturing!$E$28/100</f>
        <v>0</v>
      </c>
      <c r="E45" s="127">
        <f>E$22*shipping_manufacturing!$E$28/100</f>
        <v>0</v>
      </c>
      <c r="F45" s="127">
        <f>F$22*shipping_manufacturing!$E$28/100</f>
        <v>0</v>
      </c>
      <c r="G45" s="127">
        <f>G$22*shipping_manufacturing!$E$28/100</f>
        <v>0</v>
      </c>
      <c r="H45" s="127">
        <f>H$22*shipping_manufacturing!$E$28/100</f>
        <v>0</v>
      </c>
      <c r="I45" s="127">
        <f>I$22*shipping_manufacturing!$E$28/100</f>
        <v>0</v>
      </c>
      <c r="J45" s="127">
        <f>J$22*shipping_manufacturing!$E$28/100</f>
        <v>0</v>
      </c>
      <c r="K45" s="127">
        <f>K$22*shipping_manufacturing!$E$28/100</f>
        <v>0</v>
      </c>
      <c r="L45" s="127">
        <f>L$22*shipping_manufacturing!$E$28/100</f>
        <v>0</v>
      </c>
      <c r="M45" s="127">
        <f>M$22*shipping_manufacturing!$E$28/100</f>
        <v>0</v>
      </c>
      <c r="N45" s="127">
        <f>N$22*shipping_manufacturing!$E$28/100</f>
        <v>0</v>
      </c>
      <c r="O45" s="127">
        <f>O$22*shipping_manufacturing!$E$28/100</f>
        <v>0</v>
      </c>
      <c r="P45" s="127">
        <f>P$22*shipping_manufacturing!$E$28/100</f>
        <v>0</v>
      </c>
      <c r="Q45" s="127">
        <f>Q$22*shipping_manufacturing!$E$28/100</f>
        <v>0</v>
      </c>
      <c r="R45" s="127">
        <f>R$22*shipping_manufacturing!$E$28/100</f>
        <v>0</v>
      </c>
      <c r="S45" s="127">
        <f>S$22*shipping_manufacturing!$E$28/100</f>
        <v>0</v>
      </c>
      <c r="T45" s="127">
        <f>T$22*shipping_manufacturing!$E$28/100</f>
        <v>0</v>
      </c>
      <c r="U45" s="127">
        <f>U$22*shipping_manufacturing!$E$28/100</f>
        <v>0</v>
      </c>
      <c r="V45" s="127">
        <f>V$22*shipping_manufacturing!$E$28/100</f>
        <v>0</v>
      </c>
      <c r="W45" s="127">
        <f>W$22*shipping_manufacturing!$E$28/100</f>
        <v>0</v>
      </c>
      <c r="X45" s="127">
        <f>X$22*shipping_manufacturing!$E$28/100</f>
        <v>0</v>
      </c>
      <c r="Y45" s="127">
        <f>Y$22*shipping_manufacturing!$E$28/100</f>
        <v>0</v>
      </c>
      <c r="Z45" s="127">
        <f>Z$22*shipping_manufacturing!$E$28/100</f>
        <v>0</v>
      </c>
      <c r="AA45" s="127">
        <f>AA$22*shipping_manufacturing!$E$28/100</f>
        <v>0</v>
      </c>
      <c r="AB45" s="127">
        <f>AB$22*shipping_manufacturing!$E$28/100</f>
        <v>0</v>
      </c>
      <c r="AC45" s="127">
        <f>AC$22*shipping_manufacturing!$E$28/100</f>
        <v>0</v>
      </c>
      <c r="AD45" s="127">
        <f>AD$22*shipping_manufacturing!$E$28/100</f>
        <v>0</v>
      </c>
      <c r="AE45" s="127">
        <f>AE$22*shipping_manufacturing!$E$28/100</f>
        <v>0</v>
      </c>
      <c r="AF45" s="127">
        <f>AF$22*shipping_manufacturing!$E$28/100</f>
        <v>0</v>
      </c>
      <c r="AG45" s="127">
        <f>AG$22*shipping_manufacturing!$E$28/100</f>
        <v>0</v>
      </c>
      <c r="AH45" s="127">
        <f>AH$22*shipping_manufacturing!$E$28/100</f>
        <v>0</v>
      </c>
      <c r="AI45" s="127">
        <f>AI$22*shipping_manufacturing!$E$28/100</f>
        <v>0</v>
      </c>
      <c r="AJ45" s="127">
        <f>AJ$22*shipping_manufacturing!$E$28/100</f>
        <v>0</v>
      </c>
      <c r="AK45" s="127">
        <f>AK$22*shipping_manufacturing!$E$28/100</f>
        <v>0</v>
      </c>
      <c r="AL45" s="127">
        <f>AL$22*shipping_manufacturing!$E$28/100</f>
        <v>0</v>
      </c>
      <c r="AM45" s="127">
        <f>AM$22*shipping_manufacturing!$E$28/100</f>
        <v>0</v>
      </c>
      <c r="AN45" s="127">
        <f>AN$22*shipping_manufacturing!$E$28/100</f>
        <v>0</v>
      </c>
      <c r="AO45" s="127">
        <f>AO$22*shipping_manufacturing!$E$28/100</f>
        <v>0</v>
      </c>
      <c r="AP45" s="127">
        <f>AP$22*shipping_manufacturing!$E$28/100</f>
        <v>0</v>
      </c>
      <c r="AQ45" s="127">
        <f>AQ$22*shipping_manufacturing!$E$28/100</f>
        <v>0</v>
      </c>
      <c r="AR45" s="127">
        <f>AR$22*shipping_manufacturing!$E$28/100</f>
        <v>0</v>
      </c>
      <c r="AS45" s="127">
        <f>AS$22*shipping_manufacturing!$E$28/100</f>
        <v>0</v>
      </c>
      <c r="AT45" s="127">
        <f>AT$22*shipping_manufacturing!$E$28/100</f>
        <v>0</v>
      </c>
      <c r="AU45" s="127">
        <f>AU$22*shipping_manufacturing!$E$28/100</f>
        <v>0</v>
      </c>
      <c r="AV45" s="127">
        <f>AV$22*shipping_manufacturing!$E$28/100</f>
        <v>0</v>
      </c>
      <c r="AW45" s="127">
        <f>AW$22*shipping_manufacturing!$E$28/100</f>
        <v>0</v>
      </c>
      <c r="AX45" s="127">
        <f>AX$22*shipping_manufacturing!$E$28/100</f>
        <v>0</v>
      </c>
      <c r="AY45" s="127">
        <f>AY$22*shipping_manufacturing!$E$28/100</f>
        <v>0</v>
      </c>
    </row>
    <row r="46" spans="1:52" x14ac:dyDescent="0.2">
      <c r="A46" s="127">
        <v>718</v>
      </c>
      <c r="B46" s="181" t="s">
        <v>343</v>
      </c>
      <c r="C46" s="127"/>
      <c r="D46" s="127">
        <f>SUM(D44:D45)</f>
        <v>0</v>
      </c>
      <c r="E46" s="127">
        <f t="shared" ref="E46:AY46" si="14">SUM(E44:E45)</f>
        <v>0</v>
      </c>
      <c r="F46" s="127">
        <f t="shared" si="14"/>
        <v>0</v>
      </c>
      <c r="G46" s="127">
        <f t="shared" si="14"/>
        <v>0</v>
      </c>
      <c r="H46" s="127">
        <f t="shared" si="14"/>
        <v>0</v>
      </c>
      <c r="I46" s="127">
        <f t="shared" si="14"/>
        <v>0</v>
      </c>
      <c r="J46" s="127">
        <f t="shared" si="14"/>
        <v>0</v>
      </c>
      <c r="K46" s="127">
        <f t="shared" si="14"/>
        <v>0</v>
      </c>
      <c r="L46" s="127">
        <f t="shared" si="14"/>
        <v>0</v>
      </c>
      <c r="M46" s="127">
        <f t="shared" si="14"/>
        <v>0</v>
      </c>
      <c r="N46" s="127">
        <f t="shared" si="14"/>
        <v>0</v>
      </c>
      <c r="O46" s="127">
        <f t="shared" si="14"/>
        <v>0</v>
      </c>
      <c r="P46" s="127">
        <f t="shared" si="14"/>
        <v>0</v>
      </c>
      <c r="Q46" s="127">
        <f t="shared" si="14"/>
        <v>0</v>
      </c>
      <c r="R46" s="127">
        <f t="shared" si="14"/>
        <v>0</v>
      </c>
      <c r="S46" s="127">
        <f t="shared" si="14"/>
        <v>0</v>
      </c>
      <c r="T46" s="127">
        <f t="shared" si="14"/>
        <v>0</v>
      </c>
      <c r="U46" s="127">
        <f t="shared" si="14"/>
        <v>0</v>
      </c>
      <c r="V46" s="127">
        <f t="shared" si="14"/>
        <v>0</v>
      </c>
      <c r="W46" s="127">
        <f t="shared" si="14"/>
        <v>0</v>
      </c>
      <c r="X46" s="127">
        <f t="shared" si="14"/>
        <v>0</v>
      </c>
      <c r="Y46" s="127">
        <f t="shared" si="14"/>
        <v>0</v>
      </c>
      <c r="Z46" s="127">
        <f t="shared" si="14"/>
        <v>0</v>
      </c>
      <c r="AA46" s="127">
        <f t="shared" si="14"/>
        <v>0</v>
      </c>
      <c r="AB46" s="127">
        <f t="shared" si="14"/>
        <v>0</v>
      </c>
      <c r="AC46" s="127">
        <f t="shared" si="14"/>
        <v>0</v>
      </c>
      <c r="AD46" s="127">
        <f t="shared" si="14"/>
        <v>0</v>
      </c>
      <c r="AE46" s="127">
        <f t="shared" si="14"/>
        <v>0</v>
      </c>
      <c r="AF46" s="127">
        <f t="shared" si="14"/>
        <v>0</v>
      </c>
      <c r="AG46" s="127">
        <f t="shared" si="14"/>
        <v>0</v>
      </c>
      <c r="AH46" s="127">
        <f t="shared" si="14"/>
        <v>0</v>
      </c>
      <c r="AI46" s="127">
        <f t="shared" si="14"/>
        <v>0</v>
      </c>
      <c r="AJ46" s="127">
        <f t="shared" si="14"/>
        <v>0</v>
      </c>
      <c r="AK46" s="127">
        <f t="shared" si="14"/>
        <v>0</v>
      </c>
      <c r="AL46" s="127">
        <f t="shared" si="14"/>
        <v>0</v>
      </c>
      <c r="AM46" s="127">
        <f t="shared" si="14"/>
        <v>0</v>
      </c>
      <c r="AN46" s="127">
        <f t="shared" si="14"/>
        <v>0</v>
      </c>
      <c r="AO46" s="127">
        <f t="shared" si="14"/>
        <v>0</v>
      </c>
      <c r="AP46" s="127">
        <f t="shared" si="14"/>
        <v>0</v>
      </c>
      <c r="AQ46" s="127">
        <f t="shared" si="14"/>
        <v>0</v>
      </c>
      <c r="AR46" s="127">
        <f t="shared" si="14"/>
        <v>0</v>
      </c>
      <c r="AS46" s="127">
        <f t="shared" si="14"/>
        <v>0</v>
      </c>
      <c r="AT46" s="127">
        <f t="shared" si="14"/>
        <v>0</v>
      </c>
      <c r="AU46" s="127">
        <f t="shared" si="14"/>
        <v>0</v>
      </c>
      <c r="AV46" s="127">
        <f t="shared" si="14"/>
        <v>0</v>
      </c>
      <c r="AW46" s="127">
        <f t="shared" si="14"/>
        <v>0</v>
      </c>
      <c r="AX46" s="127">
        <f t="shared" si="14"/>
        <v>0</v>
      </c>
      <c r="AY46" s="127">
        <f t="shared" si="14"/>
        <v>0</v>
      </c>
    </row>
    <row r="47" spans="1:52" x14ac:dyDescent="0.2">
      <c r="A47" s="127"/>
      <c r="B47" s="181" t="s">
        <v>344</v>
      </c>
      <c r="C47" s="127"/>
      <c r="D47" s="127"/>
      <c r="E47" s="127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127"/>
      <c r="T47" s="127"/>
      <c r="U47" s="127"/>
      <c r="V47" s="127"/>
      <c r="W47" s="127"/>
      <c r="X47" s="127"/>
      <c r="Y47" s="127"/>
      <c r="Z47" s="127"/>
      <c r="AA47" s="127"/>
      <c r="AB47" s="127"/>
      <c r="AC47" s="127"/>
      <c r="AD47" s="127"/>
      <c r="AE47" s="127"/>
      <c r="AF47" s="127"/>
      <c r="AG47" s="127"/>
      <c r="AH47" s="127"/>
      <c r="AI47" s="127"/>
      <c r="AJ47" s="127"/>
      <c r="AK47" s="127"/>
      <c r="AL47" s="127"/>
      <c r="AM47" s="127"/>
      <c r="AN47" s="127"/>
      <c r="AO47" s="127"/>
      <c r="AP47" s="127"/>
      <c r="AQ47" s="127"/>
      <c r="AR47" s="127"/>
      <c r="AS47" s="127"/>
      <c r="AT47" s="127"/>
      <c r="AU47" s="127"/>
      <c r="AV47" s="127"/>
      <c r="AW47" s="127"/>
      <c r="AX47" s="127"/>
      <c r="AY47" s="127"/>
    </row>
    <row r="48" spans="1:52" x14ac:dyDescent="0.2">
      <c r="A48" s="127"/>
      <c r="B48" s="181" t="s">
        <v>345</v>
      </c>
      <c r="C48" s="127"/>
      <c r="D48" s="127"/>
      <c r="E48" s="127"/>
      <c r="F48" s="127"/>
      <c r="G48" s="127"/>
      <c r="H48" s="127"/>
      <c r="I48" s="127"/>
      <c r="J48" s="127"/>
      <c r="K48" s="127"/>
      <c r="L48" s="127"/>
      <c r="M48" s="127"/>
      <c r="N48" s="127"/>
      <c r="O48" s="127"/>
      <c r="P48" s="127"/>
      <c r="Q48" s="127"/>
      <c r="R48" s="127"/>
      <c r="S48" s="127"/>
      <c r="T48" s="127"/>
      <c r="U48" s="127"/>
      <c r="V48" s="127"/>
      <c r="W48" s="127"/>
      <c r="X48" s="127"/>
      <c r="Y48" s="127"/>
      <c r="Z48" s="127"/>
      <c r="AA48" s="127"/>
      <c r="AB48" s="127"/>
      <c r="AC48" s="127"/>
      <c r="AD48" s="127"/>
      <c r="AE48" s="127"/>
      <c r="AF48" s="127"/>
      <c r="AG48" s="127"/>
      <c r="AH48" s="127"/>
      <c r="AI48" s="127"/>
      <c r="AJ48" s="127"/>
      <c r="AK48" s="127"/>
      <c r="AL48" s="127"/>
      <c r="AM48" s="127"/>
      <c r="AN48" s="127"/>
      <c r="AO48" s="127"/>
      <c r="AP48" s="127"/>
      <c r="AQ48" s="127"/>
      <c r="AR48" s="127"/>
      <c r="AS48" s="127"/>
      <c r="AT48" s="127"/>
      <c r="AU48" s="127"/>
      <c r="AV48" s="127"/>
      <c r="AW48" s="127"/>
      <c r="AX48" s="127"/>
      <c r="AY48" s="127"/>
    </row>
    <row r="49" spans="1:52" x14ac:dyDescent="0.2">
      <c r="A49" s="127"/>
      <c r="B49" s="181" t="s">
        <v>346</v>
      </c>
      <c r="C49" s="127"/>
      <c r="D49" s="127"/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27"/>
      <c r="R49" s="127"/>
      <c r="S49" s="127"/>
      <c r="T49" s="127"/>
      <c r="U49" s="127"/>
      <c r="V49" s="127"/>
      <c r="W49" s="127"/>
      <c r="X49" s="127"/>
      <c r="Y49" s="127"/>
      <c r="Z49" s="127"/>
      <c r="AA49" s="127"/>
      <c r="AB49" s="127"/>
      <c r="AC49" s="127"/>
      <c r="AD49" s="127"/>
      <c r="AE49" s="127"/>
      <c r="AF49" s="127"/>
      <c r="AG49" s="127"/>
      <c r="AH49" s="127"/>
      <c r="AI49" s="127"/>
      <c r="AJ49" s="127"/>
      <c r="AK49" s="127"/>
      <c r="AL49" s="127"/>
      <c r="AM49" s="127"/>
      <c r="AN49" s="127"/>
      <c r="AO49" s="127"/>
      <c r="AP49" s="127"/>
      <c r="AQ49" s="127"/>
      <c r="AR49" s="127"/>
      <c r="AS49" s="127"/>
      <c r="AT49" s="127"/>
      <c r="AU49" s="127"/>
      <c r="AV49" s="127"/>
      <c r="AW49" s="127"/>
      <c r="AX49" s="127"/>
      <c r="AY49" s="127"/>
    </row>
    <row r="50" spans="1:52" x14ac:dyDescent="0.2">
      <c r="A50" s="127"/>
      <c r="B50" s="181" t="s">
        <v>347</v>
      </c>
      <c r="C50" s="127"/>
      <c r="D50" s="127">
        <f>D44-D47</f>
        <v>0</v>
      </c>
      <c r="E50" s="127">
        <f t="shared" ref="E50:AY50" si="15">E44-E47</f>
        <v>0</v>
      </c>
      <c r="F50" s="127">
        <f t="shared" si="15"/>
        <v>0</v>
      </c>
      <c r="G50" s="127">
        <f t="shared" si="15"/>
        <v>0</v>
      </c>
      <c r="H50" s="127">
        <f t="shared" si="15"/>
        <v>0</v>
      </c>
      <c r="I50" s="127">
        <f t="shared" si="15"/>
        <v>0</v>
      </c>
      <c r="J50" s="127">
        <f t="shared" si="15"/>
        <v>0</v>
      </c>
      <c r="K50" s="127">
        <f t="shared" si="15"/>
        <v>0</v>
      </c>
      <c r="L50" s="127">
        <f t="shared" si="15"/>
        <v>0</v>
      </c>
      <c r="M50" s="127">
        <f t="shared" si="15"/>
        <v>0</v>
      </c>
      <c r="N50" s="127">
        <f t="shared" si="15"/>
        <v>0</v>
      </c>
      <c r="O50" s="127">
        <f t="shared" si="15"/>
        <v>0</v>
      </c>
      <c r="P50" s="127">
        <f t="shared" si="15"/>
        <v>0</v>
      </c>
      <c r="Q50" s="127">
        <f t="shared" si="15"/>
        <v>0</v>
      </c>
      <c r="R50" s="127">
        <f t="shared" si="15"/>
        <v>0</v>
      </c>
      <c r="S50" s="127">
        <f t="shared" si="15"/>
        <v>0</v>
      </c>
      <c r="T50" s="127">
        <f t="shared" si="15"/>
        <v>0</v>
      </c>
      <c r="U50" s="127">
        <f t="shared" si="15"/>
        <v>0</v>
      </c>
      <c r="V50" s="127">
        <f t="shared" si="15"/>
        <v>0</v>
      </c>
      <c r="W50" s="127">
        <f t="shared" si="15"/>
        <v>0</v>
      </c>
      <c r="X50" s="127">
        <f t="shared" si="15"/>
        <v>0</v>
      </c>
      <c r="Y50" s="127">
        <f t="shared" si="15"/>
        <v>0</v>
      </c>
      <c r="Z50" s="127">
        <f t="shared" si="15"/>
        <v>0</v>
      </c>
      <c r="AA50" s="127">
        <f t="shared" si="15"/>
        <v>0</v>
      </c>
      <c r="AB50" s="127">
        <f t="shared" si="15"/>
        <v>0</v>
      </c>
      <c r="AC50" s="127">
        <f t="shared" si="15"/>
        <v>0</v>
      </c>
      <c r="AD50" s="127">
        <f t="shared" si="15"/>
        <v>0</v>
      </c>
      <c r="AE50" s="127">
        <f t="shared" si="15"/>
        <v>0</v>
      </c>
      <c r="AF50" s="127">
        <f t="shared" si="15"/>
        <v>0</v>
      </c>
      <c r="AG50" s="127">
        <f t="shared" si="15"/>
        <v>0</v>
      </c>
      <c r="AH50" s="127">
        <f t="shared" si="15"/>
        <v>0</v>
      </c>
      <c r="AI50" s="127">
        <f t="shared" si="15"/>
        <v>0</v>
      </c>
      <c r="AJ50" s="127">
        <f t="shared" si="15"/>
        <v>0</v>
      </c>
      <c r="AK50" s="127">
        <f t="shared" si="15"/>
        <v>0</v>
      </c>
      <c r="AL50" s="127">
        <f t="shared" si="15"/>
        <v>0</v>
      </c>
      <c r="AM50" s="127">
        <f t="shared" si="15"/>
        <v>0</v>
      </c>
      <c r="AN50" s="127">
        <f t="shared" si="15"/>
        <v>0</v>
      </c>
      <c r="AO50" s="127">
        <f t="shared" si="15"/>
        <v>0</v>
      </c>
      <c r="AP50" s="127">
        <f t="shared" si="15"/>
        <v>0</v>
      </c>
      <c r="AQ50" s="127">
        <f t="shared" si="15"/>
        <v>0</v>
      </c>
      <c r="AR50" s="127">
        <f t="shared" si="15"/>
        <v>0</v>
      </c>
      <c r="AS50" s="127">
        <f t="shared" si="15"/>
        <v>0</v>
      </c>
      <c r="AT50" s="127">
        <f t="shared" si="15"/>
        <v>0</v>
      </c>
      <c r="AU50" s="127">
        <f t="shared" si="15"/>
        <v>0</v>
      </c>
      <c r="AV50" s="127">
        <f t="shared" si="15"/>
        <v>0</v>
      </c>
      <c r="AW50" s="127">
        <f t="shared" si="15"/>
        <v>0</v>
      </c>
      <c r="AX50" s="127">
        <f t="shared" si="15"/>
        <v>0</v>
      </c>
      <c r="AY50" s="127">
        <f t="shared" si="15"/>
        <v>0</v>
      </c>
    </row>
    <row r="51" spans="1:52" x14ac:dyDescent="0.2">
      <c r="A51" s="127"/>
      <c r="B51" s="181" t="s">
        <v>348</v>
      </c>
      <c r="C51" s="127"/>
      <c r="D51" s="127">
        <f>D45-D48</f>
        <v>0</v>
      </c>
      <c r="E51" s="127">
        <f t="shared" ref="E51:AY51" si="16">E45-E48</f>
        <v>0</v>
      </c>
      <c r="F51" s="127">
        <f t="shared" si="16"/>
        <v>0</v>
      </c>
      <c r="G51" s="127">
        <f t="shared" si="16"/>
        <v>0</v>
      </c>
      <c r="H51" s="127">
        <f t="shared" si="16"/>
        <v>0</v>
      </c>
      <c r="I51" s="127">
        <f t="shared" si="16"/>
        <v>0</v>
      </c>
      <c r="J51" s="127">
        <f t="shared" si="16"/>
        <v>0</v>
      </c>
      <c r="K51" s="127">
        <f t="shared" si="16"/>
        <v>0</v>
      </c>
      <c r="L51" s="127">
        <f t="shared" si="16"/>
        <v>0</v>
      </c>
      <c r="M51" s="127">
        <f t="shared" si="16"/>
        <v>0</v>
      </c>
      <c r="N51" s="127">
        <f t="shared" si="16"/>
        <v>0</v>
      </c>
      <c r="O51" s="127">
        <f t="shared" si="16"/>
        <v>0</v>
      </c>
      <c r="P51" s="127">
        <f t="shared" si="16"/>
        <v>0</v>
      </c>
      <c r="Q51" s="127">
        <f t="shared" si="16"/>
        <v>0</v>
      </c>
      <c r="R51" s="127">
        <f t="shared" si="16"/>
        <v>0</v>
      </c>
      <c r="S51" s="127">
        <f t="shared" si="16"/>
        <v>0</v>
      </c>
      <c r="T51" s="127">
        <f t="shared" si="16"/>
        <v>0</v>
      </c>
      <c r="U51" s="127">
        <f t="shared" si="16"/>
        <v>0</v>
      </c>
      <c r="V51" s="127">
        <f t="shared" si="16"/>
        <v>0</v>
      </c>
      <c r="W51" s="127">
        <f t="shared" si="16"/>
        <v>0</v>
      </c>
      <c r="X51" s="127">
        <f t="shared" si="16"/>
        <v>0</v>
      </c>
      <c r="Y51" s="127">
        <f t="shared" si="16"/>
        <v>0</v>
      </c>
      <c r="Z51" s="127">
        <f t="shared" si="16"/>
        <v>0</v>
      </c>
      <c r="AA51" s="127">
        <f t="shared" si="16"/>
        <v>0</v>
      </c>
      <c r="AB51" s="127">
        <f t="shared" si="16"/>
        <v>0</v>
      </c>
      <c r="AC51" s="127">
        <f t="shared" si="16"/>
        <v>0</v>
      </c>
      <c r="AD51" s="127">
        <f t="shared" si="16"/>
        <v>0</v>
      </c>
      <c r="AE51" s="127">
        <f t="shared" si="16"/>
        <v>0</v>
      </c>
      <c r="AF51" s="127">
        <f t="shared" si="16"/>
        <v>0</v>
      </c>
      <c r="AG51" s="127">
        <f t="shared" si="16"/>
        <v>0</v>
      </c>
      <c r="AH51" s="127">
        <f t="shared" si="16"/>
        <v>0</v>
      </c>
      <c r="AI51" s="127">
        <f t="shared" si="16"/>
        <v>0</v>
      </c>
      <c r="AJ51" s="127">
        <f t="shared" si="16"/>
        <v>0</v>
      </c>
      <c r="AK51" s="127">
        <f t="shared" si="16"/>
        <v>0</v>
      </c>
      <c r="AL51" s="127">
        <f t="shared" si="16"/>
        <v>0</v>
      </c>
      <c r="AM51" s="127">
        <f t="shared" si="16"/>
        <v>0</v>
      </c>
      <c r="AN51" s="127">
        <f t="shared" si="16"/>
        <v>0</v>
      </c>
      <c r="AO51" s="127">
        <f t="shared" si="16"/>
        <v>0</v>
      </c>
      <c r="AP51" s="127">
        <f t="shared" si="16"/>
        <v>0</v>
      </c>
      <c r="AQ51" s="127">
        <f t="shared" si="16"/>
        <v>0</v>
      </c>
      <c r="AR51" s="127">
        <f t="shared" si="16"/>
        <v>0</v>
      </c>
      <c r="AS51" s="127">
        <f t="shared" si="16"/>
        <v>0</v>
      </c>
      <c r="AT51" s="127">
        <f t="shared" si="16"/>
        <v>0</v>
      </c>
      <c r="AU51" s="127">
        <f t="shared" si="16"/>
        <v>0</v>
      </c>
      <c r="AV51" s="127">
        <f t="shared" si="16"/>
        <v>0</v>
      </c>
      <c r="AW51" s="127">
        <f t="shared" si="16"/>
        <v>0</v>
      </c>
      <c r="AX51" s="127">
        <f t="shared" si="16"/>
        <v>0</v>
      </c>
      <c r="AY51" s="127">
        <f t="shared" si="16"/>
        <v>0</v>
      </c>
    </row>
    <row r="52" spans="1:52" x14ac:dyDescent="0.2">
      <c r="A52" s="127"/>
      <c r="B52" s="181" t="s">
        <v>349</v>
      </c>
      <c r="C52" s="127"/>
      <c r="D52" s="127">
        <v>1</v>
      </c>
      <c r="E52" s="127">
        <v>2</v>
      </c>
      <c r="F52" s="127">
        <v>1</v>
      </c>
      <c r="G52" s="127">
        <v>2</v>
      </c>
      <c r="H52" s="127">
        <v>1</v>
      </c>
      <c r="I52" s="127">
        <v>1</v>
      </c>
      <c r="J52" s="127">
        <v>1</v>
      </c>
      <c r="K52" s="127">
        <v>2</v>
      </c>
      <c r="L52" s="127">
        <v>2</v>
      </c>
      <c r="M52" s="127">
        <v>1</v>
      </c>
      <c r="N52" s="127">
        <v>2</v>
      </c>
      <c r="O52" s="127">
        <v>1</v>
      </c>
      <c r="P52" s="127">
        <v>2</v>
      </c>
      <c r="Q52" s="127">
        <v>2</v>
      </c>
      <c r="R52" s="127">
        <v>1</v>
      </c>
      <c r="S52" s="127">
        <v>2</v>
      </c>
      <c r="T52" s="127">
        <v>2</v>
      </c>
      <c r="U52" s="127">
        <v>2</v>
      </c>
      <c r="V52" s="127">
        <v>1</v>
      </c>
      <c r="W52" s="127">
        <v>2</v>
      </c>
      <c r="X52" s="127">
        <v>1</v>
      </c>
      <c r="Y52" s="127">
        <v>1</v>
      </c>
      <c r="Z52" s="127">
        <v>1</v>
      </c>
      <c r="AA52" s="127">
        <v>3</v>
      </c>
      <c r="AB52" s="127">
        <v>1</v>
      </c>
      <c r="AC52" s="127">
        <v>2</v>
      </c>
      <c r="AD52" s="127">
        <v>1</v>
      </c>
      <c r="AE52" s="127">
        <v>2</v>
      </c>
      <c r="AF52" s="127">
        <v>1</v>
      </c>
      <c r="AG52" s="127">
        <v>2</v>
      </c>
      <c r="AH52" s="127">
        <v>2</v>
      </c>
      <c r="AI52" s="127">
        <v>2</v>
      </c>
      <c r="AJ52" s="127">
        <v>2</v>
      </c>
      <c r="AK52" s="127">
        <v>1</v>
      </c>
      <c r="AL52" s="127">
        <v>1</v>
      </c>
      <c r="AM52" s="127">
        <v>1</v>
      </c>
      <c r="AN52" s="127">
        <v>2</v>
      </c>
      <c r="AO52" s="127">
        <v>2</v>
      </c>
      <c r="AP52" s="127">
        <v>1</v>
      </c>
      <c r="AQ52" s="127">
        <v>3</v>
      </c>
      <c r="AR52" s="127">
        <v>1</v>
      </c>
      <c r="AS52" s="127">
        <v>2</v>
      </c>
      <c r="AT52" s="127">
        <v>1</v>
      </c>
      <c r="AU52" s="127">
        <v>2</v>
      </c>
      <c r="AV52" s="127">
        <v>1</v>
      </c>
      <c r="AW52" s="127">
        <v>2</v>
      </c>
      <c r="AX52" s="127">
        <v>1</v>
      </c>
      <c r="AY52" s="127">
        <v>2</v>
      </c>
    </row>
    <row r="53" spans="1:52" x14ac:dyDescent="0.2">
      <c r="A53" s="127"/>
      <c r="B53" s="192" t="s">
        <v>350</v>
      </c>
      <c r="C53" s="127"/>
      <c r="D53" s="127">
        <v>0</v>
      </c>
      <c r="E53" s="127">
        <v>0</v>
      </c>
      <c r="F53" s="127">
        <v>0</v>
      </c>
      <c r="G53" s="127">
        <v>0</v>
      </c>
      <c r="H53" s="127">
        <v>0</v>
      </c>
      <c r="I53" s="127">
        <v>0</v>
      </c>
      <c r="J53" s="127">
        <v>0</v>
      </c>
      <c r="K53" s="127">
        <v>0</v>
      </c>
      <c r="L53" s="127">
        <v>0</v>
      </c>
      <c r="M53" s="127">
        <v>0</v>
      </c>
      <c r="N53" s="127">
        <v>0</v>
      </c>
      <c r="O53" s="127">
        <v>0</v>
      </c>
      <c r="P53" s="127">
        <v>0</v>
      </c>
      <c r="Q53" s="127">
        <v>0</v>
      </c>
      <c r="R53" s="127">
        <v>0</v>
      </c>
      <c r="S53" s="127">
        <v>0</v>
      </c>
      <c r="T53" s="127">
        <v>0</v>
      </c>
      <c r="U53" s="127">
        <v>0</v>
      </c>
      <c r="V53" s="127">
        <v>0</v>
      </c>
      <c r="W53" s="127">
        <v>0</v>
      </c>
      <c r="X53" s="127">
        <v>0</v>
      </c>
      <c r="Y53" s="127">
        <v>0</v>
      </c>
      <c r="Z53" s="127">
        <v>0</v>
      </c>
      <c r="AA53" s="127">
        <v>0</v>
      </c>
      <c r="AB53" s="127">
        <v>0</v>
      </c>
      <c r="AC53" s="127">
        <v>0</v>
      </c>
      <c r="AD53" s="127">
        <v>0</v>
      </c>
      <c r="AE53" s="127">
        <v>0</v>
      </c>
      <c r="AF53" s="127">
        <v>0</v>
      </c>
      <c r="AG53" s="127">
        <v>0</v>
      </c>
      <c r="AH53" s="127">
        <v>0</v>
      </c>
      <c r="AI53" s="127">
        <v>0</v>
      </c>
      <c r="AJ53" s="127">
        <v>0</v>
      </c>
      <c r="AK53" s="127">
        <v>0</v>
      </c>
      <c r="AL53" s="127">
        <v>0</v>
      </c>
      <c r="AM53" s="127">
        <v>0</v>
      </c>
      <c r="AN53" s="127">
        <v>0</v>
      </c>
      <c r="AO53" s="127">
        <v>0</v>
      </c>
      <c r="AP53" s="127">
        <v>0</v>
      </c>
      <c r="AQ53" s="127">
        <v>0</v>
      </c>
      <c r="AR53" s="127">
        <v>0</v>
      </c>
      <c r="AS53" s="127">
        <v>0</v>
      </c>
      <c r="AT53" s="127">
        <v>0</v>
      </c>
      <c r="AU53" s="127">
        <v>0</v>
      </c>
      <c r="AV53" s="127">
        <v>0</v>
      </c>
      <c r="AW53" s="127">
        <v>0</v>
      </c>
      <c r="AX53" s="127">
        <v>0</v>
      </c>
      <c r="AY53" s="127">
        <v>0</v>
      </c>
      <c r="AZ53">
        <f>SUM($D$53:$AY$53)</f>
        <v>0</v>
      </c>
    </row>
    <row r="54" spans="1:52" x14ac:dyDescent="0.2">
      <c r="A54" s="141"/>
      <c r="B54" s="156" t="s">
        <v>351</v>
      </c>
      <c r="C54" s="141"/>
      <c r="D54" s="141">
        <v>0</v>
      </c>
      <c r="E54" s="141">
        <v>0</v>
      </c>
      <c r="F54" s="141">
        <v>0</v>
      </c>
      <c r="G54" s="141">
        <v>0</v>
      </c>
      <c r="H54" s="141">
        <v>0</v>
      </c>
      <c r="I54" s="141">
        <v>0</v>
      </c>
      <c r="J54" s="141">
        <v>0</v>
      </c>
      <c r="K54" s="141">
        <v>0</v>
      </c>
      <c r="L54" s="141">
        <v>0</v>
      </c>
      <c r="M54" s="141">
        <v>0</v>
      </c>
      <c r="N54" s="141">
        <v>0</v>
      </c>
      <c r="O54" s="141">
        <v>0</v>
      </c>
      <c r="P54" s="141">
        <v>0</v>
      </c>
      <c r="Q54" s="141">
        <v>0</v>
      </c>
      <c r="R54" s="141">
        <v>0</v>
      </c>
      <c r="S54" s="141">
        <v>0</v>
      </c>
      <c r="T54" s="141">
        <v>0</v>
      </c>
      <c r="U54" s="141">
        <v>0</v>
      </c>
      <c r="V54" s="141">
        <v>0</v>
      </c>
      <c r="W54" s="141">
        <v>0</v>
      </c>
      <c r="X54" s="141">
        <v>0</v>
      </c>
      <c r="Y54" s="141">
        <v>0</v>
      </c>
      <c r="Z54" s="141">
        <v>0</v>
      </c>
      <c r="AA54" s="141">
        <v>0</v>
      </c>
      <c r="AB54" s="141">
        <v>0</v>
      </c>
      <c r="AC54" s="141">
        <v>0</v>
      </c>
      <c r="AD54" s="141">
        <v>0</v>
      </c>
      <c r="AE54" s="141">
        <v>0</v>
      </c>
      <c r="AF54" s="141">
        <v>0</v>
      </c>
      <c r="AG54" s="141">
        <v>0</v>
      </c>
      <c r="AH54" s="141">
        <v>0</v>
      </c>
      <c r="AI54" s="141">
        <v>0</v>
      </c>
      <c r="AJ54" s="141">
        <v>0</v>
      </c>
      <c r="AK54" s="141">
        <v>0</v>
      </c>
      <c r="AL54" s="141">
        <v>0</v>
      </c>
      <c r="AM54" s="141">
        <v>0</v>
      </c>
      <c r="AN54" s="141">
        <v>0</v>
      </c>
      <c r="AO54" s="141">
        <v>0</v>
      </c>
      <c r="AP54" s="141">
        <v>0</v>
      </c>
      <c r="AQ54" s="141">
        <v>0</v>
      </c>
      <c r="AR54" s="141">
        <v>0</v>
      </c>
      <c r="AS54" s="141">
        <v>0</v>
      </c>
      <c r="AT54" s="141">
        <v>0</v>
      </c>
      <c r="AU54" s="141">
        <v>0</v>
      </c>
      <c r="AV54" s="141">
        <v>0</v>
      </c>
      <c r="AW54" s="141">
        <v>0</v>
      </c>
      <c r="AX54" s="141">
        <v>0</v>
      </c>
      <c r="AY54" s="141">
        <v>0</v>
      </c>
      <c r="AZ54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customWidth="1"/>
    <col min="2" max="2" width="17.7109375" customWidth="1"/>
    <col min="52" max="52" width="10.7109375" customWidth="1"/>
  </cols>
  <sheetData>
    <row r="1" spans="1:52" x14ac:dyDescent="0.2">
      <c r="A1" s="1" t="s">
        <v>118</v>
      </c>
    </row>
    <row r="2" spans="1:52" x14ac:dyDescent="0.2">
      <c r="A2" t="s">
        <v>303</v>
      </c>
      <c r="B2" s="124" t="s">
        <v>10</v>
      </c>
      <c r="E2" s="127"/>
    </row>
    <row r="3" spans="1:52" x14ac:dyDescent="0.2">
      <c r="A3" t="s">
        <v>286</v>
      </c>
      <c r="B3" s="124">
        <v>500</v>
      </c>
      <c r="E3" s="127"/>
    </row>
    <row r="4" spans="1:52" x14ac:dyDescent="0.2">
      <c r="A4" s="1"/>
      <c r="C4" s="9" t="s">
        <v>287</v>
      </c>
    </row>
    <row r="5" spans="1:52" x14ac:dyDescent="0.2">
      <c r="B5" s="123"/>
      <c r="C5" s="128">
        <v>0</v>
      </c>
      <c r="D5" s="128">
        <v>1</v>
      </c>
      <c r="E5" s="128">
        <v>2</v>
      </c>
      <c r="F5" s="128">
        <v>3</v>
      </c>
      <c r="G5" s="128">
        <v>4</v>
      </c>
      <c r="H5" s="128">
        <v>5</v>
      </c>
      <c r="I5" s="128">
        <v>6</v>
      </c>
      <c r="J5" s="128">
        <v>7</v>
      </c>
      <c r="K5" s="128">
        <v>8</v>
      </c>
      <c r="L5" s="128">
        <v>9</v>
      </c>
      <c r="M5" s="128">
        <v>10</v>
      </c>
      <c r="N5" s="128">
        <v>11</v>
      </c>
      <c r="O5" s="128">
        <v>12</v>
      </c>
      <c r="P5" s="128">
        <v>13</v>
      </c>
      <c r="Q5" s="128">
        <v>14</v>
      </c>
      <c r="R5" s="128">
        <v>15</v>
      </c>
      <c r="S5" s="128">
        <v>16</v>
      </c>
      <c r="T5" s="128">
        <v>17</v>
      </c>
      <c r="U5" s="128">
        <v>18</v>
      </c>
      <c r="V5" s="128">
        <v>19</v>
      </c>
      <c r="W5" s="128">
        <v>20</v>
      </c>
      <c r="X5" s="128">
        <v>21</v>
      </c>
      <c r="Y5" s="128">
        <v>22</v>
      </c>
      <c r="Z5" s="128">
        <v>23</v>
      </c>
      <c r="AA5" s="128">
        <v>24</v>
      </c>
      <c r="AB5" s="128">
        <v>25</v>
      </c>
      <c r="AC5" s="128">
        <v>26</v>
      </c>
      <c r="AD5" s="128">
        <v>27</v>
      </c>
      <c r="AE5" s="128">
        <v>28</v>
      </c>
      <c r="AF5" s="128">
        <v>29</v>
      </c>
      <c r="AG5" s="128">
        <v>30</v>
      </c>
      <c r="AH5" s="128">
        <v>31</v>
      </c>
      <c r="AI5" s="128">
        <v>32</v>
      </c>
      <c r="AJ5" s="128">
        <v>33</v>
      </c>
      <c r="AK5" s="128">
        <v>34</v>
      </c>
      <c r="AL5" s="128">
        <v>35</v>
      </c>
      <c r="AM5" s="128">
        <v>36</v>
      </c>
      <c r="AN5" s="128">
        <v>37</v>
      </c>
      <c r="AO5" s="128">
        <v>38</v>
      </c>
      <c r="AP5" s="128">
        <v>39</v>
      </c>
      <c r="AQ5" s="128">
        <v>40</v>
      </c>
      <c r="AR5" s="128">
        <v>41</v>
      </c>
      <c r="AS5" s="128">
        <v>42</v>
      </c>
      <c r="AT5" s="128">
        <v>43</v>
      </c>
      <c r="AU5" s="128">
        <v>44</v>
      </c>
      <c r="AV5" s="128">
        <v>45</v>
      </c>
      <c r="AW5" s="128">
        <v>46</v>
      </c>
      <c r="AX5" s="128">
        <v>47</v>
      </c>
      <c r="AY5" s="128">
        <v>48</v>
      </c>
    </row>
    <row r="6" spans="1:52" x14ac:dyDescent="0.2">
      <c r="A6" s="1" t="s">
        <v>304</v>
      </c>
      <c r="B6" s="130"/>
      <c r="C6" s="129" t="s">
        <v>288</v>
      </c>
      <c r="D6" s="128" t="s">
        <v>289</v>
      </c>
      <c r="E6" s="128" t="s">
        <v>289</v>
      </c>
      <c r="F6" s="128" t="s">
        <v>289</v>
      </c>
      <c r="G6" s="128" t="s">
        <v>289</v>
      </c>
      <c r="H6" s="128" t="s">
        <v>289</v>
      </c>
      <c r="I6" s="128" t="s">
        <v>289</v>
      </c>
      <c r="J6" s="128" t="s">
        <v>289</v>
      </c>
      <c r="K6" s="128" t="s">
        <v>289</v>
      </c>
      <c r="L6" s="128" t="s">
        <v>289</v>
      </c>
      <c r="M6" s="128" t="s">
        <v>289</v>
      </c>
      <c r="N6" s="128" t="s">
        <v>289</v>
      </c>
      <c r="O6" s="128" t="s">
        <v>289</v>
      </c>
      <c r="P6" s="128" t="s">
        <v>289</v>
      </c>
      <c r="Q6" s="128" t="s">
        <v>289</v>
      </c>
      <c r="R6" s="128" t="s">
        <v>289</v>
      </c>
      <c r="S6" s="128" t="s">
        <v>289</v>
      </c>
      <c r="T6" s="128" t="s">
        <v>289</v>
      </c>
      <c r="U6" s="128" t="s">
        <v>289</v>
      </c>
      <c r="V6" s="128" t="s">
        <v>289</v>
      </c>
      <c r="W6" s="128" t="s">
        <v>289</v>
      </c>
      <c r="X6" s="128" t="s">
        <v>289</v>
      </c>
      <c r="Y6" s="128" t="s">
        <v>289</v>
      </c>
      <c r="Z6" s="128" t="s">
        <v>289</v>
      </c>
      <c r="AA6" s="128" t="s">
        <v>289</v>
      </c>
      <c r="AB6" s="128" t="s">
        <v>289</v>
      </c>
      <c r="AC6" s="128" t="s">
        <v>289</v>
      </c>
      <c r="AD6" s="128" t="s">
        <v>289</v>
      </c>
      <c r="AE6" s="128" t="s">
        <v>289</v>
      </c>
      <c r="AF6" s="128" t="s">
        <v>289</v>
      </c>
      <c r="AG6" s="128" t="s">
        <v>289</v>
      </c>
      <c r="AH6" s="128" t="s">
        <v>289</v>
      </c>
      <c r="AI6" s="128" t="s">
        <v>289</v>
      </c>
      <c r="AJ6" s="128" t="s">
        <v>289</v>
      </c>
      <c r="AK6" s="128" t="s">
        <v>289</v>
      </c>
      <c r="AL6" s="128" t="s">
        <v>289</v>
      </c>
      <c r="AM6" s="128" t="s">
        <v>289</v>
      </c>
      <c r="AN6" s="128" t="s">
        <v>289</v>
      </c>
      <c r="AO6" s="128" t="s">
        <v>289</v>
      </c>
      <c r="AP6" s="128" t="s">
        <v>289</v>
      </c>
      <c r="AQ6" s="128" t="s">
        <v>289</v>
      </c>
      <c r="AR6" s="128" t="s">
        <v>289</v>
      </c>
      <c r="AS6" s="128" t="s">
        <v>289</v>
      </c>
      <c r="AT6" s="128" t="s">
        <v>289</v>
      </c>
      <c r="AU6" s="128" t="s">
        <v>289</v>
      </c>
      <c r="AV6" s="128" t="s">
        <v>289</v>
      </c>
      <c r="AW6" s="128" t="s">
        <v>289</v>
      </c>
      <c r="AX6" s="128" t="s">
        <v>289</v>
      </c>
      <c r="AY6" s="9" t="s">
        <v>290</v>
      </c>
      <c r="AZ6" s="158" t="s">
        <v>150</v>
      </c>
    </row>
    <row r="7" spans="1:52" x14ac:dyDescent="0.2">
      <c r="A7" s="131" t="s">
        <v>125</v>
      </c>
      <c r="B7" s="159">
        <v>1</v>
      </c>
      <c r="C7" s="160" t="s">
        <v>293</v>
      </c>
      <c r="D7" s="160">
        <v>1266.2394654436318</v>
      </c>
      <c r="E7" s="160">
        <v>1266.2394654436318</v>
      </c>
      <c r="F7" s="160">
        <v>1266.2394654436318</v>
      </c>
      <c r="G7" s="160">
        <v>1266.2394654436318</v>
      </c>
      <c r="H7" s="160">
        <v>1266.2394654436318</v>
      </c>
      <c r="I7" s="160">
        <v>1266.2394654436318</v>
      </c>
      <c r="J7" s="160">
        <v>1266.2394654436318</v>
      </c>
      <c r="K7" s="160">
        <v>1266.2394654436318</v>
      </c>
      <c r="L7" s="160">
        <v>1266.2394654436318</v>
      </c>
      <c r="M7" s="160">
        <v>1266.2394654436318</v>
      </c>
      <c r="N7" s="160">
        <v>1266.2394654436318</v>
      </c>
      <c r="O7" s="160">
        <v>1266.2394654436318</v>
      </c>
      <c r="P7" s="160">
        <v>1266.2394654436318</v>
      </c>
      <c r="Q7" s="160">
        <v>1266.2394654436318</v>
      </c>
      <c r="R7" s="160">
        <v>1186.2218054654111</v>
      </c>
      <c r="S7" s="160">
        <v>1010.3192957296754</v>
      </c>
      <c r="T7" s="160">
        <v>1266.2394654436318</v>
      </c>
      <c r="U7" s="160">
        <v>1266.2394654436318</v>
      </c>
      <c r="V7" s="160">
        <v>1266.2394654436318</v>
      </c>
      <c r="W7" s="160">
        <v>1266.2394654436318</v>
      </c>
      <c r="X7" s="160">
        <v>1266.2394654436318</v>
      </c>
      <c r="Y7" s="160">
        <v>1266.2394654436318</v>
      </c>
      <c r="Z7" s="160">
        <v>1266.2394654436318</v>
      </c>
      <c r="AA7" s="160">
        <v>1266.2394654436318</v>
      </c>
      <c r="AB7" s="160">
        <v>1266.2394654436318</v>
      </c>
      <c r="AC7" s="160">
        <v>1266.2394654436318</v>
      </c>
      <c r="AD7" s="160">
        <v>1266.2394654436318</v>
      </c>
      <c r="AE7" s="160">
        <v>1266.2394654436318</v>
      </c>
      <c r="AF7" s="160">
        <v>1266.2394654436318</v>
      </c>
      <c r="AG7" s="160">
        <v>1266.2394654436318</v>
      </c>
      <c r="AH7" s="160">
        <v>1266.2394654436318</v>
      </c>
      <c r="AI7" s="160">
        <v>1266.2394654436318</v>
      </c>
      <c r="AJ7" s="160">
        <v>1266.2394654436318</v>
      </c>
      <c r="AK7" s="160">
        <v>1266.2394654436318</v>
      </c>
      <c r="AL7" s="160">
        <v>1266.2394654436318</v>
      </c>
      <c r="AM7" s="160">
        <v>1266.2394654436318</v>
      </c>
      <c r="AN7" s="160">
        <v>1266.2394654436318</v>
      </c>
      <c r="AO7" s="160">
        <v>1266.2394654436318</v>
      </c>
      <c r="AP7" s="160">
        <v>1266.2394654436318</v>
      </c>
      <c r="AQ7" s="160">
        <v>1266.2394654436318</v>
      </c>
      <c r="AR7" s="160">
        <v>1266.2394654436318</v>
      </c>
      <c r="AS7" s="160">
        <v>1266.2394654436318</v>
      </c>
      <c r="AT7" s="160">
        <v>1266.2394654436318</v>
      </c>
      <c r="AU7" s="160">
        <v>1266.2394654436318</v>
      </c>
      <c r="AV7" s="160">
        <v>1266.2394654436318</v>
      </c>
      <c r="AW7" s="160">
        <v>1266.2394654436318</v>
      </c>
      <c r="AX7" s="160">
        <v>1266.2394654436318</v>
      </c>
      <c r="AY7" s="160">
        <v>1266.2394654436318</v>
      </c>
      <c r="AZ7" s="123"/>
    </row>
    <row r="8" spans="1:52" x14ac:dyDescent="0.2">
      <c r="A8" s="161"/>
      <c r="B8" s="162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3"/>
    </row>
    <row r="9" spans="1:52" x14ac:dyDescent="0.2">
      <c r="A9" s="1" t="s">
        <v>294</v>
      </c>
      <c r="B9" s="164"/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</row>
    <row r="10" spans="1:52" x14ac:dyDescent="0.2">
      <c r="A10" s="165" t="s">
        <v>125</v>
      </c>
      <c r="B10" s="166">
        <v>1</v>
      </c>
      <c r="C10" s="160" t="s">
        <v>293</v>
      </c>
      <c r="D10" s="160">
        <f t="shared" ref="D10:AY10" si="0">MAX(SUM(D$14:D$16)+D$7-$B$3,0)</f>
        <v>1266.2394654436318</v>
      </c>
      <c r="E10" s="160">
        <f t="shared" si="0"/>
        <v>766.23946544363184</v>
      </c>
      <c r="F10" s="160">
        <f t="shared" si="0"/>
        <v>766.23946544363184</v>
      </c>
      <c r="G10" s="160">
        <f t="shared" si="0"/>
        <v>766.23946544363184</v>
      </c>
      <c r="H10" s="160">
        <f t="shared" si="0"/>
        <v>766.23946544363184</v>
      </c>
      <c r="I10" s="160">
        <f t="shared" si="0"/>
        <v>766.23946544363184</v>
      </c>
      <c r="J10" s="160">
        <f t="shared" si="0"/>
        <v>766.23946544363184</v>
      </c>
      <c r="K10" s="160">
        <f t="shared" si="0"/>
        <v>766.23946544363184</v>
      </c>
      <c r="L10" s="160">
        <f t="shared" si="0"/>
        <v>766.23946544363184</v>
      </c>
      <c r="M10" s="160">
        <f t="shared" si="0"/>
        <v>766.23946544363184</v>
      </c>
      <c r="N10" s="160">
        <f t="shared" si="0"/>
        <v>766.23946544363184</v>
      </c>
      <c r="O10" s="160">
        <f t="shared" si="0"/>
        <v>766.23946544363184</v>
      </c>
      <c r="P10" s="160">
        <f t="shared" si="0"/>
        <v>766.23946544363184</v>
      </c>
      <c r="Q10" s="160">
        <f t="shared" si="0"/>
        <v>766.23946544363184</v>
      </c>
      <c r="R10" s="160">
        <f t="shared" si="0"/>
        <v>686.22180546541108</v>
      </c>
      <c r="S10" s="160">
        <f t="shared" si="0"/>
        <v>510.31929572967545</v>
      </c>
      <c r="T10" s="160">
        <f t="shared" si="0"/>
        <v>766.23946544363184</v>
      </c>
      <c r="U10" s="160">
        <f t="shared" si="0"/>
        <v>766.23946544363184</v>
      </c>
      <c r="V10" s="160">
        <f t="shared" si="0"/>
        <v>766.23946544363184</v>
      </c>
      <c r="W10" s="160">
        <f t="shared" si="0"/>
        <v>766.23946544363184</v>
      </c>
      <c r="X10" s="160">
        <f t="shared" si="0"/>
        <v>1266.2394654436318</v>
      </c>
      <c r="Y10" s="160">
        <f t="shared" si="0"/>
        <v>766.23946544363184</v>
      </c>
      <c r="Z10" s="160">
        <f t="shared" si="0"/>
        <v>766.23946544363184</v>
      </c>
      <c r="AA10" s="160">
        <f t="shared" si="0"/>
        <v>766.23946544363184</v>
      </c>
      <c r="AB10" s="160">
        <f t="shared" si="0"/>
        <v>766.23946544363184</v>
      </c>
      <c r="AC10" s="160">
        <f t="shared" si="0"/>
        <v>766.23946544363184</v>
      </c>
      <c r="AD10" s="160">
        <f t="shared" si="0"/>
        <v>766.23946544363184</v>
      </c>
      <c r="AE10" s="160">
        <f t="shared" si="0"/>
        <v>766.23946544363184</v>
      </c>
      <c r="AF10" s="160">
        <f t="shared" si="0"/>
        <v>766.23946544363184</v>
      </c>
      <c r="AG10" s="160">
        <f t="shared" si="0"/>
        <v>766.23946544363184</v>
      </c>
      <c r="AH10" s="160">
        <f t="shared" si="0"/>
        <v>766.23946544363184</v>
      </c>
      <c r="AI10" s="160">
        <f t="shared" si="0"/>
        <v>766.23946544363184</v>
      </c>
      <c r="AJ10" s="160">
        <f t="shared" si="0"/>
        <v>766.23946544363184</v>
      </c>
      <c r="AK10" s="160">
        <f t="shared" si="0"/>
        <v>766.23946544363184</v>
      </c>
      <c r="AL10" s="160">
        <f t="shared" si="0"/>
        <v>766.23946544363184</v>
      </c>
      <c r="AM10" s="160">
        <f t="shared" si="0"/>
        <v>766.23946544363184</v>
      </c>
      <c r="AN10" s="160">
        <f t="shared" si="0"/>
        <v>766.23946544363184</v>
      </c>
      <c r="AO10" s="160">
        <f t="shared" si="0"/>
        <v>766.23946544363184</v>
      </c>
      <c r="AP10" s="160">
        <f t="shared" si="0"/>
        <v>766.23946544363184</v>
      </c>
      <c r="AQ10" s="160">
        <f t="shared" si="0"/>
        <v>766.23946544363184</v>
      </c>
      <c r="AR10" s="160">
        <f t="shared" si="0"/>
        <v>766.23946544363184</v>
      </c>
      <c r="AS10" s="160">
        <f t="shared" si="0"/>
        <v>766.23946544363184</v>
      </c>
      <c r="AT10" s="160">
        <f t="shared" si="0"/>
        <v>1266.2394654436318</v>
      </c>
      <c r="AU10" s="160">
        <f t="shared" si="0"/>
        <v>766.23946544363184</v>
      </c>
      <c r="AV10" s="160">
        <f t="shared" si="0"/>
        <v>766.23946544363184</v>
      </c>
      <c r="AW10" s="160">
        <f t="shared" si="0"/>
        <v>766.23946544363184</v>
      </c>
      <c r="AX10" s="160">
        <f t="shared" si="0"/>
        <v>1266.2394654436318</v>
      </c>
      <c r="AY10" s="160">
        <f t="shared" si="0"/>
        <v>1266.2394654436318</v>
      </c>
      <c r="AZ10" s="167">
        <f>SUM($D10:$AY10)</f>
        <v>38943.556511602139</v>
      </c>
    </row>
    <row r="11" spans="1:52" x14ac:dyDescent="0.2">
      <c r="C11" s="127"/>
    </row>
    <row r="12" spans="1:52" x14ac:dyDescent="0.2">
      <c r="A12" s="168" t="s">
        <v>295</v>
      </c>
      <c r="B12" s="162"/>
      <c r="C12" s="127"/>
    </row>
    <row r="13" spans="1:52" x14ac:dyDescent="0.2">
      <c r="A13" s="138" t="s">
        <v>125</v>
      </c>
      <c r="B13" s="139">
        <v>1</v>
      </c>
      <c r="C13" s="140">
        <v>500</v>
      </c>
      <c r="D13" s="154">
        <f t="shared" ref="D13:AY13" si="1">D$7-D$10</f>
        <v>0</v>
      </c>
      <c r="E13" s="154">
        <f t="shared" si="1"/>
        <v>500</v>
      </c>
      <c r="F13" s="154">
        <f t="shared" si="1"/>
        <v>500</v>
      </c>
      <c r="G13" s="154">
        <f t="shared" si="1"/>
        <v>500</v>
      </c>
      <c r="H13" s="154">
        <f t="shared" si="1"/>
        <v>500</v>
      </c>
      <c r="I13" s="154">
        <f t="shared" si="1"/>
        <v>500</v>
      </c>
      <c r="J13" s="154">
        <f t="shared" si="1"/>
        <v>500</v>
      </c>
      <c r="K13" s="154">
        <f t="shared" si="1"/>
        <v>500</v>
      </c>
      <c r="L13" s="154">
        <f t="shared" si="1"/>
        <v>500</v>
      </c>
      <c r="M13" s="154">
        <f t="shared" si="1"/>
        <v>500</v>
      </c>
      <c r="N13" s="154">
        <f t="shared" si="1"/>
        <v>500</v>
      </c>
      <c r="O13" s="154">
        <f t="shared" si="1"/>
        <v>500</v>
      </c>
      <c r="P13" s="154">
        <f t="shared" si="1"/>
        <v>500</v>
      </c>
      <c r="Q13" s="154">
        <f t="shared" si="1"/>
        <v>500</v>
      </c>
      <c r="R13" s="154">
        <f t="shared" si="1"/>
        <v>500</v>
      </c>
      <c r="S13" s="154">
        <f t="shared" si="1"/>
        <v>500</v>
      </c>
      <c r="T13" s="154">
        <f t="shared" si="1"/>
        <v>500</v>
      </c>
      <c r="U13" s="154">
        <f t="shared" si="1"/>
        <v>500</v>
      </c>
      <c r="V13" s="154">
        <f t="shared" si="1"/>
        <v>500</v>
      </c>
      <c r="W13" s="154">
        <f t="shared" si="1"/>
        <v>500</v>
      </c>
      <c r="X13" s="154">
        <f t="shared" si="1"/>
        <v>0</v>
      </c>
      <c r="Y13" s="154">
        <f t="shared" si="1"/>
        <v>500</v>
      </c>
      <c r="Z13" s="154">
        <f t="shared" si="1"/>
        <v>500</v>
      </c>
      <c r="AA13" s="154">
        <f t="shared" si="1"/>
        <v>500</v>
      </c>
      <c r="AB13" s="154">
        <f t="shared" si="1"/>
        <v>500</v>
      </c>
      <c r="AC13" s="154">
        <f t="shared" si="1"/>
        <v>500</v>
      </c>
      <c r="AD13" s="154">
        <f t="shared" si="1"/>
        <v>500</v>
      </c>
      <c r="AE13" s="154">
        <f t="shared" si="1"/>
        <v>500</v>
      </c>
      <c r="AF13" s="154">
        <f t="shared" si="1"/>
        <v>500</v>
      </c>
      <c r="AG13" s="154">
        <f t="shared" si="1"/>
        <v>500</v>
      </c>
      <c r="AH13" s="154">
        <f t="shared" si="1"/>
        <v>500</v>
      </c>
      <c r="AI13" s="154">
        <f t="shared" si="1"/>
        <v>500</v>
      </c>
      <c r="AJ13" s="154">
        <f t="shared" si="1"/>
        <v>500</v>
      </c>
      <c r="AK13" s="154">
        <f t="shared" si="1"/>
        <v>500</v>
      </c>
      <c r="AL13" s="154">
        <f t="shared" si="1"/>
        <v>500</v>
      </c>
      <c r="AM13" s="154">
        <f t="shared" si="1"/>
        <v>500</v>
      </c>
      <c r="AN13" s="154">
        <f t="shared" si="1"/>
        <v>500</v>
      </c>
      <c r="AO13" s="154">
        <f t="shared" si="1"/>
        <v>500</v>
      </c>
      <c r="AP13" s="154">
        <f t="shared" si="1"/>
        <v>500</v>
      </c>
      <c r="AQ13" s="154">
        <f t="shared" si="1"/>
        <v>500</v>
      </c>
      <c r="AR13" s="154">
        <f t="shared" si="1"/>
        <v>500</v>
      </c>
      <c r="AS13" s="154">
        <f t="shared" si="1"/>
        <v>500</v>
      </c>
      <c r="AT13" s="154">
        <f t="shared" si="1"/>
        <v>0</v>
      </c>
      <c r="AU13" s="154">
        <f t="shared" si="1"/>
        <v>500</v>
      </c>
      <c r="AV13" s="154">
        <f t="shared" si="1"/>
        <v>500</v>
      </c>
      <c r="AW13" s="154">
        <f t="shared" si="1"/>
        <v>500</v>
      </c>
      <c r="AX13" s="154">
        <f t="shared" si="1"/>
        <v>0</v>
      </c>
      <c r="AY13" s="154">
        <f t="shared" si="1"/>
        <v>0</v>
      </c>
      <c r="AZ13" s="126"/>
    </row>
    <row r="14" spans="1:52" x14ac:dyDescent="0.2">
      <c r="A14" s="127"/>
      <c r="B14" s="136">
        <v>2</v>
      </c>
      <c r="C14" s="127">
        <v>0</v>
      </c>
      <c r="D14" s="123">
        <f>IF(C$20="Yes",C13,0)</f>
        <v>500</v>
      </c>
      <c r="E14" s="123">
        <f t="shared" ref="E14:AY17" si="2">IF(D$20="Yes",D13,0)</f>
        <v>0</v>
      </c>
      <c r="F14" s="123">
        <f t="shared" si="2"/>
        <v>0</v>
      </c>
      <c r="G14" s="123">
        <f t="shared" si="2"/>
        <v>0</v>
      </c>
      <c r="H14" s="123">
        <f t="shared" si="2"/>
        <v>0</v>
      </c>
      <c r="I14" s="123">
        <f t="shared" si="2"/>
        <v>0</v>
      </c>
      <c r="J14" s="123">
        <f t="shared" si="2"/>
        <v>0</v>
      </c>
      <c r="K14" s="123">
        <f t="shared" si="2"/>
        <v>0</v>
      </c>
      <c r="L14" s="123">
        <f t="shared" si="2"/>
        <v>0</v>
      </c>
      <c r="M14" s="123">
        <f t="shared" si="2"/>
        <v>0</v>
      </c>
      <c r="N14" s="123">
        <f t="shared" si="2"/>
        <v>0</v>
      </c>
      <c r="O14" s="123">
        <f t="shared" si="2"/>
        <v>0</v>
      </c>
      <c r="P14" s="123">
        <f t="shared" si="2"/>
        <v>0</v>
      </c>
      <c r="Q14" s="123">
        <f t="shared" si="2"/>
        <v>0</v>
      </c>
      <c r="R14" s="123">
        <f t="shared" si="2"/>
        <v>0</v>
      </c>
      <c r="S14" s="123">
        <f t="shared" si="2"/>
        <v>0</v>
      </c>
      <c r="T14" s="123">
        <f t="shared" si="2"/>
        <v>0</v>
      </c>
      <c r="U14" s="123">
        <f t="shared" si="2"/>
        <v>0</v>
      </c>
      <c r="V14" s="123">
        <f t="shared" si="2"/>
        <v>0</v>
      </c>
      <c r="W14" s="123">
        <f t="shared" si="2"/>
        <v>0</v>
      </c>
      <c r="X14" s="123">
        <f t="shared" si="2"/>
        <v>500</v>
      </c>
      <c r="Y14" s="123">
        <f t="shared" si="2"/>
        <v>0</v>
      </c>
      <c r="Z14" s="123">
        <f t="shared" si="2"/>
        <v>0</v>
      </c>
      <c r="AA14" s="123">
        <f t="shared" si="2"/>
        <v>0</v>
      </c>
      <c r="AB14" s="123">
        <f t="shared" si="2"/>
        <v>0</v>
      </c>
      <c r="AC14" s="123">
        <f t="shared" si="2"/>
        <v>0</v>
      </c>
      <c r="AD14" s="123">
        <f t="shared" si="2"/>
        <v>0</v>
      </c>
      <c r="AE14" s="123">
        <f t="shared" si="2"/>
        <v>0</v>
      </c>
      <c r="AF14" s="123">
        <f t="shared" si="2"/>
        <v>0</v>
      </c>
      <c r="AG14" s="123">
        <f t="shared" si="2"/>
        <v>0</v>
      </c>
      <c r="AH14" s="123">
        <f t="shared" si="2"/>
        <v>0</v>
      </c>
      <c r="AI14" s="123">
        <f t="shared" si="2"/>
        <v>0</v>
      </c>
      <c r="AJ14" s="123">
        <f t="shared" si="2"/>
        <v>0</v>
      </c>
      <c r="AK14" s="123">
        <f t="shared" si="2"/>
        <v>0</v>
      </c>
      <c r="AL14" s="123">
        <f t="shared" si="2"/>
        <v>0</v>
      </c>
      <c r="AM14" s="123">
        <f t="shared" si="2"/>
        <v>0</v>
      </c>
      <c r="AN14" s="123">
        <f t="shared" si="2"/>
        <v>0</v>
      </c>
      <c r="AO14" s="123">
        <f t="shared" si="2"/>
        <v>0</v>
      </c>
      <c r="AP14" s="123">
        <f t="shared" si="2"/>
        <v>0</v>
      </c>
      <c r="AQ14" s="123">
        <f t="shared" si="2"/>
        <v>0</v>
      </c>
      <c r="AR14" s="123">
        <f t="shared" si="2"/>
        <v>0</v>
      </c>
      <c r="AS14" s="123">
        <f t="shared" si="2"/>
        <v>0</v>
      </c>
      <c r="AT14" s="123">
        <f t="shared" si="2"/>
        <v>500</v>
      </c>
      <c r="AU14" s="123">
        <f t="shared" si="2"/>
        <v>0</v>
      </c>
      <c r="AV14" s="123">
        <f t="shared" si="2"/>
        <v>0</v>
      </c>
      <c r="AW14" s="123">
        <f t="shared" si="2"/>
        <v>0</v>
      </c>
      <c r="AX14" s="123">
        <f t="shared" si="2"/>
        <v>500</v>
      </c>
      <c r="AY14" s="123">
        <f t="shared" si="2"/>
        <v>0</v>
      </c>
      <c r="AZ14" s="126"/>
    </row>
    <row r="15" spans="1:52" x14ac:dyDescent="0.2">
      <c r="A15" s="127"/>
      <c r="B15" s="143">
        <v>3</v>
      </c>
      <c r="C15" s="127">
        <v>0</v>
      </c>
      <c r="D15" s="123">
        <f>IF(C$20="Yes",C14,0)</f>
        <v>0</v>
      </c>
      <c r="E15" s="123">
        <f t="shared" si="2"/>
        <v>0</v>
      </c>
      <c r="F15" s="123">
        <f t="shared" si="2"/>
        <v>0</v>
      </c>
      <c r="G15" s="123">
        <f t="shared" si="2"/>
        <v>0</v>
      </c>
      <c r="H15" s="123">
        <f t="shared" si="2"/>
        <v>0</v>
      </c>
      <c r="I15" s="123">
        <f t="shared" si="2"/>
        <v>0</v>
      </c>
      <c r="J15" s="123">
        <f t="shared" si="2"/>
        <v>0</v>
      </c>
      <c r="K15" s="123">
        <f t="shared" si="2"/>
        <v>0</v>
      </c>
      <c r="L15" s="123">
        <f t="shared" si="2"/>
        <v>0</v>
      </c>
      <c r="M15" s="123">
        <f t="shared" si="2"/>
        <v>0</v>
      </c>
      <c r="N15" s="123">
        <f t="shared" si="2"/>
        <v>0</v>
      </c>
      <c r="O15" s="123">
        <f t="shared" si="2"/>
        <v>0</v>
      </c>
      <c r="P15" s="123">
        <f t="shared" si="2"/>
        <v>0</v>
      </c>
      <c r="Q15" s="123">
        <f t="shared" si="2"/>
        <v>0</v>
      </c>
      <c r="R15" s="123">
        <f t="shared" si="2"/>
        <v>0</v>
      </c>
      <c r="S15" s="123">
        <f t="shared" si="2"/>
        <v>0</v>
      </c>
      <c r="T15" s="123">
        <f t="shared" si="2"/>
        <v>0</v>
      </c>
      <c r="U15" s="123">
        <f t="shared" si="2"/>
        <v>0</v>
      </c>
      <c r="V15" s="123">
        <f t="shared" si="2"/>
        <v>0</v>
      </c>
      <c r="W15" s="123">
        <f t="shared" si="2"/>
        <v>0</v>
      </c>
      <c r="X15" s="123">
        <f t="shared" si="2"/>
        <v>0</v>
      </c>
      <c r="Y15" s="123">
        <f t="shared" si="2"/>
        <v>0</v>
      </c>
      <c r="Z15" s="123">
        <f t="shared" si="2"/>
        <v>0</v>
      </c>
      <c r="AA15" s="123">
        <f t="shared" si="2"/>
        <v>0</v>
      </c>
      <c r="AB15" s="123">
        <f t="shared" si="2"/>
        <v>0</v>
      </c>
      <c r="AC15" s="123">
        <f t="shared" si="2"/>
        <v>0</v>
      </c>
      <c r="AD15" s="123">
        <f t="shared" si="2"/>
        <v>0</v>
      </c>
      <c r="AE15" s="123">
        <f t="shared" si="2"/>
        <v>0</v>
      </c>
      <c r="AF15" s="123">
        <f t="shared" si="2"/>
        <v>0</v>
      </c>
      <c r="AG15" s="123">
        <f t="shared" si="2"/>
        <v>0</v>
      </c>
      <c r="AH15" s="123">
        <f t="shared" si="2"/>
        <v>0</v>
      </c>
      <c r="AI15" s="123">
        <f t="shared" si="2"/>
        <v>0</v>
      </c>
      <c r="AJ15" s="123">
        <f t="shared" si="2"/>
        <v>0</v>
      </c>
      <c r="AK15" s="123">
        <f t="shared" si="2"/>
        <v>0</v>
      </c>
      <c r="AL15" s="123">
        <f t="shared" si="2"/>
        <v>0</v>
      </c>
      <c r="AM15" s="123">
        <f t="shared" si="2"/>
        <v>0</v>
      </c>
      <c r="AN15" s="123">
        <f t="shared" si="2"/>
        <v>0</v>
      </c>
      <c r="AO15" s="123">
        <f t="shared" si="2"/>
        <v>0</v>
      </c>
      <c r="AP15" s="123">
        <f t="shared" si="2"/>
        <v>0</v>
      </c>
      <c r="AQ15" s="123">
        <f t="shared" si="2"/>
        <v>0</v>
      </c>
      <c r="AR15" s="123">
        <f t="shared" si="2"/>
        <v>0</v>
      </c>
      <c r="AS15" s="123">
        <f t="shared" si="2"/>
        <v>0</v>
      </c>
      <c r="AT15" s="123">
        <f t="shared" si="2"/>
        <v>0</v>
      </c>
      <c r="AU15" s="123">
        <f t="shared" si="2"/>
        <v>0</v>
      </c>
      <c r="AV15" s="123">
        <f t="shared" si="2"/>
        <v>0</v>
      </c>
      <c r="AW15" s="123">
        <f t="shared" si="2"/>
        <v>0</v>
      </c>
      <c r="AX15" s="123">
        <f t="shared" si="2"/>
        <v>0</v>
      </c>
      <c r="AY15" s="123">
        <f t="shared" si="2"/>
        <v>500</v>
      </c>
      <c r="AZ15" s="126"/>
    </row>
    <row r="16" spans="1:52" x14ac:dyDescent="0.2">
      <c r="A16" s="127"/>
      <c r="B16" s="146">
        <v>4</v>
      </c>
      <c r="C16" s="127">
        <v>0</v>
      </c>
      <c r="D16" s="123">
        <f>IF(C$20="Yes",C15,0)</f>
        <v>0</v>
      </c>
      <c r="E16" s="123">
        <f t="shared" si="2"/>
        <v>0</v>
      </c>
      <c r="F16" s="123">
        <f t="shared" si="2"/>
        <v>0</v>
      </c>
      <c r="G16" s="123">
        <f t="shared" si="2"/>
        <v>0</v>
      </c>
      <c r="H16" s="123">
        <f t="shared" si="2"/>
        <v>0</v>
      </c>
      <c r="I16" s="123">
        <f t="shared" si="2"/>
        <v>0</v>
      </c>
      <c r="J16" s="123">
        <f t="shared" si="2"/>
        <v>0</v>
      </c>
      <c r="K16" s="123">
        <f t="shared" si="2"/>
        <v>0</v>
      </c>
      <c r="L16" s="123">
        <f t="shared" si="2"/>
        <v>0</v>
      </c>
      <c r="M16" s="123">
        <f t="shared" si="2"/>
        <v>0</v>
      </c>
      <c r="N16" s="123">
        <f t="shared" si="2"/>
        <v>0</v>
      </c>
      <c r="O16" s="123">
        <f t="shared" si="2"/>
        <v>0</v>
      </c>
      <c r="P16" s="123">
        <f t="shared" si="2"/>
        <v>0</v>
      </c>
      <c r="Q16" s="123">
        <f t="shared" si="2"/>
        <v>0</v>
      </c>
      <c r="R16" s="123">
        <f t="shared" si="2"/>
        <v>0</v>
      </c>
      <c r="S16" s="123">
        <f t="shared" si="2"/>
        <v>0</v>
      </c>
      <c r="T16" s="123">
        <f t="shared" si="2"/>
        <v>0</v>
      </c>
      <c r="U16" s="123">
        <f t="shared" si="2"/>
        <v>0</v>
      </c>
      <c r="V16" s="123">
        <f t="shared" si="2"/>
        <v>0</v>
      </c>
      <c r="W16" s="123">
        <f t="shared" si="2"/>
        <v>0</v>
      </c>
      <c r="X16" s="123">
        <f t="shared" si="2"/>
        <v>0</v>
      </c>
      <c r="Y16" s="123">
        <f t="shared" si="2"/>
        <v>0</v>
      </c>
      <c r="Z16" s="123">
        <f t="shared" si="2"/>
        <v>0</v>
      </c>
      <c r="AA16" s="123">
        <f t="shared" si="2"/>
        <v>0</v>
      </c>
      <c r="AB16" s="123">
        <f t="shared" si="2"/>
        <v>0</v>
      </c>
      <c r="AC16" s="123">
        <f t="shared" si="2"/>
        <v>0</v>
      </c>
      <c r="AD16" s="123">
        <f t="shared" si="2"/>
        <v>0</v>
      </c>
      <c r="AE16" s="123">
        <f t="shared" si="2"/>
        <v>0</v>
      </c>
      <c r="AF16" s="123">
        <f t="shared" si="2"/>
        <v>0</v>
      </c>
      <c r="AG16" s="123">
        <f t="shared" si="2"/>
        <v>0</v>
      </c>
      <c r="AH16" s="123">
        <f t="shared" si="2"/>
        <v>0</v>
      </c>
      <c r="AI16" s="123">
        <f t="shared" si="2"/>
        <v>0</v>
      </c>
      <c r="AJ16" s="123">
        <f t="shared" si="2"/>
        <v>0</v>
      </c>
      <c r="AK16" s="123">
        <f t="shared" si="2"/>
        <v>0</v>
      </c>
      <c r="AL16" s="123">
        <f t="shared" si="2"/>
        <v>0</v>
      </c>
      <c r="AM16" s="123">
        <f t="shared" si="2"/>
        <v>0</v>
      </c>
      <c r="AN16" s="123">
        <f t="shared" si="2"/>
        <v>0</v>
      </c>
      <c r="AO16" s="123">
        <f t="shared" si="2"/>
        <v>0</v>
      </c>
      <c r="AP16" s="123">
        <f t="shared" si="2"/>
        <v>0</v>
      </c>
      <c r="AQ16" s="123">
        <f t="shared" si="2"/>
        <v>0</v>
      </c>
      <c r="AR16" s="123">
        <f t="shared" si="2"/>
        <v>0</v>
      </c>
      <c r="AS16" s="123">
        <f t="shared" si="2"/>
        <v>0</v>
      </c>
      <c r="AT16" s="123">
        <f t="shared" si="2"/>
        <v>0</v>
      </c>
      <c r="AU16" s="123">
        <f t="shared" si="2"/>
        <v>0</v>
      </c>
      <c r="AV16" s="123">
        <f t="shared" si="2"/>
        <v>0</v>
      </c>
      <c r="AW16" s="123">
        <f t="shared" si="2"/>
        <v>0</v>
      </c>
      <c r="AX16" s="123">
        <f t="shared" si="2"/>
        <v>0</v>
      </c>
      <c r="AY16" s="123">
        <f t="shared" si="2"/>
        <v>0</v>
      </c>
      <c r="AZ16" s="144"/>
    </row>
    <row r="17" spans="1:52" x14ac:dyDescent="0.2">
      <c r="A17" s="141"/>
      <c r="B17" s="148" t="s">
        <v>296</v>
      </c>
      <c r="C17" s="141">
        <v>0</v>
      </c>
      <c r="D17" s="130">
        <f>IF(C$20="Yes",C16,0)</f>
        <v>0</v>
      </c>
      <c r="E17" s="130">
        <f t="shared" si="2"/>
        <v>0</v>
      </c>
      <c r="F17" s="130">
        <f t="shared" si="2"/>
        <v>0</v>
      </c>
      <c r="G17" s="130">
        <f t="shared" si="2"/>
        <v>0</v>
      </c>
      <c r="H17" s="130">
        <f t="shared" si="2"/>
        <v>0</v>
      </c>
      <c r="I17" s="130">
        <f t="shared" si="2"/>
        <v>0</v>
      </c>
      <c r="J17" s="130">
        <f t="shared" si="2"/>
        <v>0</v>
      </c>
      <c r="K17" s="130">
        <f t="shared" si="2"/>
        <v>0</v>
      </c>
      <c r="L17" s="130">
        <f t="shared" si="2"/>
        <v>0</v>
      </c>
      <c r="M17" s="130">
        <f t="shared" si="2"/>
        <v>0</v>
      </c>
      <c r="N17" s="130">
        <f t="shared" si="2"/>
        <v>0</v>
      </c>
      <c r="O17" s="130">
        <f t="shared" si="2"/>
        <v>0</v>
      </c>
      <c r="P17" s="130">
        <f t="shared" si="2"/>
        <v>0</v>
      </c>
      <c r="Q17" s="130">
        <f t="shared" si="2"/>
        <v>0</v>
      </c>
      <c r="R17" s="130">
        <f t="shared" si="2"/>
        <v>0</v>
      </c>
      <c r="S17" s="130">
        <f t="shared" si="2"/>
        <v>0</v>
      </c>
      <c r="T17" s="130">
        <f t="shared" si="2"/>
        <v>0</v>
      </c>
      <c r="U17" s="130">
        <f t="shared" si="2"/>
        <v>0</v>
      </c>
      <c r="V17" s="130">
        <f t="shared" si="2"/>
        <v>0</v>
      </c>
      <c r="W17" s="130">
        <f t="shared" si="2"/>
        <v>0</v>
      </c>
      <c r="X17" s="130">
        <f t="shared" si="2"/>
        <v>0</v>
      </c>
      <c r="Y17" s="130">
        <f t="shared" si="2"/>
        <v>0</v>
      </c>
      <c r="Z17" s="130">
        <f t="shared" si="2"/>
        <v>0</v>
      </c>
      <c r="AA17" s="130">
        <f t="shared" si="2"/>
        <v>0</v>
      </c>
      <c r="AB17" s="130">
        <f t="shared" si="2"/>
        <v>0</v>
      </c>
      <c r="AC17" s="130">
        <f t="shared" si="2"/>
        <v>0</v>
      </c>
      <c r="AD17" s="130">
        <f t="shared" si="2"/>
        <v>0</v>
      </c>
      <c r="AE17" s="130">
        <f t="shared" si="2"/>
        <v>0</v>
      </c>
      <c r="AF17" s="130">
        <f t="shared" si="2"/>
        <v>0</v>
      </c>
      <c r="AG17" s="130">
        <f t="shared" si="2"/>
        <v>0</v>
      </c>
      <c r="AH17" s="130">
        <f t="shared" si="2"/>
        <v>0</v>
      </c>
      <c r="AI17" s="130">
        <f t="shared" si="2"/>
        <v>0</v>
      </c>
      <c r="AJ17" s="130">
        <f t="shared" si="2"/>
        <v>0</v>
      </c>
      <c r="AK17" s="130">
        <f t="shared" si="2"/>
        <v>0</v>
      </c>
      <c r="AL17" s="130">
        <f t="shared" si="2"/>
        <v>0</v>
      </c>
      <c r="AM17" s="130">
        <f t="shared" si="2"/>
        <v>0</v>
      </c>
      <c r="AN17" s="130">
        <f t="shared" si="2"/>
        <v>0</v>
      </c>
      <c r="AO17" s="130">
        <f t="shared" si="2"/>
        <v>0</v>
      </c>
      <c r="AP17" s="130">
        <f t="shared" si="2"/>
        <v>0</v>
      </c>
      <c r="AQ17" s="130">
        <f t="shared" si="2"/>
        <v>0</v>
      </c>
      <c r="AR17" s="130">
        <f t="shared" si="2"/>
        <v>0</v>
      </c>
      <c r="AS17" s="130">
        <f t="shared" si="2"/>
        <v>0</v>
      </c>
      <c r="AT17" s="130">
        <f t="shared" si="2"/>
        <v>0</v>
      </c>
      <c r="AU17" s="130">
        <f t="shared" si="2"/>
        <v>0</v>
      </c>
      <c r="AV17" s="130">
        <f t="shared" si="2"/>
        <v>0</v>
      </c>
      <c r="AW17" s="130">
        <f t="shared" si="2"/>
        <v>0</v>
      </c>
      <c r="AX17" s="130">
        <f t="shared" si="2"/>
        <v>0</v>
      </c>
      <c r="AY17" s="130">
        <f t="shared" si="2"/>
        <v>0</v>
      </c>
      <c r="AZ17" s="167">
        <f>SUM($D$17:$AY$17)</f>
        <v>0</v>
      </c>
    </row>
    <row r="18" spans="1:52" x14ac:dyDescent="0.2">
      <c r="A18" s="123"/>
      <c r="B18" s="169"/>
      <c r="C18" s="154"/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154"/>
      <c r="X18" s="154"/>
      <c r="Y18" s="154"/>
      <c r="Z18" s="154"/>
      <c r="AA18" s="154"/>
      <c r="AB18" s="154"/>
      <c r="AC18" s="154"/>
      <c r="AD18" s="154"/>
      <c r="AE18" s="154"/>
      <c r="AF18" s="154"/>
      <c r="AG18" s="154"/>
      <c r="AH18" s="154"/>
      <c r="AI18" s="154"/>
      <c r="AJ18" s="154"/>
      <c r="AK18" s="154"/>
      <c r="AL18" s="154"/>
      <c r="AM18" s="154"/>
      <c r="AN18" s="154"/>
      <c r="AO18" s="154"/>
      <c r="AP18" s="154"/>
      <c r="AQ18" s="154"/>
      <c r="AR18" s="154"/>
      <c r="AS18" s="154"/>
      <c r="AT18" s="154"/>
      <c r="AU18" s="154"/>
      <c r="AV18" s="154"/>
      <c r="AW18" s="154"/>
      <c r="AX18" s="154"/>
      <c r="AY18" s="154"/>
      <c r="AZ18" s="123"/>
    </row>
    <row r="19" spans="1:52" x14ac:dyDescent="0.2">
      <c r="A19" s="1" t="s">
        <v>116</v>
      </c>
      <c r="B19" s="123"/>
      <c r="C19" s="123"/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  <c r="AP19" s="123"/>
      <c r="AQ19" s="123"/>
      <c r="AR19" s="123"/>
      <c r="AS19" s="123"/>
      <c r="AT19" s="123"/>
      <c r="AU19" s="123"/>
      <c r="AV19" s="123"/>
      <c r="AW19" s="123"/>
      <c r="AX19" s="123"/>
      <c r="AY19" s="123"/>
    </row>
    <row r="20" spans="1:52" s="127" customFormat="1" x14ac:dyDescent="0.2">
      <c r="A20" s="131" t="s">
        <v>305</v>
      </c>
      <c r="B20" s="170" t="s">
        <v>306</v>
      </c>
      <c r="C20" s="133" t="s">
        <v>313</v>
      </c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  <c r="S20" s="133"/>
      <c r="T20" s="133"/>
      <c r="U20" s="133"/>
      <c r="V20" s="133"/>
      <c r="W20" s="133" t="s">
        <v>313</v>
      </c>
      <c r="X20" s="133"/>
      <c r="Y20" s="133"/>
      <c r="Z20" s="133"/>
      <c r="AA20" s="133"/>
      <c r="AB20" s="133"/>
      <c r="AC20" s="133"/>
      <c r="AD20" s="133"/>
      <c r="AE20" s="133"/>
      <c r="AF20" s="133"/>
      <c r="AG20" s="133"/>
      <c r="AH20" s="133"/>
      <c r="AI20" s="133"/>
      <c r="AJ20" s="133"/>
      <c r="AK20" s="133"/>
      <c r="AL20" s="133"/>
      <c r="AM20" s="133"/>
      <c r="AN20" s="133"/>
      <c r="AO20" s="133"/>
      <c r="AP20" s="133"/>
      <c r="AQ20" s="133"/>
      <c r="AR20" s="133"/>
      <c r="AS20" s="133" t="s">
        <v>313</v>
      </c>
      <c r="AT20" s="133"/>
      <c r="AU20" s="133"/>
      <c r="AV20" s="133"/>
      <c r="AW20" s="133" t="s">
        <v>313</v>
      </c>
      <c r="AX20" s="133" t="s">
        <v>313</v>
      </c>
      <c r="AY20" s="133"/>
      <c r="AZ20" s="124"/>
    </row>
    <row r="21" spans="1:52" s="127" customFormat="1" x14ac:dyDescent="0.2">
      <c r="A21" s="171" t="s">
        <v>133</v>
      </c>
      <c r="B21" s="172">
        <f>shipping_manufacturing!$E$19/100</f>
        <v>0.7</v>
      </c>
      <c r="C21" s="172" t="s">
        <v>293</v>
      </c>
      <c r="D21" s="123">
        <f>IF(C$20="Yes",0,SUM(C$13:C$16)*$B$21)</f>
        <v>0</v>
      </c>
      <c r="E21" s="123">
        <f t="shared" ref="E21:AY21" si="3">IF(D$20="Yes",0,SUM(D$13:D$16)*$B$21)</f>
        <v>350</v>
      </c>
      <c r="F21" s="123">
        <f t="shared" si="3"/>
        <v>350</v>
      </c>
      <c r="G21" s="123">
        <f t="shared" si="3"/>
        <v>350</v>
      </c>
      <c r="H21" s="123">
        <f t="shared" si="3"/>
        <v>350</v>
      </c>
      <c r="I21" s="123">
        <f t="shared" si="3"/>
        <v>350</v>
      </c>
      <c r="J21" s="123">
        <f t="shared" si="3"/>
        <v>350</v>
      </c>
      <c r="K21" s="123">
        <f t="shared" si="3"/>
        <v>350</v>
      </c>
      <c r="L21" s="123">
        <f t="shared" si="3"/>
        <v>350</v>
      </c>
      <c r="M21" s="123">
        <f t="shared" si="3"/>
        <v>350</v>
      </c>
      <c r="N21" s="123">
        <f t="shared" si="3"/>
        <v>350</v>
      </c>
      <c r="O21" s="123">
        <f t="shared" si="3"/>
        <v>350</v>
      </c>
      <c r="P21" s="123">
        <f t="shared" si="3"/>
        <v>350</v>
      </c>
      <c r="Q21" s="123">
        <f t="shared" si="3"/>
        <v>350</v>
      </c>
      <c r="R21" s="123">
        <f t="shared" si="3"/>
        <v>350</v>
      </c>
      <c r="S21" s="123">
        <f t="shared" si="3"/>
        <v>350</v>
      </c>
      <c r="T21" s="123">
        <f t="shared" si="3"/>
        <v>350</v>
      </c>
      <c r="U21" s="123">
        <f t="shared" si="3"/>
        <v>350</v>
      </c>
      <c r="V21" s="123">
        <f t="shared" si="3"/>
        <v>350</v>
      </c>
      <c r="W21" s="123">
        <f t="shared" si="3"/>
        <v>350</v>
      </c>
      <c r="X21" s="123">
        <f t="shared" si="3"/>
        <v>0</v>
      </c>
      <c r="Y21" s="123">
        <f t="shared" si="3"/>
        <v>350</v>
      </c>
      <c r="Z21" s="123">
        <f t="shared" si="3"/>
        <v>350</v>
      </c>
      <c r="AA21" s="123">
        <f t="shared" si="3"/>
        <v>350</v>
      </c>
      <c r="AB21" s="123">
        <f t="shared" si="3"/>
        <v>350</v>
      </c>
      <c r="AC21" s="123">
        <f t="shared" si="3"/>
        <v>350</v>
      </c>
      <c r="AD21" s="123">
        <f t="shared" si="3"/>
        <v>350</v>
      </c>
      <c r="AE21" s="123">
        <f t="shared" si="3"/>
        <v>350</v>
      </c>
      <c r="AF21" s="123">
        <f t="shared" si="3"/>
        <v>350</v>
      </c>
      <c r="AG21" s="123">
        <f t="shared" si="3"/>
        <v>350</v>
      </c>
      <c r="AH21" s="123">
        <f t="shared" si="3"/>
        <v>350</v>
      </c>
      <c r="AI21" s="123">
        <f t="shared" si="3"/>
        <v>350</v>
      </c>
      <c r="AJ21" s="123">
        <f t="shared" si="3"/>
        <v>350</v>
      </c>
      <c r="AK21" s="123">
        <f t="shared" si="3"/>
        <v>350</v>
      </c>
      <c r="AL21" s="123">
        <f t="shared" si="3"/>
        <v>350</v>
      </c>
      <c r="AM21" s="123">
        <f t="shared" si="3"/>
        <v>350</v>
      </c>
      <c r="AN21" s="123">
        <f t="shared" si="3"/>
        <v>350</v>
      </c>
      <c r="AO21" s="123">
        <f t="shared" si="3"/>
        <v>350</v>
      </c>
      <c r="AP21" s="123">
        <f t="shared" si="3"/>
        <v>350</v>
      </c>
      <c r="AQ21" s="123">
        <f t="shared" si="3"/>
        <v>350</v>
      </c>
      <c r="AR21" s="123">
        <f t="shared" si="3"/>
        <v>350</v>
      </c>
      <c r="AS21" s="123">
        <f t="shared" si="3"/>
        <v>350</v>
      </c>
      <c r="AT21" s="123">
        <f t="shared" si="3"/>
        <v>0</v>
      </c>
      <c r="AU21" s="123">
        <f t="shared" si="3"/>
        <v>350</v>
      </c>
      <c r="AV21" s="123">
        <f t="shared" si="3"/>
        <v>350</v>
      </c>
      <c r="AW21" s="123">
        <f t="shared" si="3"/>
        <v>350</v>
      </c>
      <c r="AX21" s="123">
        <f t="shared" si="3"/>
        <v>0</v>
      </c>
      <c r="AY21" s="123">
        <f t="shared" si="3"/>
        <v>0</v>
      </c>
      <c r="AZ21" s="173">
        <f>SUM($D21:$AY21)</f>
        <v>15050</v>
      </c>
    </row>
    <row r="22" spans="1:52" s="127" customFormat="1" x14ac:dyDescent="0.2">
      <c r="A22" s="174" t="s">
        <v>123</v>
      </c>
      <c r="B22" s="175">
        <f>1-$B$21</f>
        <v>0.30000000000000004</v>
      </c>
      <c r="C22" s="175" t="s">
        <v>293</v>
      </c>
      <c r="D22" s="130">
        <f>IF(C$20="Yes",0,SUM(C$13:C$16)*$B$22)</f>
        <v>0</v>
      </c>
      <c r="E22" s="130">
        <f t="shared" ref="E22:AY22" si="4">IF(D$20="Yes",0,SUM(D$13:D$16)*$B$22)</f>
        <v>150.00000000000003</v>
      </c>
      <c r="F22" s="130">
        <f t="shared" si="4"/>
        <v>150.00000000000003</v>
      </c>
      <c r="G22" s="130">
        <f t="shared" si="4"/>
        <v>150.00000000000003</v>
      </c>
      <c r="H22" s="130">
        <f t="shared" si="4"/>
        <v>150.00000000000003</v>
      </c>
      <c r="I22" s="130">
        <f t="shared" si="4"/>
        <v>150.00000000000003</v>
      </c>
      <c r="J22" s="130">
        <f t="shared" si="4"/>
        <v>150.00000000000003</v>
      </c>
      <c r="K22" s="130">
        <f t="shared" si="4"/>
        <v>150.00000000000003</v>
      </c>
      <c r="L22" s="130">
        <f t="shared" si="4"/>
        <v>150.00000000000003</v>
      </c>
      <c r="M22" s="130">
        <f t="shared" si="4"/>
        <v>150.00000000000003</v>
      </c>
      <c r="N22" s="130">
        <f t="shared" si="4"/>
        <v>150.00000000000003</v>
      </c>
      <c r="O22" s="130">
        <f t="shared" si="4"/>
        <v>150.00000000000003</v>
      </c>
      <c r="P22" s="130">
        <f t="shared" si="4"/>
        <v>150.00000000000003</v>
      </c>
      <c r="Q22" s="130">
        <f t="shared" si="4"/>
        <v>150.00000000000003</v>
      </c>
      <c r="R22" s="130">
        <f t="shared" si="4"/>
        <v>150.00000000000003</v>
      </c>
      <c r="S22" s="130">
        <f t="shared" si="4"/>
        <v>150.00000000000003</v>
      </c>
      <c r="T22" s="130">
        <f t="shared" si="4"/>
        <v>150.00000000000003</v>
      </c>
      <c r="U22" s="130">
        <f t="shared" si="4"/>
        <v>150.00000000000003</v>
      </c>
      <c r="V22" s="130">
        <f t="shared" si="4"/>
        <v>150.00000000000003</v>
      </c>
      <c r="W22" s="130">
        <f t="shared" si="4"/>
        <v>150.00000000000003</v>
      </c>
      <c r="X22" s="130">
        <f t="shared" si="4"/>
        <v>0</v>
      </c>
      <c r="Y22" s="130">
        <f t="shared" si="4"/>
        <v>150.00000000000003</v>
      </c>
      <c r="Z22" s="130">
        <f t="shared" si="4"/>
        <v>150.00000000000003</v>
      </c>
      <c r="AA22" s="130">
        <f t="shared" si="4"/>
        <v>150.00000000000003</v>
      </c>
      <c r="AB22" s="130">
        <f t="shared" si="4"/>
        <v>150.00000000000003</v>
      </c>
      <c r="AC22" s="130">
        <f t="shared" si="4"/>
        <v>150.00000000000003</v>
      </c>
      <c r="AD22" s="130">
        <f t="shared" si="4"/>
        <v>150.00000000000003</v>
      </c>
      <c r="AE22" s="130">
        <f t="shared" si="4"/>
        <v>150.00000000000003</v>
      </c>
      <c r="AF22" s="130">
        <f t="shared" si="4"/>
        <v>150.00000000000003</v>
      </c>
      <c r="AG22" s="130">
        <f t="shared" si="4"/>
        <v>150.00000000000003</v>
      </c>
      <c r="AH22" s="130">
        <f t="shared" si="4"/>
        <v>150.00000000000003</v>
      </c>
      <c r="AI22" s="130">
        <f t="shared" si="4"/>
        <v>150.00000000000003</v>
      </c>
      <c r="AJ22" s="130">
        <f t="shared" si="4"/>
        <v>150.00000000000003</v>
      </c>
      <c r="AK22" s="130">
        <f t="shared" si="4"/>
        <v>150.00000000000003</v>
      </c>
      <c r="AL22" s="130">
        <f t="shared" si="4"/>
        <v>150.00000000000003</v>
      </c>
      <c r="AM22" s="130">
        <f t="shared" si="4"/>
        <v>150.00000000000003</v>
      </c>
      <c r="AN22" s="130">
        <f t="shared" si="4"/>
        <v>150.00000000000003</v>
      </c>
      <c r="AO22" s="130">
        <f t="shared" si="4"/>
        <v>150.00000000000003</v>
      </c>
      <c r="AP22" s="130">
        <f t="shared" si="4"/>
        <v>150.00000000000003</v>
      </c>
      <c r="AQ22" s="130">
        <f t="shared" si="4"/>
        <v>150.00000000000003</v>
      </c>
      <c r="AR22" s="130">
        <f t="shared" si="4"/>
        <v>150.00000000000003</v>
      </c>
      <c r="AS22" s="130">
        <f t="shared" si="4"/>
        <v>150.00000000000003</v>
      </c>
      <c r="AT22" s="130">
        <f t="shared" si="4"/>
        <v>0</v>
      </c>
      <c r="AU22" s="130">
        <f t="shared" si="4"/>
        <v>150.00000000000003</v>
      </c>
      <c r="AV22" s="130">
        <f t="shared" si="4"/>
        <v>150.00000000000003</v>
      </c>
      <c r="AW22" s="130">
        <f t="shared" si="4"/>
        <v>150.00000000000003</v>
      </c>
      <c r="AX22" s="130">
        <f t="shared" si="4"/>
        <v>0</v>
      </c>
      <c r="AY22" s="130">
        <f t="shared" si="4"/>
        <v>0</v>
      </c>
      <c r="AZ22" s="157">
        <f t="shared" ref="AZ22:AZ30" si="5">SUM($D22:$AY22)</f>
        <v>6450.0000000000009</v>
      </c>
    </row>
    <row r="23" spans="1:52" x14ac:dyDescent="0.2">
      <c r="A23" s="176" t="s">
        <v>307</v>
      </c>
      <c r="B23" s="140">
        <v>2000</v>
      </c>
      <c r="C23" t="s">
        <v>293</v>
      </c>
      <c r="D23">
        <f>D$21*$B$23</f>
        <v>0</v>
      </c>
      <c r="E23">
        <f t="shared" ref="E23:AY23" si="6">E$21*$B$23</f>
        <v>700000</v>
      </c>
      <c r="F23">
        <f t="shared" si="6"/>
        <v>700000</v>
      </c>
      <c r="G23">
        <f t="shared" si="6"/>
        <v>700000</v>
      </c>
      <c r="H23">
        <f t="shared" si="6"/>
        <v>700000</v>
      </c>
      <c r="I23">
        <f t="shared" si="6"/>
        <v>700000</v>
      </c>
      <c r="J23">
        <f t="shared" si="6"/>
        <v>700000</v>
      </c>
      <c r="K23">
        <f t="shared" si="6"/>
        <v>700000</v>
      </c>
      <c r="L23">
        <f t="shared" si="6"/>
        <v>700000</v>
      </c>
      <c r="M23">
        <f t="shared" si="6"/>
        <v>700000</v>
      </c>
      <c r="N23">
        <f t="shared" si="6"/>
        <v>700000</v>
      </c>
      <c r="O23">
        <f t="shared" si="6"/>
        <v>700000</v>
      </c>
      <c r="P23">
        <f t="shared" si="6"/>
        <v>700000</v>
      </c>
      <c r="Q23">
        <f t="shared" si="6"/>
        <v>700000</v>
      </c>
      <c r="R23">
        <f t="shared" si="6"/>
        <v>700000</v>
      </c>
      <c r="S23">
        <f t="shared" si="6"/>
        <v>700000</v>
      </c>
      <c r="T23">
        <f t="shared" si="6"/>
        <v>700000</v>
      </c>
      <c r="U23">
        <f t="shared" si="6"/>
        <v>700000</v>
      </c>
      <c r="V23">
        <f t="shared" si="6"/>
        <v>700000</v>
      </c>
      <c r="W23">
        <f t="shared" si="6"/>
        <v>700000</v>
      </c>
      <c r="X23">
        <f t="shared" si="6"/>
        <v>0</v>
      </c>
      <c r="Y23">
        <f t="shared" si="6"/>
        <v>700000</v>
      </c>
      <c r="Z23">
        <f t="shared" si="6"/>
        <v>700000</v>
      </c>
      <c r="AA23">
        <f t="shared" si="6"/>
        <v>700000</v>
      </c>
      <c r="AB23">
        <f t="shared" si="6"/>
        <v>700000</v>
      </c>
      <c r="AC23">
        <f t="shared" si="6"/>
        <v>700000</v>
      </c>
      <c r="AD23">
        <f t="shared" si="6"/>
        <v>700000</v>
      </c>
      <c r="AE23">
        <f t="shared" si="6"/>
        <v>700000</v>
      </c>
      <c r="AF23">
        <f t="shared" si="6"/>
        <v>700000</v>
      </c>
      <c r="AG23">
        <f t="shared" si="6"/>
        <v>700000</v>
      </c>
      <c r="AH23">
        <f t="shared" si="6"/>
        <v>700000</v>
      </c>
      <c r="AI23">
        <f t="shared" si="6"/>
        <v>700000</v>
      </c>
      <c r="AJ23">
        <f t="shared" si="6"/>
        <v>700000</v>
      </c>
      <c r="AK23">
        <f t="shared" si="6"/>
        <v>700000</v>
      </c>
      <c r="AL23">
        <f t="shared" si="6"/>
        <v>700000</v>
      </c>
      <c r="AM23">
        <f t="shared" si="6"/>
        <v>700000</v>
      </c>
      <c r="AN23">
        <f t="shared" si="6"/>
        <v>700000</v>
      </c>
      <c r="AO23">
        <f t="shared" si="6"/>
        <v>700000</v>
      </c>
      <c r="AP23">
        <f t="shared" si="6"/>
        <v>700000</v>
      </c>
      <c r="AQ23">
        <f t="shared" si="6"/>
        <v>700000</v>
      </c>
      <c r="AR23">
        <f t="shared" si="6"/>
        <v>700000</v>
      </c>
      <c r="AS23">
        <f t="shared" si="6"/>
        <v>700000</v>
      </c>
      <c r="AT23">
        <f t="shared" si="6"/>
        <v>0</v>
      </c>
      <c r="AU23">
        <f t="shared" si="6"/>
        <v>700000</v>
      </c>
      <c r="AV23">
        <f t="shared" si="6"/>
        <v>700000</v>
      </c>
      <c r="AW23">
        <f t="shared" si="6"/>
        <v>700000</v>
      </c>
      <c r="AX23">
        <f t="shared" si="6"/>
        <v>0</v>
      </c>
      <c r="AY23">
        <f t="shared" si="6"/>
        <v>0</v>
      </c>
      <c r="AZ23" s="155">
        <f t="shared" si="5"/>
        <v>30100000</v>
      </c>
    </row>
    <row r="24" spans="1:52" s="127" customFormat="1" x14ac:dyDescent="0.2">
      <c r="A24" s="177" t="s">
        <v>308</v>
      </c>
      <c r="B24" s="178">
        <v>1000</v>
      </c>
      <c r="C24" s="172" t="s">
        <v>293</v>
      </c>
      <c r="D24" s="123">
        <f>D$22*$B$24</f>
        <v>0</v>
      </c>
      <c r="E24" s="123">
        <f t="shared" ref="E24:AY24" si="7">E$22*$B$24</f>
        <v>150000.00000000003</v>
      </c>
      <c r="F24" s="123">
        <f t="shared" si="7"/>
        <v>150000.00000000003</v>
      </c>
      <c r="G24" s="123">
        <f t="shared" si="7"/>
        <v>150000.00000000003</v>
      </c>
      <c r="H24" s="123">
        <f t="shared" si="7"/>
        <v>150000.00000000003</v>
      </c>
      <c r="I24" s="123">
        <f t="shared" si="7"/>
        <v>150000.00000000003</v>
      </c>
      <c r="J24" s="123">
        <f t="shared" si="7"/>
        <v>150000.00000000003</v>
      </c>
      <c r="K24" s="123">
        <f t="shared" si="7"/>
        <v>150000.00000000003</v>
      </c>
      <c r="L24" s="123">
        <f t="shared" si="7"/>
        <v>150000.00000000003</v>
      </c>
      <c r="M24" s="123">
        <f t="shared" si="7"/>
        <v>150000.00000000003</v>
      </c>
      <c r="N24" s="123">
        <f t="shared" si="7"/>
        <v>150000.00000000003</v>
      </c>
      <c r="O24" s="123">
        <f t="shared" si="7"/>
        <v>150000.00000000003</v>
      </c>
      <c r="P24" s="123">
        <f t="shared" si="7"/>
        <v>150000.00000000003</v>
      </c>
      <c r="Q24" s="123">
        <f t="shared" si="7"/>
        <v>150000.00000000003</v>
      </c>
      <c r="R24" s="123">
        <f t="shared" si="7"/>
        <v>150000.00000000003</v>
      </c>
      <c r="S24" s="123">
        <f t="shared" si="7"/>
        <v>150000.00000000003</v>
      </c>
      <c r="T24" s="123">
        <f t="shared" si="7"/>
        <v>150000.00000000003</v>
      </c>
      <c r="U24" s="123">
        <f t="shared" si="7"/>
        <v>150000.00000000003</v>
      </c>
      <c r="V24" s="123">
        <f t="shared" si="7"/>
        <v>150000.00000000003</v>
      </c>
      <c r="W24" s="123">
        <f t="shared" si="7"/>
        <v>150000.00000000003</v>
      </c>
      <c r="X24" s="123">
        <f t="shared" si="7"/>
        <v>0</v>
      </c>
      <c r="Y24" s="123">
        <f t="shared" si="7"/>
        <v>150000.00000000003</v>
      </c>
      <c r="Z24" s="123">
        <f t="shared" si="7"/>
        <v>150000.00000000003</v>
      </c>
      <c r="AA24" s="123">
        <f t="shared" si="7"/>
        <v>150000.00000000003</v>
      </c>
      <c r="AB24" s="123">
        <f t="shared" si="7"/>
        <v>150000.00000000003</v>
      </c>
      <c r="AC24" s="123">
        <f t="shared" si="7"/>
        <v>150000.00000000003</v>
      </c>
      <c r="AD24" s="123">
        <f t="shared" si="7"/>
        <v>150000.00000000003</v>
      </c>
      <c r="AE24" s="123">
        <f t="shared" si="7"/>
        <v>150000.00000000003</v>
      </c>
      <c r="AF24" s="123">
        <f t="shared" si="7"/>
        <v>150000.00000000003</v>
      </c>
      <c r="AG24" s="123">
        <f t="shared" si="7"/>
        <v>150000.00000000003</v>
      </c>
      <c r="AH24" s="123">
        <f t="shared" si="7"/>
        <v>150000.00000000003</v>
      </c>
      <c r="AI24" s="123">
        <f t="shared" si="7"/>
        <v>150000.00000000003</v>
      </c>
      <c r="AJ24" s="123">
        <f t="shared" si="7"/>
        <v>150000.00000000003</v>
      </c>
      <c r="AK24" s="123">
        <f t="shared" si="7"/>
        <v>150000.00000000003</v>
      </c>
      <c r="AL24" s="123">
        <f t="shared" si="7"/>
        <v>150000.00000000003</v>
      </c>
      <c r="AM24" s="123">
        <f t="shared" si="7"/>
        <v>150000.00000000003</v>
      </c>
      <c r="AN24" s="123">
        <f t="shared" si="7"/>
        <v>150000.00000000003</v>
      </c>
      <c r="AO24" s="123">
        <f t="shared" si="7"/>
        <v>150000.00000000003</v>
      </c>
      <c r="AP24" s="123">
        <f t="shared" si="7"/>
        <v>150000.00000000003</v>
      </c>
      <c r="AQ24" s="123">
        <f t="shared" si="7"/>
        <v>150000.00000000003</v>
      </c>
      <c r="AR24" s="123">
        <f t="shared" si="7"/>
        <v>150000.00000000003</v>
      </c>
      <c r="AS24" s="123">
        <f t="shared" si="7"/>
        <v>150000.00000000003</v>
      </c>
      <c r="AT24" s="123">
        <f t="shared" si="7"/>
        <v>0</v>
      </c>
      <c r="AU24" s="123">
        <f t="shared" si="7"/>
        <v>150000.00000000003</v>
      </c>
      <c r="AV24" s="123">
        <f t="shared" si="7"/>
        <v>150000.00000000003</v>
      </c>
      <c r="AW24" s="123">
        <f t="shared" si="7"/>
        <v>150000.00000000003</v>
      </c>
      <c r="AX24" s="123">
        <f t="shared" si="7"/>
        <v>0</v>
      </c>
      <c r="AY24" s="123">
        <f t="shared" si="7"/>
        <v>0</v>
      </c>
      <c r="AZ24" s="157">
        <f t="shared" si="5"/>
        <v>6450000.0000000009</v>
      </c>
    </row>
    <row r="25" spans="1:52" x14ac:dyDescent="0.2">
      <c r="C25" s="154"/>
      <c r="D25" s="154"/>
      <c r="E25" s="154"/>
      <c r="F25" s="154"/>
      <c r="G25" s="154"/>
      <c r="H25" s="154"/>
      <c r="I25" s="154"/>
      <c r="J25" s="154"/>
      <c r="K25" s="154"/>
      <c r="L25" s="154"/>
      <c r="M25" s="154"/>
      <c r="N25" s="154"/>
      <c r="O25" s="154"/>
      <c r="P25" s="154"/>
      <c r="Q25" s="154"/>
      <c r="R25" s="154"/>
      <c r="S25" s="154"/>
      <c r="T25" s="154"/>
      <c r="U25" s="154"/>
      <c r="V25" s="154"/>
      <c r="W25" s="154"/>
      <c r="X25" s="154"/>
      <c r="Y25" s="154"/>
      <c r="Z25" s="154"/>
      <c r="AA25" s="154"/>
      <c r="AB25" s="154"/>
      <c r="AC25" s="154"/>
      <c r="AD25" s="154"/>
      <c r="AE25" s="154"/>
      <c r="AF25" s="154"/>
      <c r="AG25" s="154"/>
      <c r="AH25" s="154"/>
      <c r="AI25" s="154"/>
      <c r="AJ25" s="154"/>
      <c r="AK25" s="154"/>
      <c r="AL25" s="154"/>
      <c r="AM25" s="154"/>
      <c r="AN25" s="154"/>
      <c r="AO25" s="154"/>
      <c r="AP25" s="154"/>
      <c r="AQ25" s="154"/>
      <c r="AR25" s="154"/>
      <c r="AS25" s="154"/>
      <c r="AT25" s="154"/>
      <c r="AU25" s="154"/>
      <c r="AV25" s="154"/>
      <c r="AW25" s="154"/>
      <c r="AX25" s="154"/>
      <c r="AY25" s="154"/>
      <c r="AZ25" s="123"/>
    </row>
    <row r="26" spans="1:52" x14ac:dyDescent="0.2">
      <c r="A26" s="179" t="s">
        <v>18</v>
      </c>
      <c r="C26" s="123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</row>
    <row r="27" spans="1:52" x14ac:dyDescent="0.2">
      <c r="B27" s="151" t="s">
        <v>309</v>
      </c>
      <c r="C27" s="140">
        <v>5</v>
      </c>
      <c r="D27" s="140">
        <f>C$27-C$28+C$29</f>
        <v>17</v>
      </c>
      <c r="E27" s="140">
        <f t="shared" ref="E27:AY27" si="8">D27-D28+D29</f>
        <v>22</v>
      </c>
      <c r="F27" s="140">
        <f t="shared" si="8"/>
        <v>4</v>
      </c>
      <c r="G27" s="140">
        <f t="shared" si="8"/>
        <v>18</v>
      </c>
      <c r="H27" s="140">
        <f t="shared" si="8"/>
        <v>4</v>
      </c>
      <c r="I27" s="140">
        <f t="shared" si="8"/>
        <v>18</v>
      </c>
      <c r="J27" s="140">
        <f t="shared" si="8"/>
        <v>4</v>
      </c>
      <c r="K27" s="140">
        <f t="shared" si="8"/>
        <v>18</v>
      </c>
      <c r="L27" s="140">
        <f t="shared" si="8"/>
        <v>4</v>
      </c>
      <c r="M27" s="140">
        <f t="shared" si="8"/>
        <v>18</v>
      </c>
      <c r="N27" s="140">
        <f t="shared" si="8"/>
        <v>4</v>
      </c>
      <c r="O27" s="140">
        <f t="shared" si="8"/>
        <v>18</v>
      </c>
      <c r="P27" s="140">
        <f t="shared" si="8"/>
        <v>4</v>
      </c>
      <c r="Q27" s="140">
        <f t="shared" si="8"/>
        <v>18</v>
      </c>
      <c r="R27" s="140">
        <f t="shared" si="8"/>
        <v>4</v>
      </c>
      <c r="S27" s="140">
        <f t="shared" si="8"/>
        <v>18</v>
      </c>
      <c r="T27" s="140">
        <f t="shared" si="8"/>
        <v>4</v>
      </c>
      <c r="U27" s="140">
        <f t="shared" si="8"/>
        <v>18</v>
      </c>
      <c r="V27" s="140">
        <f t="shared" si="8"/>
        <v>4</v>
      </c>
      <c r="W27" s="140">
        <f t="shared" si="8"/>
        <v>18</v>
      </c>
      <c r="X27" s="140">
        <f t="shared" si="8"/>
        <v>4</v>
      </c>
      <c r="Y27" s="140">
        <f t="shared" si="8"/>
        <v>22</v>
      </c>
      <c r="Z27" s="140">
        <f t="shared" si="8"/>
        <v>4</v>
      </c>
      <c r="AA27" s="140">
        <f t="shared" si="8"/>
        <v>18</v>
      </c>
      <c r="AB27" s="140">
        <f t="shared" si="8"/>
        <v>4</v>
      </c>
      <c r="AC27" s="140">
        <f t="shared" si="8"/>
        <v>18</v>
      </c>
      <c r="AD27" s="140">
        <f t="shared" si="8"/>
        <v>4</v>
      </c>
      <c r="AE27" s="140">
        <f t="shared" si="8"/>
        <v>18</v>
      </c>
      <c r="AF27" s="140">
        <f t="shared" si="8"/>
        <v>4</v>
      </c>
      <c r="AG27" s="140">
        <f t="shared" si="8"/>
        <v>18</v>
      </c>
      <c r="AH27" s="140">
        <f t="shared" si="8"/>
        <v>4</v>
      </c>
      <c r="AI27" s="140">
        <f t="shared" si="8"/>
        <v>18</v>
      </c>
      <c r="AJ27" s="140">
        <f t="shared" si="8"/>
        <v>4</v>
      </c>
      <c r="AK27" s="140">
        <f t="shared" si="8"/>
        <v>18</v>
      </c>
      <c r="AL27" s="140">
        <f t="shared" si="8"/>
        <v>4</v>
      </c>
      <c r="AM27" s="140">
        <f t="shared" si="8"/>
        <v>18</v>
      </c>
      <c r="AN27" s="140">
        <f t="shared" si="8"/>
        <v>4</v>
      </c>
      <c r="AO27" s="140">
        <f t="shared" si="8"/>
        <v>18</v>
      </c>
      <c r="AP27" s="140">
        <f t="shared" si="8"/>
        <v>4</v>
      </c>
      <c r="AQ27" s="140">
        <f t="shared" si="8"/>
        <v>18</v>
      </c>
      <c r="AR27" s="140">
        <f t="shared" si="8"/>
        <v>4</v>
      </c>
      <c r="AS27" s="140">
        <f t="shared" si="8"/>
        <v>18</v>
      </c>
      <c r="AT27" s="140">
        <f t="shared" si="8"/>
        <v>4</v>
      </c>
      <c r="AU27" s="140">
        <f t="shared" si="8"/>
        <v>22</v>
      </c>
      <c r="AV27" s="140">
        <f t="shared" si="8"/>
        <v>4</v>
      </c>
      <c r="AW27" s="140">
        <f t="shared" si="8"/>
        <v>18</v>
      </c>
      <c r="AX27" s="140">
        <f t="shared" si="8"/>
        <v>4</v>
      </c>
      <c r="AY27" s="180">
        <f t="shared" si="8"/>
        <v>22</v>
      </c>
      <c r="AZ27" s="123"/>
    </row>
    <row r="28" spans="1:52" x14ac:dyDescent="0.2">
      <c r="B28" s="181" t="s">
        <v>310</v>
      </c>
      <c r="C28" s="127">
        <v>5</v>
      </c>
      <c r="D28" s="127">
        <v>0</v>
      </c>
      <c r="E28" s="127">
        <v>18</v>
      </c>
      <c r="F28" s="127">
        <v>4</v>
      </c>
      <c r="G28" s="127">
        <v>18</v>
      </c>
      <c r="H28" s="127">
        <v>4</v>
      </c>
      <c r="I28" s="127">
        <v>18</v>
      </c>
      <c r="J28" s="127">
        <v>4</v>
      </c>
      <c r="K28" s="127">
        <v>18</v>
      </c>
      <c r="L28" s="127">
        <v>4</v>
      </c>
      <c r="M28" s="127">
        <v>18</v>
      </c>
      <c r="N28" s="127">
        <v>4</v>
      </c>
      <c r="O28" s="127">
        <v>18</v>
      </c>
      <c r="P28" s="127">
        <v>4</v>
      </c>
      <c r="Q28" s="127">
        <v>18</v>
      </c>
      <c r="R28" s="127">
        <v>4</v>
      </c>
      <c r="S28" s="127">
        <v>18</v>
      </c>
      <c r="T28" s="127">
        <v>4</v>
      </c>
      <c r="U28" s="127">
        <v>18</v>
      </c>
      <c r="V28" s="127">
        <v>4</v>
      </c>
      <c r="W28" s="127">
        <v>18</v>
      </c>
      <c r="X28" s="127">
        <v>0</v>
      </c>
      <c r="Y28" s="127">
        <v>18</v>
      </c>
      <c r="Z28" s="127">
        <v>4</v>
      </c>
      <c r="AA28" s="127">
        <v>18</v>
      </c>
      <c r="AB28" s="127">
        <v>4</v>
      </c>
      <c r="AC28" s="127">
        <v>18</v>
      </c>
      <c r="AD28" s="127">
        <v>4</v>
      </c>
      <c r="AE28" s="127">
        <v>18</v>
      </c>
      <c r="AF28" s="127">
        <v>4</v>
      </c>
      <c r="AG28" s="127">
        <v>18</v>
      </c>
      <c r="AH28" s="127">
        <v>4</v>
      </c>
      <c r="AI28" s="127">
        <v>18</v>
      </c>
      <c r="AJ28" s="127">
        <v>4</v>
      </c>
      <c r="AK28" s="127">
        <v>18</v>
      </c>
      <c r="AL28" s="127">
        <v>4</v>
      </c>
      <c r="AM28" s="127">
        <v>18</v>
      </c>
      <c r="AN28" s="127">
        <v>4</v>
      </c>
      <c r="AO28" s="127">
        <v>18</v>
      </c>
      <c r="AP28" s="127">
        <v>4</v>
      </c>
      <c r="AQ28" s="127">
        <v>18</v>
      </c>
      <c r="AR28" s="127">
        <v>4</v>
      </c>
      <c r="AS28" s="127">
        <v>18</v>
      </c>
      <c r="AT28" s="127">
        <v>0</v>
      </c>
      <c r="AU28" s="127">
        <v>18</v>
      </c>
      <c r="AV28" s="127">
        <v>4</v>
      </c>
      <c r="AW28" s="127">
        <v>18</v>
      </c>
      <c r="AX28" s="127">
        <v>0</v>
      </c>
      <c r="AY28" s="182">
        <v>0</v>
      </c>
      <c r="AZ28" s="123"/>
    </row>
    <row r="29" spans="1:52" x14ac:dyDescent="0.2">
      <c r="B29" s="152" t="s">
        <v>311</v>
      </c>
      <c r="C29" s="141">
        <v>17</v>
      </c>
      <c r="D29" s="141">
        <f>C$28</f>
        <v>5</v>
      </c>
      <c r="E29" s="141">
        <f t="shared" ref="E29:AY29" si="9">D$28</f>
        <v>0</v>
      </c>
      <c r="F29" s="141">
        <f t="shared" si="9"/>
        <v>18</v>
      </c>
      <c r="G29" s="141">
        <f t="shared" si="9"/>
        <v>4</v>
      </c>
      <c r="H29" s="141">
        <f t="shared" si="9"/>
        <v>18</v>
      </c>
      <c r="I29" s="141">
        <f t="shared" si="9"/>
        <v>4</v>
      </c>
      <c r="J29" s="141">
        <f t="shared" si="9"/>
        <v>18</v>
      </c>
      <c r="K29" s="141">
        <f t="shared" si="9"/>
        <v>4</v>
      </c>
      <c r="L29" s="141">
        <f t="shared" si="9"/>
        <v>18</v>
      </c>
      <c r="M29" s="141">
        <f t="shared" si="9"/>
        <v>4</v>
      </c>
      <c r="N29" s="141">
        <f t="shared" si="9"/>
        <v>18</v>
      </c>
      <c r="O29" s="141">
        <f t="shared" si="9"/>
        <v>4</v>
      </c>
      <c r="P29" s="141">
        <f t="shared" si="9"/>
        <v>18</v>
      </c>
      <c r="Q29" s="141">
        <f t="shared" si="9"/>
        <v>4</v>
      </c>
      <c r="R29" s="141">
        <f t="shared" si="9"/>
        <v>18</v>
      </c>
      <c r="S29" s="141">
        <f t="shared" si="9"/>
        <v>4</v>
      </c>
      <c r="T29" s="141">
        <f t="shared" si="9"/>
        <v>18</v>
      </c>
      <c r="U29" s="141">
        <f t="shared" si="9"/>
        <v>4</v>
      </c>
      <c r="V29" s="141">
        <f t="shared" si="9"/>
        <v>18</v>
      </c>
      <c r="W29" s="141">
        <f t="shared" si="9"/>
        <v>4</v>
      </c>
      <c r="X29" s="141">
        <f t="shared" si="9"/>
        <v>18</v>
      </c>
      <c r="Y29" s="141">
        <f t="shared" si="9"/>
        <v>0</v>
      </c>
      <c r="Z29" s="141">
        <f t="shared" si="9"/>
        <v>18</v>
      </c>
      <c r="AA29" s="141">
        <f t="shared" si="9"/>
        <v>4</v>
      </c>
      <c r="AB29" s="141">
        <f t="shared" si="9"/>
        <v>18</v>
      </c>
      <c r="AC29" s="141">
        <f t="shared" si="9"/>
        <v>4</v>
      </c>
      <c r="AD29" s="141">
        <f t="shared" si="9"/>
        <v>18</v>
      </c>
      <c r="AE29" s="141">
        <f t="shared" si="9"/>
        <v>4</v>
      </c>
      <c r="AF29" s="141">
        <f t="shared" si="9"/>
        <v>18</v>
      </c>
      <c r="AG29" s="141">
        <f t="shared" si="9"/>
        <v>4</v>
      </c>
      <c r="AH29" s="141">
        <f t="shared" si="9"/>
        <v>18</v>
      </c>
      <c r="AI29" s="141">
        <f t="shared" si="9"/>
        <v>4</v>
      </c>
      <c r="AJ29" s="141">
        <f t="shared" si="9"/>
        <v>18</v>
      </c>
      <c r="AK29" s="141">
        <f t="shared" si="9"/>
        <v>4</v>
      </c>
      <c r="AL29" s="141">
        <f t="shared" si="9"/>
        <v>18</v>
      </c>
      <c r="AM29" s="141">
        <f t="shared" si="9"/>
        <v>4</v>
      </c>
      <c r="AN29" s="141">
        <f t="shared" si="9"/>
        <v>18</v>
      </c>
      <c r="AO29" s="141">
        <f t="shared" si="9"/>
        <v>4</v>
      </c>
      <c r="AP29" s="141">
        <f t="shared" si="9"/>
        <v>18</v>
      </c>
      <c r="AQ29" s="141">
        <f t="shared" si="9"/>
        <v>4</v>
      </c>
      <c r="AR29" s="141">
        <f t="shared" si="9"/>
        <v>18</v>
      </c>
      <c r="AS29" s="141">
        <f t="shared" si="9"/>
        <v>4</v>
      </c>
      <c r="AT29" s="141">
        <f t="shared" si="9"/>
        <v>18</v>
      </c>
      <c r="AU29" s="141">
        <f t="shared" si="9"/>
        <v>0</v>
      </c>
      <c r="AV29" s="141">
        <f t="shared" si="9"/>
        <v>18</v>
      </c>
      <c r="AW29" s="141">
        <f t="shared" si="9"/>
        <v>4</v>
      </c>
      <c r="AX29" s="141">
        <f t="shared" si="9"/>
        <v>18</v>
      </c>
      <c r="AY29" s="183">
        <f t="shared" si="9"/>
        <v>0</v>
      </c>
      <c r="AZ29" s="184"/>
    </row>
    <row r="30" spans="1:52" x14ac:dyDescent="0.2">
      <c r="A30" s="185" t="s">
        <v>312</v>
      </c>
      <c r="B30" s="160">
        <v>10</v>
      </c>
      <c r="C30" s="133" t="s">
        <v>293</v>
      </c>
      <c r="D30" s="133">
        <f>D$27*$B$30</f>
        <v>170</v>
      </c>
      <c r="E30" s="133">
        <f t="shared" ref="E30:AY30" si="10">E$27*$B$30</f>
        <v>220</v>
      </c>
      <c r="F30" s="133">
        <f t="shared" si="10"/>
        <v>40</v>
      </c>
      <c r="G30" s="133">
        <f t="shared" si="10"/>
        <v>180</v>
      </c>
      <c r="H30" s="133">
        <f t="shared" si="10"/>
        <v>40</v>
      </c>
      <c r="I30" s="133">
        <f t="shared" si="10"/>
        <v>180</v>
      </c>
      <c r="J30" s="133">
        <f t="shared" si="10"/>
        <v>40</v>
      </c>
      <c r="K30" s="133">
        <f t="shared" si="10"/>
        <v>180</v>
      </c>
      <c r="L30" s="133">
        <f t="shared" si="10"/>
        <v>40</v>
      </c>
      <c r="M30" s="133">
        <f t="shared" si="10"/>
        <v>180</v>
      </c>
      <c r="N30" s="133">
        <f t="shared" si="10"/>
        <v>40</v>
      </c>
      <c r="O30" s="133">
        <f t="shared" si="10"/>
        <v>180</v>
      </c>
      <c r="P30" s="133">
        <f t="shared" si="10"/>
        <v>40</v>
      </c>
      <c r="Q30" s="133">
        <f t="shared" si="10"/>
        <v>180</v>
      </c>
      <c r="R30" s="133">
        <f>R$27*$B$30</f>
        <v>40</v>
      </c>
      <c r="S30" s="133">
        <f t="shared" si="10"/>
        <v>180</v>
      </c>
      <c r="T30" s="133">
        <f t="shared" si="10"/>
        <v>40</v>
      </c>
      <c r="U30" s="133">
        <f t="shared" si="10"/>
        <v>180</v>
      </c>
      <c r="V30" s="133">
        <f t="shared" si="10"/>
        <v>40</v>
      </c>
      <c r="W30" s="133">
        <f t="shared" si="10"/>
        <v>180</v>
      </c>
      <c r="X30" s="133">
        <f t="shared" si="10"/>
        <v>40</v>
      </c>
      <c r="Y30" s="133">
        <f t="shared" si="10"/>
        <v>220</v>
      </c>
      <c r="Z30" s="133">
        <f t="shared" si="10"/>
        <v>40</v>
      </c>
      <c r="AA30" s="133">
        <f t="shared" si="10"/>
        <v>180</v>
      </c>
      <c r="AB30" s="133">
        <f t="shared" si="10"/>
        <v>40</v>
      </c>
      <c r="AC30" s="133">
        <f t="shared" si="10"/>
        <v>180</v>
      </c>
      <c r="AD30" s="133">
        <f t="shared" si="10"/>
        <v>40</v>
      </c>
      <c r="AE30" s="133">
        <f>AE$27*$B$30</f>
        <v>180</v>
      </c>
      <c r="AF30" s="133">
        <f t="shared" si="10"/>
        <v>40</v>
      </c>
      <c r="AG30" s="133">
        <f t="shared" si="10"/>
        <v>180</v>
      </c>
      <c r="AH30" s="133">
        <f t="shared" si="10"/>
        <v>40</v>
      </c>
      <c r="AI30" s="133">
        <f t="shared" si="10"/>
        <v>180</v>
      </c>
      <c r="AJ30" s="133">
        <f t="shared" si="10"/>
        <v>40</v>
      </c>
      <c r="AK30" s="133">
        <f t="shared" si="10"/>
        <v>180</v>
      </c>
      <c r="AL30" s="133">
        <f t="shared" si="10"/>
        <v>40</v>
      </c>
      <c r="AM30" s="133">
        <f t="shared" si="10"/>
        <v>180</v>
      </c>
      <c r="AN30" s="133">
        <f t="shared" si="10"/>
        <v>40</v>
      </c>
      <c r="AO30" s="133">
        <f t="shared" si="10"/>
        <v>180</v>
      </c>
      <c r="AP30" s="133">
        <f t="shared" si="10"/>
        <v>40</v>
      </c>
      <c r="AQ30" s="133">
        <f t="shared" si="10"/>
        <v>180</v>
      </c>
      <c r="AR30" s="133">
        <f t="shared" si="10"/>
        <v>40</v>
      </c>
      <c r="AS30" s="133">
        <f t="shared" si="10"/>
        <v>180</v>
      </c>
      <c r="AT30" s="133">
        <f t="shared" si="10"/>
        <v>40</v>
      </c>
      <c r="AU30" s="133">
        <f t="shared" si="10"/>
        <v>220</v>
      </c>
      <c r="AV30" s="133">
        <f t="shared" si="10"/>
        <v>40</v>
      </c>
      <c r="AW30" s="133">
        <f t="shared" si="10"/>
        <v>180</v>
      </c>
      <c r="AX30" s="133">
        <f t="shared" si="10"/>
        <v>40</v>
      </c>
      <c r="AY30" s="133">
        <f t="shared" si="10"/>
        <v>220</v>
      </c>
      <c r="AZ30" s="157">
        <f t="shared" si="5"/>
        <v>5570</v>
      </c>
    </row>
    <row r="32" spans="1:52" x14ac:dyDescent="0.2">
      <c r="A32" s="1" t="s">
        <v>300</v>
      </c>
    </row>
    <row r="33" spans="1:52" x14ac:dyDescent="0.2">
      <c r="A33" s="151" t="s">
        <v>22</v>
      </c>
      <c r="B33" s="151" t="s">
        <v>341</v>
      </c>
      <c r="C33" s="140"/>
      <c r="D33" s="140">
        <f>D$21*shipping_manufacturing!$F$27/100</f>
        <v>0</v>
      </c>
      <c r="E33" s="140">
        <f>E$21*shipping_manufacturing!$F$27/100</f>
        <v>0</v>
      </c>
      <c r="F33" s="140">
        <f>F$21*shipping_manufacturing!$F$27/100</f>
        <v>0</v>
      </c>
      <c r="G33" s="140">
        <f>G$21*shipping_manufacturing!$F$27/100</f>
        <v>0</v>
      </c>
      <c r="H33" s="140">
        <f>H$21*shipping_manufacturing!$F$27/100</f>
        <v>0</v>
      </c>
      <c r="I33" s="140">
        <f>I$21*shipping_manufacturing!$F$27/100</f>
        <v>0</v>
      </c>
      <c r="J33" s="140">
        <f>J$21*shipping_manufacturing!$F$27/100</f>
        <v>0</v>
      </c>
      <c r="K33" s="140">
        <f>K$21*shipping_manufacturing!$F$27/100</f>
        <v>0</v>
      </c>
      <c r="L33" s="140">
        <f>L$21*shipping_manufacturing!$F$27/100</f>
        <v>0</v>
      </c>
      <c r="M33" s="140">
        <f>M$21*shipping_manufacturing!$F$27/100</f>
        <v>0</v>
      </c>
      <c r="N33" s="140">
        <f>N$21*shipping_manufacturing!$F$27/100</f>
        <v>0</v>
      </c>
      <c r="O33" s="140">
        <f>O$21*shipping_manufacturing!$F$27/100</f>
        <v>0</v>
      </c>
      <c r="P33" s="140">
        <f>P$21*shipping_manufacturing!$F$27/100</f>
        <v>0</v>
      </c>
      <c r="Q33" s="140">
        <f>Q$21*shipping_manufacturing!$F$27/100</f>
        <v>0</v>
      </c>
      <c r="R33" s="140">
        <f>R$21*shipping_manufacturing!$F$27/100</f>
        <v>0</v>
      </c>
      <c r="S33" s="140">
        <f>S$21*shipping_manufacturing!$F$27/100</f>
        <v>0</v>
      </c>
      <c r="T33" s="140">
        <f>T$21*shipping_manufacturing!$F$27/100</f>
        <v>0</v>
      </c>
      <c r="U33" s="140">
        <f>U$21*shipping_manufacturing!$F$27/100</f>
        <v>0</v>
      </c>
      <c r="V33" s="140">
        <f>V$21*shipping_manufacturing!$F$27/100</f>
        <v>0</v>
      </c>
      <c r="W33" s="140">
        <f>W$21*shipping_manufacturing!$F$27/100</f>
        <v>0</v>
      </c>
      <c r="X33" s="140">
        <f>X$21*shipping_manufacturing!$F$27/100</f>
        <v>0</v>
      </c>
      <c r="Y33" s="140">
        <f>Y$21*shipping_manufacturing!$F$27/100</f>
        <v>0</v>
      </c>
      <c r="Z33" s="140">
        <f>Z$21*shipping_manufacturing!$F$27/100</f>
        <v>0</v>
      </c>
      <c r="AA33" s="140">
        <f>AA$21*shipping_manufacturing!$F$27/100</f>
        <v>0</v>
      </c>
      <c r="AB33" s="140">
        <f>AB$21*shipping_manufacturing!$F$27/100</f>
        <v>0</v>
      </c>
      <c r="AC33" s="140">
        <f>AC$21*shipping_manufacturing!$F$27/100</f>
        <v>0</v>
      </c>
      <c r="AD33" s="140">
        <f>AD$21*shipping_manufacturing!$F$27/100</f>
        <v>0</v>
      </c>
      <c r="AE33" s="140">
        <f>AE$21*shipping_manufacturing!$F$27/100</f>
        <v>0</v>
      </c>
      <c r="AF33" s="140">
        <f>AF$21*shipping_manufacturing!$F$27/100</f>
        <v>0</v>
      </c>
      <c r="AG33" s="140">
        <f>AG$21*shipping_manufacturing!$F$27/100</f>
        <v>0</v>
      </c>
      <c r="AH33" s="140">
        <f>AH$21*shipping_manufacturing!$F$27/100</f>
        <v>0</v>
      </c>
      <c r="AI33" s="140">
        <f>AI$21*shipping_manufacturing!$F$27/100</f>
        <v>0</v>
      </c>
      <c r="AJ33" s="140">
        <f>AJ$21*shipping_manufacturing!$F$27/100</f>
        <v>0</v>
      </c>
      <c r="AK33" s="140">
        <f>AK$21*shipping_manufacturing!$F$27/100</f>
        <v>0</v>
      </c>
      <c r="AL33" s="140">
        <f>AL$21*shipping_manufacturing!$F$27/100</f>
        <v>0</v>
      </c>
      <c r="AM33" s="140">
        <f>AM$21*shipping_manufacturing!$F$27/100</f>
        <v>0</v>
      </c>
      <c r="AN33" s="140">
        <f>AN$21*shipping_manufacturing!$F$27/100</f>
        <v>0</v>
      </c>
      <c r="AO33" s="140">
        <f>AO$21*shipping_manufacturing!$F$27/100</f>
        <v>0</v>
      </c>
      <c r="AP33" s="140">
        <f>AP$21*shipping_manufacturing!$F$27/100</f>
        <v>0</v>
      </c>
      <c r="AQ33" s="140">
        <f>AQ$21*shipping_manufacturing!$F$27/100</f>
        <v>0</v>
      </c>
      <c r="AR33" s="140">
        <f>AR$21*shipping_manufacturing!$F$27/100</f>
        <v>0</v>
      </c>
      <c r="AS33" s="140">
        <f>AS$21*shipping_manufacturing!$F$27/100</f>
        <v>0</v>
      </c>
      <c r="AT33" s="140">
        <f>AT$21*shipping_manufacturing!$F$27/100</f>
        <v>0</v>
      </c>
      <c r="AU33" s="140">
        <f>AU$21*shipping_manufacturing!$F$27/100</f>
        <v>0</v>
      </c>
      <c r="AV33" s="140">
        <f>AV$21*shipping_manufacturing!$F$27/100</f>
        <v>0</v>
      </c>
      <c r="AW33" s="140">
        <f>AW$21*shipping_manufacturing!$F$27/100</f>
        <v>0</v>
      </c>
      <c r="AX33" s="140">
        <f>AX$21*shipping_manufacturing!$F$27/100</f>
        <v>0</v>
      </c>
      <c r="AY33" s="140">
        <f>AY$21*shipping_manufacturing!$F$27/100</f>
        <v>0</v>
      </c>
    </row>
    <row r="34" spans="1:52" x14ac:dyDescent="0.2">
      <c r="A34" s="129" t="s">
        <v>340</v>
      </c>
      <c r="B34" s="181" t="s">
        <v>342</v>
      </c>
      <c r="C34" s="127"/>
      <c r="D34" s="127">
        <f>D$22*shipping_manufacturing!$G$27/100</f>
        <v>0</v>
      </c>
      <c r="E34" s="127">
        <f>E$22*shipping_manufacturing!$G$27/100</f>
        <v>150.00000000000003</v>
      </c>
      <c r="F34" s="127">
        <f>F$22*shipping_manufacturing!$G$27/100</f>
        <v>150.00000000000003</v>
      </c>
      <c r="G34" s="127">
        <f>G$22*shipping_manufacturing!$G$27/100</f>
        <v>150.00000000000003</v>
      </c>
      <c r="H34" s="127">
        <f>H$22*shipping_manufacturing!$G$27/100</f>
        <v>150.00000000000003</v>
      </c>
      <c r="I34" s="127">
        <f>I$22*shipping_manufacturing!$G$27/100</f>
        <v>150.00000000000003</v>
      </c>
      <c r="J34" s="127">
        <f>J$22*shipping_manufacturing!$G$27/100</f>
        <v>150.00000000000003</v>
      </c>
      <c r="K34" s="127">
        <f>K$22*shipping_manufacturing!$G$27/100</f>
        <v>150.00000000000003</v>
      </c>
      <c r="L34" s="127">
        <f>L$22*shipping_manufacturing!$G$27/100</f>
        <v>150.00000000000003</v>
      </c>
      <c r="M34" s="127">
        <f>M$22*shipping_manufacturing!$G$27/100</f>
        <v>150.00000000000003</v>
      </c>
      <c r="N34" s="127">
        <f>N$22*shipping_manufacturing!$G$27/100</f>
        <v>150.00000000000003</v>
      </c>
      <c r="O34" s="127">
        <f>O$22*shipping_manufacturing!$G$27/100</f>
        <v>150.00000000000003</v>
      </c>
      <c r="P34" s="127">
        <f>P$22*shipping_manufacturing!$G$27/100</f>
        <v>150.00000000000003</v>
      </c>
      <c r="Q34" s="127">
        <f>Q$22*shipping_manufacturing!$G$27/100</f>
        <v>150.00000000000003</v>
      </c>
      <c r="R34" s="127">
        <f>R$22*shipping_manufacturing!$G$27/100</f>
        <v>150.00000000000003</v>
      </c>
      <c r="S34" s="127">
        <f>S$22*shipping_manufacturing!$G$27/100</f>
        <v>150.00000000000003</v>
      </c>
      <c r="T34" s="127">
        <f>T$22*shipping_manufacturing!$G$27/100</f>
        <v>150.00000000000003</v>
      </c>
      <c r="U34" s="127">
        <f>U$22*shipping_manufacturing!$G$27/100</f>
        <v>150.00000000000003</v>
      </c>
      <c r="V34" s="127">
        <f>V$22*shipping_manufacturing!$G$27/100</f>
        <v>150.00000000000003</v>
      </c>
      <c r="W34" s="127">
        <f>W$22*shipping_manufacturing!$G$27/100</f>
        <v>150.00000000000003</v>
      </c>
      <c r="X34" s="127">
        <f>X$22*shipping_manufacturing!$G$27/100</f>
        <v>0</v>
      </c>
      <c r="Y34" s="127">
        <f>Y$22*shipping_manufacturing!$G$27/100</f>
        <v>150.00000000000003</v>
      </c>
      <c r="Z34" s="127">
        <f>Z$22*shipping_manufacturing!$G$27/100</f>
        <v>150.00000000000003</v>
      </c>
      <c r="AA34" s="127">
        <f>AA$22*shipping_manufacturing!$G$27/100</f>
        <v>150.00000000000003</v>
      </c>
      <c r="AB34" s="127">
        <f>AB$22*shipping_manufacturing!$G$27/100</f>
        <v>150.00000000000003</v>
      </c>
      <c r="AC34" s="127">
        <f>AC$22*shipping_manufacturing!$G$27/100</f>
        <v>150.00000000000003</v>
      </c>
      <c r="AD34" s="127">
        <f>AD$22*shipping_manufacturing!$G$27/100</f>
        <v>150.00000000000003</v>
      </c>
      <c r="AE34" s="127">
        <f>AE$22*shipping_manufacturing!$G$27/100</f>
        <v>150.00000000000003</v>
      </c>
      <c r="AF34" s="127">
        <f>AF$22*shipping_manufacturing!$G$27/100</f>
        <v>150.00000000000003</v>
      </c>
      <c r="AG34" s="127">
        <f>AG$22*shipping_manufacturing!$G$27/100</f>
        <v>150.00000000000003</v>
      </c>
      <c r="AH34" s="127">
        <f>AH$22*shipping_manufacturing!$G$27/100</f>
        <v>150.00000000000003</v>
      </c>
      <c r="AI34" s="127">
        <f>AI$22*shipping_manufacturing!$G$27/100</f>
        <v>150.00000000000003</v>
      </c>
      <c r="AJ34" s="127">
        <f>AJ$22*shipping_manufacturing!$G$27/100</f>
        <v>150.00000000000003</v>
      </c>
      <c r="AK34" s="127">
        <f>AK$22*shipping_manufacturing!$G$27/100</f>
        <v>150.00000000000003</v>
      </c>
      <c r="AL34" s="127">
        <f>AL$22*shipping_manufacturing!$G$27/100</f>
        <v>150.00000000000003</v>
      </c>
      <c r="AM34" s="127">
        <f>AM$22*shipping_manufacturing!$G$27/100</f>
        <v>150.00000000000003</v>
      </c>
      <c r="AN34" s="127">
        <f>AN$22*shipping_manufacturing!$G$27/100</f>
        <v>150.00000000000003</v>
      </c>
      <c r="AO34" s="127">
        <f>AO$22*shipping_manufacturing!$G$27/100</f>
        <v>150.00000000000003</v>
      </c>
      <c r="AP34" s="127">
        <f>AP$22*shipping_manufacturing!$G$27/100</f>
        <v>150.00000000000003</v>
      </c>
      <c r="AQ34" s="127">
        <f>AQ$22*shipping_manufacturing!$G$27/100</f>
        <v>150.00000000000003</v>
      </c>
      <c r="AR34" s="127">
        <f>AR$22*shipping_manufacturing!$G$27/100</f>
        <v>150.00000000000003</v>
      </c>
      <c r="AS34" s="127">
        <f>AS$22*shipping_manufacturing!$G$27/100</f>
        <v>150.00000000000003</v>
      </c>
      <c r="AT34" s="127">
        <f>AT$22*shipping_manufacturing!$G$27/100</f>
        <v>0</v>
      </c>
      <c r="AU34" s="127">
        <f>AU$22*shipping_manufacturing!$G$27/100</f>
        <v>150.00000000000003</v>
      </c>
      <c r="AV34" s="127">
        <f>AV$22*shipping_manufacturing!$G$27/100</f>
        <v>150.00000000000003</v>
      </c>
      <c r="AW34" s="127">
        <f>AW$22*shipping_manufacturing!$G$27/100</f>
        <v>150.00000000000003</v>
      </c>
      <c r="AX34" s="127">
        <f>AX$22*shipping_manufacturing!$G$27/100</f>
        <v>0</v>
      </c>
      <c r="AY34" s="127">
        <f>AY$22*shipping_manufacturing!$G$27/100</f>
        <v>0</v>
      </c>
    </row>
    <row r="35" spans="1:52" x14ac:dyDescent="0.2">
      <c r="A35" s="127">
        <v>1225</v>
      </c>
      <c r="B35" s="181" t="s">
        <v>343</v>
      </c>
      <c r="C35" s="127"/>
      <c r="D35" s="127">
        <f>SUM(D33:D34)</f>
        <v>0</v>
      </c>
      <c r="E35" s="127">
        <f t="shared" ref="E35:AY35" si="11">SUM(E33:E34)</f>
        <v>150.00000000000003</v>
      </c>
      <c r="F35" s="127">
        <f t="shared" si="11"/>
        <v>150.00000000000003</v>
      </c>
      <c r="G35" s="127">
        <f t="shared" si="11"/>
        <v>150.00000000000003</v>
      </c>
      <c r="H35" s="127">
        <f t="shared" si="11"/>
        <v>150.00000000000003</v>
      </c>
      <c r="I35" s="127">
        <f t="shared" si="11"/>
        <v>150.00000000000003</v>
      </c>
      <c r="J35" s="127">
        <f t="shared" si="11"/>
        <v>150.00000000000003</v>
      </c>
      <c r="K35" s="127">
        <f t="shared" si="11"/>
        <v>150.00000000000003</v>
      </c>
      <c r="L35" s="127">
        <f t="shared" si="11"/>
        <v>150.00000000000003</v>
      </c>
      <c r="M35" s="127">
        <f t="shared" si="11"/>
        <v>150.00000000000003</v>
      </c>
      <c r="N35" s="127">
        <f t="shared" si="11"/>
        <v>150.00000000000003</v>
      </c>
      <c r="O35" s="127">
        <f t="shared" si="11"/>
        <v>150.00000000000003</v>
      </c>
      <c r="P35" s="127">
        <f t="shared" si="11"/>
        <v>150.00000000000003</v>
      </c>
      <c r="Q35" s="127">
        <f t="shared" si="11"/>
        <v>150.00000000000003</v>
      </c>
      <c r="R35" s="127">
        <f t="shared" si="11"/>
        <v>150.00000000000003</v>
      </c>
      <c r="S35" s="127">
        <f t="shared" si="11"/>
        <v>150.00000000000003</v>
      </c>
      <c r="T35" s="127">
        <f t="shared" si="11"/>
        <v>150.00000000000003</v>
      </c>
      <c r="U35" s="127">
        <f t="shared" si="11"/>
        <v>150.00000000000003</v>
      </c>
      <c r="V35" s="127">
        <f t="shared" si="11"/>
        <v>150.00000000000003</v>
      </c>
      <c r="W35" s="127">
        <f t="shared" si="11"/>
        <v>150.00000000000003</v>
      </c>
      <c r="X35" s="127">
        <f t="shared" si="11"/>
        <v>0</v>
      </c>
      <c r="Y35" s="127">
        <f t="shared" si="11"/>
        <v>150.00000000000003</v>
      </c>
      <c r="Z35" s="127">
        <f t="shared" si="11"/>
        <v>150.00000000000003</v>
      </c>
      <c r="AA35" s="127">
        <f t="shared" si="11"/>
        <v>150.00000000000003</v>
      </c>
      <c r="AB35" s="127">
        <f t="shared" si="11"/>
        <v>150.00000000000003</v>
      </c>
      <c r="AC35" s="127">
        <f t="shared" si="11"/>
        <v>150.00000000000003</v>
      </c>
      <c r="AD35" s="127">
        <f t="shared" si="11"/>
        <v>150.00000000000003</v>
      </c>
      <c r="AE35" s="127">
        <f t="shared" si="11"/>
        <v>150.00000000000003</v>
      </c>
      <c r="AF35" s="127">
        <f t="shared" si="11"/>
        <v>150.00000000000003</v>
      </c>
      <c r="AG35" s="127">
        <f t="shared" si="11"/>
        <v>150.00000000000003</v>
      </c>
      <c r="AH35" s="127">
        <f t="shared" si="11"/>
        <v>150.00000000000003</v>
      </c>
      <c r="AI35" s="127">
        <f t="shared" si="11"/>
        <v>150.00000000000003</v>
      </c>
      <c r="AJ35" s="127">
        <f t="shared" si="11"/>
        <v>150.00000000000003</v>
      </c>
      <c r="AK35" s="127">
        <f t="shared" si="11"/>
        <v>150.00000000000003</v>
      </c>
      <c r="AL35" s="127">
        <f t="shared" si="11"/>
        <v>150.00000000000003</v>
      </c>
      <c r="AM35" s="127">
        <f t="shared" si="11"/>
        <v>150.00000000000003</v>
      </c>
      <c r="AN35" s="127">
        <f t="shared" si="11"/>
        <v>150.00000000000003</v>
      </c>
      <c r="AO35" s="127">
        <f t="shared" si="11"/>
        <v>150.00000000000003</v>
      </c>
      <c r="AP35" s="127">
        <f t="shared" si="11"/>
        <v>150.00000000000003</v>
      </c>
      <c r="AQ35" s="127">
        <f t="shared" si="11"/>
        <v>150.00000000000003</v>
      </c>
      <c r="AR35" s="127">
        <f t="shared" si="11"/>
        <v>150.00000000000003</v>
      </c>
      <c r="AS35" s="127">
        <f t="shared" si="11"/>
        <v>150.00000000000003</v>
      </c>
      <c r="AT35" s="127">
        <f t="shared" si="11"/>
        <v>0</v>
      </c>
      <c r="AU35" s="127">
        <f t="shared" si="11"/>
        <v>150.00000000000003</v>
      </c>
      <c r="AV35" s="127">
        <f t="shared" si="11"/>
        <v>150.00000000000003</v>
      </c>
      <c r="AW35" s="127">
        <f t="shared" si="11"/>
        <v>150.00000000000003</v>
      </c>
      <c r="AX35" s="127">
        <f t="shared" si="11"/>
        <v>0</v>
      </c>
      <c r="AY35" s="127">
        <f t="shared" si="11"/>
        <v>0</v>
      </c>
    </row>
    <row r="36" spans="1:52" x14ac:dyDescent="0.2">
      <c r="A36" s="127"/>
      <c r="B36" s="181" t="s">
        <v>344</v>
      </c>
      <c r="C36" s="127"/>
      <c r="D36" s="127"/>
      <c r="E36" s="127">
        <v>0</v>
      </c>
      <c r="F36" s="127"/>
      <c r="G36" s="127">
        <v>0</v>
      </c>
      <c r="H36" s="127"/>
      <c r="I36" s="127">
        <v>0</v>
      </c>
      <c r="J36" s="127"/>
      <c r="K36" s="127">
        <v>0</v>
      </c>
      <c r="L36" s="127"/>
      <c r="M36" s="127">
        <v>0</v>
      </c>
      <c r="N36" s="127"/>
      <c r="O36" s="127">
        <v>0</v>
      </c>
      <c r="P36" s="127"/>
      <c r="Q36" s="127">
        <v>0</v>
      </c>
      <c r="R36" s="127"/>
      <c r="S36" s="127">
        <v>0</v>
      </c>
      <c r="T36" s="127"/>
      <c r="U36" s="127">
        <v>0</v>
      </c>
      <c r="V36" s="127"/>
      <c r="W36" s="127">
        <v>0</v>
      </c>
      <c r="X36" s="127"/>
      <c r="Y36" s="127">
        <v>0</v>
      </c>
      <c r="Z36" s="127"/>
      <c r="AA36" s="127">
        <v>0</v>
      </c>
      <c r="AB36" s="127"/>
      <c r="AC36" s="127">
        <v>0</v>
      </c>
      <c r="AD36" s="127"/>
      <c r="AE36" s="127">
        <v>0</v>
      </c>
      <c r="AF36" s="127"/>
      <c r="AG36" s="127">
        <v>0</v>
      </c>
      <c r="AH36" s="127"/>
      <c r="AI36" s="127">
        <v>0</v>
      </c>
      <c r="AJ36" s="127"/>
      <c r="AK36" s="127">
        <v>0</v>
      </c>
      <c r="AL36" s="127"/>
      <c r="AM36" s="127">
        <v>0</v>
      </c>
      <c r="AN36" s="127"/>
      <c r="AO36" s="127">
        <v>0</v>
      </c>
      <c r="AP36" s="127"/>
      <c r="AQ36" s="127">
        <v>0</v>
      </c>
      <c r="AR36" s="127"/>
      <c r="AS36" s="127">
        <v>0</v>
      </c>
      <c r="AT36" s="127"/>
      <c r="AU36" s="127">
        <v>0</v>
      </c>
      <c r="AV36" s="127"/>
      <c r="AW36" s="127">
        <v>0</v>
      </c>
      <c r="AX36" s="127"/>
      <c r="AY36" s="127"/>
    </row>
    <row r="37" spans="1:52" x14ac:dyDescent="0.2">
      <c r="A37" s="127"/>
      <c r="B37" s="181" t="s">
        <v>345</v>
      </c>
      <c r="C37" s="127"/>
      <c r="D37" s="127"/>
      <c r="E37" s="127">
        <v>150.00000000000003</v>
      </c>
      <c r="F37" s="127"/>
      <c r="G37" s="127">
        <v>150.00000000000003</v>
      </c>
      <c r="H37" s="127"/>
      <c r="I37" s="127">
        <v>150.00000000000003</v>
      </c>
      <c r="J37" s="127"/>
      <c r="K37" s="127">
        <v>150.00000000000003</v>
      </c>
      <c r="L37" s="127"/>
      <c r="M37" s="127">
        <v>150.00000000000003</v>
      </c>
      <c r="N37" s="127"/>
      <c r="O37" s="127">
        <v>150.00000000000003</v>
      </c>
      <c r="P37" s="127"/>
      <c r="Q37" s="127">
        <v>150.00000000000003</v>
      </c>
      <c r="R37" s="127"/>
      <c r="S37" s="127">
        <v>150.00000000000003</v>
      </c>
      <c r="T37" s="127"/>
      <c r="U37" s="127">
        <v>150.00000000000003</v>
      </c>
      <c r="V37" s="127"/>
      <c r="W37" s="127">
        <v>150.00000000000003</v>
      </c>
      <c r="X37" s="127"/>
      <c r="Y37" s="127">
        <v>150.00000000000003</v>
      </c>
      <c r="Z37" s="127"/>
      <c r="AA37" s="127">
        <v>150.00000000000003</v>
      </c>
      <c r="AB37" s="127"/>
      <c r="AC37" s="127">
        <v>150.00000000000003</v>
      </c>
      <c r="AD37" s="127"/>
      <c r="AE37" s="127">
        <v>150.00000000000003</v>
      </c>
      <c r="AF37" s="127"/>
      <c r="AG37" s="127">
        <v>150.00000000000003</v>
      </c>
      <c r="AH37" s="127"/>
      <c r="AI37" s="127">
        <v>150.00000000000003</v>
      </c>
      <c r="AJ37" s="127"/>
      <c r="AK37" s="127">
        <v>150.00000000000003</v>
      </c>
      <c r="AL37" s="127"/>
      <c r="AM37" s="127">
        <v>150.00000000000003</v>
      </c>
      <c r="AN37" s="127"/>
      <c r="AO37" s="127">
        <v>150.00000000000003</v>
      </c>
      <c r="AP37" s="127"/>
      <c r="AQ37" s="127">
        <v>150.00000000000003</v>
      </c>
      <c r="AR37" s="127"/>
      <c r="AS37" s="127">
        <v>150.00000000000003</v>
      </c>
      <c r="AT37" s="127"/>
      <c r="AU37" s="127">
        <v>150.00000000000003</v>
      </c>
      <c r="AV37" s="127"/>
      <c r="AW37" s="127">
        <v>150.00000000000003</v>
      </c>
      <c r="AX37" s="127"/>
      <c r="AY37" s="127"/>
    </row>
    <row r="38" spans="1:52" x14ac:dyDescent="0.2">
      <c r="A38" s="127"/>
      <c r="B38" s="181" t="s">
        <v>346</v>
      </c>
      <c r="C38" s="127"/>
      <c r="D38" s="127"/>
      <c r="E38" s="127">
        <v>6</v>
      </c>
      <c r="F38" s="127"/>
      <c r="G38" s="127">
        <v>6</v>
      </c>
      <c r="H38" s="127"/>
      <c r="I38" s="127">
        <v>6</v>
      </c>
      <c r="J38" s="127"/>
      <c r="K38" s="127">
        <v>6</v>
      </c>
      <c r="L38" s="127"/>
      <c r="M38" s="127">
        <v>6</v>
      </c>
      <c r="N38" s="127"/>
      <c r="O38" s="127">
        <v>6</v>
      </c>
      <c r="P38" s="127"/>
      <c r="Q38" s="127">
        <v>6</v>
      </c>
      <c r="R38" s="127"/>
      <c r="S38" s="127">
        <v>6</v>
      </c>
      <c r="T38" s="127"/>
      <c r="U38" s="127">
        <v>6</v>
      </c>
      <c r="V38" s="127"/>
      <c r="W38" s="127">
        <v>6</v>
      </c>
      <c r="X38" s="127"/>
      <c r="Y38" s="127">
        <v>6</v>
      </c>
      <c r="Z38" s="127"/>
      <c r="AA38" s="127">
        <v>6</v>
      </c>
      <c r="AB38" s="127"/>
      <c r="AC38" s="127">
        <v>6</v>
      </c>
      <c r="AD38" s="127"/>
      <c r="AE38" s="127">
        <v>6</v>
      </c>
      <c r="AF38" s="127"/>
      <c r="AG38" s="127">
        <v>6</v>
      </c>
      <c r="AH38" s="127"/>
      <c r="AI38" s="127">
        <v>6</v>
      </c>
      <c r="AJ38" s="127"/>
      <c r="AK38" s="127">
        <v>6</v>
      </c>
      <c r="AL38" s="127"/>
      <c r="AM38" s="127">
        <v>6</v>
      </c>
      <c r="AN38" s="127"/>
      <c r="AO38" s="127">
        <v>6</v>
      </c>
      <c r="AP38" s="127"/>
      <c r="AQ38" s="127">
        <v>6</v>
      </c>
      <c r="AR38" s="127"/>
      <c r="AS38" s="127">
        <v>6</v>
      </c>
      <c r="AT38" s="127"/>
      <c r="AU38" s="127">
        <v>6</v>
      </c>
      <c r="AV38" s="127"/>
      <c r="AW38" s="127">
        <v>6</v>
      </c>
      <c r="AX38" s="127"/>
      <c r="AY38" s="127"/>
    </row>
    <row r="39" spans="1:52" x14ac:dyDescent="0.2">
      <c r="A39" s="127"/>
      <c r="B39" s="181" t="s">
        <v>347</v>
      </c>
      <c r="C39" s="127"/>
      <c r="D39" s="127">
        <f>D33-D36</f>
        <v>0</v>
      </c>
      <c r="E39" s="127">
        <f t="shared" ref="E39:AY39" si="12">E33-E36</f>
        <v>0</v>
      </c>
      <c r="F39" s="127">
        <f t="shared" si="12"/>
        <v>0</v>
      </c>
      <c r="G39" s="127">
        <f t="shared" si="12"/>
        <v>0</v>
      </c>
      <c r="H39" s="127">
        <f t="shared" si="12"/>
        <v>0</v>
      </c>
      <c r="I39" s="127">
        <f t="shared" si="12"/>
        <v>0</v>
      </c>
      <c r="J39" s="127">
        <f t="shared" si="12"/>
        <v>0</v>
      </c>
      <c r="K39" s="127">
        <f t="shared" si="12"/>
        <v>0</v>
      </c>
      <c r="L39" s="127">
        <f t="shared" si="12"/>
        <v>0</v>
      </c>
      <c r="M39" s="127">
        <f t="shared" si="12"/>
        <v>0</v>
      </c>
      <c r="N39" s="127">
        <f t="shared" si="12"/>
        <v>0</v>
      </c>
      <c r="O39" s="127">
        <f t="shared" si="12"/>
        <v>0</v>
      </c>
      <c r="P39" s="127">
        <f t="shared" si="12"/>
        <v>0</v>
      </c>
      <c r="Q39" s="127">
        <f t="shared" si="12"/>
        <v>0</v>
      </c>
      <c r="R39" s="127">
        <f t="shared" si="12"/>
        <v>0</v>
      </c>
      <c r="S39" s="127">
        <f t="shared" si="12"/>
        <v>0</v>
      </c>
      <c r="T39" s="127">
        <f t="shared" si="12"/>
        <v>0</v>
      </c>
      <c r="U39" s="127">
        <f t="shared" si="12"/>
        <v>0</v>
      </c>
      <c r="V39" s="127">
        <f t="shared" si="12"/>
        <v>0</v>
      </c>
      <c r="W39" s="127">
        <f t="shared" si="12"/>
        <v>0</v>
      </c>
      <c r="X39" s="127">
        <f t="shared" si="12"/>
        <v>0</v>
      </c>
      <c r="Y39" s="127">
        <f t="shared" si="12"/>
        <v>0</v>
      </c>
      <c r="Z39" s="127">
        <f t="shared" si="12"/>
        <v>0</v>
      </c>
      <c r="AA39" s="127">
        <f t="shared" si="12"/>
        <v>0</v>
      </c>
      <c r="AB39" s="127">
        <f t="shared" si="12"/>
        <v>0</v>
      </c>
      <c r="AC39" s="127">
        <f t="shared" si="12"/>
        <v>0</v>
      </c>
      <c r="AD39" s="127">
        <f t="shared" si="12"/>
        <v>0</v>
      </c>
      <c r="AE39" s="127">
        <f t="shared" si="12"/>
        <v>0</v>
      </c>
      <c r="AF39" s="127">
        <f t="shared" si="12"/>
        <v>0</v>
      </c>
      <c r="AG39" s="127">
        <f t="shared" si="12"/>
        <v>0</v>
      </c>
      <c r="AH39" s="127">
        <f t="shared" si="12"/>
        <v>0</v>
      </c>
      <c r="AI39" s="127">
        <f t="shared" si="12"/>
        <v>0</v>
      </c>
      <c r="AJ39" s="127">
        <f t="shared" si="12"/>
        <v>0</v>
      </c>
      <c r="AK39" s="127">
        <f t="shared" si="12"/>
        <v>0</v>
      </c>
      <c r="AL39" s="127">
        <f t="shared" si="12"/>
        <v>0</v>
      </c>
      <c r="AM39" s="127">
        <f t="shared" si="12"/>
        <v>0</v>
      </c>
      <c r="AN39" s="127">
        <f t="shared" si="12"/>
        <v>0</v>
      </c>
      <c r="AO39" s="127">
        <f t="shared" si="12"/>
        <v>0</v>
      </c>
      <c r="AP39" s="127">
        <f t="shared" si="12"/>
        <v>0</v>
      </c>
      <c r="AQ39" s="127">
        <f t="shared" si="12"/>
        <v>0</v>
      </c>
      <c r="AR39" s="127">
        <f t="shared" si="12"/>
        <v>0</v>
      </c>
      <c r="AS39" s="127">
        <f t="shared" si="12"/>
        <v>0</v>
      </c>
      <c r="AT39" s="127">
        <f t="shared" si="12"/>
        <v>0</v>
      </c>
      <c r="AU39" s="127">
        <f t="shared" si="12"/>
        <v>0</v>
      </c>
      <c r="AV39" s="127">
        <f t="shared" si="12"/>
        <v>0</v>
      </c>
      <c r="AW39" s="127">
        <f t="shared" si="12"/>
        <v>0</v>
      </c>
      <c r="AX39" s="127">
        <f t="shared" si="12"/>
        <v>0</v>
      </c>
      <c r="AY39" s="127">
        <f t="shared" si="12"/>
        <v>0</v>
      </c>
    </row>
    <row r="40" spans="1:52" x14ac:dyDescent="0.2">
      <c r="A40" s="127"/>
      <c r="B40" s="181" t="s">
        <v>348</v>
      </c>
      <c r="C40" s="127"/>
      <c r="D40" s="127">
        <f>D34-D37</f>
        <v>0</v>
      </c>
      <c r="E40" s="127">
        <f t="shared" ref="E40:AY40" si="13">E34-E37</f>
        <v>0</v>
      </c>
      <c r="F40" s="127">
        <f t="shared" si="13"/>
        <v>150.00000000000003</v>
      </c>
      <c r="G40" s="127">
        <f t="shared" si="13"/>
        <v>0</v>
      </c>
      <c r="H40" s="127">
        <f t="shared" si="13"/>
        <v>150.00000000000003</v>
      </c>
      <c r="I40" s="127">
        <f t="shared" si="13"/>
        <v>0</v>
      </c>
      <c r="J40" s="127">
        <f t="shared" si="13"/>
        <v>150.00000000000003</v>
      </c>
      <c r="K40" s="127">
        <f t="shared" si="13"/>
        <v>0</v>
      </c>
      <c r="L40" s="127">
        <f t="shared" si="13"/>
        <v>150.00000000000003</v>
      </c>
      <c r="M40" s="127">
        <f t="shared" si="13"/>
        <v>0</v>
      </c>
      <c r="N40" s="127">
        <f t="shared" si="13"/>
        <v>150.00000000000003</v>
      </c>
      <c r="O40" s="127">
        <f t="shared" si="13"/>
        <v>0</v>
      </c>
      <c r="P40" s="127">
        <f t="shared" si="13"/>
        <v>150.00000000000003</v>
      </c>
      <c r="Q40" s="127">
        <f t="shared" si="13"/>
        <v>0</v>
      </c>
      <c r="R40" s="127">
        <f t="shared" si="13"/>
        <v>150.00000000000003</v>
      </c>
      <c r="S40" s="127">
        <f t="shared" si="13"/>
        <v>0</v>
      </c>
      <c r="T40" s="127">
        <f t="shared" si="13"/>
        <v>150.00000000000003</v>
      </c>
      <c r="U40" s="127">
        <f t="shared" si="13"/>
        <v>0</v>
      </c>
      <c r="V40" s="127">
        <f t="shared" si="13"/>
        <v>150.00000000000003</v>
      </c>
      <c r="W40" s="127">
        <f t="shared" si="13"/>
        <v>0</v>
      </c>
      <c r="X40" s="127">
        <f t="shared" si="13"/>
        <v>0</v>
      </c>
      <c r="Y40" s="127">
        <f t="shared" si="13"/>
        <v>0</v>
      </c>
      <c r="Z40" s="127">
        <f t="shared" si="13"/>
        <v>150.00000000000003</v>
      </c>
      <c r="AA40" s="127">
        <f t="shared" si="13"/>
        <v>0</v>
      </c>
      <c r="AB40" s="127">
        <f t="shared" si="13"/>
        <v>150.00000000000003</v>
      </c>
      <c r="AC40" s="127">
        <f t="shared" si="13"/>
        <v>0</v>
      </c>
      <c r="AD40" s="127">
        <f t="shared" si="13"/>
        <v>150.00000000000003</v>
      </c>
      <c r="AE40" s="127">
        <f t="shared" si="13"/>
        <v>0</v>
      </c>
      <c r="AF40" s="127">
        <f t="shared" si="13"/>
        <v>150.00000000000003</v>
      </c>
      <c r="AG40" s="127">
        <f t="shared" si="13"/>
        <v>0</v>
      </c>
      <c r="AH40" s="127">
        <f t="shared" si="13"/>
        <v>150.00000000000003</v>
      </c>
      <c r="AI40" s="127">
        <f t="shared" si="13"/>
        <v>0</v>
      </c>
      <c r="AJ40" s="127">
        <f t="shared" si="13"/>
        <v>150.00000000000003</v>
      </c>
      <c r="AK40" s="127">
        <f t="shared" si="13"/>
        <v>0</v>
      </c>
      <c r="AL40" s="127">
        <f t="shared" si="13"/>
        <v>150.00000000000003</v>
      </c>
      <c r="AM40" s="127">
        <f t="shared" si="13"/>
        <v>0</v>
      </c>
      <c r="AN40" s="127">
        <f t="shared" si="13"/>
        <v>150.00000000000003</v>
      </c>
      <c r="AO40" s="127">
        <f t="shared" si="13"/>
        <v>0</v>
      </c>
      <c r="AP40" s="127">
        <f t="shared" si="13"/>
        <v>150.00000000000003</v>
      </c>
      <c r="AQ40" s="127">
        <f t="shared" si="13"/>
        <v>0</v>
      </c>
      <c r="AR40" s="127">
        <f t="shared" si="13"/>
        <v>150.00000000000003</v>
      </c>
      <c r="AS40" s="127">
        <f t="shared" si="13"/>
        <v>0</v>
      </c>
      <c r="AT40" s="127">
        <f t="shared" si="13"/>
        <v>0</v>
      </c>
      <c r="AU40" s="127">
        <f t="shared" si="13"/>
        <v>0</v>
      </c>
      <c r="AV40" s="127">
        <f t="shared" si="13"/>
        <v>150.00000000000003</v>
      </c>
      <c r="AW40" s="127">
        <f t="shared" si="13"/>
        <v>0</v>
      </c>
      <c r="AX40" s="127">
        <f t="shared" si="13"/>
        <v>0</v>
      </c>
      <c r="AY40" s="127">
        <f t="shared" si="13"/>
        <v>0</v>
      </c>
    </row>
    <row r="41" spans="1:52" x14ac:dyDescent="0.2">
      <c r="A41" s="127"/>
      <c r="B41" s="181" t="s">
        <v>349</v>
      </c>
      <c r="C41" s="127"/>
      <c r="D41" s="127">
        <v>1</v>
      </c>
      <c r="E41" s="127">
        <v>2</v>
      </c>
      <c r="F41" s="127">
        <v>2</v>
      </c>
      <c r="G41" s="127">
        <v>1</v>
      </c>
      <c r="H41" s="127">
        <v>2</v>
      </c>
      <c r="I41" s="127">
        <v>3</v>
      </c>
      <c r="J41" s="127">
        <v>1</v>
      </c>
      <c r="K41" s="127">
        <v>1</v>
      </c>
      <c r="L41" s="127">
        <v>1</v>
      </c>
      <c r="M41" s="127">
        <v>2</v>
      </c>
      <c r="N41" s="127">
        <v>1</v>
      </c>
      <c r="O41" s="127">
        <v>1</v>
      </c>
      <c r="P41" s="127">
        <v>1</v>
      </c>
      <c r="Q41" s="127">
        <v>1</v>
      </c>
      <c r="R41" s="127">
        <v>1</v>
      </c>
      <c r="S41" s="127">
        <v>2</v>
      </c>
      <c r="T41" s="127">
        <v>1</v>
      </c>
      <c r="U41" s="127">
        <v>1</v>
      </c>
      <c r="V41" s="127">
        <v>2</v>
      </c>
      <c r="W41" s="127">
        <v>2</v>
      </c>
      <c r="X41" s="127">
        <v>1</v>
      </c>
      <c r="Y41" s="127">
        <v>2</v>
      </c>
      <c r="Z41" s="127">
        <v>1</v>
      </c>
      <c r="AA41" s="127">
        <v>2</v>
      </c>
      <c r="AB41" s="127">
        <v>2</v>
      </c>
      <c r="AC41" s="127">
        <v>1</v>
      </c>
      <c r="AD41" s="127">
        <v>3</v>
      </c>
      <c r="AE41" s="127">
        <v>3</v>
      </c>
      <c r="AF41" s="127">
        <v>1</v>
      </c>
      <c r="AG41" s="127">
        <v>3</v>
      </c>
      <c r="AH41" s="127">
        <v>1</v>
      </c>
      <c r="AI41" s="127">
        <v>1</v>
      </c>
      <c r="AJ41" s="127">
        <v>1</v>
      </c>
      <c r="AK41" s="127">
        <v>2</v>
      </c>
      <c r="AL41" s="127">
        <v>1</v>
      </c>
      <c r="AM41" s="127">
        <v>1</v>
      </c>
      <c r="AN41" s="127">
        <v>1</v>
      </c>
      <c r="AO41" s="127">
        <v>2</v>
      </c>
      <c r="AP41" s="127">
        <v>1</v>
      </c>
      <c r="AQ41" s="127">
        <v>1</v>
      </c>
      <c r="AR41" s="127">
        <v>2</v>
      </c>
      <c r="AS41" s="127">
        <v>1</v>
      </c>
      <c r="AT41" s="127">
        <v>1</v>
      </c>
      <c r="AU41" s="127">
        <v>1</v>
      </c>
      <c r="AV41" s="127">
        <v>1</v>
      </c>
      <c r="AW41" s="127">
        <v>2</v>
      </c>
      <c r="AX41" s="127">
        <v>1</v>
      </c>
      <c r="AY41" s="127">
        <v>1</v>
      </c>
    </row>
    <row r="42" spans="1:52" x14ac:dyDescent="0.2">
      <c r="A42" s="127"/>
      <c r="B42" s="192" t="s">
        <v>350</v>
      </c>
      <c r="C42" s="127"/>
      <c r="D42" s="127">
        <v>0</v>
      </c>
      <c r="E42" s="127">
        <v>264600</v>
      </c>
      <c r="F42" s="127">
        <v>0</v>
      </c>
      <c r="G42" s="127">
        <v>264600</v>
      </c>
      <c r="H42" s="127">
        <v>0</v>
      </c>
      <c r="I42" s="127">
        <v>264600</v>
      </c>
      <c r="J42" s="127">
        <v>0</v>
      </c>
      <c r="K42" s="127">
        <v>264600</v>
      </c>
      <c r="L42" s="127">
        <v>0</v>
      </c>
      <c r="M42" s="127">
        <v>264600</v>
      </c>
      <c r="N42" s="127">
        <v>0</v>
      </c>
      <c r="O42" s="127">
        <v>264600</v>
      </c>
      <c r="P42" s="127">
        <v>0</v>
      </c>
      <c r="Q42" s="127">
        <v>264600</v>
      </c>
      <c r="R42" s="127">
        <v>0</v>
      </c>
      <c r="S42" s="127">
        <v>264600</v>
      </c>
      <c r="T42" s="127">
        <v>0</v>
      </c>
      <c r="U42" s="127">
        <v>264600</v>
      </c>
      <c r="V42" s="127">
        <v>0</v>
      </c>
      <c r="W42" s="127">
        <v>264600</v>
      </c>
      <c r="X42" s="127">
        <v>0</v>
      </c>
      <c r="Y42" s="127">
        <v>264600</v>
      </c>
      <c r="Z42" s="127">
        <v>0</v>
      </c>
      <c r="AA42" s="127">
        <v>264600</v>
      </c>
      <c r="AB42" s="127">
        <v>0</v>
      </c>
      <c r="AC42" s="127">
        <v>264600</v>
      </c>
      <c r="AD42" s="127">
        <v>0</v>
      </c>
      <c r="AE42" s="127">
        <v>264600</v>
      </c>
      <c r="AF42" s="127">
        <v>0</v>
      </c>
      <c r="AG42" s="127">
        <v>264600</v>
      </c>
      <c r="AH42" s="127">
        <v>0</v>
      </c>
      <c r="AI42" s="127">
        <v>264600</v>
      </c>
      <c r="AJ42" s="127">
        <v>0</v>
      </c>
      <c r="AK42" s="127">
        <v>264600</v>
      </c>
      <c r="AL42" s="127">
        <v>0</v>
      </c>
      <c r="AM42" s="127">
        <v>264600</v>
      </c>
      <c r="AN42" s="127">
        <v>0</v>
      </c>
      <c r="AO42" s="127">
        <v>264600</v>
      </c>
      <c r="AP42" s="127">
        <v>0</v>
      </c>
      <c r="AQ42" s="127">
        <v>264600</v>
      </c>
      <c r="AR42" s="127">
        <v>0</v>
      </c>
      <c r="AS42" s="127">
        <v>264600</v>
      </c>
      <c r="AT42" s="127">
        <v>0</v>
      </c>
      <c r="AU42" s="127">
        <v>264600</v>
      </c>
      <c r="AV42" s="127">
        <v>0</v>
      </c>
      <c r="AW42" s="127">
        <v>264600</v>
      </c>
      <c r="AX42" s="127">
        <v>0</v>
      </c>
      <c r="AY42" s="127">
        <v>0</v>
      </c>
      <c r="AZ42">
        <f>SUM($D$42:$AY$42)</f>
        <v>6085800</v>
      </c>
    </row>
    <row r="43" spans="1:52" x14ac:dyDescent="0.2">
      <c r="A43" s="127"/>
      <c r="B43" s="192" t="s">
        <v>351</v>
      </c>
      <c r="C43" s="127"/>
      <c r="D43" s="127">
        <v>0</v>
      </c>
      <c r="E43" s="127">
        <v>0</v>
      </c>
      <c r="F43" s="127">
        <v>119437.50000000003</v>
      </c>
      <c r="G43" s="127">
        <v>0</v>
      </c>
      <c r="H43" s="127">
        <v>119437.50000000003</v>
      </c>
      <c r="I43" s="127">
        <v>0</v>
      </c>
      <c r="J43" s="127">
        <v>119437.50000000003</v>
      </c>
      <c r="K43" s="127">
        <v>0</v>
      </c>
      <c r="L43" s="127">
        <v>119437.50000000003</v>
      </c>
      <c r="M43" s="127">
        <v>0</v>
      </c>
      <c r="N43" s="127">
        <v>119437.50000000003</v>
      </c>
      <c r="O43" s="127">
        <v>0</v>
      </c>
      <c r="P43" s="127">
        <v>119437.50000000003</v>
      </c>
      <c r="Q43" s="127">
        <v>0</v>
      </c>
      <c r="R43" s="127">
        <v>119437.50000000003</v>
      </c>
      <c r="S43" s="127">
        <v>0</v>
      </c>
      <c r="T43" s="127">
        <v>119437.50000000003</v>
      </c>
      <c r="U43" s="127">
        <v>0</v>
      </c>
      <c r="V43" s="127">
        <v>119437.50000000003</v>
      </c>
      <c r="W43" s="127">
        <v>0</v>
      </c>
      <c r="X43" s="127">
        <v>0</v>
      </c>
      <c r="Y43" s="127">
        <v>0</v>
      </c>
      <c r="Z43" s="127">
        <v>119437.50000000003</v>
      </c>
      <c r="AA43" s="127">
        <v>0</v>
      </c>
      <c r="AB43" s="127">
        <v>119437.50000000003</v>
      </c>
      <c r="AC43" s="127">
        <v>0</v>
      </c>
      <c r="AD43" s="127">
        <v>119437.50000000003</v>
      </c>
      <c r="AE43" s="127">
        <v>0</v>
      </c>
      <c r="AF43" s="127">
        <v>119437.50000000003</v>
      </c>
      <c r="AG43" s="127">
        <v>0</v>
      </c>
      <c r="AH43" s="127">
        <v>119437.50000000003</v>
      </c>
      <c r="AI43" s="127">
        <v>0</v>
      </c>
      <c r="AJ43" s="127">
        <v>119437.50000000003</v>
      </c>
      <c r="AK43" s="127">
        <v>0</v>
      </c>
      <c r="AL43" s="127">
        <v>119437.50000000003</v>
      </c>
      <c r="AM43" s="127">
        <v>0</v>
      </c>
      <c r="AN43" s="127">
        <v>119437.50000000003</v>
      </c>
      <c r="AO43" s="127">
        <v>0</v>
      </c>
      <c r="AP43" s="127">
        <v>119437.50000000003</v>
      </c>
      <c r="AQ43" s="127">
        <v>0</v>
      </c>
      <c r="AR43" s="127">
        <v>119437.50000000003</v>
      </c>
      <c r="AS43" s="127">
        <v>0</v>
      </c>
      <c r="AT43" s="127">
        <v>0</v>
      </c>
      <c r="AU43" s="127">
        <v>0</v>
      </c>
      <c r="AV43" s="127">
        <v>119437.50000000003</v>
      </c>
      <c r="AW43" s="127">
        <v>0</v>
      </c>
      <c r="AX43" s="127">
        <v>0</v>
      </c>
      <c r="AY43" s="127">
        <v>0</v>
      </c>
      <c r="AZ43">
        <f>SUM($D$43:$AY$43)</f>
        <v>2388750.0000000005</v>
      </c>
    </row>
    <row r="44" spans="1:52" x14ac:dyDescent="0.2">
      <c r="A44" s="151" t="s">
        <v>59</v>
      </c>
      <c r="B44" s="151" t="s">
        <v>341</v>
      </c>
      <c r="C44" s="140"/>
      <c r="D44" s="140">
        <f>D$21*shipping_manufacturing!$F$28/100</f>
        <v>0</v>
      </c>
      <c r="E44" s="140">
        <f>E$21*shipping_manufacturing!$F$28/100</f>
        <v>350</v>
      </c>
      <c r="F44" s="140">
        <f>F$21*shipping_manufacturing!$F$28/100</f>
        <v>350</v>
      </c>
      <c r="G44" s="140">
        <f>G$21*shipping_manufacturing!$F$28/100</f>
        <v>350</v>
      </c>
      <c r="H44" s="140">
        <f>H$21*shipping_manufacturing!$F$28/100</f>
        <v>350</v>
      </c>
      <c r="I44" s="140">
        <f>I$21*shipping_manufacturing!$F$28/100</f>
        <v>350</v>
      </c>
      <c r="J44" s="140">
        <f>J$21*shipping_manufacturing!$F$28/100</f>
        <v>350</v>
      </c>
      <c r="K44" s="140">
        <f>K$21*shipping_manufacturing!$F$28/100</f>
        <v>350</v>
      </c>
      <c r="L44" s="140">
        <f>L$21*shipping_manufacturing!$F$28/100</f>
        <v>350</v>
      </c>
      <c r="M44" s="140">
        <f>M$21*shipping_manufacturing!$F$28/100</f>
        <v>350</v>
      </c>
      <c r="N44" s="140">
        <f>N$21*shipping_manufacturing!$F$28/100</f>
        <v>350</v>
      </c>
      <c r="O44" s="140">
        <f>O$21*shipping_manufacturing!$F$28/100</f>
        <v>350</v>
      </c>
      <c r="P44" s="140">
        <f>P$21*shipping_manufacturing!$F$28/100</f>
        <v>350</v>
      </c>
      <c r="Q44" s="140">
        <f>Q$21*shipping_manufacturing!$F$28/100</f>
        <v>350</v>
      </c>
      <c r="R44" s="140">
        <f>R$21*shipping_manufacturing!$F$28/100</f>
        <v>350</v>
      </c>
      <c r="S44" s="140">
        <f>S$21*shipping_manufacturing!$F$28/100</f>
        <v>350</v>
      </c>
      <c r="T44" s="140">
        <f>T$21*shipping_manufacturing!$F$28/100</f>
        <v>350</v>
      </c>
      <c r="U44" s="140">
        <f>U$21*shipping_manufacturing!$F$28/100</f>
        <v>350</v>
      </c>
      <c r="V44" s="140">
        <f>V$21*shipping_manufacturing!$F$28/100</f>
        <v>350</v>
      </c>
      <c r="W44" s="140">
        <f>W$21*shipping_manufacturing!$F$28/100</f>
        <v>350</v>
      </c>
      <c r="X44" s="140">
        <f>X$21*shipping_manufacturing!$F$28/100</f>
        <v>0</v>
      </c>
      <c r="Y44" s="140">
        <f>Y$21*shipping_manufacturing!$F$28/100</f>
        <v>350</v>
      </c>
      <c r="Z44" s="140">
        <f>Z$21*shipping_manufacturing!$F$28/100</f>
        <v>350</v>
      </c>
      <c r="AA44" s="140">
        <f>AA$21*shipping_manufacturing!$F$28/100</f>
        <v>350</v>
      </c>
      <c r="AB44" s="140">
        <f>AB$21*shipping_manufacturing!$F$28/100</f>
        <v>350</v>
      </c>
      <c r="AC44" s="140">
        <f>AC$21*shipping_manufacturing!$F$28/100</f>
        <v>350</v>
      </c>
      <c r="AD44" s="140">
        <f>AD$21*shipping_manufacturing!$F$28/100</f>
        <v>350</v>
      </c>
      <c r="AE44" s="140">
        <f>AE$21*shipping_manufacturing!$F$28/100</f>
        <v>350</v>
      </c>
      <c r="AF44" s="140">
        <f>AF$21*shipping_manufacturing!$F$28/100</f>
        <v>350</v>
      </c>
      <c r="AG44" s="140">
        <f>AG$21*shipping_manufacturing!$F$28/100</f>
        <v>350</v>
      </c>
      <c r="AH44" s="140">
        <f>AH$21*shipping_manufacturing!$F$28/100</f>
        <v>350</v>
      </c>
      <c r="AI44" s="140">
        <f>AI$21*shipping_manufacturing!$F$28/100</f>
        <v>350</v>
      </c>
      <c r="AJ44" s="140">
        <f>AJ$21*shipping_manufacturing!$F$28/100</f>
        <v>350</v>
      </c>
      <c r="AK44" s="140">
        <f>AK$21*shipping_manufacturing!$F$28/100</f>
        <v>350</v>
      </c>
      <c r="AL44" s="140">
        <f>AL$21*shipping_manufacturing!$F$28/100</f>
        <v>350</v>
      </c>
      <c r="AM44" s="140">
        <f>AM$21*shipping_manufacturing!$F$28/100</f>
        <v>350</v>
      </c>
      <c r="AN44" s="140">
        <f>AN$21*shipping_manufacturing!$F$28/100</f>
        <v>350</v>
      </c>
      <c r="AO44" s="140">
        <f>AO$21*shipping_manufacturing!$F$28/100</f>
        <v>350</v>
      </c>
      <c r="AP44" s="140">
        <f>AP$21*shipping_manufacturing!$F$28/100</f>
        <v>350</v>
      </c>
      <c r="AQ44" s="140">
        <f>AQ$21*shipping_manufacturing!$F$28/100</f>
        <v>350</v>
      </c>
      <c r="AR44" s="140">
        <f>AR$21*shipping_manufacturing!$F$28/100</f>
        <v>350</v>
      </c>
      <c r="AS44" s="140">
        <f>AS$21*shipping_manufacturing!$F$28/100</f>
        <v>350</v>
      </c>
      <c r="AT44" s="140">
        <f>AT$21*shipping_manufacturing!$F$28/100</f>
        <v>0</v>
      </c>
      <c r="AU44" s="140">
        <f>AU$21*shipping_manufacturing!$F$28/100</f>
        <v>350</v>
      </c>
      <c r="AV44" s="140">
        <f>AV$21*shipping_manufacturing!$F$28/100</f>
        <v>350</v>
      </c>
      <c r="AW44" s="140">
        <f>AW$21*shipping_manufacturing!$F$28/100</f>
        <v>350</v>
      </c>
      <c r="AX44" s="140">
        <f>AX$21*shipping_manufacturing!$F$28/100</f>
        <v>0</v>
      </c>
      <c r="AY44" s="140">
        <f>AY$21*shipping_manufacturing!$F$28/100</f>
        <v>0</v>
      </c>
    </row>
    <row r="45" spans="1:52" x14ac:dyDescent="0.2">
      <c r="A45" s="129" t="s">
        <v>340</v>
      </c>
      <c r="B45" s="181" t="s">
        <v>342</v>
      </c>
      <c r="C45" s="127"/>
      <c r="D45" s="127">
        <f>D$22*shipping_manufacturing!$G$28/100</f>
        <v>0</v>
      </c>
      <c r="E45" s="127">
        <f>E$22*shipping_manufacturing!$G$28/100</f>
        <v>0</v>
      </c>
      <c r="F45" s="127">
        <f>F$22*shipping_manufacturing!$G$28/100</f>
        <v>0</v>
      </c>
      <c r="G45" s="127">
        <f>G$22*shipping_manufacturing!$G$28/100</f>
        <v>0</v>
      </c>
      <c r="H45" s="127">
        <f>H$22*shipping_manufacturing!$G$28/100</f>
        <v>0</v>
      </c>
      <c r="I45" s="127">
        <f>I$22*shipping_manufacturing!$G$28/100</f>
        <v>0</v>
      </c>
      <c r="J45" s="127">
        <f>J$22*shipping_manufacturing!$G$28/100</f>
        <v>0</v>
      </c>
      <c r="K45" s="127">
        <f>K$22*shipping_manufacturing!$G$28/100</f>
        <v>0</v>
      </c>
      <c r="L45" s="127">
        <f>L$22*shipping_manufacturing!$G$28/100</f>
        <v>0</v>
      </c>
      <c r="M45" s="127">
        <f>M$22*shipping_manufacturing!$G$28/100</f>
        <v>0</v>
      </c>
      <c r="N45" s="127">
        <f>N$22*shipping_manufacturing!$G$28/100</f>
        <v>0</v>
      </c>
      <c r="O45" s="127">
        <f>O$22*shipping_manufacturing!$G$28/100</f>
        <v>0</v>
      </c>
      <c r="P45" s="127">
        <f>P$22*shipping_manufacturing!$G$28/100</f>
        <v>0</v>
      </c>
      <c r="Q45" s="127">
        <f>Q$22*shipping_manufacturing!$G$28/100</f>
        <v>0</v>
      </c>
      <c r="R45" s="127">
        <f>R$22*shipping_manufacturing!$G$28/100</f>
        <v>0</v>
      </c>
      <c r="S45" s="127">
        <f>S$22*shipping_manufacturing!$G$28/100</f>
        <v>0</v>
      </c>
      <c r="T45" s="127">
        <f>T$22*shipping_manufacturing!$G$28/100</f>
        <v>0</v>
      </c>
      <c r="U45" s="127">
        <f>U$22*shipping_manufacturing!$G$28/100</f>
        <v>0</v>
      </c>
      <c r="V45" s="127">
        <f>V$22*shipping_manufacturing!$G$28/100</f>
        <v>0</v>
      </c>
      <c r="W45" s="127">
        <f>W$22*shipping_manufacturing!$G$28/100</f>
        <v>0</v>
      </c>
      <c r="X45" s="127">
        <f>X$22*shipping_manufacturing!$G$28/100</f>
        <v>0</v>
      </c>
      <c r="Y45" s="127">
        <f>Y$22*shipping_manufacturing!$G$28/100</f>
        <v>0</v>
      </c>
      <c r="Z45" s="127">
        <f>Z$22*shipping_manufacturing!$G$28/100</f>
        <v>0</v>
      </c>
      <c r="AA45" s="127">
        <f>AA$22*shipping_manufacturing!$G$28/100</f>
        <v>0</v>
      </c>
      <c r="AB45" s="127">
        <f>AB$22*shipping_manufacturing!$G$28/100</f>
        <v>0</v>
      </c>
      <c r="AC45" s="127">
        <f>AC$22*shipping_manufacturing!$G$28/100</f>
        <v>0</v>
      </c>
      <c r="AD45" s="127">
        <f>AD$22*shipping_manufacturing!$G$28/100</f>
        <v>0</v>
      </c>
      <c r="AE45" s="127">
        <f>AE$22*shipping_manufacturing!$G$28/100</f>
        <v>0</v>
      </c>
      <c r="AF45" s="127">
        <f>AF$22*shipping_manufacturing!$G$28/100</f>
        <v>0</v>
      </c>
      <c r="AG45" s="127">
        <f>AG$22*shipping_manufacturing!$G$28/100</f>
        <v>0</v>
      </c>
      <c r="AH45" s="127">
        <f>AH$22*shipping_manufacturing!$G$28/100</f>
        <v>0</v>
      </c>
      <c r="AI45" s="127">
        <f>AI$22*shipping_manufacturing!$G$28/100</f>
        <v>0</v>
      </c>
      <c r="AJ45" s="127">
        <f>AJ$22*shipping_manufacturing!$G$28/100</f>
        <v>0</v>
      </c>
      <c r="AK45" s="127">
        <f>AK$22*shipping_manufacturing!$G$28/100</f>
        <v>0</v>
      </c>
      <c r="AL45" s="127">
        <f>AL$22*shipping_manufacturing!$G$28/100</f>
        <v>0</v>
      </c>
      <c r="AM45" s="127">
        <f>AM$22*shipping_manufacturing!$G$28/100</f>
        <v>0</v>
      </c>
      <c r="AN45" s="127">
        <f>AN$22*shipping_manufacturing!$G$28/100</f>
        <v>0</v>
      </c>
      <c r="AO45" s="127">
        <f>AO$22*shipping_manufacturing!$G$28/100</f>
        <v>0</v>
      </c>
      <c r="AP45" s="127">
        <f>AP$22*shipping_manufacturing!$G$28/100</f>
        <v>0</v>
      </c>
      <c r="AQ45" s="127">
        <f>AQ$22*shipping_manufacturing!$G$28/100</f>
        <v>0</v>
      </c>
      <c r="AR45" s="127">
        <f>AR$22*shipping_manufacturing!$G$28/100</f>
        <v>0</v>
      </c>
      <c r="AS45" s="127">
        <f>AS$22*shipping_manufacturing!$G$28/100</f>
        <v>0</v>
      </c>
      <c r="AT45" s="127">
        <f>AT$22*shipping_manufacturing!$G$28/100</f>
        <v>0</v>
      </c>
      <c r="AU45" s="127">
        <f>AU$22*shipping_manufacturing!$G$28/100</f>
        <v>0</v>
      </c>
      <c r="AV45" s="127">
        <f>AV$22*shipping_manufacturing!$G$28/100</f>
        <v>0</v>
      </c>
      <c r="AW45" s="127">
        <f>AW$22*shipping_manufacturing!$G$28/100</f>
        <v>0</v>
      </c>
      <c r="AX45" s="127">
        <f>AX$22*shipping_manufacturing!$G$28/100</f>
        <v>0</v>
      </c>
      <c r="AY45" s="127">
        <f>AY$22*shipping_manufacturing!$G$28/100</f>
        <v>0</v>
      </c>
    </row>
    <row r="46" spans="1:52" x14ac:dyDescent="0.2">
      <c r="A46" s="127">
        <v>2339</v>
      </c>
      <c r="B46" s="181" t="s">
        <v>343</v>
      </c>
      <c r="C46" s="127"/>
      <c r="D46" s="127">
        <f>SUM(D44:D45)</f>
        <v>0</v>
      </c>
      <c r="E46" s="127">
        <f t="shared" ref="E46:AY46" si="14">SUM(E44:E45)</f>
        <v>350</v>
      </c>
      <c r="F46" s="127">
        <f t="shared" si="14"/>
        <v>350</v>
      </c>
      <c r="G46" s="127">
        <f t="shared" si="14"/>
        <v>350</v>
      </c>
      <c r="H46" s="127">
        <f t="shared" si="14"/>
        <v>350</v>
      </c>
      <c r="I46" s="127">
        <f t="shared" si="14"/>
        <v>350</v>
      </c>
      <c r="J46" s="127">
        <f t="shared" si="14"/>
        <v>350</v>
      </c>
      <c r="K46" s="127">
        <f t="shared" si="14"/>
        <v>350</v>
      </c>
      <c r="L46" s="127">
        <f t="shared" si="14"/>
        <v>350</v>
      </c>
      <c r="M46" s="127">
        <f t="shared" si="14"/>
        <v>350</v>
      </c>
      <c r="N46" s="127">
        <f t="shared" si="14"/>
        <v>350</v>
      </c>
      <c r="O46" s="127">
        <f t="shared" si="14"/>
        <v>350</v>
      </c>
      <c r="P46" s="127">
        <f t="shared" si="14"/>
        <v>350</v>
      </c>
      <c r="Q46" s="127">
        <f t="shared" si="14"/>
        <v>350</v>
      </c>
      <c r="R46" s="127">
        <f t="shared" si="14"/>
        <v>350</v>
      </c>
      <c r="S46" s="127">
        <f t="shared" si="14"/>
        <v>350</v>
      </c>
      <c r="T46" s="127">
        <f t="shared" si="14"/>
        <v>350</v>
      </c>
      <c r="U46" s="127">
        <f t="shared" si="14"/>
        <v>350</v>
      </c>
      <c r="V46" s="127">
        <f t="shared" si="14"/>
        <v>350</v>
      </c>
      <c r="W46" s="127">
        <f t="shared" si="14"/>
        <v>350</v>
      </c>
      <c r="X46" s="127">
        <f t="shared" si="14"/>
        <v>0</v>
      </c>
      <c r="Y46" s="127">
        <f t="shared" si="14"/>
        <v>350</v>
      </c>
      <c r="Z46" s="127">
        <f t="shared" si="14"/>
        <v>350</v>
      </c>
      <c r="AA46" s="127">
        <f t="shared" si="14"/>
        <v>350</v>
      </c>
      <c r="AB46" s="127">
        <f t="shared" si="14"/>
        <v>350</v>
      </c>
      <c r="AC46" s="127">
        <f t="shared" si="14"/>
        <v>350</v>
      </c>
      <c r="AD46" s="127">
        <f t="shared" si="14"/>
        <v>350</v>
      </c>
      <c r="AE46" s="127">
        <f t="shared" si="14"/>
        <v>350</v>
      </c>
      <c r="AF46" s="127">
        <f t="shared" si="14"/>
        <v>350</v>
      </c>
      <c r="AG46" s="127">
        <f t="shared" si="14"/>
        <v>350</v>
      </c>
      <c r="AH46" s="127">
        <f t="shared" si="14"/>
        <v>350</v>
      </c>
      <c r="AI46" s="127">
        <f t="shared" si="14"/>
        <v>350</v>
      </c>
      <c r="AJ46" s="127">
        <f t="shared" si="14"/>
        <v>350</v>
      </c>
      <c r="AK46" s="127">
        <f t="shared" si="14"/>
        <v>350</v>
      </c>
      <c r="AL46" s="127">
        <f t="shared" si="14"/>
        <v>350</v>
      </c>
      <c r="AM46" s="127">
        <f t="shared" si="14"/>
        <v>350</v>
      </c>
      <c r="AN46" s="127">
        <f t="shared" si="14"/>
        <v>350</v>
      </c>
      <c r="AO46" s="127">
        <f t="shared" si="14"/>
        <v>350</v>
      </c>
      <c r="AP46" s="127">
        <f t="shared" si="14"/>
        <v>350</v>
      </c>
      <c r="AQ46" s="127">
        <f t="shared" si="14"/>
        <v>350</v>
      </c>
      <c r="AR46" s="127">
        <f t="shared" si="14"/>
        <v>350</v>
      </c>
      <c r="AS46" s="127">
        <f t="shared" si="14"/>
        <v>350</v>
      </c>
      <c r="AT46" s="127">
        <f t="shared" si="14"/>
        <v>0</v>
      </c>
      <c r="AU46" s="127">
        <f t="shared" si="14"/>
        <v>350</v>
      </c>
      <c r="AV46" s="127">
        <f t="shared" si="14"/>
        <v>350</v>
      </c>
      <c r="AW46" s="127">
        <f t="shared" si="14"/>
        <v>350</v>
      </c>
      <c r="AX46" s="127">
        <f t="shared" si="14"/>
        <v>0</v>
      </c>
      <c r="AY46" s="127">
        <f t="shared" si="14"/>
        <v>0</v>
      </c>
    </row>
    <row r="47" spans="1:52" x14ac:dyDescent="0.2">
      <c r="A47" s="127"/>
      <c r="B47" s="181" t="s">
        <v>344</v>
      </c>
      <c r="C47" s="127"/>
      <c r="D47" s="127"/>
      <c r="E47" s="127">
        <v>350</v>
      </c>
      <c r="F47" s="127">
        <v>120</v>
      </c>
      <c r="G47" s="127">
        <v>350</v>
      </c>
      <c r="H47" s="127">
        <v>120</v>
      </c>
      <c r="I47" s="127">
        <v>350</v>
      </c>
      <c r="J47" s="127">
        <v>120</v>
      </c>
      <c r="K47" s="127">
        <v>350</v>
      </c>
      <c r="L47" s="127">
        <v>120</v>
      </c>
      <c r="M47" s="127">
        <v>350</v>
      </c>
      <c r="N47" s="127">
        <v>120</v>
      </c>
      <c r="O47" s="127">
        <v>350</v>
      </c>
      <c r="P47" s="127">
        <v>120</v>
      </c>
      <c r="Q47" s="127">
        <v>350</v>
      </c>
      <c r="R47" s="127">
        <v>120</v>
      </c>
      <c r="S47" s="127">
        <v>350</v>
      </c>
      <c r="T47" s="127">
        <v>120</v>
      </c>
      <c r="U47" s="127">
        <v>350</v>
      </c>
      <c r="V47" s="127">
        <v>120</v>
      </c>
      <c r="W47" s="127">
        <v>350</v>
      </c>
      <c r="X47" s="127"/>
      <c r="Y47" s="127">
        <v>350</v>
      </c>
      <c r="Z47" s="127">
        <v>120</v>
      </c>
      <c r="AA47" s="127">
        <v>350</v>
      </c>
      <c r="AB47" s="127">
        <v>120</v>
      </c>
      <c r="AC47" s="127">
        <v>350</v>
      </c>
      <c r="AD47" s="127">
        <v>120</v>
      </c>
      <c r="AE47" s="127">
        <v>350</v>
      </c>
      <c r="AF47" s="127">
        <v>120</v>
      </c>
      <c r="AG47" s="127">
        <v>350</v>
      </c>
      <c r="AH47" s="127">
        <v>120</v>
      </c>
      <c r="AI47" s="127">
        <v>350</v>
      </c>
      <c r="AJ47" s="127">
        <v>120</v>
      </c>
      <c r="AK47" s="127">
        <v>350</v>
      </c>
      <c r="AL47" s="127">
        <v>120</v>
      </c>
      <c r="AM47" s="127">
        <v>350</v>
      </c>
      <c r="AN47" s="127">
        <v>120</v>
      </c>
      <c r="AO47" s="127">
        <v>350</v>
      </c>
      <c r="AP47" s="127">
        <v>120</v>
      </c>
      <c r="AQ47" s="127">
        <v>350</v>
      </c>
      <c r="AR47" s="127">
        <v>120</v>
      </c>
      <c r="AS47" s="127">
        <v>350</v>
      </c>
      <c r="AT47" s="127"/>
      <c r="AU47" s="127">
        <v>350</v>
      </c>
      <c r="AV47" s="127">
        <v>120</v>
      </c>
      <c r="AW47" s="127">
        <v>350</v>
      </c>
      <c r="AX47" s="127"/>
      <c r="AY47" s="127"/>
    </row>
    <row r="48" spans="1:52" x14ac:dyDescent="0.2">
      <c r="A48" s="127"/>
      <c r="B48" s="181" t="s">
        <v>345</v>
      </c>
      <c r="C48" s="127"/>
      <c r="D48" s="127"/>
      <c r="E48" s="127">
        <v>0</v>
      </c>
      <c r="F48" s="127">
        <v>0</v>
      </c>
      <c r="G48" s="127">
        <v>0</v>
      </c>
      <c r="H48" s="127">
        <v>0</v>
      </c>
      <c r="I48" s="127">
        <v>0</v>
      </c>
      <c r="J48" s="127">
        <v>0</v>
      </c>
      <c r="K48" s="127">
        <v>0</v>
      </c>
      <c r="L48" s="127">
        <v>0</v>
      </c>
      <c r="M48" s="127">
        <v>0</v>
      </c>
      <c r="N48" s="127">
        <v>0</v>
      </c>
      <c r="O48" s="127">
        <v>0</v>
      </c>
      <c r="P48" s="127">
        <v>0</v>
      </c>
      <c r="Q48" s="127">
        <v>0</v>
      </c>
      <c r="R48" s="127">
        <v>0</v>
      </c>
      <c r="S48" s="127">
        <v>0</v>
      </c>
      <c r="T48" s="127">
        <v>0</v>
      </c>
      <c r="U48" s="127">
        <v>0</v>
      </c>
      <c r="V48" s="127">
        <v>0</v>
      </c>
      <c r="W48" s="127">
        <v>0</v>
      </c>
      <c r="X48" s="127"/>
      <c r="Y48" s="127">
        <v>0</v>
      </c>
      <c r="Z48" s="127">
        <v>0</v>
      </c>
      <c r="AA48" s="127">
        <v>0</v>
      </c>
      <c r="AB48" s="127">
        <v>0</v>
      </c>
      <c r="AC48" s="127">
        <v>0</v>
      </c>
      <c r="AD48" s="127">
        <v>0</v>
      </c>
      <c r="AE48" s="127">
        <v>0</v>
      </c>
      <c r="AF48" s="127">
        <v>0</v>
      </c>
      <c r="AG48" s="127">
        <v>0</v>
      </c>
      <c r="AH48" s="127">
        <v>0</v>
      </c>
      <c r="AI48" s="127">
        <v>0</v>
      </c>
      <c r="AJ48" s="127">
        <v>0</v>
      </c>
      <c r="AK48" s="127">
        <v>0</v>
      </c>
      <c r="AL48" s="127">
        <v>0</v>
      </c>
      <c r="AM48" s="127">
        <v>0</v>
      </c>
      <c r="AN48" s="127">
        <v>0</v>
      </c>
      <c r="AO48" s="127">
        <v>0</v>
      </c>
      <c r="AP48" s="127">
        <v>0</v>
      </c>
      <c r="AQ48" s="127">
        <v>0</v>
      </c>
      <c r="AR48" s="127">
        <v>0</v>
      </c>
      <c r="AS48" s="127">
        <v>0</v>
      </c>
      <c r="AT48" s="127"/>
      <c r="AU48" s="127">
        <v>0</v>
      </c>
      <c r="AV48" s="127">
        <v>0</v>
      </c>
      <c r="AW48" s="127">
        <v>0</v>
      </c>
      <c r="AX48" s="127"/>
      <c r="AY48" s="127"/>
    </row>
    <row r="49" spans="1:52" x14ac:dyDescent="0.2">
      <c r="A49" s="127"/>
      <c r="B49" s="181" t="s">
        <v>346</v>
      </c>
      <c r="C49" s="127"/>
      <c r="D49" s="127"/>
      <c r="E49" s="127">
        <v>12</v>
      </c>
      <c r="F49" s="127">
        <v>4</v>
      </c>
      <c r="G49" s="127">
        <v>12</v>
      </c>
      <c r="H49" s="127">
        <v>4</v>
      </c>
      <c r="I49" s="127">
        <v>12</v>
      </c>
      <c r="J49" s="127">
        <v>4</v>
      </c>
      <c r="K49" s="127">
        <v>12</v>
      </c>
      <c r="L49" s="127">
        <v>4</v>
      </c>
      <c r="M49" s="127">
        <v>12</v>
      </c>
      <c r="N49" s="127">
        <v>4</v>
      </c>
      <c r="O49" s="127">
        <v>12</v>
      </c>
      <c r="P49" s="127">
        <v>4</v>
      </c>
      <c r="Q49" s="127">
        <v>12</v>
      </c>
      <c r="R49" s="127">
        <v>4</v>
      </c>
      <c r="S49" s="127">
        <v>12</v>
      </c>
      <c r="T49" s="127">
        <v>4</v>
      </c>
      <c r="U49" s="127">
        <v>12</v>
      </c>
      <c r="V49" s="127">
        <v>4</v>
      </c>
      <c r="W49" s="127">
        <v>12</v>
      </c>
      <c r="X49" s="127"/>
      <c r="Y49" s="127">
        <v>12</v>
      </c>
      <c r="Z49" s="127">
        <v>4</v>
      </c>
      <c r="AA49" s="127">
        <v>12</v>
      </c>
      <c r="AB49" s="127">
        <v>4</v>
      </c>
      <c r="AC49" s="127">
        <v>12</v>
      </c>
      <c r="AD49" s="127">
        <v>4</v>
      </c>
      <c r="AE49" s="127">
        <v>12</v>
      </c>
      <c r="AF49" s="127">
        <v>4</v>
      </c>
      <c r="AG49" s="127">
        <v>12</v>
      </c>
      <c r="AH49" s="127">
        <v>4</v>
      </c>
      <c r="AI49" s="127">
        <v>12</v>
      </c>
      <c r="AJ49" s="127">
        <v>4</v>
      </c>
      <c r="AK49" s="127">
        <v>12</v>
      </c>
      <c r="AL49" s="127">
        <v>4</v>
      </c>
      <c r="AM49" s="127">
        <v>12</v>
      </c>
      <c r="AN49" s="127">
        <v>4</v>
      </c>
      <c r="AO49" s="127">
        <v>12</v>
      </c>
      <c r="AP49" s="127">
        <v>4</v>
      </c>
      <c r="AQ49" s="127">
        <v>12</v>
      </c>
      <c r="AR49" s="127">
        <v>4</v>
      </c>
      <c r="AS49" s="127">
        <v>12</v>
      </c>
      <c r="AT49" s="127"/>
      <c r="AU49" s="127">
        <v>12</v>
      </c>
      <c r="AV49" s="127">
        <v>4</v>
      </c>
      <c r="AW49" s="127">
        <v>12</v>
      </c>
      <c r="AX49" s="127"/>
      <c r="AY49" s="127"/>
    </row>
    <row r="50" spans="1:52" x14ac:dyDescent="0.2">
      <c r="A50" s="127"/>
      <c r="B50" s="181" t="s">
        <v>347</v>
      </c>
      <c r="C50" s="127"/>
      <c r="D50" s="127">
        <f>D44-D47</f>
        <v>0</v>
      </c>
      <c r="E50" s="127">
        <f t="shared" ref="E50:AY50" si="15">E44-E47</f>
        <v>0</v>
      </c>
      <c r="F50" s="127">
        <f t="shared" si="15"/>
        <v>230</v>
      </c>
      <c r="G50" s="127">
        <f t="shared" si="15"/>
        <v>0</v>
      </c>
      <c r="H50" s="127">
        <f t="shared" si="15"/>
        <v>230</v>
      </c>
      <c r="I50" s="127">
        <f t="shared" si="15"/>
        <v>0</v>
      </c>
      <c r="J50" s="127">
        <f t="shared" si="15"/>
        <v>230</v>
      </c>
      <c r="K50" s="127">
        <f t="shared" si="15"/>
        <v>0</v>
      </c>
      <c r="L50" s="127">
        <f t="shared" si="15"/>
        <v>230</v>
      </c>
      <c r="M50" s="127">
        <f t="shared" si="15"/>
        <v>0</v>
      </c>
      <c r="N50" s="127">
        <f t="shared" si="15"/>
        <v>230</v>
      </c>
      <c r="O50" s="127">
        <f t="shared" si="15"/>
        <v>0</v>
      </c>
      <c r="P50" s="127">
        <f t="shared" si="15"/>
        <v>230</v>
      </c>
      <c r="Q50" s="127">
        <f t="shared" si="15"/>
        <v>0</v>
      </c>
      <c r="R50" s="127">
        <f t="shared" si="15"/>
        <v>230</v>
      </c>
      <c r="S50" s="127">
        <f t="shared" si="15"/>
        <v>0</v>
      </c>
      <c r="T50" s="127">
        <f t="shared" si="15"/>
        <v>230</v>
      </c>
      <c r="U50" s="127">
        <f t="shared" si="15"/>
        <v>0</v>
      </c>
      <c r="V50" s="127">
        <f t="shared" si="15"/>
        <v>230</v>
      </c>
      <c r="W50" s="127">
        <f t="shared" si="15"/>
        <v>0</v>
      </c>
      <c r="X50" s="127">
        <f t="shared" si="15"/>
        <v>0</v>
      </c>
      <c r="Y50" s="127">
        <f t="shared" si="15"/>
        <v>0</v>
      </c>
      <c r="Z50" s="127">
        <f t="shared" si="15"/>
        <v>230</v>
      </c>
      <c r="AA50" s="127">
        <f t="shared" si="15"/>
        <v>0</v>
      </c>
      <c r="AB50" s="127">
        <f t="shared" si="15"/>
        <v>230</v>
      </c>
      <c r="AC50" s="127">
        <f t="shared" si="15"/>
        <v>0</v>
      </c>
      <c r="AD50" s="127">
        <f t="shared" si="15"/>
        <v>230</v>
      </c>
      <c r="AE50" s="127">
        <f t="shared" si="15"/>
        <v>0</v>
      </c>
      <c r="AF50" s="127">
        <f t="shared" si="15"/>
        <v>230</v>
      </c>
      <c r="AG50" s="127">
        <f t="shared" si="15"/>
        <v>0</v>
      </c>
      <c r="AH50" s="127">
        <f t="shared" si="15"/>
        <v>230</v>
      </c>
      <c r="AI50" s="127">
        <f t="shared" si="15"/>
        <v>0</v>
      </c>
      <c r="AJ50" s="127">
        <f t="shared" si="15"/>
        <v>230</v>
      </c>
      <c r="AK50" s="127">
        <f t="shared" si="15"/>
        <v>0</v>
      </c>
      <c r="AL50" s="127">
        <f t="shared" si="15"/>
        <v>230</v>
      </c>
      <c r="AM50" s="127">
        <f t="shared" si="15"/>
        <v>0</v>
      </c>
      <c r="AN50" s="127">
        <f t="shared" si="15"/>
        <v>230</v>
      </c>
      <c r="AO50" s="127">
        <f t="shared" si="15"/>
        <v>0</v>
      </c>
      <c r="AP50" s="127">
        <f t="shared" si="15"/>
        <v>230</v>
      </c>
      <c r="AQ50" s="127">
        <f t="shared" si="15"/>
        <v>0</v>
      </c>
      <c r="AR50" s="127">
        <f t="shared" si="15"/>
        <v>230</v>
      </c>
      <c r="AS50" s="127">
        <f t="shared" si="15"/>
        <v>0</v>
      </c>
      <c r="AT50" s="127">
        <f t="shared" si="15"/>
        <v>0</v>
      </c>
      <c r="AU50" s="127">
        <f t="shared" si="15"/>
        <v>0</v>
      </c>
      <c r="AV50" s="127">
        <f t="shared" si="15"/>
        <v>230</v>
      </c>
      <c r="AW50" s="127">
        <f t="shared" si="15"/>
        <v>0</v>
      </c>
      <c r="AX50" s="127">
        <f t="shared" si="15"/>
        <v>0</v>
      </c>
      <c r="AY50" s="127">
        <f t="shared" si="15"/>
        <v>0</v>
      </c>
    </row>
    <row r="51" spans="1:52" x14ac:dyDescent="0.2">
      <c r="A51" s="127"/>
      <c r="B51" s="181" t="s">
        <v>348</v>
      </c>
      <c r="C51" s="127"/>
      <c r="D51" s="127">
        <f>D45-D48</f>
        <v>0</v>
      </c>
      <c r="E51" s="127">
        <f t="shared" ref="E51:AY51" si="16">E45-E48</f>
        <v>0</v>
      </c>
      <c r="F51" s="127">
        <f t="shared" si="16"/>
        <v>0</v>
      </c>
      <c r="G51" s="127">
        <f t="shared" si="16"/>
        <v>0</v>
      </c>
      <c r="H51" s="127">
        <f t="shared" si="16"/>
        <v>0</v>
      </c>
      <c r="I51" s="127">
        <f t="shared" si="16"/>
        <v>0</v>
      </c>
      <c r="J51" s="127">
        <f t="shared" si="16"/>
        <v>0</v>
      </c>
      <c r="K51" s="127">
        <f t="shared" si="16"/>
        <v>0</v>
      </c>
      <c r="L51" s="127">
        <f t="shared" si="16"/>
        <v>0</v>
      </c>
      <c r="M51" s="127">
        <f t="shared" si="16"/>
        <v>0</v>
      </c>
      <c r="N51" s="127">
        <f t="shared" si="16"/>
        <v>0</v>
      </c>
      <c r="O51" s="127">
        <f t="shared" si="16"/>
        <v>0</v>
      </c>
      <c r="P51" s="127">
        <f t="shared" si="16"/>
        <v>0</v>
      </c>
      <c r="Q51" s="127">
        <f t="shared" si="16"/>
        <v>0</v>
      </c>
      <c r="R51" s="127">
        <f t="shared" si="16"/>
        <v>0</v>
      </c>
      <c r="S51" s="127">
        <f t="shared" si="16"/>
        <v>0</v>
      </c>
      <c r="T51" s="127">
        <f t="shared" si="16"/>
        <v>0</v>
      </c>
      <c r="U51" s="127">
        <f t="shared" si="16"/>
        <v>0</v>
      </c>
      <c r="V51" s="127">
        <f t="shared" si="16"/>
        <v>0</v>
      </c>
      <c r="W51" s="127">
        <f t="shared" si="16"/>
        <v>0</v>
      </c>
      <c r="X51" s="127">
        <f t="shared" si="16"/>
        <v>0</v>
      </c>
      <c r="Y51" s="127">
        <f t="shared" si="16"/>
        <v>0</v>
      </c>
      <c r="Z51" s="127">
        <f t="shared" si="16"/>
        <v>0</v>
      </c>
      <c r="AA51" s="127">
        <f t="shared" si="16"/>
        <v>0</v>
      </c>
      <c r="AB51" s="127">
        <f t="shared" si="16"/>
        <v>0</v>
      </c>
      <c r="AC51" s="127">
        <f t="shared" si="16"/>
        <v>0</v>
      </c>
      <c r="AD51" s="127">
        <f t="shared" si="16"/>
        <v>0</v>
      </c>
      <c r="AE51" s="127">
        <f t="shared" si="16"/>
        <v>0</v>
      </c>
      <c r="AF51" s="127">
        <f t="shared" si="16"/>
        <v>0</v>
      </c>
      <c r="AG51" s="127">
        <f t="shared" si="16"/>
        <v>0</v>
      </c>
      <c r="AH51" s="127">
        <f t="shared" si="16"/>
        <v>0</v>
      </c>
      <c r="AI51" s="127">
        <f t="shared" si="16"/>
        <v>0</v>
      </c>
      <c r="AJ51" s="127">
        <f t="shared" si="16"/>
        <v>0</v>
      </c>
      <c r="AK51" s="127">
        <f t="shared" si="16"/>
        <v>0</v>
      </c>
      <c r="AL51" s="127">
        <f t="shared" si="16"/>
        <v>0</v>
      </c>
      <c r="AM51" s="127">
        <f t="shared" si="16"/>
        <v>0</v>
      </c>
      <c r="AN51" s="127">
        <f t="shared" si="16"/>
        <v>0</v>
      </c>
      <c r="AO51" s="127">
        <f t="shared" si="16"/>
        <v>0</v>
      </c>
      <c r="AP51" s="127">
        <f t="shared" si="16"/>
        <v>0</v>
      </c>
      <c r="AQ51" s="127">
        <f t="shared" si="16"/>
        <v>0</v>
      </c>
      <c r="AR51" s="127">
        <f t="shared" si="16"/>
        <v>0</v>
      </c>
      <c r="AS51" s="127">
        <f t="shared" si="16"/>
        <v>0</v>
      </c>
      <c r="AT51" s="127">
        <f t="shared" si="16"/>
        <v>0</v>
      </c>
      <c r="AU51" s="127">
        <f t="shared" si="16"/>
        <v>0</v>
      </c>
      <c r="AV51" s="127">
        <f t="shared" si="16"/>
        <v>0</v>
      </c>
      <c r="AW51" s="127">
        <f t="shared" si="16"/>
        <v>0</v>
      </c>
      <c r="AX51" s="127">
        <f t="shared" si="16"/>
        <v>0</v>
      </c>
      <c r="AY51" s="127">
        <f t="shared" si="16"/>
        <v>0</v>
      </c>
    </row>
    <row r="52" spans="1:52" x14ac:dyDescent="0.2">
      <c r="A52" s="127"/>
      <c r="B52" s="181" t="s">
        <v>349</v>
      </c>
      <c r="C52" s="127"/>
      <c r="D52" s="127">
        <v>3</v>
      </c>
      <c r="E52" s="127">
        <v>2</v>
      </c>
      <c r="F52" s="127">
        <v>2</v>
      </c>
      <c r="G52" s="127">
        <v>2</v>
      </c>
      <c r="H52" s="127">
        <v>2</v>
      </c>
      <c r="I52" s="127">
        <v>2</v>
      </c>
      <c r="J52" s="127">
        <v>2</v>
      </c>
      <c r="K52" s="127">
        <v>2</v>
      </c>
      <c r="L52" s="127">
        <v>2</v>
      </c>
      <c r="M52" s="127">
        <v>2</v>
      </c>
      <c r="N52" s="127">
        <v>2</v>
      </c>
      <c r="O52" s="127">
        <v>3</v>
      </c>
      <c r="P52" s="127">
        <v>4</v>
      </c>
      <c r="Q52" s="127">
        <v>2</v>
      </c>
      <c r="R52" s="127">
        <v>2</v>
      </c>
      <c r="S52" s="127">
        <v>4</v>
      </c>
      <c r="T52" s="127">
        <v>4</v>
      </c>
      <c r="U52" s="127">
        <v>2</v>
      </c>
      <c r="V52" s="127">
        <v>2</v>
      </c>
      <c r="W52" s="127">
        <v>2</v>
      </c>
      <c r="X52" s="127">
        <v>3</v>
      </c>
      <c r="Y52" s="127">
        <v>3</v>
      </c>
      <c r="Z52" s="127">
        <v>2</v>
      </c>
      <c r="AA52" s="127">
        <v>2</v>
      </c>
      <c r="AB52" s="127">
        <v>4</v>
      </c>
      <c r="AC52" s="127">
        <v>2</v>
      </c>
      <c r="AD52" s="127">
        <v>2</v>
      </c>
      <c r="AE52" s="127">
        <v>2</v>
      </c>
      <c r="AF52" s="127">
        <v>3</v>
      </c>
      <c r="AG52" s="127">
        <v>4</v>
      </c>
      <c r="AH52" s="127">
        <v>3</v>
      </c>
      <c r="AI52" s="127">
        <v>2</v>
      </c>
      <c r="AJ52" s="127">
        <v>2</v>
      </c>
      <c r="AK52" s="127">
        <v>2</v>
      </c>
      <c r="AL52" s="127">
        <v>4</v>
      </c>
      <c r="AM52" s="127">
        <v>3</v>
      </c>
      <c r="AN52" s="127">
        <v>2</v>
      </c>
      <c r="AO52" s="127">
        <v>2</v>
      </c>
      <c r="AP52" s="127">
        <v>2</v>
      </c>
      <c r="AQ52" s="127">
        <v>2</v>
      </c>
      <c r="AR52" s="127">
        <v>2</v>
      </c>
      <c r="AS52" s="127">
        <v>2</v>
      </c>
      <c r="AT52" s="127">
        <v>3</v>
      </c>
      <c r="AU52" s="127">
        <v>2</v>
      </c>
      <c r="AV52" s="127">
        <v>3</v>
      </c>
      <c r="AW52" s="127">
        <v>2</v>
      </c>
      <c r="AX52" s="127">
        <v>2</v>
      </c>
      <c r="AY52" s="127">
        <v>3</v>
      </c>
    </row>
    <row r="53" spans="1:52" x14ac:dyDescent="0.2">
      <c r="A53" s="127"/>
      <c r="B53" s="192" t="s">
        <v>350</v>
      </c>
      <c r="C53" s="127"/>
      <c r="D53" s="127">
        <v>0</v>
      </c>
      <c r="E53" s="127">
        <v>1010448</v>
      </c>
      <c r="F53" s="127">
        <v>336816</v>
      </c>
      <c r="G53" s="127">
        <v>1010448</v>
      </c>
      <c r="H53" s="127">
        <v>336816</v>
      </c>
      <c r="I53" s="127">
        <v>1010448</v>
      </c>
      <c r="J53" s="127">
        <v>336816</v>
      </c>
      <c r="K53" s="127">
        <v>1010448</v>
      </c>
      <c r="L53" s="127">
        <v>336816</v>
      </c>
      <c r="M53" s="127">
        <v>1010448</v>
      </c>
      <c r="N53" s="127">
        <v>336816</v>
      </c>
      <c r="O53" s="127">
        <v>1010448</v>
      </c>
      <c r="P53" s="127">
        <v>336816</v>
      </c>
      <c r="Q53" s="127">
        <v>1010448</v>
      </c>
      <c r="R53" s="127">
        <v>336816</v>
      </c>
      <c r="S53" s="127">
        <v>1010448</v>
      </c>
      <c r="T53" s="127">
        <v>336816</v>
      </c>
      <c r="U53" s="127">
        <v>1010448</v>
      </c>
      <c r="V53" s="127">
        <v>336816</v>
      </c>
      <c r="W53" s="127">
        <v>1010448</v>
      </c>
      <c r="X53" s="127">
        <v>0</v>
      </c>
      <c r="Y53" s="127">
        <v>1010448</v>
      </c>
      <c r="Z53" s="127">
        <v>336816</v>
      </c>
      <c r="AA53" s="127">
        <v>1010448</v>
      </c>
      <c r="AB53" s="127">
        <v>336816</v>
      </c>
      <c r="AC53" s="127">
        <v>1010448</v>
      </c>
      <c r="AD53" s="127">
        <v>336816</v>
      </c>
      <c r="AE53" s="127">
        <v>1010448</v>
      </c>
      <c r="AF53" s="127">
        <v>336816</v>
      </c>
      <c r="AG53" s="127">
        <v>1010448</v>
      </c>
      <c r="AH53" s="127">
        <v>336816</v>
      </c>
      <c r="AI53" s="127">
        <v>1010448</v>
      </c>
      <c r="AJ53" s="127">
        <v>336816</v>
      </c>
      <c r="AK53" s="127">
        <v>1010448</v>
      </c>
      <c r="AL53" s="127">
        <v>336816</v>
      </c>
      <c r="AM53" s="127">
        <v>1010448</v>
      </c>
      <c r="AN53" s="127">
        <v>336816</v>
      </c>
      <c r="AO53" s="127">
        <v>1010448</v>
      </c>
      <c r="AP53" s="127">
        <v>336816</v>
      </c>
      <c r="AQ53" s="127">
        <v>1010448</v>
      </c>
      <c r="AR53" s="127">
        <v>336816</v>
      </c>
      <c r="AS53" s="127">
        <v>1010448</v>
      </c>
      <c r="AT53" s="127">
        <v>0</v>
      </c>
      <c r="AU53" s="127">
        <v>1010448</v>
      </c>
      <c r="AV53" s="127">
        <v>336816</v>
      </c>
      <c r="AW53" s="127">
        <v>1010448</v>
      </c>
      <c r="AX53" s="127">
        <v>0</v>
      </c>
      <c r="AY53" s="127">
        <v>0</v>
      </c>
      <c r="AZ53">
        <f>SUM($D$53:$AY$53)</f>
        <v>29976624</v>
      </c>
    </row>
    <row r="54" spans="1:52" x14ac:dyDescent="0.2">
      <c r="A54" s="141"/>
      <c r="B54" s="156" t="s">
        <v>351</v>
      </c>
      <c r="C54" s="141"/>
      <c r="D54" s="141">
        <v>0</v>
      </c>
      <c r="E54" s="141">
        <v>0</v>
      </c>
      <c r="F54" s="141">
        <v>349680.5</v>
      </c>
      <c r="G54" s="141">
        <v>0</v>
      </c>
      <c r="H54" s="141">
        <v>349680.5</v>
      </c>
      <c r="I54" s="141">
        <v>0</v>
      </c>
      <c r="J54" s="141">
        <v>349680.5</v>
      </c>
      <c r="K54" s="141">
        <v>0</v>
      </c>
      <c r="L54" s="141">
        <v>349680.5</v>
      </c>
      <c r="M54" s="141">
        <v>0</v>
      </c>
      <c r="N54" s="141">
        <v>349680.5</v>
      </c>
      <c r="O54" s="141">
        <v>0</v>
      </c>
      <c r="P54" s="141">
        <v>349680.5</v>
      </c>
      <c r="Q54" s="141">
        <v>0</v>
      </c>
      <c r="R54" s="141">
        <v>349680.5</v>
      </c>
      <c r="S54" s="141">
        <v>0</v>
      </c>
      <c r="T54" s="141">
        <v>349680.5</v>
      </c>
      <c r="U54" s="141">
        <v>0</v>
      </c>
      <c r="V54" s="141">
        <v>349680.5</v>
      </c>
      <c r="W54" s="141">
        <v>0</v>
      </c>
      <c r="X54" s="141">
        <v>0</v>
      </c>
      <c r="Y54" s="141">
        <v>0</v>
      </c>
      <c r="Z54" s="141">
        <v>349680.5</v>
      </c>
      <c r="AA54" s="141">
        <v>0</v>
      </c>
      <c r="AB54" s="141">
        <v>349680.5</v>
      </c>
      <c r="AC54" s="141">
        <v>0</v>
      </c>
      <c r="AD54" s="141">
        <v>349680.5</v>
      </c>
      <c r="AE54" s="141">
        <v>0</v>
      </c>
      <c r="AF54" s="141">
        <v>349680.5</v>
      </c>
      <c r="AG54" s="141">
        <v>0</v>
      </c>
      <c r="AH54" s="141">
        <v>349680.5</v>
      </c>
      <c r="AI54" s="141">
        <v>0</v>
      </c>
      <c r="AJ54" s="141">
        <v>349680.5</v>
      </c>
      <c r="AK54" s="141">
        <v>0</v>
      </c>
      <c r="AL54" s="141">
        <v>349680.5</v>
      </c>
      <c r="AM54" s="141">
        <v>0</v>
      </c>
      <c r="AN54" s="141">
        <v>349680.5</v>
      </c>
      <c r="AO54" s="141">
        <v>0</v>
      </c>
      <c r="AP54" s="141">
        <v>349680.5</v>
      </c>
      <c r="AQ54" s="141">
        <v>0</v>
      </c>
      <c r="AR54" s="141">
        <v>349680.5</v>
      </c>
      <c r="AS54" s="141">
        <v>0</v>
      </c>
      <c r="AT54" s="141">
        <v>0</v>
      </c>
      <c r="AU54" s="141">
        <v>0</v>
      </c>
      <c r="AV54" s="141">
        <v>349680.5</v>
      </c>
      <c r="AW54" s="141">
        <v>0</v>
      </c>
      <c r="AX54" s="141">
        <v>0</v>
      </c>
      <c r="AY54" s="141">
        <v>0</v>
      </c>
      <c r="AZ54">
        <f>SUM($D$54:$AY$54)</f>
        <v>6993610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customWidth="1"/>
    <col min="2" max="2" width="17.7109375" customWidth="1"/>
    <col min="52" max="52" width="10.7109375" customWidth="1"/>
  </cols>
  <sheetData>
    <row r="1" spans="1:52" x14ac:dyDescent="0.2">
      <c r="A1" s="1" t="s">
        <v>118</v>
      </c>
    </row>
    <row r="2" spans="1:52" x14ac:dyDescent="0.2">
      <c r="A2" t="s">
        <v>303</v>
      </c>
      <c r="B2" s="124" t="s">
        <v>12</v>
      </c>
      <c r="E2" s="127"/>
    </row>
    <row r="3" spans="1:52" x14ac:dyDescent="0.2">
      <c r="A3" t="s">
        <v>286</v>
      </c>
      <c r="B3" s="124">
        <v>3589</v>
      </c>
      <c r="E3" s="127"/>
    </row>
    <row r="4" spans="1:52" x14ac:dyDescent="0.2">
      <c r="A4" s="1"/>
      <c r="C4" s="9" t="s">
        <v>287</v>
      </c>
    </row>
    <row r="5" spans="1:52" x14ac:dyDescent="0.2">
      <c r="B5" s="123"/>
      <c r="C5" s="128">
        <v>0</v>
      </c>
      <c r="D5" s="128">
        <v>1</v>
      </c>
      <c r="E5" s="128">
        <v>2</v>
      </c>
      <c r="F5" s="128">
        <v>3</v>
      </c>
      <c r="G5" s="128">
        <v>4</v>
      </c>
      <c r="H5" s="128">
        <v>5</v>
      </c>
      <c r="I5" s="128">
        <v>6</v>
      </c>
      <c r="J5" s="128">
        <v>7</v>
      </c>
      <c r="K5" s="128">
        <v>8</v>
      </c>
      <c r="L5" s="128">
        <v>9</v>
      </c>
      <c r="M5" s="128">
        <v>10</v>
      </c>
      <c r="N5" s="128">
        <v>11</v>
      </c>
      <c r="O5" s="128">
        <v>12</v>
      </c>
      <c r="P5" s="128">
        <v>13</v>
      </c>
      <c r="Q5" s="128">
        <v>14</v>
      </c>
      <c r="R5" s="128">
        <v>15</v>
      </c>
      <c r="S5" s="128">
        <v>16</v>
      </c>
      <c r="T5" s="128">
        <v>17</v>
      </c>
      <c r="U5" s="128">
        <v>18</v>
      </c>
      <c r="V5" s="128">
        <v>19</v>
      </c>
      <c r="W5" s="128">
        <v>20</v>
      </c>
      <c r="X5" s="128">
        <v>21</v>
      </c>
      <c r="Y5" s="128">
        <v>22</v>
      </c>
      <c r="Z5" s="128">
        <v>23</v>
      </c>
      <c r="AA5" s="128">
        <v>24</v>
      </c>
      <c r="AB5" s="128">
        <v>25</v>
      </c>
      <c r="AC5" s="128">
        <v>26</v>
      </c>
      <c r="AD5" s="128">
        <v>27</v>
      </c>
      <c r="AE5" s="128">
        <v>28</v>
      </c>
      <c r="AF5" s="128">
        <v>29</v>
      </c>
      <c r="AG5" s="128">
        <v>30</v>
      </c>
      <c r="AH5" s="128">
        <v>31</v>
      </c>
      <c r="AI5" s="128">
        <v>32</v>
      </c>
      <c r="AJ5" s="128">
        <v>33</v>
      </c>
      <c r="AK5" s="128">
        <v>34</v>
      </c>
      <c r="AL5" s="128">
        <v>35</v>
      </c>
      <c r="AM5" s="128">
        <v>36</v>
      </c>
      <c r="AN5" s="128">
        <v>37</v>
      </c>
      <c r="AO5" s="128">
        <v>38</v>
      </c>
      <c r="AP5" s="128">
        <v>39</v>
      </c>
      <c r="AQ5" s="128">
        <v>40</v>
      </c>
      <c r="AR5" s="128">
        <v>41</v>
      </c>
      <c r="AS5" s="128">
        <v>42</v>
      </c>
      <c r="AT5" s="128">
        <v>43</v>
      </c>
      <c r="AU5" s="128">
        <v>44</v>
      </c>
      <c r="AV5" s="128">
        <v>45</v>
      </c>
      <c r="AW5" s="128">
        <v>46</v>
      </c>
      <c r="AX5" s="128">
        <v>47</v>
      </c>
      <c r="AY5" s="128">
        <v>48</v>
      </c>
    </row>
    <row r="6" spans="1:52" x14ac:dyDescent="0.2">
      <c r="A6" s="1" t="s">
        <v>304</v>
      </c>
      <c r="B6" s="130"/>
      <c r="C6" s="129" t="s">
        <v>288</v>
      </c>
      <c r="D6" s="128" t="s">
        <v>289</v>
      </c>
      <c r="E6" s="128" t="s">
        <v>289</v>
      </c>
      <c r="F6" s="128" t="s">
        <v>289</v>
      </c>
      <c r="G6" s="128" t="s">
        <v>289</v>
      </c>
      <c r="H6" s="128" t="s">
        <v>289</v>
      </c>
      <c r="I6" s="128" t="s">
        <v>289</v>
      </c>
      <c r="J6" s="128" t="s">
        <v>289</v>
      </c>
      <c r="K6" s="128" t="s">
        <v>289</v>
      </c>
      <c r="L6" s="128" t="s">
        <v>289</v>
      </c>
      <c r="M6" s="128" t="s">
        <v>289</v>
      </c>
      <c r="N6" s="128" t="s">
        <v>289</v>
      </c>
      <c r="O6" s="128" t="s">
        <v>289</v>
      </c>
      <c r="P6" s="128" t="s">
        <v>289</v>
      </c>
      <c r="Q6" s="128" t="s">
        <v>289</v>
      </c>
      <c r="R6" s="128" t="s">
        <v>289</v>
      </c>
      <c r="S6" s="128" t="s">
        <v>289</v>
      </c>
      <c r="T6" s="128" t="s">
        <v>289</v>
      </c>
      <c r="U6" s="128" t="s">
        <v>289</v>
      </c>
      <c r="V6" s="128" t="s">
        <v>289</v>
      </c>
      <c r="W6" s="128" t="s">
        <v>289</v>
      </c>
      <c r="X6" s="128" t="s">
        <v>289</v>
      </c>
      <c r="Y6" s="128" t="s">
        <v>289</v>
      </c>
      <c r="Z6" s="128" t="s">
        <v>289</v>
      </c>
      <c r="AA6" s="128" t="s">
        <v>289</v>
      </c>
      <c r="AB6" s="128" t="s">
        <v>289</v>
      </c>
      <c r="AC6" s="128" t="s">
        <v>289</v>
      </c>
      <c r="AD6" s="128" t="s">
        <v>289</v>
      </c>
      <c r="AE6" s="128" t="s">
        <v>289</v>
      </c>
      <c r="AF6" s="128" t="s">
        <v>289</v>
      </c>
      <c r="AG6" s="128" t="s">
        <v>289</v>
      </c>
      <c r="AH6" s="128" t="s">
        <v>289</v>
      </c>
      <c r="AI6" s="128" t="s">
        <v>289</v>
      </c>
      <c r="AJ6" s="128" t="s">
        <v>289</v>
      </c>
      <c r="AK6" s="128" t="s">
        <v>289</v>
      </c>
      <c r="AL6" s="128" t="s">
        <v>289</v>
      </c>
      <c r="AM6" s="128" t="s">
        <v>289</v>
      </c>
      <c r="AN6" s="128" t="s">
        <v>289</v>
      </c>
      <c r="AO6" s="128" t="s">
        <v>289</v>
      </c>
      <c r="AP6" s="128" t="s">
        <v>289</v>
      </c>
      <c r="AQ6" s="128" t="s">
        <v>289</v>
      </c>
      <c r="AR6" s="128" t="s">
        <v>289</v>
      </c>
      <c r="AS6" s="128" t="s">
        <v>289</v>
      </c>
      <c r="AT6" s="128" t="s">
        <v>289</v>
      </c>
      <c r="AU6" s="128" t="s">
        <v>289</v>
      </c>
      <c r="AV6" s="128" t="s">
        <v>289</v>
      </c>
      <c r="AW6" s="128" t="s">
        <v>289</v>
      </c>
      <c r="AX6" s="128" t="s">
        <v>289</v>
      </c>
      <c r="AY6" s="9" t="s">
        <v>290</v>
      </c>
      <c r="AZ6" s="158" t="s">
        <v>150</v>
      </c>
    </row>
    <row r="7" spans="1:52" x14ac:dyDescent="0.2">
      <c r="A7" s="131" t="s">
        <v>125</v>
      </c>
      <c r="B7" s="159">
        <v>1</v>
      </c>
      <c r="C7" s="160" t="s">
        <v>293</v>
      </c>
      <c r="D7" s="160">
        <v>1133.4686446261112</v>
      </c>
      <c r="E7" s="160">
        <v>1133.4686446261112</v>
      </c>
      <c r="F7" s="160">
        <v>1133.4686446261112</v>
      </c>
      <c r="G7" s="160">
        <v>1133.4686446261112</v>
      </c>
      <c r="H7" s="160">
        <v>1133.4686446261117</v>
      </c>
      <c r="I7" s="160">
        <v>1133.4686446261117</v>
      </c>
      <c r="J7" s="160">
        <v>1133.4686446261117</v>
      </c>
      <c r="K7" s="160">
        <v>1133.4686446261117</v>
      </c>
      <c r="L7" s="160">
        <v>1133.4686446261117</v>
      </c>
      <c r="M7" s="160">
        <v>1133.4686446261117</v>
      </c>
      <c r="N7" s="160">
        <v>1133.4686446261117</v>
      </c>
      <c r="O7" s="160">
        <v>1133.4686446261117</v>
      </c>
      <c r="P7" s="160">
        <v>1133.4686446261117</v>
      </c>
      <c r="Q7" s="160">
        <v>1133.4686446261117</v>
      </c>
      <c r="R7" s="160">
        <v>1133.4686446261117</v>
      </c>
      <c r="S7" s="160">
        <v>1133.4686446261117</v>
      </c>
      <c r="T7" s="160">
        <v>1133.4686446261117</v>
      </c>
      <c r="U7" s="160">
        <v>1133.4686446261117</v>
      </c>
      <c r="V7" s="160">
        <v>1133.4686446261117</v>
      </c>
      <c r="W7" s="160">
        <v>1133.4686446261117</v>
      </c>
      <c r="X7" s="160">
        <v>1133.4686446261117</v>
      </c>
      <c r="Y7" s="160">
        <v>1133.4686446261117</v>
      </c>
      <c r="Z7" s="160">
        <v>1133.4686446261117</v>
      </c>
      <c r="AA7" s="160">
        <v>1133.4686446261117</v>
      </c>
      <c r="AB7" s="160">
        <v>1133.4686446261117</v>
      </c>
      <c r="AC7" s="160">
        <v>1133.4686446261117</v>
      </c>
      <c r="AD7" s="160">
        <v>1133.4686446261117</v>
      </c>
      <c r="AE7" s="160">
        <v>1133.4686446261117</v>
      </c>
      <c r="AF7" s="160">
        <v>1133.4686446261117</v>
      </c>
      <c r="AG7" s="160">
        <v>1133.4686446261117</v>
      </c>
      <c r="AH7" s="160">
        <v>1133.4686446261117</v>
      </c>
      <c r="AI7" s="160">
        <v>1133.4686446261117</v>
      </c>
      <c r="AJ7" s="160">
        <v>1133.4686446261117</v>
      </c>
      <c r="AK7" s="160">
        <v>1133.4686446261117</v>
      </c>
      <c r="AL7" s="160">
        <v>1133.4686446261117</v>
      </c>
      <c r="AM7" s="160">
        <v>1133.4686446261117</v>
      </c>
      <c r="AN7" s="160">
        <v>1133.4686446261117</v>
      </c>
      <c r="AO7" s="160">
        <v>1133.4686446261117</v>
      </c>
      <c r="AP7" s="160">
        <v>1133.4686446261117</v>
      </c>
      <c r="AQ7" s="160">
        <v>1133.4686446261117</v>
      </c>
      <c r="AR7" s="160">
        <v>1133.4686446261117</v>
      </c>
      <c r="AS7" s="160">
        <v>1133.4686446261117</v>
      </c>
      <c r="AT7" s="160">
        <v>1133.4686446261117</v>
      </c>
      <c r="AU7" s="160">
        <v>1133.4686446261117</v>
      </c>
      <c r="AV7" s="160">
        <v>1133.4686446261117</v>
      </c>
      <c r="AW7" s="160">
        <v>1133.4686446261117</v>
      </c>
      <c r="AX7" s="160">
        <v>1133.4686446261117</v>
      </c>
      <c r="AY7" s="160">
        <v>1133.4686446261117</v>
      </c>
      <c r="AZ7" s="123"/>
    </row>
    <row r="8" spans="1:52" x14ac:dyDescent="0.2">
      <c r="A8" s="161"/>
      <c r="B8" s="162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3"/>
    </row>
    <row r="9" spans="1:52" x14ac:dyDescent="0.2">
      <c r="A9" s="1" t="s">
        <v>294</v>
      </c>
      <c r="B9" s="164"/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</row>
    <row r="10" spans="1:52" x14ac:dyDescent="0.2">
      <c r="A10" s="165" t="s">
        <v>125</v>
      </c>
      <c r="B10" s="166">
        <v>1</v>
      </c>
      <c r="C10" s="160" t="s">
        <v>293</v>
      </c>
      <c r="D10" s="160">
        <f t="shared" ref="D10:AY10" si="0">MAX(SUM(D$14:D$16)+D$7-$B$3,0)</f>
        <v>0</v>
      </c>
      <c r="E10" s="160">
        <f t="shared" si="0"/>
        <v>0</v>
      </c>
      <c r="F10" s="160">
        <f t="shared" si="0"/>
        <v>0</v>
      </c>
      <c r="G10" s="160">
        <f t="shared" si="0"/>
        <v>0</v>
      </c>
      <c r="H10" s="160">
        <f t="shared" si="0"/>
        <v>0</v>
      </c>
      <c r="I10" s="160">
        <f t="shared" si="0"/>
        <v>0</v>
      </c>
      <c r="J10" s="160">
        <f t="shared" si="0"/>
        <v>0</v>
      </c>
      <c r="K10" s="160">
        <f t="shared" si="0"/>
        <v>0</v>
      </c>
      <c r="L10" s="160">
        <f t="shared" si="0"/>
        <v>0</v>
      </c>
      <c r="M10" s="160">
        <f t="shared" si="0"/>
        <v>0</v>
      </c>
      <c r="N10" s="160">
        <f t="shared" si="0"/>
        <v>0</v>
      </c>
      <c r="O10" s="160">
        <f t="shared" si="0"/>
        <v>0</v>
      </c>
      <c r="P10" s="160">
        <f t="shared" si="0"/>
        <v>0</v>
      </c>
      <c r="Q10" s="160">
        <f t="shared" si="0"/>
        <v>0</v>
      </c>
      <c r="R10" s="160">
        <f t="shared" si="0"/>
        <v>0</v>
      </c>
      <c r="S10" s="160">
        <f t="shared" si="0"/>
        <v>0</v>
      </c>
      <c r="T10" s="160">
        <f t="shared" si="0"/>
        <v>0</v>
      </c>
      <c r="U10" s="160">
        <f t="shared" si="0"/>
        <v>0</v>
      </c>
      <c r="V10" s="160">
        <f t="shared" si="0"/>
        <v>0</v>
      </c>
      <c r="W10" s="160">
        <f t="shared" si="0"/>
        <v>0</v>
      </c>
      <c r="X10" s="160">
        <f t="shared" si="0"/>
        <v>0</v>
      </c>
      <c r="Y10" s="160">
        <f t="shared" si="0"/>
        <v>0</v>
      </c>
      <c r="Z10" s="160">
        <f t="shared" si="0"/>
        <v>0</v>
      </c>
      <c r="AA10" s="160">
        <f t="shared" si="0"/>
        <v>0</v>
      </c>
      <c r="AB10" s="160">
        <f t="shared" si="0"/>
        <v>0</v>
      </c>
      <c r="AC10" s="160">
        <f t="shared" si="0"/>
        <v>0</v>
      </c>
      <c r="AD10" s="160">
        <f t="shared" si="0"/>
        <v>0</v>
      </c>
      <c r="AE10" s="160">
        <f t="shared" si="0"/>
        <v>0</v>
      </c>
      <c r="AF10" s="160">
        <f t="shared" si="0"/>
        <v>0</v>
      </c>
      <c r="AG10" s="160">
        <f t="shared" si="0"/>
        <v>0</v>
      </c>
      <c r="AH10" s="160">
        <f t="shared" si="0"/>
        <v>0</v>
      </c>
      <c r="AI10" s="160">
        <f t="shared" si="0"/>
        <v>0</v>
      </c>
      <c r="AJ10" s="160">
        <f t="shared" si="0"/>
        <v>0</v>
      </c>
      <c r="AK10" s="160">
        <f t="shared" si="0"/>
        <v>0</v>
      </c>
      <c r="AL10" s="160">
        <f t="shared" si="0"/>
        <v>0</v>
      </c>
      <c r="AM10" s="160">
        <f t="shared" si="0"/>
        <v>0</v>
      </c>
      <c r="AN10" s="160">
        <f t="shared" si="0"/>
        <v>0</v>
      </c>
      <c r="AO10" s="160">
        <f t="shared" si="0"/>
        <v>0</v>
      </c>
      <c r="AP10" s="160">
        <f t="shared" si="0"/>
        <v>0</v>
      </c>
      <c r="AQ10" s="160">
        <f t="shared" si="0"/>
        <v>0</v>
      </c>
      <c r="AR10" s="160">
        <f t="shared" si="0"/>
        <v>0</v>
      </c>
      <c r="AS10" s="160">
        <f t="shared" si="0"/>
        <v>0</v>
      </c>
      <c r="AT10" s="160">
        <f t="shared" si="0"/>
        <v>0</v>
      </c>
      <c r="AU10" s="160">
        <f t="shared" si="0"/>
        <v>0</v>
      </c>
      <c r="AV10" s="160">
        <f t="shared" si="0"/>
        <v>0</v>
      </c>
      <c r="AW10" s="160">
        <f t="shared" si="0"/>
        <v>0</v>
      </c>
      <c r="AX10" s="160">
        <f t="shared" si="0"/>
        <v>0</v>
      </c>
      <c r="AY10" s="160">
        <f t="shared" si="0"/>
        <v>0</v>
      </c>
      <c r="AZ10" s="167">
        <f>SUM($D10:$AY10)</f>
        <v>0</v>
      </c>
    </row>
    <row r="11" spans="1:52" x14ac:dyDescent="0.2">
      <c r="C11" s="127"/>
    </row>
    <row r="12" spans="1:52" x14ac:dyDescent="0.2">
      <c r="A12" s="168" t="s">
        <v>295</v>
      </c>
      <c r="B12" s="162"/>
      <c r="C12" s="127"/>
    </row>
    <row r="13" spans="1:52" x14ac:dyDescent="0.2">
      <c r="A13" s="138" t="s">
        <v>125</v>
      </c>
      <c r="B13" s="139">
        <v>1</v>
      </c>
      <c r="C13" s="140">
        <v>1418.9137783739568</v>
      </c>
      <c r="D13" s="154">
        <f t="shared" ref="D13:AY13" si="1">D$7-D$10</f>
        <v>1133.4686446261112</v>
      </c>
      <c r="E13" s="154">
        <f t="shared" si="1"/>
        <v>1133.4686446261112</v>
      </c>
      <c r="F13" s="154">
        <f t="shared" si="1"/>
        <v>1133.4686446261112</v>
      </c>
      <c r="G13" s="154">
        <f t="shared" si="1"/>
        <v>1133.4686446261112</v>
      </c>
      <c r="H13" s="154">
        <f t="shared" si="1"/>
        <v>1133.4686446261117</v>
      </c>
      <c r="I13" s="154">
        <f t="shared" si="1"/>
        <v>1133.4686446261117</v>
      </c>
      <c r="J13" s="154">
        <f t="shared" si="1"/>
        <v>1133.4686446261117</v>
      </c>
      <c r="K13" s="154">
        <f t="shared" si="1"/>
        <v>1133.4686446261117</v>
      </c>
      <c r="L13" s="154">
        <f t="shared" si="1"/>
        <v>1133.4686446261117</v>
      </c>
      <c r="M13" s="154">
        <f t="shared" si="1"/>
        <v>1133.4686446261117</v>
      </c>
      <c r="N13" s="154">
        <f t="shared" si="1"/>
        <v>1133.4686446261117</v>
      </c>
      <c r="O13" s="154">
        <f t="shared" si="1"/>
        <v>1133.4686446261117</v>
      </c>
      <c r="P13" s="154">
        <f t="shared" si="1"/>
        <v>1133.4686446261117</v>
      </c>
      <c r="Q13" s="154">
        <f t="shared" si="1"/>
        <v>1133.4686446261117</v>
      </c>
      <c r="R13" s="154">
        <f t="shared" si="1"/>
        <v>1133.4686446261117</v>
      </c>
      <c r="S13" s="154">
        <f t="shared" si="1"/>
        <v>1133.4686446261117</v>
      </c>
      <c r="T13" s="154">
        <f t="shared" si="1"/>
        <v>1133.4686446261117</v>
      </c>
      <c r="U13" s="154">
        <f t="shared" si="1"/>
        <v>1133.4686446261117</v>
      </c>
      <c r="V13" s="154">
        <f t="shared" si="1"/>
        <v>1133.4686446261117</v>
      </c>
      <c r="W13" s="154">
        <f t="shared" si="1"/>
        <v>1133.4686446261117</v>
      </c>
      <c r="X13" s="154">
        <f t="shared" si="1"/>
        <v>1133.4686446261117</v>
      </c>
      <c r="Y13" s="154">
        <f t="shared" si="1"/>
        <v>1133.4686446261117</v>
      </c>
      <c r="Z13" s="154">
        <f t="shared" si="1"/>
        <v>1133.4686446261117</v>
      </c>
      <c r="AA13" s="154">
        <f t="shared" si="1"/>
        <v>1133.4686446261117</v>
      </c>
      <c r="AB13" s="154">
        <f t="shared" si="1"/>
        <v>1133.4686446261117</v>
      </c>
      <c r="AC13" s="154">
        <f t="shared" si="1"/>
        <v>1133.4686446261117</v>
      </c>
      <c r="AD13" s="154">
        <f t="shared" si="1"/>
        <v>1133.4686446261117</v>
      </c>
      <c r="AE13" s="154">
        <f t="shared" si="1"/>
        <v>1133.4686446261117</v>
      </c>
      <c r="AF13" s="154">
        <f t="shared" si="1"/>
        <v>1133.4686446261117</v>
      </c>
      <c r="AG13" s="154">
        <f t="shared" si="1"/>
        <v>1133.4686446261117</v>
      </c>
      <c r="AH13" s="154">
        <f t="shared" si="1"/>
        <v>1133.4686446261117</v>
      </c>
      <c r="AI13" s="154">
        <f t="shared" si="1"/>
        <v>1133.4686446261117</v>
      </c>
      <c r="AJ13" s="154">
        <f t="shared" si="1"/>
        <v>1133.4686446261117</v>
      </c>
      <c r="AK13" s="154">
        <f t="shared" si="1"/>
        <v>1133.4686446261117</v>
      </c>
      <c r="AL13" s="154">
        <f t="shared" si="1"/>
        <v>1133.4686446261117</v>
      </c>
      <c r="AM13" s="154">
        <f t="shared" si="1"/>
        <v>1133.4686446261117</v>
      </c>
      <c r="AN13" s="154">
        <f t="shared" si="1"/>
        <v>1133.4686446261117</v>
      </c>
      <c r="AO13" s="154">
        <f t="shared" si="1"/>
        <v>1133.4686446261117</v>
      </c>
      <c r="AP13" s="154">
        <f t="shared" si="1"/>
        <v>1133.4686446261117</v>
      </c>
      <c r="AQ13" s="154">
        <f t="shared" si="1"/>
        <v>1133.4686446261117</v>
      </c>
      <c r="AR13" s="154">
        <f t="shared" si="1"/>
        <v>1133.4686446261117</v>
      </c>
      <c r="AS13" s="154">
        <f t="shared" si="1"/>
        <v>1133.4686446261117</v>
      </c>
      <c r="AT13" s="154">
        <f t="shared" si="1"/>
        <v>1133.4686446261117</v>
      </c>
      <c r="AU13" s="154">
        <f t="shared" si="1"/>
        <v>1133.4686446261117</v>
      </c>
      <c r="AV13" s="154">
        <f t="shared" si="1"/>
        <v>1133.4686446261117</v>
      </c>
      <c r="AW13" s="154">
        <f t="shared" si="1"/>
        <v>1133.4686446261117</v>
      </c>
      <c r="AX13" s="154">
        <f t="shared" si="1"/>
        <v>1133.4686446261117</v>
      </c>
      <c r="AY13" s="154">
        <f t="shared" si="1"/>
        <v>1133.4686446261117</v>
      </c>
      <c r="AZ13" s="126"/>
    </row>
    <row r="14" spans="1:52" x14ac:dyDescent="0.2">
      <c r="A14" s="127"/>
      <c r="B14" s="136">
        <v>2</v>
      </c>
      <c r="C14" s="127">
        <v>0</v>
      </c>
      <c r="D14" s="123">
        <f>IF(C$20="Yes",C13,0)</f>
        <v>0</v>
      </c>
      <c r="E14" s="123">
        <f t="shared" ref="E14:AY17" si="2">IF(D$20="Yes",D13,0)</f>
        <v>0</v>
      </c>
      <c r="F14" s="123">
        <f t="shared" si="2"/>
        <v>0</v>
      </c>
      <c r="G14" s="123">
        <f t="shared" si="2"/>
        <v>0</v>
      </c>
      <c r="H14" s="123">
        <f t="shared" si="2"/>
        <v>0</v>
      </c>
      <c r="I14" s="123">
        <f t="shared" si="2"/>
        <v>0</v>
      </c>
      <c r="J14" s="123">
        <f t="shared" si="2"/>
        <v>0</v>
      </c>
      <c r="K14" s="123">
        <f t="shared" si="2"/>
        <v>0</v>
      </c>
      <c r="L14" s="123">
        <f t="shared" si="2"/>
        <v>0</v>
      </c>
      <c r="M14" s="123">
        <f t="shared" si="2"/>
        <v>0</v>
      </c>
      <c r="N14" s="123">
        <f t="shared" si="2"/>
        <v>0</v>
      </c>
      <c r="O14" s="123">
        <f t="shared" si="2"/>
        <v>0</v>
      </c>
      <c r="P14" s="123">
        <f t="shared" si="2"/>
        <v>0</v>
      </c>
      <c r="Q14" s="123">
        <f t="shared" si="2"/>
        <v>0</v>
      </c>
      <c r="R14" s="123">
        <f t="shared" si="2"/>
        <v>0</v>
      </c>
      <c r="S14" s="123">
        <f t="shared" si="2"/>
        <v>0</v>
      </c>
      <c r="T14" s="123">
        <f t="shared" si="2"/>
        <v>0</v>
      </c>
      <c r="U14" s="123">
        <f t="shared" si="2"/>
        <v>0</v>
      </c>
      <c r="V14" s="123">
        <f t="shared" si="2"/>
        <v>1133.4686446261117</v>
      </c>
      <c r="W14" s="123">
        <f t="shared" si="2"/>
        <v>0</v>
      </c>
      <c r="X14" s="123">
        <f t="shared" si="2"/>
        <v>0</v>
      </c>
      <c r="Y14" s="123">
        <f t="shared" si="2"/>
        <v>0</v>
      </c>
      <c r="Z14" s="123">
        <f t="shared" si="2"/>
        <v>0</v>
      </c>
      <c r="AA14" s="123">
        <f t="shared" si="2"/>
        <v>0</v>
      </c>
      <c r="AB14" s="123">
        <f t="shared" si="2"/>
        <v>0</v>
      </c>
      <c r="AC14" s="123">
        <f t="shared" si="2"/>
        <v>0</v>
      </c>
      <c r="AD14" s="123">
        <f t="shared" si="2"/>
        <v>0</v>
      </c>
      <c r="AE14" s="123">
        <f t="shared" si="2"/>
        <v>0</v>
      </c>
      <c r="AF14" s="123">
        <f t="shared" si="2"/>
        <v>0</v>
      </c>
      <c r="AG14" s="123">
        <f t="shared" si="2"/>
        <v>0</v>
      </c>
      <c r="AH14" s="123">
        <f t="shared" si="2"/>
        <v>0</v>
      </c>
      <c r="AI14" s="123">
        <f t="shared" si="2"/>
        <v>0</v>
      </c>
      <c r="AJ14" s="123">
        <f t="shared" si="2"/>
        <v>0</v>
      </c>
      <c r="AK14" s="123">
        <f t="shared" si="2"/>
        <v>1133.4686446261117</v>
      </c>
      <c r="AL14" s="123">
        <f t="shared" si="2"/>
        <v>0</v>
      </c>
      <c r="AM14" s="123">
        <f t="shared" si="2"/>
        <v>0</v>
      </c>
      <c r="AN14" s="123">
        <f t="shared" si="2"/>
        <v>0</v>
      </c>
      <c r="AO14" s="123">
        <f t="shared" si="2"/>
        <v>0</v>
      </c>
      <c r="AP14" s="123">
        <f t="shared" si="2"/>
        <v>0</v>
      </c>
      <c r="AQ14" s="123">
        <f t="shared" si="2"/>
        <v>1133.4686446261117</v>
      </c>
      <c r="AR14" s="123">
        <f t="shared" si="2"/>
        <v>0</v>
      </c>
      <c r="AS14" s="123">
        <f t="shared" si="2"/>
        <v>1133.4686446261117</v>
      </c>
      <c r="AT14" s="123">
        <f t="shared" si="2"/>
        <v>0</v>
      </c>
      <c r="AU14" s="123">
        <f t="shared" si="2"/>
        <v>0</v>
      </c>
      <c r="AV14" s="123">
        <f t="shared" si="2"/>
        <v>0</v>
      </c>
      <c r="AW14" s="123">
        <f t="shared" si="2"/>
        <v>0</v>
      </c>
      <c r="AX14" s="123">
        <f t="shared" si="2"/>
        <v>0</v>
      </c>
      <c r="AY14" s="123">
        <f t="shared" si="2"/>
        <v>0</v>
      </c>
      <c r="AZ14" s="126"/>
    </row>
    <row r="15" spans="1:52" x14ac:dyDescent="0.2">
      <c r="A15" s="127"/>
      <c r="B15" s="143">
        <v>3</v>
      </c>
      <c r="C15" s="127">
        <v>0</v>
      </c>
      <c r="D15" s="123">
        <f>IF(C$20="Yes",C14,0)</f>
        <v>0</v>
      </c>
      <c r="E15" s="123">
        <f t="shared" si="2"/>
        <v>0</v>
      </c>
      <c r="F15" s="123">
        <f t="shared" si="2"/>
        <v>0</v>
      </c>
      <c r="G15" s="123">
        <f t="shared" si="2"/>
        <v>0</v>
      </c>
      <c r="H15" s="123">
        <f t="shared" si="2"/>
        <v>0</v>
      </c>
      <c r="I15" s="123">
        <f t="shared" si="2"/>
        <v>0</v>
      </c>
      <c r="J15" s="123">
        <f t="shared" si="2"/>
        <v>0</v>
      </c>
      <c r="K15" s="123">
        <f t="shared" si="2"/>
        <v>0</v>
      </c>
      <c r="L15" s="123">
        <f t="shared" si="2"/>
        <v>0</v>
      </c>
      <c r="M15" s="123">
        <f t="shared" si="2"/>
        <v>0</v>
      </c>
      <c r="N15" s="123">
        <f t="shared" si="2"/>
        <v>0</v>
      </c>
      <c r="O15" s="123">
        <f t="shared" si="2"/>
        <v>0</v>
      </c>
      <c r="P15" s="123">
        <f t="shared" si="2"/>
        <v>0</v>
      </c>
      <c r="Q15" s="123">
        <f t="shared" si="2"/>
        <v>0</v>
      </c>
      <c r="R15" s="123">
        <f t="shared" si="2"/>
        <v>0</v>
      </c>
      <c r="S15" s="123">
        <f t="shared" si="2"/>
        <v>0</v>
      </c>
      <c r="T15" s="123">
        <f t="shared" si="2"/>
        <v>0</v>
      </c>
      <c r="U15" s="123">
        <f t="shared" si="2"/>
        <v>0</v>
      </c>
      <c r="V15" s="123">
        <f t="shared" si="2"/>
        <v>0</v>
      </c>
      <c r="W15" s="123">
        <f t="shared" si="2"/>
        <v>0</v>
      </c>
      <c r="X15" s="123">
        <f t="shared" si="2"/>
        <v>0</v>
      </c>
      <c r="Y15" s="123">
        <f t="shared" si="2"/>
        <v>0</v>
      </c>
      <c r="Z15" s="123">
        <f t="shared" si="2"/>
        <v>0</v>
      </c>
      <c r="AA15" s="123">
        <f t="shared" si="2"/>
        <v>0</v>
      </c>
      <c r="AB15" s="123">
        <f t="shared" si="2"/>
        <v>0</v>
      </c>
      <c r="AC15" s="123">
        <f t="shared" si="2"/>
        <v>0</v>
      </c>
      <c r="AD15" s="123">
        <f t="shared" si="2"/>
        <v>0</v>
      </c>
      <c r="AE15" s="123">
        <f t="shared" si="2"/>
        <v>0</v>
      </c>
      <c r="AF15" s="123">
        <f t="shared" si="2"/>
        <v>0</v>
      </c>
      <c r="AG15" s="123">
        <f t="shared" si="2"/>
        <v>0</v>
      </c>
      <c r="AH15" s="123">
        <f t="shared" si="2"/>
        <v>0</v>
      </c>
      <c r="AI15" s="123">
        <f t="shared" si="2"/>
        <v>0</v>
      </c>
      <c r="AJ15" s="123">
        <f t="shared" si="2"/>
        <v>0</v>
      </c>
      <c r="AK15" s="123">
        <f t="shared" si="2"/>
        <v>0</v>
      </c>
      <c r="AL15" s="123">
        <f t="shared" si="2"/>
        <v>0</v>
      </c>
      <c r="AM15" s="123">
        <f t="shared" si="2"/>
        <v>0</v>
      </c>
      <c r="AN15" s="123">
        <f t="shared" si="2"/>
        <v>0</v>
      </c>
      <c r="AO15" s="123">
        <f t="shared" si="2"/>
        <v>0</v>
      </c>
      <c r="AP15" s="123">
        <f t="shared" si="2"/>
        <v>0</v>
      </c>
      <c r="AQ15" s="123">
        <f t="shared" si="2"/>
        <v>0</v>
      </c>
      <c r="AR15" s="123">
        <f t="shared" si="2"/>
        <v>0</v>
      </c>
      <c r="AS15" s="123">
        <f t="shared" si="2"/>
        <v>0</v>
      </c>
      <c r="AT15" s="123">
        <f t="shared" si="2"/>
        <v>0</v>
      </c>
      <c r="AU15" s="123">
        <f t="shared" si="2"/>
        <v>0</v>
      </c>
      <c r="AV15" s="123">
        <f t="shared" si="2"/>
        <v>0</v>
      </c>
      <c r="AW15" s="123">
        <f t="shared" si="2"/>
        <v>0</v>
      </c>
      <c r="AX15" s="123">
        <f t="shared" si="2"/>
        <v>0</v>
      </c>
      <c r="AY15" s="123">
        <f t="shared" si="2"/>
        <v>0</v>
      </c>
      <c r="AZ15" s="126"/>
    </row>
    <row r="16" spans="1:52" x14ac:dyDescent="0.2">
      <c r="A16" s="127"/>
      <c r="B16" s="146">
        <v>4</v>
      </c>
      <c r="C16" s="127">
        <v>0</v>
      </c>
      <c r="D16" s="123">
        <f>IF(C$20="Yes",C15,0)</f>
        <v>0</v>
      </c>
      <c r="E16" s="123">
        <f t="shared" si="2"/>
        <v>0</v>
      </c>
      <c r="F16" s="123">
        <f t="shared" si="2"/>
        <v>0</v>
      </c>
      <c r="G16" s="123">
        <f t="shared" si="2"/>
        <v>0</v>
      </c>
      <c r="H16" s="123">
        <f t="shared" si="2"/>
        <v>0</v>
      </c>
      <c r="I16" s="123">
        <f t="shared" si="2"/>
        <v>0</v>
      </c>
      <c r="J16" s="123">
        <f t="shared" si="2"/>
        <v>0</v>
      </c>
      <c r="K16" s="123">
        <f t="shared" si="2"/>
        <v>0</v>
      </c>
      <c r="L16" s="123">
        <f t="shared" si="2"/>
        <v>0</v>
      </c>
      <c r="M16" s="123">
        <f t="shared" si="2"/>
        <v>0</v>
      </c>
      <c r="N16" s="123">
        <f t="shared" si="2"/>
        <v>0</v>
      </c>
      <c r="O16" s="123">
        <f t="shared" si="2"/>
        <v>0</v>
      </c>
      <c r="P16" s="123">
        <f t="shared" si="2"/>
        <v>0</v>
      </c>
      <c r="Q16" s="123">
        <f t="shared" si="2"/>
        <v>0</v>
      </c>
      <c r="R16" s="123">
        <f t="shared" si="2"/>
        <v>0</v>
      </c>
      <c r="S16" s="123">
        <f t="shared" si="2"/>
        <v>0</v>
      </c>
      <c r="T16" s="123">
        <f t="shared" si="2"/>
        <v>0</v>
      </c>
      <c r="U16" s="123">
        <f t="shared" si="2"/>
        <v>0</v>
      </c>
      <c r="V16" s="123">
        <f t="shared" si="2"/>
        <v>0</v>
      </c>
      <c r="W16" s="123">
        <f t="shared" si="2"/>
        <v>0</v>
      </c>
      <c r="X16" s="123">
        <f t="shared" si="2"/>
        <v>0</v>
      </c>
      <c r="Y16" s="123">
        <f t="shared" si="2"/>
        <v>0</v>
      </c>
      <c r="Z16" s="123">
        <f t="shared" si="2"/>
        <v>0</v>
      </c>
      <c r="AA16" s="123">
        <f t="shared" si="2"/>
        <v>0</v>
      </c>
      <c r="AB16" s="123">
        <f t="shared" si="2"/>
        <v>0</v>
      </c>
      <c r="AC16" s="123">
        <f t="shared" si="2"/>
        <v>0</v>
      </c>
      <c r="AD16" s="123">
        <f t="shared" si="2"/>
        <v>0</v>
      </c>
      <c r="AE16" s="123">
        <f t="shared" si="2"/>
        <v>0</v>
      </c>
      <c r="AF16" s="123">
        <f t="shared" si="2"/>
        <v>0</v>
      </c>
      <c r="AG16" s="123">
        <f t="shared" si="2"/>
        <v>0</v>
      </c>
      <c r="AH16" s="123">
        <f t="shared" si="2"/>
        <v>0</v>
      </c>
      <c r="AI16" s="123">
        <f t="shared" si="2"/>
        <v>0</v>
      </c>
      <c r="AJ16" s="123">
        <f t="shared" si="2"/>
        <v>0</v>
      </c>
      <c r="AK16" s="123">
        <f t="shared" si="2"/>
        <v>0</v>
      </c>
      <c r="AL16" s="123">
        <f t="shared" si="2"/>
        <v>0</v>
      </c>
      <c r="AM16" s="123">
        <f t="shared" si="2"/>
        <v>0</v>
      </c>
      <c r="AN16" s="123">
        <f t="shared" si="2"/>
        <v>0</v>
      </c>
      <c r="AO16" s="123">
        <f t="shared" si="2"/>
        <v>0</v>
      </c>
      <c r="AP16" s="123">
        <f t="shared" si="2"/>
        <v>0</v>
      </c>
      <c r="AQ16" s="123">
        <f t="shared" si="2"/>
        <v>0</v>
      </c>
      <c r="AR16" s="123">
        <f t="shared" si="2"/>
        <v>0</v>
      </c>
      <c r="AS16" s="123">
        <f t="shared" si="2"/>
        <v>0</v>
      </c>
      <c r="AT16" s="123">
        <f t="shared" si="2"/>
        <v>0</v>
      </c>
      <c r="AU16" s="123">
        <f t="shared" si="2"/>
        <v>0</v>
      </c>
      <c r="AV16" s="123">
        <f t="shared" si="2"/>
        <v>0</v>
      </c>
      <c r="AW16" s="123">
        <f t="shared" si="2"/>
        <v>0</v>
      </c>
      <c r="AX16" s="123">
        <f t="shared" si="2"/>
        <v>0</v>
      </c>
      <c r="AY16" s="123">
        <f t="shared" si="2"/>
        <v>0</v>
      </c>
      <c r="AZ16" s="144"/>
    </row>
    <row r="17" spans="1:52" x14ac:dyDescent="0.2">
      <c r="A17" s="141"/>
      <c r="B17" s="148" t="s">
        <v>296</v>
      </c>
      <c r="C17" s="141">
        <v>0</v>
      </c>
      <c r="D17" s="130">
        <f>IF(C$20="Yes",C16,0)</f>
        <v>0</v>
      </c>
      <c r="E17" s="130">
        <f t="shared" si="2"/>
        <v>0</v>
      </c>
      <c r="F17" s="130">
        <f t="shared" si="2"/>
        <v>0</v>
      </c>
      <c r="G17" s="130">
        <f t="shared" si="2"/>
        <v>0</v>
      </c>
      <c r="H17" s="130">
        <f t="shared" si="2"/>
        <v>0</v>
      </c>
      <c r="I17" s="130">
        <f t="shared" si="2"/>
        <v>0</v>
      </c>
      <c r="J17" s="130">
        <f t="shared" si="2"/>
        <v>0</v>
      </c>
      <c r="K17" s="130">
        <f t="shared" si="2"/>
        <v>0</v>
      </c>
      <c r="L17" s="130">
        <f t="shared" si="2"/>
        <v>0</v>
      </c>
      <c r="M17" s="130">
        <f t="shared" si="2"/>
        <v>0</v>
      </c>
      <c r="N17" s="130">
        <f t="shared" si="2"/>
        <v>0</v>
      </c>
      <c r="O17" s="130">
        <f t="shared" si="2"/>
        <v>0</v>
      </c>
      <c r="P17" s="130">
        <f t="shared" si="2"/>
        <v>0</v>
      </c>
      <c r="Q17" s="130">
        <f t="shared" si="2"/>
        <v>0</v>
      </c>
      <c r="R17" s="130">
        <f t="shared" si="2"/>
        <v>0</v>
      </c>
      <c r="S17" s="130">
        <f t="shared" si="2"/>
        <v>0</v>
      </c>
      <c r="T17" s="130">
        <f t="shared" si="2"/>
        <v>0</v>
      </c>
      <c r="U17" s="130">
        <f t="shared" si="2"/>
        <v>0</v>
      </c>
      <c r="V17" s="130">
        <f t="shared" si="2"/>
        <v>0</v>
      </c>
      <c r="W17" s="130">
        <f t="shared" si="2"/>
        <v>0</v>
      </c>
      <c r="X17" s="130">
        <f t="shared" si="2"/>
        <v>0</v>
      </c>
      <c r="Y17" s="130">
        <f t="shared" si="2"/>
        <v>0</v>
      </c>
      <c r="Z17" s="130">
        <f t="shared" si="2"/>
        <v>0</v>
      </c>
      <c r="AA17" s="130">
        <f t="shared" si="2"/>
        <v>0</v>
      </c>
      <c r="AB17" s="130">
        <f t="shared" si="2"/>
        <v>0</v>
      </c>
      <c r="AC17" s="130">
        <f t="shared" si="2"/>
        <v>0</v>
      </c>
      <c r="AD17" s="130">
        <f t="shared" si="2"/>
        <v>0</v>
      </c>
      <c r="AE17" s="130">
        <f t="shared" si="2"/>
        <v>0</v>
      </c>
      <c r="AF17" s="130">
        <f t="shared" si="2"/>
        <v>0</v>
      </c>
      <c r="AG17" s="130">
        <f t="shared" si="2"/>
        <v>0</v>
      </c>
      <c r="AH17" s="130">
        <f t="shared" si="2"/>
        <v>0</v>
      </c>
      <c r="AI17" s="130">
        <f t="shared" si="2"/>
        <v>0</v>
      </c>
      <c r="AJ17" s="130">
        <f t="shared" si="2"/>
        <v>0</v>
      </c>
      <c r="AK17" s="130">
        <f t="shared" si="2"/>
        <v>0</v>
      </c>
      <c r="AL17" s="130">
        <f t="shared" si="2"/>
        <v>0</v>
      </c>
      <c r="AM17" s="130">
        <f t="shared" si="2"/>
        <v>0</v>
      </c>
      <c r="AN17" s="130">
        <f t="shared" si="2"/>
        <v>0</v>
      </c>
      <c r="AO17" s="130">
        <f t="shared" si="2"/>
        <v>0</v>
      </c>
      <c r="AP17" s="130">
        <f t="shared" si="2"/>
        <v>0</v>
      </c>
      <c r="AQ17" s="130">
        <f t="shared" si="2"/>
        <v>0</v>
      </c>
      <c r="AR17" s="130">
        <f t="shared" si="2"/>
        <v>0</v>
      </c>
      <c r="AS17" s="130">
        <f t="shared" si="2"/>
        <v>0</v>
      </c>
      <c r="AT17" s="130">
        <f t="shared" si="2"/>
        <v>0</v>
      </c>
      <c r="AU17" s="130">
        <f t="shared" si="2"/>
        <v>0</v>
      </c>
      <c r="AV17" s="130">
        <f t="shared" si="2"/>
        <v>0</v>
      </c>
      <c r="AW17" s="130">
        <f t="shared" si="2"/>
        <v>0</v>
      </c>
      <c r="AX17" s="130">
        <f t="shared" si="2"/>
        <v>0</v>
      </c>
      <c r="AY17" s="130">
        <f t="shared" si="2"/>
        <v>0</v>
      </c>
      <c r="AZ17" s="167">
        <f>SUM($D$17:$AY$17)</f>
        <v>0</v>
      </c>
    </row>
    <row r="18" spans="1:52" x14ac:dyDescent="0.2">
      <c r="A18" s="123"/>
      <c r="B18" s="169"/>
      <c r="C18" s="154"/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154"/>
      <c r="X18" s="154"/>
      <c r="Y18" s="154"/>
      <c r="Z18" s="154"/>
      <c r="AA18" s="154"/>
      <c r="AB18" s="154"/>
      <c r="AC18" s="154"/>
      <c r="AD18" s="154"/>
      <c r="AE18" s="154"/>
      <c r="AF18" s="154"/>
      <c r="AG18" s="154"/>
      <c r="AH18" s="154"/>
      <c r="AI18" s="154"/>
      <c r="AJ18" s="154"/>
      <c r="AK18" s="154"/>
      <c r="AL18" s="154"/>
      <c r="AM18" s="154"/>
      <c r="AN18" s="154"/>
      <c r="AO18" s="154"/>
      <c r="AP18" s="154"/>
      <c r="AQ18" s="154"/>
      <c r="AR18" s="154"/>
      <c r="AS18" s="154"/>
      <c r="AT18" s="154"/>
      <c r="AU18" s="154"/>
      <c r="AV18" s="154"/>
      <c r="AW18" s="154"/>
      <c r="AX18" s="154"/>
      <c r="AY18" s="154"/>
      <c r="AZ18" s="123"/>
    </row>
    <row r="19" spans="1:52" x14ac:dyDescent="0.2">
      <c r="A19" s="1" t="s">
        <v>116</v>
      </c>
      <c r="B19" s="123"/>
      <c r="C19" s="123"/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  <c r="AP19" s="123"/>
      <c r="AQ19" s="123"/>
      <c r="AR19" s="123"/>
      <c r="AS19" s="123"/>
      <c r="AT19" s="123"/>
      <c r="AU19" s="123"/>
      <c r="AV19" s="123"/>
      <c r="AW19" s="123"/>
      <c r="AX19" s="123"/>
      <c r="AY19" s="123"/>
    </row>
    <row r="20" spans="1:52" s="127" customFormat="1" x14ac:dyDescent="0.2">
      <c r="A20" s="131" t="s">
        <v>305</v>
      </c>
      <c r="B20" s="170" t="s">
        <v>306</v>
      </c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  <c r="S20" s="133"/>
      <c r="T20" s="133"/>
      <c r="U20" s="133" t="s">
        <v>313</v>
      </c>
      <c r="V20" s="133"/>
      <c r="W20" s="133"/>
      <c r="X20" s="133"/>
      <c r="Y20" s="133"/>
      <c r="Z20" s="133"/>
      <c r="AA20" s="133"/>
      <c r="AB20" s="133"/>
      <c r="AC20" s="133"/>
      <c r="AD20" s="133"/>
      <c r="AE20" s="133"/>
      <c r="AF20" s="133"/>
      <c r="AG20" s="133"/>
      <c r="AH20" s="133"/>
      <c r="AI20" s="133"/>
      <c r="AJ20" s="133" t="s">
        <v>313</v>
      </c>
      <c r="AK20" s="133"/>
      <c r="AL20" s="133"/>
      <c r="AM20" s="133"/>
      <c r="AN20" s="133"/>
      <c r="AO20" s="133"/>
      <c r="AP20" s="133" t="s">
        <v>313</v>
      </c>
      <c r="AQ20" s="133"/>
      <c r="AR20" s="133" t="s">
        <v>313</v>
      </c>
      <c r="AS20" s="133"/>
      <c r="AT20" s="133"/>
      <c r="AU20" s="133"/>
      <c r="AV20" s="133"/>
      <c r="AW20" s="133"/>
      <c r="AX20" s="133"/>
      <c r="AY20" s="133"/>
      <c r="AZ20" s="124"/>
    </row>
    <row r="21" spans="1:52" s="127" customFormat="1" x14ac:dyDescent="0.2">
      <c r="A21" s="171" t="s">
        <v>133</v>
      </c>
      <c r="B21" s="172">
        <f>shipping_manufacturing!$G$19/100</f>
        <v>0.7</v>
      </c>
      <c r="C21" s="172" t="s">
        <v>293</v>
      </c>
      <c r="D21" s="123">
        <f>IF(C$20="Yes",0,SUM(C$13:C$16)*$B$21)</f>
        <v>993.23964486176965</v>
      </c>
      <c r="E21" s="123">
        <f t="shared" ref="E21:AY21" si="3">IF(D$20="Yes",0,SUM(D$13:D$16)*$B$21)</f>
        <v>793.42805123827782</v>
      </c>
      <c r="F21" s="123">
        <f t="shared" si="3"/>
        <v>793.42805123827782</v>
      </c>
      <c r="G21" s="123">
        <f t="shared" si="3"/>
        <v>793.42805123827782</v>
      </c>
      <c r="H21" s="123">
        <f t="shared" si="3"/>
        <v>793.42805123827782</v>
      </c>
      <c r="I21" s="123">
        <f t="shared" si="3"/>
        <v>793.42805123827816</v>
      </c>
      <c r="J21" s="123">
        <f t="shared" si="3"/>
        <v>793.42805123827816</v>
      </c>
      <c r="K21" s="123">
        <f t="shared" si="3"/>
        <v>793.42805123827816</v>
      </c>
      <c r="L21" s="123">
        <f t="shared" si="3"/>
        <v>793.42805123827816</v>
      </c>
      <c r="M21" s="123">
        <f t="shared" si="3"/>
        <v>793.42805123827816</v>
      </c>
      <c r="N21" s="123">
        <f t="shared" si="3"/>
        <v>793.42805123827816</v>
      </c>
      <c r="O21" s="123">
        <f t="shared" si="3"/>
        <v>793.42805123827816</v>
      </c>
      <c r="P21" s="123">
        <f t="shared" si="3"/>
        <v>793.42805123827816</v>
      </c>
      <c r="Q21" s="123">
        <f t="shared" si="3"/>
        <v>793.42805123827816</v>
      </c>
      <c r="R21" s="123">
        <f t="shared" si="3"/>
        <v>793.42805123827816</v>
      </c>
      <c r="S21" s="123">
        <f t="shared" si="3"/>
        <v>793.42805123827816</v>
      </c>
      <c r="T21" s="123">
        <f t="shared" si="3"/>
        <v>793.42805123827816</v>
      </c>
      <c r="U21" s="123">
        <f t="shared" si="3"/>
        <v>793.42805123827816</v>
      </c>
      <c r="V21" s="123">
        <f t="shared" si="3"/>
        <v>0</v>
      </c>
      <c r="W21" s="123">
        <f t="shared" si="3"/>
        <v>1586.8561024765563</v>
      </c>
      <c r="X21" s="123">
        <f t="shared" si="3"/>
        <v>793.42805123827816</v>
      </c>
      <c r="Y21" s="123">
        <f t="shared" si="3"/>
        <v>793.42805123827816</v>
      </c>
      <c r="Z21" s="123">
        <f t="shared" si="3"/>
        <v>793.42805123827816</v>
      </c>
      <c r="AA21" s="123">
        <f t="shared" si="3"/>
        <v>793.42805123827816</v>
      </c>
      <c r="AB21" s="123">
        <f t="shared" si="3"/>
        <v>793.42805123827816</v>
      </c>
      <c r="AC21" s="123">
        <f t="shared" si="3"/>
        <v>793.42805123827816</v>
      </c>
      <c r="AD21" s="123">
        <f t="shared" si="3"/>
        <v>793.42805123827816</v>
      </c>
      <c r="AE21" s="123">
        <f t="shared" si="3"/>
        <v>793.42805123827816</v>
      </c>
      <c r="AF21" s="123">
        <f t="shared" si="3"/>
        <v>793.42805123827816</v>
      </c>
      <c r="AG21" s="123">
        <f t="shared" si="3"/>
        <v>793.42805123827816</v>
      </c>
      <c r="AH21" s="123">
        <f t="shared" si="3"/>
        <v>793.42805123827816</v>
      </c>
      <c r="AI21" s="123">
        <f t="shared" si="3"/>
        <v>793.42805123827816</v>
      </c>
      <c r="AJ21" s="123">
        <f t="shared" si="3"/>
        <v>793.42805123827816</v>
      </c>
      <c r="AK21" s="123">
        <f t="shared" si="3"/>
        <v>0</v>
      </c>
      <c r="AL21" s="123">
        <f t="shared" si="3"/>
        <v>1586.8561024765563</v>
      </c>
      <c r="AM21" s="123">
        <f t="shared" si="3"/>
        <v>793.42805123827816</v>
      </c>
      <c r="AN21" s="123">
        <f t="shared" si="3"/>
        <v>793.42805123827816</v>
      </c>
      <c r="AO21" s="123">
        <f t="shared" si="3"/>
        <v>793.42805123827816</v>
      </c>
      <c r="AP21" s="123">
        <f t="shared" si="3"/>
        <v>793.42805123827816</v>
      </c>
      <c r="AQ21" s="123">
        <f t="shared" si="3"/>
        <v>0</v>
      </c>
      <c r="AR21" s="123">
        <f t="shared" si="3"/>
        <v>1586.8561024765563</v>
      </c>
      <c r="AS21" s="123">
        <f t="shared" si="3"/>
        <v>0</v>
      </c>
      <c r="AT21" s="123">
        <f t="shared" si="3"/>
        <v>1586.8561024765563</v>
      </c>
      <c r="AU21" s="123">
        <f t="shared" si="3"/>
        <v>793.42805123827816</v>
      </c>
      <c r="AV21" s="123">
        <f t="shared" si="3"/>
        <v>793.42805123827816</v>
      </c>
      <c r="AW21" s="123">
        <f t="shared" si="3"/>
        <v>793.42805123827816</v>
      </c>
      <c r="AX21" s="123">
        <f t="shared" si="3"/>
        <v>793.42805123827816</v>
      </c>
      <c r="AY21" s="123">
        <f t="shared" si="3"/>
        <v>793.42805123827816</v>
      </c>
      <c r="AZ21" s="173">
        <f>SUM($D21:$AY21)</f>
        <v>38284.358053060845</v>
      </c>
    </row>
    <row r="22" spans="1:52" s="127" customFormat="1" x14ac:dyDescent="0.2">
      <c r="A22" s="174" t="s">
        <v>123</v>
      </c>
      <c r="B22" s="175">
        <f>1-$B$21</f>
        <v>0.30000000000000004</v>
      </c>
      <c r="C22" s="175" t="s">
        <v>293</v>
      </c>
      <c r="D22" s="130">
        <f>IF(C$20="Yes",0,SUM(C$13:C$16)*$B$22)</f>
        <v>425.6741335121871</v>
      </c>
      <c r="E22" s="130">
        <f t="shared" ref="E22:AY22" si="4">IF(D$20="Yes",0,SUM(D$13:D$16)*$B$22)</f>
        <v>340.04059338783338</v>
      </c>
      <c r="F22" s="130">
        <f t="shared" si="4"/>
        <v>340.04059338783338</v>
      </c>
      <c r="G22" s="130">
        <f t="shared" si="4"/>
        <v>340.04059338783338</v>
      </c>
      <c r="H22" s="130">
        <f t="shared" si="4"/>
        <v>340.04059338783338</v>
      </c>
      <c r="I22" s="130">
        <f t="shared" si="4"/>
        <v>340.04059338783355</v>
      </c>
      <c r="J22" s="130">
        <f t="shared" si="4"/>
        <v>340.04059338783355</v>
      </c>
      <c r="K22" s="130">
        <f t="shared" si="4"/>
        <v>340.04059338783355</v>
      </c>
      <c r="L22" s="130">
        <f t="shared" si="4"/>
        <v>340.04059338783355</v>
      </c>
      <c r="M22" s="130">
        <f t="shared" si="4"/>
        <v>340.04059338783355</v>
      </c>
      <c r="N22" s="130">
        <f t="shared" si="4"/>
        <v>340.04059338783355</v>
      </c>
      <c r="O22" s="130">
        <f t="shared" si="4"/>
        <v>340.04059338783355</v>
      </c>
      <c r="P22" s="130">
        <f t="shared" si="4"/>
        <v>340.04059338783355</v>
      </c>
      <c r="Q22" s="130">
        <f t="shared" si="4"/>
        <v>340.04059338783355</v>
      </c>
      <c r="R22" s="130">
        <f t="shared" si="4"/>
        <v>340.04059338783355</v>
      </c>
      <c r="S22" s="130">
        <f t="shared" si="4"/>
        <v>340.04059338783355</v>
      </c>
      <c r="T22" s="130">
        <f t="shared" si="4"/>
        <v>340.04059338783355</v>
      </c>
      <c r="U22" s="130">
        <f t="shared" si="4"/>
        <v>340.04059338783355</v>
      </c>
      <c r="V22" s="130">
        <f t="shared" si="4"/>
        <v>0</v>
      </c>
      <c r="W22" s="130">
        <f t="shared" si="4"/>
        <v>680.08118677566711</v>
      </c>
      <c r="X22" s="130">
        <f t="shared" si="4"/>
        <v>340.04059338783355</v>
      </c>
      <c r="Y22" s="130">
        <f t="shared" si="4"/>
        <v>340.04059338783355</v>
      </c>
      <c r="Z22" s="130">
        <f t="shared" si="4"/>
        <v>340.04059338783355</v>
      </c>
      <c r="AA22" s="130">
        <f t="shared" si="4"/>
        <v>340.04059338783355</v>
      </c>
      <c r="AB22" s="130">
        <f t="shared" si="4"/>
        <v>340.04059338783355</v>
      </c>
      <c r="AC22" s="130">
        <f t="shared" si="4"/>
        <v>340.04059338783355</v>
      </c>
      <c r="AD22" s="130">
        <f t="shared" si="4"/>
        <v>340.04059338783355</v>
      </c>
      <c r="AE22" s="130">
        <f t="shared" si="4"/>
        <v>340.04059338783355</v>
      </c>
      <c r="AF22" s="130">
        <f t="shared" si="4"/>
        <v>340.04059338783355</v>
      </c>
      <c r="AG22" s="130">
        <f t="shared" si="4"/>
        <v>340.04059338783355</v>
      </c>
      <c r="AH22" s="130">
        <f t="shared" si="4"/>
        <v>340.04059338783355</v>
      </c>
      <c r="AI22" s="130">
        <f t="shared" si="4"/>
        <v>340.04059338783355</v>
      </c>
      <c r="AJ22" s="130">
        <f t="shared" si="4"/>
        <v>340.04059338783355</v>
      </c>
      <c r="AK22" s="130">
        <f t="shared" si="4"/>
        <v>0</v>
      </c>
      <c r="AL22" s="130">
        <f t="shared" si="4"/>
        <v>680.08118677566711</v>
      </c>
      <c r="AM22" s="130">
        <f t="shared" si="4"/>
        <v>340.04059338783355</v>
      </c>
      <c r="AN22" s="130">
        <f t="shared" si="4"/>
        <v>340.04059338783355</v>
      </c>
      <c r="AO22" s="130">
        <f t="shared" si="4"/>
        <v>340.04059338783355</v>
      </c>
      <c r="AP22" s="130">
        <f t="shared" si="4"/>
        <v>340.04059338783355</v>
      </c>
      <c r="AQ22" s="130">
        <f t="shared" si="4"/>
        <v>0</v>
      </c>
      <c r="AR22" s="130">
        <f t="shared" si="4"/>
        <v>680.08118677566711</v>
      </c>
      <c r="AS22" s="130">
        <f t="shared" si="4"/>
        <v>0</v>
      </c>
      <c r="AT22" s="130">
        <f t="shared" si="4"/>
        <v>680.08118677566711</v>
      </c>
      <c r="AU22" s="130">
        <f t="shared" si="4"/>
        <v>340.04059338783355</v>
      </c>
      <c r="AV22" s="130">
        <f t="shared" si="4"/>
        <v>340.04059338783355</v>
      </c>
      <c r="AW22" s="130">
        <f t="shared" si="4"/>
        <v>340.04059338783355</v>
      </c>
      <c r="AX22" s="130">
        <f t="shared" si="4"/>
        <v>340.04059338783355</v>
      </c>
      <c r="AY22" s="130">
        <f t="shared" si="4"/>
        <v>340.04059338783355</v>
      </c>
      <c r="AZ22" s="157">
        <f t="shared" ref="AZ22:AZ30" si="5">SUM($D22:$AY22)</f>
        <v>16407.582022740367</v>
      </c>
    </row>
    <row r="23" spans="1:52" x14ac:dyDescent="0.2">
      <c r="A23" s="176" t="s">
        <v>307</v>
      </c>
      <c r="B23" s="140">
        <v>2000</v>
      </c>
      <c r="C23" t="s">
        <v>293</v>
      </c>
      <c r="D23">
        <f>D$21*$B$23</f>
        <v>1986479.2897235393</v>
      </c>
      <c r="E23">
        <f t="shared" ref="E23:AY23" si="6">E$21*$B$23</f>
        <v>1586856.1024765556</v>
      </c>
      <c r="F23">
        <f t="shared" si="6"/>
        <v>1586856.1024765556</v>
      </c>
      <c r="G23">
        <f t="shared" si="6"/>
        <v>1586856.1024765556</v>
      </c>
      <c r="H23">
        <f t="shared" si="6"/>
        <v>1586856.1024765556</v>
      </c>
      <c r="I23">
        <f t="shared" si="6"/>
        <v>1586856.1024765563</v>
      </c>
      <c r="J23">
        <f t="shared" si="6"/>
        <v>1586856.1024765563</v>
      </c>
      <c r="K23">
        <f t="shared" si="6"/>
        <v>1586856.1024765563</v>
      </c>
      <c r="L23">
        <f t="shared" si="6"/>
        <v>1586856.1024765563</v>
      </c>
      <c r="M23">
        <f t="shared" si="6"/>
        <v>1586856.1024765563</v>
      </c>
      <c r="N23">
        <f t="shared" si="6"/>
        <v>1586856.1024765563</v>
      </c>
      <c r="O23">
        <f t="shared" si="6"/>
        <v>1586856.1024765563</v>
      </c>
      <c r="P23">
        <f t="shared" si="6"/>
        <v>1586856.1024765563</v>
      </c>
      <c r="Q23">
        <f t="shared" si="6"/>
        <v>1586856.1024765563</v>
      </c>
      <c r="R23">
        <f t="shared" si="6"/>
        <v>1586856.1024765563</v>
      </c>
      <c r="S23">
        <f t="shared" si="6"/>
        <v>1586856.1024765563</v>
      </c>
      <c r="T23">
        <f t="shared" si="6"/>
        <v>1586856.1024765563</v>
      </c>
      <c r="U23">
        <f t="shared" si="6"/>
        <v>1586856.1024765563</v>
      </c>
      <c r="V23">
        <f t="shared" si="6"/>
        <v>0</v>
      </c>
      <c r="W23">
        <f t="shared" si="6"/>
        <v>3173712.2049531126</v>
      </c>
      <c r="X23">
        <f t="shared" si="6"/>
        <v>1586856.1024765563</v>
      </c>
      <c r="Y23">
        <f t="shared" si="6"/>
        <v>1586856.1024765563</v>
      </c>
      <c r="Z23">
        <f t="shared" si="6"/>
        <v>1586856.1024765563</v>
      </c>
      <c r="AA23">
        <f t="shared" si="6"/>
        <v>1586856.1024765563</v>
      </c>
      <c r="AB23">
        <f t="shared" si="6"/>
        <v>1586856.1024765563</v>
      </c>
      <c r="AC23">
        <f t="shared" si="6"/>
        <v>1586856.1024765563</v>
      </c>
      <c r="AD23">
        <f t="shared" si="6"/>
        <v>1586856.1024765563</v>
      </c>
      <c r="AE23">
        <f t="shared" si="6"/>
        <v>1586856.1024765563</v>
      </c>
      <c r="AF23">
        <f t="shared" si="6"/>
        <v>1586856.1024765563</v>
      </c>
      <c r="AG23">
        <f t="shared" si="6"/>
        <v>1586856.1024765563</v>
      </c>
      <c r="AH23">
        <f t="shared" si="6"/>
        <v>1586856.1024765563</v>
      </c>
      <c r="AI23">
        <f t="shared" si="6"/>
        <v>1586856.1024765563</v>
      </c>
      <c r="AJ23">
        <f t="shared" si="6"/>
        <v>1586856.1024765563</v>
      </c>
      <c r="AK23">
        <f t="shared" si="6"/>
        <v>0</v>
      </c>
      <c r="AL23">
        <f t="shared" si="6"/>
        <v>3173712.2049531126</v>
      </c>
      <c r="AM23">
        <f t="shared" si="6"/>
        <v>1586856.1024765563</v>
      </c>
      <c r="AN23">
        <f t="shared" si="6"/>
        <v>1586856.1024765563</v>
      </c>
      <c r="AO23">
        <f t="shared" si="6"/>
        <v>1586856.1024765563</v>
      </c>
      <c r="AP23">
        <f t="shared" si="6"/>
        <v>1586856.1024765563</v>
      </c>
      <c r="AQ23">
        <f t="shared" si="6"/>
        <v>0</v>
      </c>
      <c r="AR23">
        <f t="shared" si="6"/>
        <v>3173712.2049531126</v>
      </c>
      <c r="AS23">
        <f t="shared" si="6"/>
        <v>0</v>
      </c>
      <c r="AT23">
        <f t="shared" si="6"/>
        <v>3173712.2049531126</v>
      </c>
      <c r="AU23">
        <f t="shared" si="6"/>
        <v>1586856.1024765563</v>
      </c>
      <c r="AV23">
        <f t="shared" si="6"/>
        <v>1586856.1024765563</v>
      </c>
      <c r="AW23">
        <f t="shared" si="6"/>
        <v>1586856.1024765563</v>
      </c>
      <c r="AX23">
        <f t="shared" si="6"/>
        <v>1586856.1024765563</v>
      </c>
      <c r="AY23">
        <f t="shared" si="6"/>
        <v>1586856.1024765563</v>
      </c>
      <c r="AZ23" s="155">
        <f t="shared" si="5"/>
        <v>76568716.106121719</v>
      </c>
    </row>
    <row r="24" spans="1:52" s="127" customFormat="1" x14ac:dyDescent="0.2">
      <c r="A24" s="177" t="s">
        <v>308</v>
      </c>
      <c r="B24" s="178">
        <v>1000</v>
      </c>
      <c r="C24" s="172" t="s">
        <v>293</v>
      </c>
      <c r="D24" s="123">
        <f>D$22*$B$24</f>
        <v>425674.13351218711</v>
      </c>
      <c r="E24" s="123">
        <f t="shared" ref="E24:AY24" si="7">E$22*$B$24</f>
        <v>340040.59338783339</v>
      </c>
      <c r="F24" s="123">
        <f t="shared" si="7"/>
        <v>340040.59338783339</v>
      </c>
      <c r="G24" s="123">
        <f t="shared" si="7"/>
        <v>340040.59338783339</v>
      </c>
      <c r="H24" s="123">
        <f t="shared" si="7"/>
        <v>340040.59338783339</v>
      </c>
      <c r="I24" s="123">
        <f t="shared" si="7"/>
        <v>340040.59338783356</v>
      </c>
      <c r="J24" s="123">
        <f t="shared" si="7"/>
        <v>340040.59338783356</v>
      </c>
      <c r="K24" s="123">
        <f t="shared" si="7"/>
        <v>340040.59338783356</v>
      </c>
      <c r="L24" s="123">
        <f t="shared" si="7"/>
        <v>340040.59338783356</v>
      </c>
      <c r="M24" s="123">
        <f t="shared" si="7"/>
        <v>340040.59338783356</v>
      </c>
      <c r="N24" s="123">
        <f t="shared" si="7"/>
        <v>340040.59338783356</v>
      </c>
      <c r="O24" s="123">
        <f t="shared" si="7"/>
        <v>340040.59338783356</v>
      </c>
      <c r="P24" s="123">
        <f t="shared" si="7"/>
        <v>340040.59338783356</v>
      </c>
      <c r="Q24" s="123">
        <f t="shared" si="7"/>
        <v>340040.59338783356</v>
      </c>
      <c r="R24" s="123">
        <f t="shared" si="7"/>
        <v>340040.59338783356</v>
      </c>
      <c r="S24" s="123">
        <f t="shared" si="7"/>
        <v>340040.59338783356</v>
      </c>
      <c r="T24" s="123">
        <f t="shared" si="7"/>
        <v>340040.59338783356</v>
      </c>
      <c r="U24" s="123">
        <f t="shared" si="7"/>
        <v>340040.59338783356</v>
      </c>
      <c r="V24" s="123">
        <f t="shared" si="7"/>
        <v>0</v>
      </c>
      <c r="W24" s="123">
        <f t="shared" si="7"/>
        <v>680081.18677566713</v>
      </c>
      <c r="X24" s="123">
        <f t="shared" si="7"/>
        <v>340040.59338783356</v>
      </c>
      <c r="Y24" s="123">
        <f t="shared" si="7"/>
        <v>340040.59338783356</v>
      </c>
      <c r="Z24" s="123">
        <f t="shared" si="7"/>
        <v>340040.59338783356</v>
      </c>
      <c r="AA24" s="123">
        <f t="shared" si="7"/>
        <v>340040.59338783356</v>
      </c>
      <c r="AB24" s="123">
        <f t="shared" si="7"/>
        <v>340040.59338783356</v>
      </c>
      <c r="AC24" s="123">
        <f t="shared" si="7"/>
        <v>340040.59338783356</v>
      </c>
      <c r="AD24" s="123">
        <f t="shared" si="7"/>
        <v>340040.59338783356</v>
      </c>
      <c r="AE24" s="123">
        <f t="shared" si="7"/>
        <v>340040.59338783356</v>
      </c>
      <c r="AF24" s="123">
        <f t="shared" si="7"/>
        <v>340040.59338783356</v>
      </c>
      <c r="AG24" s="123">
        <f t="shared" si="7"/>
        <v>340040.59338783356</v>
      </c>
      <c r="AH24" s="123">
        <f t="shared" si="7"/>
        <v>340040.59338783356</v>
      </c>
      <c r="AI24" s="123">
        <f t="shared" si="7"/>
        <v>340040.59338783356</v>
      </c>
      <c r="AJ24" s="123">
        <f t="shared" si="7"/>
        <v>340040.59338783356</v>
      </c>
      <c r="AK24" s="123">
        <f t="shared" si="7"/>
        <v>0</v>
      </c>
      <c r="AL24" s="123">
        <f t="shared" si="7"/>
        <v>680081.18677566713</v>
      </c>
      <c r="AM24" s="123">
        <f t="shared" si="7"/>
        <v>340040.59338783356</v>
      </c>
      <c r="AN24" s="123">
        <f t="shared" si="7"/>
        <v>340040.59338783356</v>
      </c>
      <c r="AO24" s="123">
        <f t="shared" si="7"/>
        <v>340040.59338783356</v>
      </c>
      <c r="AP24" s="123">
        <f t="shared" si="7"/>
        <v>340040.59338783356</v>
      </c>
      <c r="AQ24" s="123">
        <f t="shared" si="7"/>
        <v>0</v>
      </c>
      <c r="AR24" s="123">
        <f t="shared" si="7"/>
        <v>680081.18677566713</v>
      </c>
      <c r="AS24" s="123">
        <f t="shared" si="7"/>
        <v>0</v>
      </c>
      <c r="AT24" s="123">
        <f t="shared" si="7"/>
        <v>680081.18677566713</v>
      </c>
      <c r="AU24" s="123">
        <f t="shared" si="7"/>
        <v>340040.59338783356</v>
      </c>
      <c r="AV24" s="123">
        <f t="shared" si="7"/>
        <v>340040.59338783356</v>
      </c>
      <c r="AW24" s="123">
        <f t="shared" si="7"/>
        <v>340040.59338783356</v>
      </c>
      <c r="AX24" s="123">
        <f t="shared" si="7"/>
        <v>340040.59338783356</v>
      </c>
      <c r="AY24" s="123">
        <f t="shared" si="7"/>
        <v>340040.59338783356</v>
      </c>
      <c r="AZ24" s="157">
        <f t="shared" si="5"/>
        <v>16407582.022740357</v>
      </c>
    </row>
    <row r="25" spans="1:52" x14ac:dyDescent="0.2">
      <c r="C25" s="154"/>
      <c r="D25" s="154"/>
      <c r="E25" s="154"/>
      <c r="F25" s="154"/>
      <c r="G25" s="154"/>
      <c r="H25" s="154"/>
      <c r="I25" s="154"/>
      <c r="J25" s="154"/>
      <c r="K25" s="154"/>
      <c r="L25" s="154"/>
      <c r="M25" s="154"/>
      <c r="N25" s="154"/>
      <c r="O25" s="154"/>
      <c r="P25" s="154"/>
      <c r="Q25" s="154"/>
      <c r="R25" s="154"/>
      <c r="S25" s="154"/>
      <c r="T25" s="154"/>
      <c r="U25" s="154"/>
      <c r="V25" s="154"/>
      <c r="W25" s="154"/>
      <c r="X25" s="154"/>
      <c r="Y25" s="154"/>
      <c r="Z25" s="154"/>
      <c r="AA25" s="154"/>
      <c r="AB25" s="154"/>
      <c r="AC25" s="154"/>
      <c r="AD25" s="154"/>
      <c r="AE25" s="154"/>
      <c r="AF25" s="154"/>
      <c r="AG25" s="154"/>
      <c r="AH25" s="154"/>
      <c r="AI25" s="154"/>
      <c r="AJ25" s="154"/>
      <c r="AK25" s="154"/>
      <c r="AL25" s="154"/>
      <c r="AM25" s="154"/>
      <c r="AN25" s="154"/>
      <c r="AO25" s="154"/>
      <c r="AP25" s="154"/>
      <c r="AQ25" s="154"/>
      <c r="AR25" s="154"/>
      <c r="AS25" s="154"/>
      <c r="AT25" s="154"/>
      <c r="AU25" s="154"/>
      <c r="AV25" s="154"/>
      <c r="AW25" s="154"/>
      <c r="AX25" s="154"/>
      <c r="AY25" s="154"/>
      <c r="AZ25" s="123"/>
    </row>
    <row r="26" spans="1:52" x14ac:dyDescent="0.2">
      <c r="A26" s="179" t="s">
        <v>18</v>
      </c>
      <c r="C26" s="123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</row>
    <row r="27" spans="1:52" x14ac:dyDescent="0.2">
      <c r="B27" s="151" t="s">
        <v>309</v>
      </c>
      <c r="C27" s="140">
        <v>53</v>
      </c>
      <c r="D27" s="140">
        <f>C$27-C$28+C$29</f>
        <v>0</v>
      </c>
      <c r="E27" s="140">
        <f t="shared" ref="E27:AY27" si="8">D27-D28+D29</f>
        <v>53</v>
      </c>
      <c r="F27" s="140">
        <f t="shared" si="8"/>
        <v>14</v>
      </c>
      <c r="G27" s="140">
        <f t="shared" si="8"/>
        <v>39</v>
      </c>
      <c r="H27" s="140">
        <f t="shared" si="8"/>
        <v>14</v>
      </c>
      <c r="I27" s="140">
        <f t="shared" si="8"/>
        <v>39</v>
      </c>
      <c r="J27" s="140">
        <f t="shared" si="8"/>
        <v>14</v>
      </c>
      <c r="K27" s="140">
        <f t="shared" si="8"/>
        <v>39</v>
      </c>
      <c r="L27" s="140">
        <f t="shared" si="8"/>
        <v>14</v>
      </c>
      <c r="M27" s="140">
        <f t="shared" si="8"/>
        <v>39</v>
      </c>
      <c r="N27" s="140">
        <f t="shared" si="8"/>
        <v>14</v>
      </c>
      <c r="O27" s="140">
        <f t="shared" si="8"/>
        <v>39</v>
      </c>
      <c r="P27" s="140">
        <f t="shared" si="8"/>
        <v>14</v>
      </c>
      <c r="Q27" s="140">
        <f t="shared" si="8"/>
        <v>39</v>
      </c>
      <c r="R27" s="140">
        <f t="shared" si="8"/>
        <v>14</v>
      </c>
      <c r="S27" s="140">
        <f t="shared" si="8"/>
        <v>39</v>
      </c>
      <c r="T27" s="140">
        <f t="shared" si="8"/>
        <v>14</v>
      </c>
      <c r="U27" s="140">
        <f t="shared" si="8"/>
        <v>39</v>
      </c>
      <c r="V27" s="140">
        <f t="shared" si="8"/>
        <v>14</v>
      </c>
      <c r="W27" s="140">
        <f t="shared" si="8"/>
        <v>53</v>
      </c>
      <c r="X27" s="140">
        <f t="shared" si="8"/>
        <v>0</v>
      </c>
      <c r="Y27" s="140">
        <f t="shared" si="8"/>
        <v>53</v>
      </c>
      <c r="Z27" s="140">
        <f t="shared" si="8"/>
        <v>14</v>
      </c>
      <c r="AA27" s="140">
        <f t="shared" si="8"/>
        <v>39</v>
      </c>
      <c r="AB27" s="140">
        <f t="shared" si="8"/>
        <v>14</v>
      </c>
      <c r="AC27" s="140">
        <f t="shared" si="8"/>
        <v>39</v>
      </c>
      <c r="AD27" s="140">
        <f t="shared" si="8"/>
        <v>14</v>
      </c>
      <c r="AE27" s="140">
        <f t="shared" si="8"/>
        <v>39</v>
      </c>
      <c r="AF27" s="140">
        <f t="shared" si="8"/>
        <v>14</v>
      </c>
      <c r="AG27" s="140">
        <f t="shared" si="8"/>
        <v>39</v>
      </c>
      <c r="AH27" s="140">
        <f t="shared" si="8"/>
        <v>14</v>
      </c>
      <c r="AI27" s="140">
        <f t="shared" si="8"/>
        <v>39</v>
      </c>
      <c r="AJ27" s="140">
        <f t="shared" si="8"/>
        <v>14</v>
      </c>
      <c r="AK27" s="140">
        <f t="shared" si="8"/>
        <v>39</v>
      </c>
      <c r="AL27" s="140">
        <f t="shared" si="8"/>
        <v>53</v>
      </c>
      <c r="AM27" s="140">
        <f t="shared" si="8"/>
        <v>0</v>
      </c>
      <c r="AN27" s="140">
        <f t="shared" si="8"/>
        <v>53</v>
      </c>
      <c r="AO27" s="140">
        <f t="shared" si="8"/>
        <v>14</v>
      </c>
      <c r="AP27" s="140">
        <f t="shared" si="8"/>
        <v>39</v>
      </c>
      <c r="AQ27" s="140">
        <f t="shared" si="8"/>
        <v>14</v>
      </c>
      <c r="AR27" s="140">
        <f t="shared" si="8"/>
        <v>53</v>
      </c>
      <c r="AS27" s="140">
        <f t="shared" si="8"/>
        <v>0</v>
      </c>
      <c r="AT27" s="140">
        <f t="shared" si="8"/>
        <v>53</v>
      </c>
      <c r="AU27" s="140">
        <f t="shared" si="8"/>
        <v>0</v>
      </c>
      <c r="AV27" s="140">
        <f t="shared" si="8"/>
        <v>53</v>
      </c>
      <c r="AW27" s="140">
        <f t="shared" si="8"/>
        <v>14</v>
      </c>
      <c r="AX27" s="140">
        <f t="shared" si="8"/>
        <v>39</v>
      </c>
      <c r="AY27" s="180">
        <f t="shared" si="8"/>
        <v>14</v>
      </c>
      <c r="AZ27" s="123"/>
    </row>
    <row r="28" spans="1:52" x14ac:dyDescent="0.2">
      <c r="B28" s="181" t="s">
        <v>310</v>
      </c>
      <c r="C28" s="127">
        <v>53</v>
      </c>
      <c r="D28" s="127">
        <v>0</v>
      </c>
      <c r="E28" s="127">
        <v>39</v>
      </c>
      <c r="F28" s="127">
        <v>14</v>
      </c>
      <c r="G28" s="127">
        <v>39</v>
      </c>
      <c r="H28" s="127">
        <v>14</v>
      </c>
      <c r="I28" s="127">
        <v>39</v>
      </c>
      <c r="J28" s="127">
        <v>14</v>
      </c>
      <c r="K28" s="127">
        <v>39</v>
      </c>
      <c r="L28" s="127">
        <v>14</v>
      </c>
      <c r="M28" s="127">
        <v>39</v>
      </c>
      <c r="N28" s="127">
        <v>14</v>
      </c>
      <c r="O28" s="127">
        <v>39</v>
      </c>
      <c r="P28" s="127">
        <v>14</v>
      </c>
      <c r="Q28" s="127">
        <v>39</v>
      </c>
      <c r="R28" s="127">
        <v>14</v>
      </c>
      <c r="S28" s="127">
        <v>39</v>
      </c>
      <c r="T28" s="127">
        <v>14</v>
      </c>
      <c r="U28" s="127">
        <v>39</v>
      </c>
      <c r="V28" s="127">
        <v>0</v>
      </c>
      <c r="W28" s="127">
        <v>53</v>
      </c>
      <c r="X28" s="127">
        <v>0</v>
      </c>
      <c r="Y28" s="127">
        <v>39</v>
      </c>
      <c r="Z28" s="127">
        <v>14</v>
      </c>
      <c r="AA28" s="127">
        <v>39</v>
      </c>
      <c r="AB28" s="127">
        <v>14</v>
      </c>
      <c r="AC28" s="127">
        <v>39</v>
      </c>
      <c r="AD28" s="127">
        <v>14</v>
      </c>
      <c r="AE28" s="127">
        <v>39</v>
      </c>
      <c r="AF28" s="127">
        <v>14</v>
      </c>
      <c r="AG28" s="127">
        <v>39</v>
      </c>
      <c r="AH28" s="127">
        <v>14</v>
      </c>
      <c r="AI28" s="127">
        <v>39</v>
      </c>
      <c r="AJ28" s="127">
        <v>14</v>
      </c>
      <c r="AK28" s="127">
        <v>0</v>
      </c>
      <c r="AL28" s="127">
        <v>53</v>
      </c>
      <c r="AM28" s="127">
        <v>0</v>
      </c>
      <c r="AN28" s="127">
        <v>39</v>
      </c>
      <c r="AO28" s="127">
        <v>14</v>
      </c>
      <c r="AP28" s="127">
        <v>39</v>
      </c>
      <c r="AQ28" s="127">
        <v>0</v>
      </c>
      <c r="AR28" s="127">
        <v>53</v>
      </c>
      <c r="AS28" s="127">
        <v>0</v>
      </c>
      <c r="AT28" s="127">
        <v>53</v>
      </c>
      <c r="AU28" s="127">
        <v>0</v>
      </c>
      <c r="AV28" s="127">
        <v>39</v>
      </c>
      <c r="AW28" s="127">
        <v>14</v>
      </c>
      <c r="AX28" s="127">
        <v>39</v>
      </c>
      <c r="AY28" s="182">
        <v>14</v>
      </c>
      <c r="AZ28" s="123"/>
    </row>
    <row r="29" spans="1:52" x14ac:dyDescent="0.2">
      <c r="B29" s="152" t="s">
        <v>311</v>
      </c>
      <c r="C29" s="141">
        <v>0</v>
      </c>
      <c r="D29" s="141">
        <f>C$28</f>
        <v>53</v>
      </c>
      <c r="E29" s="141">
        <f t="shared" ref="E29:AY29" si="9">D$28</f>
        <v>0</v>
      </c>
      <c r="F29" s="141">
        <f t="shared" si="9"/>
        <v>39</v>
      </c>
      <c r="G29" s="141">
        <f t="shared" si="9"/>
        <v>14</v>
      </c>
      <c r="H29" s="141">
        <f t="shared" si="9"/>
        <v>39</v>
      </c>
      <c r="I29" s="141">
        <f t="shared" si="9"/>
        <v>14</v>
      </c>
      <c r="J29" s="141">
        <f t="shared" si="9"/>
        <v>39</v>
      </c>
      <c r="K29" s="141">
        <f t="shared" si="9"/>
        <v>14</v>
      </c>
      <c r="L29" s="141">
        <f t="shared" si="9"/>
        <v>39</v>
      </c>
      <c r="M29" s="141">
        <f t="shared" si="9"/>
        <v>14</v>
      </c>
      <c r="N29" s="141">
        <f t="shared" si="9"/>
        <v>39</v>
      </c>
      <c r="O29" s="141">
        <f t="shared" si="9"/>
        <v>14</v>
      </c>
      <c r="P29" s="141">
        <f t="shared" si="9"/>
        <v>39</v>
      </c>
      <c r="Q29" s="141">
        <f t="shared" si="9"/>
        <v>14</v>
      </c>
      <c r="R29" s="141">
        <f t="shared" si="9"/>
        <v>39</v>
      </c>
      <c r="S29" s="141">
        <f t="shared" si="9"/>
        <v>14</v>
      </c>
      <c r="T29" s="141">
        <f t="shared" si="9"/>
        <v>39</v>
      </c>
      <c r="U29" s="141">
        <f t="shared" si="9"/>
        <v>14</v>
      </c>
      <c r="V29" s="141">
        <f t="shared" si="9"/>
        <v>39</v>
      </c>
      <c r="W29" s="141">
        <f t="shared" si="9"/>
        <v>0</v>
      </c>
      <c r="X29" s="141">
        <f t="shared" si="9"/>
        <v>53</v>
      </c>
      <c r="Y29" s="141">
        <f t="shared" si="9"/>
        <v>0</v>
      </c>
      <c r="Z29" s="141">
        <f t="shared" si="9"/>
        <v>39</v>
      </c>
      <c r="AA29" s="141">
        <f t="shared" si="9"/>
        <v>14</v>
      </c>
      <c r="AB29" s="141">
        <f t="shared" si="9"/>
        <v>39</v>
      </c>
      <c r="AC29" s="141">
        <f t="shared" si="9"/>
        <v>14</v>
      </c>
      <c r="AD29" s="141">
        <f t="shared" si="9"/>
        <v>39</v>
      </c>
      <c r="AE29" s="141">
        <f t="shared" si="9"/>
        <v>14</v>
      </c>
      <c r="AF29" s="141">
        <f t="shared" si="9"/>
        <v>39</v>
      </c>
      <c r="AG29" s="141">
        <f t="shared" si="9"/>
        <v>14</v>
      </c>
      <c r="AH29" s="141">
        <f t="shared" si="9"/>
        <v>39</v>
      </c>
      <c r="AI29" s="141">
        <f t="shared" si="9"/>
        <v>14</v>
      </c>
      <c r="AJ29" s="141">
        <f t="shared" si="9"/>
        <v>39</v>
      </c>
      <c r="AK29" s="141">
        <f t="shared" si="9"/>
        <v>14</v>
      </c>
      <c r="AL29" s="141">
        <f t="shared" si="9"/>
        <v>0</v>
      </c>
      <c r="AM29" s="141">
        <f t="shared" si="9"/>
        <v>53</v>
      </c>
      <c r="AN29" s="141">
        <f t="shared" si="9"/>
        <v>0</v>
      </c>
      <c r="AO29" s="141">
        <f t="shared" si="9"/>
        <v>39</v>
      </c>
      <c r="AP29" s="141">
        <f t="shared" si="9"/>
        <v>14</v>
      </c>
      <c r="AQ29" s="141">
        <f t="shared" si="9"/>
        <v>39</v>
      </c>
      <c r="AR29" s="141">
        <f t="shared" si="9"/>
        <v>0</v>
      </c>
      <c r="AS29" s="141">
        <f t="shared" si="9"/>
        <v>53</v>
      </c>
      <c r="AT29" s="141">
        <f t="shared" si="9"/>
        <v>0</v>
      </c>
      <c r="AU29" s="141">
        <f t="shared" si="9"/>
        <v>53</v>
      </c>
      <c r="AV29" s="141">
        <f t="shared" si="9"/>
        <v>0</v>
      </c>
      <c r="AW29" s="141">
        <f t="shared" si="9"/>
        <v>39</v>
      </c>
      <c r="AX29" s="141">
        <f t="shared" si="9"/>
        <v>14</v>
      </c>
      <c r="AY29" s="183">
        <f t="shared" si="9"/>
        <v>39</v>
      </c>
      <c r="AZ29" s="184"/>
    </row>
    <row r="30" spans="1:52" x14ac:dyDescent="0.2">
      <c r="A30" s="185" t="s">
        <v>312</v>
      </c>
      <c r="B30" s="160">
        <v>10</v>
      </c>
      <c r="C30" s="133" t="s">
        <v>293</v>
      </c>
      <c r="D30" s="133">
        <f>D$27*$B$30</f>
        <v>0</v>
      </c>
      <c r="E30" s="133">
        <f t="shared" ref="E30:AY30" si="10">E$27*$B$30</f>
        <v>530</v>
      </c>
      <c r="F30" s="133">
        <f t="shared" si="10"/>
        <v>140</v>
      </c>
      <c r="G30" s="133">
        <f t="shared" si="10"/>
        <v>390</v>
      </c>
      <c r="H30" s="133">
        <f t="shared" si="10"/>
        <v>140</v>
      </c>
      <c r="I30" s="133">
        <f t="shared" si="10"/>
        <v>390</v>
      </c>
      <c r="J30" s="133">
        <f t="shared" si="10"/>
        <v>140</v>
      </c>
      <c r="K30" s="133">
        <f t="shared" si="10"/>
        <v>390</v>
      </c>
      <c r="L30" s="133">
        <f t="shared" si="10"/>
        <v>140</v>
      </c>
      <c r="M30" s="133">
        <f t="shared" si="10"/>
        <v>390</v>
      </c>
      <c r="N30" s="133">
        <f t="shared" si="10"/>
        <v>140</v>
      </c>
      <c r="O30" s="133">
        <f t="shared" si="10"/>
        <v>390</v>
      </c>
      <c r="P30" s="133">
        <f t="shared" si="10"/>
        <v>140</v>
      </c>
      <c r="Q30" s="133">
        <f t="shared" si="10"/>
        <v>390</v>
      </c>
      <c r="R30" s="133">
        <f>R$27*$B$30</f>
        <v>140</v>
      </c>
      <c r="S30" s="133">
        <f t="shared" si="10"/>
        <v>390</v>
      </c>
      <c r="T30" s="133">
        <f t="shared" si="10"/>
        <v>140</v>
      </c>
      <c r="U30" s="133">
        <f t="shared" si="10"/>
        <v>390</v>
      </c>
      <c r="V30" s="133">
        <f t="shared" si="10"/>
        <v>140</v>
      </c>
      <c r="W30" s="133">
        <f t="shared" si="10"/>
        <v>530</v>
      </c>
      <c r="X30" s="133">
        <f t="shared" si="10"/>
        <v>0</v>
      </c>
      <c r="Y30" s="133">
        <f t="shared" si="10"/>
        <v>530</v>
      </c>
      <c r="Z30" s="133">
        <f t="shared" si="10"/>
        <v>140</v>
      </c>
      <c r="AA30" s="133">
        <f t="shared" si="10"/>
        <v>390</v>
      </c>
      <c r="AB30" s="133">
        <f t="shared" si="10"/>
        <v>140</v>
      </c>
      <c r="AC30" s="133">
        <f t="shared" si="10"/>
        <v>390</v>
      </c>
      <c r="AD30" s="133">
        <f t="shared" si="10"/>
        <v>140</v>
      </c>
      <c r="AE30" s="133">
        <f>AE$27*$B$30</f>
        <v>390</v>
      </c>
      <c r="AF30" s="133">
        <f t="shared" si="10"/>
        <v>140</v>
      </c>
      <c r="AG30" s="133">
        <f t="shared" si="10"/>
        <v>390</v>
      </c>
      <c r="AH30" s="133">
        <f t="shared" si="10"/>
        <v>140</v>
      </c>
      <c r="AI30" s="133">
        <f t="shared" si="10"/>
        <v>390</v>
      </c>
      <c r="AJ30" s="133">
        <f t="shared" si="10"/>
        <v>140</v>
      </c>
      <c r="AK30" s="133">
        <f t="shared" si="10"/>
        <v>390</v>
      </c>
      <c r="AL30" s="133">
        <f t="shared" si="10"/>
        <v>530</v>
      </c>
      <c r="AM30" s="133">
        <f t="shared" si="10"/>
        <v>0</v>
      </c>
      <c r="AN30" s="133">
        <f t="shared" si="10"/>
        <v>530</v>
      </c>
      <c r="AO30" s="133">
        <f t="shared" si="10"/>
        <v>140</v>
      </c>
      <c r="AP30" s="133">
        <f t="shared" si="10"/>
        <v>390</v>
      </c>
      <c r="AQ30" s="133">
        <f t="shared" si="10"/>
        <v>140</v>
      </c>
      <c r="AR30" s="133">
        <f t="shared" si="10"/>
        <v>530</v>
      </c>
      <c r="AS30" s="133">
        <f t="shared" si="10"/>
        <v>0</v>
      </c>
      <c r="AT30" s="133">
        <f t="shared" si="10"/>
        <v>530</v>
      </c>
      <c r="AU30" s="133">
        <f t="shared" si="10"/>
        <v>0</v>
      </c>
      <c r="AV30" s="133">
        <f t="shared" si="10"/>
        <v>530</v>
      </c>
      <c r="AW30" s="133">
        <f t="shared" si="10"/>
        <v>140</v>
      </c>
      <c r="AX30" s="133">
        <f t="shared" si="10"/>
        <v>390</v>
      </c>
      <c r="AY30" s="133">
        <f t="shared" si="10"/>
        <v>140</v>
      </c>
      <c r="AZ30" s="157">
        <f t="shared" si="5"/>
        <v>13140</v>
      </c>
    </row>
    <row r="32" spans="1:52" x14ac:dyDescent="0.2">
      <c r="A32" s="1" t="s">
        <v>300</v>
      </c>
    </row>
    <row r="33" spans="1:52" x14ac:dyDescent="0.2">
      <c r="A33" s="151" t="s">
        <v>22</v>
      </c>
      <c r="B33" s="151" t="s">
        <v>341</v>
      </c>
      <c r="C33" s="140"/>
      <c r="D33" s="140">
        <f>D$21*shipping_manufacturing!$H$27/100</f>
        <v>0</v>
      </c>
      <c r="E33" s="140">
        <f>E$21*shipping_manufacturing!$H$27/100</f>
        <v>0</v>
      </c>
      <c r="F33" s="140">
        <f>F$21*shipping_manufacturing!$H$27/100</f>
        <v>0</v>
      </c>
      <c r="G33" s="140">
        <f>G$21*shipping_manufacturing!$H$27/100</f>
        <v>0</v>
      </c>
      <c r="H33" s="140">
        <f>H$21*shipping_manufacturing!$H$27/100</f>
        <v>0</v>
      </c>
      <c r="I33" s="140">
        <f>I$21*shipping_manufacturing!$H$27/100</f>
        <v>0</v>
      </c>
      <c r="J33" s="140">
        <f>J$21*shipping_manufacturing!$H$27/100</f>
        <v>0</v>
      </c>
      <c r="K33" s="140">
        <f>K$21*shipping_manufacturing!$H$27/100</f>
        <v>0</v>
      </c>
      <c r="L33" s="140">
        <f>L$21*shipping_manufacturing!$H$27/100</f>
        <v>0</v>
      </c>
      <c r="M33" s="140">
        <f>M$21*shipping_manufacturing!$H$27/100</f>
        <v>0</v>
      </c>
      <c r="N33" s="140">
        <f>N$21*shipping_manufacturing!$H$27/100</f>
        <v>0</v>
      </c>
      <c r="O33" s="140">
        <f>O$21*shipping_manufacturing!$H$27/100</f>
        <v>0</v>
      </c>
      <c r="P33" s="140">
        <f>P$21*shipping_manufacturing!$H$27/100</f>
        <v>0</v>
      </c>
      <c r="Q33" s="140">
        <f>Q$21*shipping_manufacturing!$H$27/100</f>
        <v>0</v>
      </c>
      <c r="R33" s="140">
        <f>R$21*shipping_manufacturing!$H$27/100</f>
        <v>0</v>
      </c>
      <c r="S33" s="140">
        <f>S$21*shipping_manufacturing!$H$27/100</f>
        <v>0</v>
      </c>
      <c r="T33" s="140">
        <f>T$21*shipping_manufacturing!$H$27/100</f>
        <v>0</v>
      </c>
      <c r="U33" s="140">
        <f>U$21*shipping_manufacturing!$H$27/100</f>
        <v>0</v>
      </c>
      <c r="V33" s="140">
        <f>V$21*shipping_manufacturing!$H$27/100</f>
        <v>0</v>
      </c>
      <c r="W33" s="140">
        <f>W$21*shipping_manufacturing!$H$27/100</f>
        <v>0</v>
      </c>
      <c r="X33" s="140">
        <f>X$21*shipping_manufacturing!$H$27/100</f>
        <v>0</v>
      </c>
      <c r="Y33" s="140">
        <f>Y$21*shipping_manufacturing!$H$27/100</f>
        <v>0</v>
      </c>
      <c r="Z33" s="140">
        <f>Z$21*shipping_manufacturing!$H$27/100</f>
        <v>0</v>
      </c>
      <c r="AA33" s="140">
        <f>AA$21*shipping_manufacturing!$H$27/100</f>
        <v>0</v>
      </c>
      <c r="AB33" s="140">
        <f>AB$21*shipping_manufacturing!$H$27/100</f>
        <v>0</v>
      </c>
      <c r="AC33" s="140">
        <f>AC$21*shipping_manufacturing!$H$27/100</f>
        <v>0</v>
      </c>
      <c r="AD33" s="140">
        <f>AD$21*shipping_manufacturing!$H$27/100</f>
        <v>0</v>
      </c>
      <c r="AE33" s="140">
        <f>AE$21*shipping_manufacturing!$H$27/100</f>
        <v>0</v>
      </c>
      <c r="AF33" s="140">
        <f>AF$21*shipping_manufacturing!$H$27/100</f>
        <v>0</v>
      </c>
      <c r="AG33" s="140">
        <f>AG$21*shipping_manufacturing!$H$27/100</f>
        <v>0</v>
      </c>
      <c r="AH33" s="140">
        <f>AH$21*shipping_manufacturing!$H$27/100</f>
        <v>0</v>
      </c>
      <c r="AI33" s="140">
        <f>AI$21*shipping_manufacturing!$H$27/100</f>
        <v>0</v>
      </c>
      <c r="AJ33" s="140">
        <f>AJ$21*shipping_manufacturing!$H$27/100</f>
        <v>0</v>
      </c>
      <c r="AK33" s="140">
        <f>AK$21*shipping_manufacturing!$H$27/100</f>
        <v>0</v>
      </c>
      <c r="AL33" s="140">
        <f>AL$21*shipping_manufacturing!$H$27/100</f>
        <v>0</v>
      </c>
      <c r="AM33" s="140">
        <f>AM$21*shipping_manufacturing!$H$27/100</f>
        <v>0</v>
      </c>
      <c r="AN33" s="140">
        <f>AN$21*shipping_manufacturing!$H$27/100</f>
        <v>0</v>
      </c>
      <c r="AO33" s="140">
        <f>AO$21*shipping_manufacturing!$H$27/100</f>
        <v>0</v>
      </c>
      <c r="AP33" s="140">
        <f>AP$21*shipping_manufacturing!$H$27/100</f>
        <v>0</v>
      </c>
      <c r="AQ33" s="140">
        <f>AQ$21*shipping_manufacturing!$H$27/100</f>
        <v>0</v>
      </c>
      <c r="AR33" s="140">
        <f>AR$21*shipping_manufacturing!$H$27/100</f>
        <v>0</v>
      </c>
      <c r="AS33" s="140">
        <f>AS$21*shipping_manufacturing!$H$27/100</f>
        <v>0</v>
      </c>
      <c r="AT33" s="140">
        <f>AT$21*shipping_manufacturing!$H$27/100</f>
        <v>0</v>
      </c>
      <c r="AU33" s="140">
        <f>AU$21*shipping_manufacturing!$H$27/100</f>
        <v>0</v>
      </c>
      <c r="AV33" s="140">
        <f>AV$21*shipping_manufacturing!$H$27/100</f>
        <v>0</v>
      </c>
      <c r="AW33" s="140">
        <f>AW$21*shipping_manufacturing!$H$27/100</f>
        <v>0</v>
      </c>
      <c r="AX33" s="140">
        <f>AX$21*shipping_manufacturing!$H$27/100</f>
        <v>0</v>
      </c>
      <c r="AY33" s="140">
        <f>AY$21*shipping_manufacturing!$H$27/100</f>
        <v>0</v>
      </c>
    </row>
    <row r="34" spans="1:52" x14ac:dyDescent="0.2">
      <c r="A34" s="129" t="s">
        <v>340</v>
      </c>
      <c r="B34" s="181" t="s">
        <v>342</v>
      </c>
      <c r="C34" s="127"/>
      <c r="D34" s="127">
        <f>D$22*shipping_manufacturing!$I$27/100</f>
        <v>425.6741335121871</v>
      </c>
      <c r="E34" s="127">
        <f>E$22*shipping_manufacturing!$I$27/100</f>
        <v>340.04059338783338</v>
      </c>
      <c r="F34" s="127">
        <f>F$22*shipping_manufacturing!$I$27/100</f>
        <v>340.04059338783338</v>
      </c>
      <c r="G34" s="127">
        <f>G$22*shipping_manufacturing!$I$27/100</f>
        <v>340.04059338783338</v>
      </c>
      <c r="H34" s="127">
        <f>H$22*shipping_manufacturing!$I$27/100</f>
        <v>340.04059338783338</v>
      </c>
      <c r="I34" s="127">
        <f>I$22*shipping_manufacturing!$I$27/100</f>
        <v>340.04059338783355</v>
      </c>
      <c r="J34" s="127">
        <f>J$22*shipping_manufacturing!$I$27/100</f>
        <v>340.04059338783355</v>
      </c>
      <c r="K34" s="127">
        <f>K$22*shipping_manufacturing!$I$27/100</f>
        <v>340.04059338783355</v>
      </c>
      <c r="L34" s="127">
        <f>L$22*shipping_manufacturing!$I$27/100</f>
        <v>340.04059338783355</v>
      </c>
      <c r="M34" s="127">
        <f>M$22*shipping_manufacturing!$I$27/100</f>
        <v>340.04059338783355</v>
      </c>
      <c r="N34" s="127">
        <f>N$22*shipping_manufacturing!$I$27/100</f>
        <v>340.04059338783355</v>
      </c>
      <c r="O34" s="127">
        <f>O$22*shipping_manufacturing!$I$27/100</f>
        <v>340.04059338783355</v>
      </c>
      <c r="P34" s="127">
        <f>P$22*shipping_manufacturing!$I$27/100</f>
        <v>340.04059338783355</v>
      </c>
      <c r="Q34" s="127">
        <f>Q$22*shipping_manufacturing!$I$27/100</f>
        <v>340.04059338783355</v>
      </c>
      <c r="R34" s="127">
        <f>R$22*shipping_manufacturing!$I$27/100</f>
        <v>340.04059338783355</v>
      </c>
      <c r="S34" s="127">
        <f>S$22*shipping_manufacturing!$I$27/100</f>
        <v>340.04059338783355</v>
      </c>
      <c r="T34" s="127">
        <f>T$22*shipping_manufacturing!$I$27/100</f>
        <v>340.04059338783355</v>
      </c>
      <c r="U34" s="127">
        <f>U$22*shipping_manufacturing!$I$27/100</f>
        <v>340.04059338783355</v>
      </c>
      <c r="V34" s="127">
        <f>V$22*shipping_manufacturing!$I$27/100</f>
        <v>0</v>
      </c>
      <c r="W34" s="127">
        <f>W$22*shipping_manufacturing!$I$27/100</f>
        <v>680.08118677566711</v>
      </c>
      <c r="X34" s="127">
        <f>X$22*shipping_manufacturing!$I$27/100</f>
        <v>340.04059338783355</v>
      </c>
      <c r="Y34" s="127">
        <f>Y$22*shipping_manufacturing!$I$27/100</f>
        <v>340.04059338783355</v>
      </c>
      <c r="Z34" s="127">
        <f>Z$22*shipping_manufacturing!$I$27/100</f>
        <v>340.04059338783355</v>
      </c>
      <c r="AA34" s="127">
        <f>AA$22*shipping_manufacturing!$I$27/100</f>
        <v>340.04059338783355</v>
      </c>
      <c r="AB34" s="127">
        <f>AB$22*shipping_manufacturing!$I$27/100</f>
        <v>340.04059338783355</v>
      </c>
      <c r="AC34" s="127">
        <f>AC$22*shipping_manufacturing!$I$27/100</f>
        <v>340.04059338783355</v>
      </c>
      <c r="AD34" s="127">
        <f>AD$22*shipping_manufacturing!$I$27/100</f>
        <v>340.04059338783355</v>
      </c>
      <c r="AE34" s="127">
        <f>AE$22*shipping_manufacturing!$I$27/100</f>
        <v>340.04059338783355</v>
      </c>
      <c r="AF34" s="127">
        <f>AF$22*shipping_manufacturing!$I$27/100</f>
        <v>340.04059338783355</v>
      </c>
      <c r="AG34" s="127">
        <f>AG$22*shipping_manufacturing!$I$27/100</f>
        <v>340.04059338783355</v>
      </c>
      <c r="AH34" s="127">
        <f>AH$22*shipping_manufacturing!$I$27/100</f>
        <v>340.04059338783355</v>
      </c>
      <c r="AI34" s="127">
        <f>AI$22*shipping_manufacturing!$I$27/100</f>
        <v>340.04059338783355</v>
      </c>
      <c r="AJ34" s="127">
        <f>AJ$22*shipping_manufacturing!$I$27/100</f>
        <v>340.04059338783355</v>
      </c>
      <c r="AK34" s="127">
        <f>AK$22*shipping_manufacturing!$I$27/100</f>
        <v>0</v>
      </c>
      <c r="AL34" s="127">
        <f>AL$22*shipping_manufacturing!$I$27/100</f>
        <v>680.08118677566711</v>
      </c>
      <c r="AM34" s="127">
        <f>AM$22*shipping_manufacturing!$I$27/100</f>
        <v>340.04059338783355</v>
      </c>
      <c r="AN34" s="127">
        <f>AN$22*shipping_manufacturing!$I$27/100</f>
        <v>340.04059338783355</v>
      </c>
      <c r="AO34" s="127">
        <f>AO$22*shipping_manufacturing!$I$27/100</f>
        <v>340.04059338783355</v>
      </c>
      <c r="AP34" s="127">
        <f>AP$22*shipping_manufacturing!$I$27/100</f>
        <v>340.04059338783355</v>
      </c>
      <c r="AQ34" s="127">
        <f>AQ$22*shipping_manufacturing!$I$27/100</f>
        <v>0</v>
      </c>
      <c r="AR34" s="127">
        <f>AR$22*shipping_manufacturing!$I$27/100</f>
        <v>680.08118677566711</v>
      </c>
      <c r="AS34" s="127">
        <f>AS$22*shipping_manufacturing!$I$27/100</f>
        <v>0</v>
      </c>
      <c r="AT34" s="127">
        <f>AT$22*shipping_manufacturing!$I$27/100</f>
        <v>680.08118677566711</v>
      </c>
      <c r="AU34" s="127">
        <f>AU$22*shipping_manufacturing!$I$27/100</f>
        <v>340.04059338783355</v>
      </c>
      <c r="AV34" s="127">
        <f>AV$22*shipping_manufacturing!$I$27/100</f>
        <v>340.04059338783355</v>
      </c>
      <c r="AW34" s="127">
        <f>AW$22*shipping_manufacturing!$I$27/100</f>
        <v>340.04059338783355</v>
      </c>
      <c r="AX34" s="127">
        <f>AX$22*shipping_manufacturing!$I$27/100</f>
        <v>340.04059338783355</v>
      </c>
      <c r="AY34" s="127">
        <f>AY$22*shipping_manufacturing!$I$27/100</f>
        <v>340.04059338783355</v>
      </c>
    </row>
    <row r="35" spans="1:52" x14ac:dyDescent="0.2">
      <c r="A35" s="127">
        <v>1245</v>
      </c>
      <c r="B35" s="181" t="s">
        <v>343</v>
      </c>
      <c r="C35" s="127"/>
      <c r="D35" s="127">
        <f>SUM(D33:D34)</f>
        <v>425.6741335121871</v>
      </c>
      <c r="E35" s="127">
        <f t="shared" ref="E35:AY35" si="11">SUM(E33:E34)</f>
        <v>340.04059338783338</v>
      </c>
      <c r="F35" s="127">
        <f t="shared" si="11"/>
        <v>340.04059338783338</v>
      </c>
      <c r="G35" s="127">
        <f t="shared" si="11"/>
        <v>340.04059338783338</v>
      </c>
      <c r="H35" s="127">
        <f t="shared" si="11"/>
        <v>340.04059338783338</v>
      </c>
      <c r="I35" s="127">
        <f t="shared" si="11"/>
        <v>340.04059338783355</v>
      </c>
      <c r="J35" s="127">
        <f t="shared" si="11"/>
        <v>340.04059338783355</v>
      </c>
      <c r="K35" s="127">
        <f t="shared" si="11"/>
        <v>340.04059338783355</v>
      </c>
      <c r="L35" s="127">
        <f t="shared" si="11"/>
        <v>340.04059338783355</v>
      </c>
      <c r="M35" s="127">
        <f t="shared" si="11"/>
        <v>340.04059338783355</v>
      </c>
      <c r="N35" s="127">
        <f t="shared" si="11"/>
        <v>340.04059338783355</v>
      </c>
      <c r="O35" s="127">
        <f t="shared" si="11"/>
        <v>340.04059338783355</v>
      </c>
      <c r="P35" s="127">
        <f t="shared" si="11"/>
        <v>340.04059338783355</v>
      </c>
      <c r="Q35" s="127">
        <f t="shared" si="11"/>
        <v>340.04059338783355</v>
      </c>
      <c r="R35" s="127">
        <f t="shared" si="11"/>
        <v>340.04059338783355</v>
      </c>
      <c r="S35" s="127">
        <f t="shared" si="11"/>
        <v>340.04059338783355</v>
      </c>
      <c r="T35" s="127">
        <f t="shared" si="11"/>
        <v>340.04059338783355</v>
      </c>
      <c r="U35" s="127">
        <f t="shared" si="11"/>
        <v>340.04059338783355</v>
      </c>
      <c r="V35" s="127">
        <f t="shared" si="11"/>
        <v>0</v>
      </c>
      <c r="W35" s="127">
        <f t="shared" si="11"/>
        <v>680.08118677566711</v>
      </c>
      <c r="X35" s="127">
        <f t="shared" si="11"/>
        <v>340.04059338783355</v>
      </c>
      <c r="Y35" s="127">
        <f t="shared" si="11"/>
        <v>340.04059338783355</v>
      </c>
      <c r="Z35" s="127">
        <f t="shared" si="11"/>
        <v>340.04059338783355</v>
      </c>
      <c r="AA35" s="127">
        <f t="shared" si="11"/>
        <v>340.04059338783355</v>
      </c>
      <c r="AB35" s="127">
        <f t="shared" si="11"/>
        <v>340.04059338783355</v>
      </c>
      <c r="AC35" s="127">
        <f t="shared" si="11"/>
        <v>340.04059338783355</v>
      </c>
      <c r="AD35" s="127">
        <f t="shared" si="11"/>
        <v>340.04059338783355</v>
      </c>
      <c r="AE35" s="127">
        <f t="shared" si="11"/>
        <v>340.04059338783355</v>
      </c>
      <c r="AF35" s="127">
        <f t="shared" si="11"/>
        <v>340.04059338783355</v>
      </c>
      <c r="AG35" s="127">
        <f t="shared" si="11"/>
        <v>340.04059338783355</v>
      </c>
      <c r="AH35" s="127">
        <f t="shared" si="11"/>
        <v>340.04059338783355</v>
      </c>
      <c r="AI35" s="127">
        <f t="shared" si="11"/>
        <v>340.04059338783355</v>
      </c>
      <c r="AJ35" s="127">
        <f t="shared" si="11"/>
        <v>340.04059338783355</v>
      </c>
      <c r="AK35" s="127">
        <f t="shared" si="11"/>
        <v>0</v>
      </c>
      <c r="AL35" s="127">
        <f t="shared" si="11"/>
        <v>680.08118677566711</v>
      </c>
      <c r="AM35" s="127">
        <f t="shared" si="11"/>
        <v>340.04059338783355</v>
      </c>
      <c r="AN35" s="127">
        <f t="shared" si="11"/>
        <v>340.04059338783355</v>
      </c>
      <c r="AO35" s="127">
        <f t="shared" si="11"/>
        <v>340.04059338783355</v>
      </c>
      <c r="AP35" s="127">
        <f t="shared" si="11"/>
        <v>340.04059338783355</v>
      </c>
      <c r="AQ35" s="127">
        <f t="shared" si="11"/>
        <v>0</v>
      </c>
      <c r="AR35" s="127">
        <f t="shared" si="11"/>
        <v>680.08118677566711</v>
      </c>
      <c r="AS35" s="127">
        <f t="shared" si="11"/>
        <v>0</v>
      </c>
      <c r="AT35" s="127">
        <f t="shared" si="11"/>
        <v>680.08118677566711</v>
      </c>
      <c r="AU35" s="127">
        <f t="shared" si="11"/>
        <v>340.04059338783355</v>
      </c>
      <c r="AV35" s="127">
        <f t="shared" si="11"/>
        <v>340.04059338783355</v>
      </c>
      <c r="AW35" s="127">
        <f t="shared" si="11"/>
        <v>340.04059338783355</v>
      </c>
      <c r="AX35" s="127">
        <f t="shared" si="11"/>
        <v>340.04059338783355</v>
      </c>
      <c r="AY35" s="127">
        <f t="shared" si="11"/>
        <v>340.04059338783355</v>
      </c>
    </row>
    <row r="36" spans="1:52" x14ac:dyDescent="0.2">
      <c r="A36" s="127"/>
      <c r="B36" s="181" t="s">
        <v>344</v>
      </c>
      <c r="C36" s="127"/>
      <c r="D36" s="127"/>
      <c r="E36" s="127">
        <v>0</v>
      </c>
      <c r="F36" s="127"/>
      <c r="G36" s="127">
        <v>0</v>
      </c>
      <c r="H36" s="127"/>
      <c r="I36" s="127">
        <v>0</v>
      </c>
      <c r="J36" s="127"/>
      <c r="K36" s="127">
        <v>0</v>
      </c>
      <c r="L36" s="127"/>
      <c r="M36" s="127">
        <v>0</v>
      </c>
      <c r="N36" s="127"/>
      <c r="O36" s="127">
        <v>0</v>
      </c>
      <c r="P36" s="127"/>
      <c r="Q36" s="127">
        <v>0</v>
      </c>
      <c r="R36" s="127"/>
      <c r="S36" s="127">
        <v>0</v>
      </c>
      <c r="T36" s="127"/>
      <c r="U36" s="127">
        <v>0</v>
      </c>
      <c r="V36" s="127"/>
      <c r="W36" s="127">
        <v>0</v>
      </c>
      <c r="X36" s="127"/>
      <c r="Y36" s="127">
        <v>0</v>
      </c>
      <c r="Z36" s="127"/>
      <c r="AA36" s="127">
        <v>0</v>
      </c>
      <c r="AB36" s="127"/>
      <c r="AC36" s="127">
        <v>0</v>
      </c>
      <c r="AD36" s="127"/>
      <c r="AE36" s="127">
        <v>0</v>
      </c>
      <c r="AF36" s="127"/>
      <c r="AG36" s="127">
        <v>0</v>
      </c>
      <c r="AH36" s="127"/>
      <c r="AI36" s="127">
        <v>0</v>
      </c>
      <c r="AJ36" s="127"/>
      <c r="AK36" s="127"/>
      <c r="AL36" s="127">
        <v>0</v>
      </c>
      <c r="AM36" s="127"/>
      <c r="AN36" s="127">
        <v>0</v>
      </c>
      <c r="AO36" s="127"/>
      <c r="AP36" s="127">
        <v>0</v>
      </c>
      <c r="AQ36" s="127"/>
      <c r="AR36" s="127">
        <v>0</v>
      </c>
      <c r="AS36" s="127"/>
      <c r="AT36" s="127">
        <v>0</v>
      </c>
      <c r="AU36" s="127"/>
      <c r="AV36" s="127">
        <v>0</v>
      </c>
      <c r="AW36" s="127"/>
      <c r="AX36" s="127">
        <v>0</v>
      </c>
      <c r="AY36" s="127"/>
    </row>
    <row r="37" spans="1:52" x14ac:dyDescent="0.2">
      <c r="A37" s="127"/>
      <c r="B37" s="181" t="s">
        <v>345</v>
      </c>
      <c r="C37" s="127"/>
      <c r="D37" s="127"/>
      <c r="E37" s="127">
        <v>340.04059338783338</v>
      </c>
      <c r="F37" s="127"/>
      <c r="G37" s="127">
        <v>340.04059338783338</v>
      </c>
      <c r="H37" s="127"/>
      <c r="I37" s="127">
        <v>340.04059338783355</v>
      </c>
      <c r="J37" s="127"/>
      <c r="K37" s="127">
        <v>340.04059338783355</v>
      </c>
      <c r="L37" s="127"/>
      <c r="M37" s="127">
        <v>340.04059338783355</v>
      </c>
      <c r="N37" s="127"/>
      <c r="O37" s="127">
        <v>340.04059338783355</v>
      </c>
      <c r="P37" s="127"/>
      <c r="Q37" s="127">
        <v>340.04059338783355</v>
      </c>
      <c r="R37" s="127"/>
      <c r="S37" s="127">
        <v>340.04059338783355</v>
      </c>
      <c r="T37" s="127"/>
      <c r="U37" s="127">
        <v>340.04059338783355</v>
      </c>
      <c r="V37" s="127"/>
      <c r="W37" s="127">
        <v>330</v>
      </c>
      <c r="X37" s="127"/>
      <c r="Y37" s="127">
        <v>340.04059338783355</v>
      </c>
      <c r="Z37" s="127"/>
      <c r="AA37" s="127">
        <v>340.04059338783355</v>
      </c>
      <c r="AB37" s="127"/>
      <c r="AC37" s="127">
        <v>340.04059338783355</v>
      </c>
      <c r="AD37" s="127"/>
      <c r="AE37" s="127">
        <v>340.04059338783355</v>
      </c>
      <c r="AF37" s="127"/>
      <c r="AG37" s="127">
        <v>340.04059338783355</v>
      </c>
      <c r="AH37" s="127"/>
      <c r="AI37" s="127">
        <v>340.04059338783355</v>
      </c>
      <c r="AJ37" s="127"/>
      <c r="AK37" s="127"/>
      <c r="AL37" s="127">
        <v>330</v>
      </c>
      <c r="AM37" s="127"/>
      <c r="AN37" s="127">
        <v>340.04059338783355</v>
      </c>
      <c r="AO37" s="127"/>
      <c r="AP37" s="127">
        <v>340.04059338783355</v>
      </c>
      <c r="AQ37" s="127"/>
      <c r="AR37" s="127">
        <v>330</v>
      </c>
      <c r="AS37" s="127"/>
      <c r="AT37" s="127">
        <v>330</v>
      </c>
      <c r="AU37" s="127"/>
      <c r="AV37" s="127">
        <v>340.04059338783355</v>
      </c>
      <c r="AW37" s="127"/>
      <c r="AX37" s="127">
        <v>340.04059338783355</v>
      </c>
      <c r="AY37" s="127"/>
    </row>
    <row r="38" spans="1:52" x14ac:dyDescent="0.2">
      <c r="A38" s="127"/>
      <c r="B38" s="181" t="s">
        <v>346</v>
      </c>
      <c r="C38" s="127"/>
      <c r="D38" s="127"/>
      <c r="E38" s="127">
        <v>12</v>
      </c>
      <c r="F38" s="127"/>
      <c r="G38" s="127">
        <v>12</v>
      </c>
      <c r="H38" s="127"/>
      <c r="I38" s="127">
        <v>12</v>
      </c>
      <c r="J38" s="127"/>
      <c r="K38" s="127">
        <v>12</v>
      </c>
      <c r="L38" s="127"/>
      <c r="M38" s="127">
        <v>12</v>
      </c>
      <c r="N38" s="127"/>
      <c r="O38" s="127">
        <v>12</v>
      </c>
      <c r="P38" s="127"/>
      <c r="Q38" s="127">
        <v>12</v>
      </c>
      <c r="R38" s="127"/>
      <c r="S38" s="127">
        <v>12</v>
      </c>
      <c r="T38" s="127"/>
      <c r="U38" s="127">
        <v>12</v>
      </c>
      <c r="V38" s="127"/>
      <c r="W38" s="127">
        <v>11</v>
      </c>
      <c r="X38" s="127"/>
      <c r="Y38" s="127">
        <v>12</v>
      </c>
      <c r="Z38" s="127"/>
      <c r="AA38" s="127">
        <v>12</v>
      </c>
      <c r="AB38" s="127"/>
      <c r="AC38" s="127">
        <v>12</v>
      </c>
      <c r="AD38" s="127"/>
      <c r="AE38" s="127">
        <v>12</v>
      </c>
      <c r="AF38" s="127"/>
      <c r="AG38" s="127">
        <v>12</v>
      </c>
      <c r="AH38" s="127"/>
      <c r="AI38" s="127">
        <v>12</v>
      </c>
      <c r="AJ38" s="127"/>
      <c r="AK38" s="127"/>
      <c r="AL38" s="127">
        <v>11</v>
      </c>
      <c r="AM38" s="127"/>
      <c r="AN38" s="127">
        <v>12</v>
      </c>
      <c r="AO38" s="127"/>
      <c r="AP38" s="127">
        <v>12</v>
      </c>
      <c r="AQ38" s="127"/>
      <c r="AR38" s="127">
        <v>11</v>
      </c>
      <c r="AS38" s="127"/>
      <c r="AT38" s="127">
        <v>11</v>
      </c>
      <c r="AU38" s="127"/>
      <c r="AV38" s="127">
        <v>12</v>
      </c>
      <c r="AW38" s="127"/>
      <c r="AX38" s="127">
        <v>12</v>
      </c>
      <c r="AY38" s="127"/>
    </row>
    <row r="39" spans="1:52" x14ac:dyDescent="0.2">
      <c r="A39" s="127"/>
      <c r="B39" s="181" t="s">
        <v>347</v>
      </c>
      <c r="C39" s="127"/>
      <c r="D39" s="127">
        <f>D33-D36</f>
        <v>0</v>
      </c>
      <c r="E39" s="127">
        <f t="shared" ref="E39:AY39" si="12">E33-E36</f>
        <v>0</v>
      </c>
      <c r="F39" s="127">
        <f t="shared" si="12"/>
        <v>0</v>
      </c>
      <c r="G39" s="127">
        <f t="shared" si="12"/>
        <v>0</v>
      </c>
      <c r="H39" s="127">
        <f t="shared" si="12"/>
        <v>0</v>
      </c>
      <c r="I39" s="127">
        <f t="shared" si="12"/>
        <v>0</v>
      </c>
      <c r="J39" s="127">
        <f t="shared" si="12"/>
        <v>0</v>
      </c>
      <c r="K39" s="127">
        <f t="shared" si="12"/>
        <v>0</v>
      </c>
      <c r="L39" s="127">
        <f t="shared" si="12"/>
        <v>0</v>
      </c>
      <c r="M39" s="127">
        <f t="shared" si="12"/>
        <v>0</v>
      </c>
      <c r="N39" s="127">
        <f t="shared" si="12"/>
        <v>0</v>
      </c>
      <c r="O39" s="127">
        <f t="shared" si="12"/>
        <v>0</v>
      </c>
      <c r="P39" s="127">
        <f t="shared" si="12"/>
        <v>0</v>
      </c>
      <c r="Q39" s="127">
        <f t="shared" si="12"/>
        <v>0</v>
      </c>
      <c r="R39" s="127">
        <f t="shared" si="12"/>
        <v>0</v>
      </c>
      <c r="S39" s="127">
        <f t="shared" si="12"/>
        <v>0</v>
      </c>
      <c r="T39" s="127">
        <f t="shared" si="12"/>
        <v>0</v>
      </c>
      <c r="U39" s="127">
        <f t="shared" si="12"/>
        <v>0</v>
      </c>
      <c r="V39" s="127">
        <f t="shared" si="12"/>
        <v>0</v>
      </c>
      <c r="W39" s="127">
        <f t="shared" si="12"/>
        <v>0</v>
      </c>
      <c r="X39" s="127">
        <f t="shared" si="12"/>
        <v>0</v>
      </c>
      <c r="Y39" s="127">
        <f t="shared" si="12"/>
        <v>0</v>
      </c>
      <c r="Z39" s="127">
        <f t="shared" si="12"/>
        <v>0</v>
      </c>
      <c r="AA39" s="127">
        <f t="shared" si="12"/>
        <v>0</v>
      </c>
      <c r="AB39" s="127">
        <f t="shared" si="12"/>
        <v>0</v>
      </c>
      <c r="AC39" s="127">
        <f t="shared" si="12"/>
        <v>0</v>
      </c>
      <c r="AD39" s="127">
        <f t="shared" si="12"/>
        <v>0</v>
      </c>
      <c r="AE39" s="127">
        <f t="shared" si="12"/>
        <v>0</v>
      </c>
      <c r="AF39" s="127">
        <f t="shared" si="12"/>
        <v>0</v>
      </c>
      <c r="AG39" s="127">
        <f t="shared" si="12"/>
        <v>0</v>
      </c>
      <c r="AH39" s="127">
        <f t="shared" si="12"/>
        <v>0</v>
      </c>
      <c r="AI39" s="127">
        <f t="shared" si="12"/>
        <v>0</v>
      </c>
      <c r="AJ39" s="127">
        <f t="shared" si="12"/>
        <v>0</v>
      </c>
      <c r="AK39" s="127">
        <f t="shared" si="12"/>
        <v>0</v>
      </c>
      <c r="AL39" s="127">
        <f t="shared" si="12"/>
        <v>0</v>
      </c>
      <c r="AM39" s="127">
        <f t="shared" si="12"/>
        <v>0</v>
      </c>
      <c r="AN39" s="127">
        <f t="shared" si="12"/>
        <v>0</v>
      </c>
      <c r="AO39" s="127">
        <f t="shared" si="12"/>
        <v>0</v>
      </c>
      <c r="AP39" s="127">
        <f t="shared" si="12"/>
        <v>0</v>
      </c>
      <c r="AQ39" s="127">
        <f t="shared" si="12"/>
        <v>0</v>
      </c>
      <c r="AR39" s="127">
        <f t="shared" si="12"/>
        <v>0</v>
      </c>
      <c r="AS39" s="127">
        <f t="shared" si="12"/>
        <v>0</v>
      </c>
      <c r="AT39" s="127">
        <f t="shared" si="12"/>
        <v>0</v>
      </c>
      <c r="AU39" s="127">
        <f t="shared" si="12"/>
        <v>0</v>
      </c>
      <c r="AV39" s="127">
        <f t="shared" si="12"/>
        <v>0</v>
      </c>
      <c r="AW39" s="127">
        <f t="shared" si="12"/>
        <v>0</v>
      </c>
      <c r="AX39" s="127">
        <f t="shared" si="12"/>
        <v>0</v>
      </c>
      <c r="AY39" s="127">
        <f t="shared" si="12"/>
        <v>0</v>
      </c>
    </row>
    <row r="40" spans="1:52" x14ac:dyDescent="0.2">
      <c r="A40" s="127"/>
      <c r="B40" s="181" t="s">
        <v>348</v>
      </c>
      <c r="C40" s="127"/>
      <c r="D40" s="127">
        <f>D34-D37</f>
        <v>425.6741335121871</v>
      </c>
      <c r="E40" s="127">
        <f t="shared" ref="E40:AY40" si="13">E34-E37</f>
        <v>0</v>
      </c>
      <c r="F40" s="127">
        <f t="shared" si="13"/>
        <v>340.04059338783338</v>
      </c>
      <c r="G40" s="127">
        <f t="shared" si="13"/>
        <v>0</v>
      </c>
      <c r="H40" s="127">
        <f t="shared" si="13"/>
        <v>340.04059338783338</v>
      </c>
      <c r="I40" s="127">
        <f t="shared" si="13"/>
        <v>0</v>
      </c>
      <c r="J40" s="127">
        <f t="shared" si="13"/>
        <v>340.04059338783355</v>
      </c>
      <c r="K40" s="127">
        <f t="shared" si="13"/>
        <v>0</v>
      </c>
      <c r="L40" s="127">
        <f t="shared" si="13"/>
        <v>340.04059338783355</v>
      </c>
      <c r="M40" s="127">
        <f t="shared" si="13"/>
        <v>0</v>
      </c>
      <c r="N40" s="127">
        <f t="shared" si="13"/>
        <v>340.04059338783355</v>
      </c>
      <c r="O40" s="127">
        <f t="shared" si="13"/>
        <v>0</v>
      </c>
      <c r="P40" s="127">
        <f t="shared" si="13"/>
        <v>340.04059338783355</v>
      </c>
      <c r="Q40" s="127">
        <f t="shared" si="13"/>
        <v>0</v>
      </c>
      <c r="R40" s="127">
        <f t="shared" si="13"/>
        <v>340.04059338783355</v>
      </c>
      <c r="S40" s="127">
        <f t="shared" si="13"/>
        <v>0</v>
      </c>
      <c r="T40" s="127">
        <f t="shared" si="13"/>
        <v>340.04059338783355</v>
      </c>
      <c r="U40" s="127">
        <f t="shared" si="13"/>
        <v>0</v>
      </c>
      <c r="V40" s="127">
        <f t="shared" si="13"/>
        <v>0</v>
      </c>
      <c r="W40" s="127">
        <f t="shared" si="13"/>
        <v>350.08118677566711</v>
      </c>
      <c r="X40" s="127">
        <f t="shared" si="13"/>
        <v>340.04059338783355</v>
      </c>
      <c r="Y40" s="127">
        <f t="shared" si="13"/>
        <v>0</v>
      </c>
      <c r="Z40" s="127">
        <f t="shared" si="13"/>
        <v>340.04059338783355</v>
      </c>
      <c r="AA40" s="127">
        <f t="shared" si="13"/>
        <v>0</v>
      </c>
      <c r="AB40" s="127">
        <f t="shared" si="13"/>
        <v>340.04059338783355</v>
      </c>
      <c r="AC40" s="127">
        <f t="shared" si="13"/>
        <v>0</v>
      </c>
      <c r="AD40" s="127">
        <f t="shared" si="13"/>
        <v>340.04059338783355</v>
      </c>
      <c r="AE40" s="127">
        <f t="shared" si="13"/>
        <v>0</v>
      </c>
      <c r="AF40" s="127">
        <f t="shared" si="13"/>
        <v>340.04059338783355</v>
      </c>
      <c r="AG40" s="127">
        <f t="shared" si="13"/>
        <v>0</v>
      </c>
      <c r="AH40" s="127">
        <f t="shared" si="13"/>
        <v>340.04059338783355</v>
      </c>
      <c r="AI40" s="127">
        <f t="shared" si="13"/>
        <v>0</v>
      </c>
      <c r="AJ40" s="127">
        <f t="shared" si="13"/>
        <v>340.04059338783355</v>
      </c>
      <c r="AK40" s="127">
        <f t="shared" si="13"/>
        <v>0</v>
      </c>
      <c r="AL40" s="127">
        <f t="shared" si="13"/>
        <v>350.08118677566711</v>
      </c>
      <c r="AM40" s="127">
        <f t="shared" si="13"/>
        <v>340.04059338783355</v>
      </c>
      <c r="AN40" s="127">
        <f t="shared" si="13"/>
        <v>0</v>
      </c>
      <c r="AO40" s="127">
        <f t="shared" si="13"/>
        <v>340.04059338783355</v>
      </c>
      <c r="AP40" s="127">
        <f t="shared" si="13"/>
        <v>0</v>
      </c>
      <c r="AQ40" s="127">
        <f t="shared" si="13"/>
        <v>0</v>
      </c>
      <c r="AR40" s="127">
        <f t="shared" si="13"/>
        <v>350.08118677566711</v>
      </c>
      <c r="AS40" s="127">
        <f t="shared" si="13"/>
        <v>0</v>
      </c>
      <c r="AT40" s="127">
        <f t="shared" si="13"/>
        <v>350.08118677566711</v>
      </c>
      <c r="AU40" s="127">
        <f t="shared" si="13"/>
        <v>340.04059338783355</v>
      </c>
      <c r="AV40" s="127">
        <f t="shared" si="13"/>
        <v>0</v>
      </c>
      <c r="AW40" s="127">
        <f t="shared" si="13"/>
        <v>340.04059338783355</v>
      </c>
      <c r="AX40" s="127">
        <f t="shared" si="13"/>
        <v>0</v>
      </c>
      <c r="AY40" s="127">
        <f t="shared" si="13"/>
        <v>340.04059338783355</v>
      </c>
    </row>
    <row r="41" spans="1:52" x14ac:dyDescent="0.2">
      <c r="A41" s="127"/>
      <c r="B41" s="181" t="s">
        <v>349</v>
      </c>
      <c r="C41" s="127"/>
      <c r="D41" s="127">
        <v>1</v>
      </c>
      <c r="E41" s="127">
        <v>2</v>
      </c>
      <c r="F41" s="127">
        <v>1</v>
      </c>
      <c r="G41" s="127">
        <v>1</v>
      </c>
      <c r="H41" s="127">
        <v>1</v>
      </c>
      <c r="I41" s="127">
        <v>2</v>
      </c>
      <c r="J41" s="127">
        <v>1</v>
      </c>
      <c r="K41" s="127">
        <v>2</v>
      </c>
      <c r="L41" s="127">
        <v>2</v>
      </c>
      <c r="M41" s="127">
        <v>1</v>
      </c>
      <c r="N41" s="127">
        <v>1</v>
      </c>
      <c r="O41" s="127">
        <v>1</v>
      </c>
      <c r="P41" s="127">
        <v>1</v>
      </c>
      <c r="Q41" s="127">
        <v>3</v>
      </c>
      <c r="R41" s="127">
        <v>1</v>
      </c>
      <c r="S41" s="127">
        <v>1</v>
      </c>
      <c r="T41" s="127">
        <v>1</v>
      </c>
      <c r="U41" s="127">
        <v>3</v>
      </c>
      <c r="V41" s="127">
        <v>1</v>
      </c>
      <c r="W41" s="127">
        <v>2</v>
      </c>
      <c r="X41" s="127">
        <v>1</v>
      </c>
      <c r="Y41" s="127">
        <v>1</v>
      </c>
      <c r="Z41" s="127">
        <v>3</v>
      </c>
      <c r="AA41" s="127">
        <v>1</v>
      </c>
      <c r="AB41" s="127">
        <v>1</v>
      </c>
      <c r="AC41" s="127">
        <v>2</v>
      </c>
      <c r="AD41" s="127">
        <v>2</v>
      </c>
      <c r="AE41" s="127">
        <v>2</v>
      </c>
      <c r="AF41" s="127">
        <v>1</v>
      </c>
      <c r="AG41" s="127">
        <v>2</v>
      </c>
      <c r="AH41" s="127">
        <v>1</v>
      </c>
      <c r="AI41" s="127">
        <v>1</v>
      </c>
      <c r="AJ41" s="127">
        <v>1</v>
      </c>
      <c r="AK41" s="127">
        <v>1</v>
      </c>
      <c r="AL41" s="127">
        <v>3</v>
      </c>
      <c r="AM41" s="127">
        <v>1</v>
      </c>
      <c r="AN41" s="127">
        <v>1</v>
      </c>
      <c r="AO41" s="127">
        <v>3</v>
      </c>
      <c r="AP41" s="127">
        <v>1</v>
      </c>
      <c r="AQ41" s="127">
        <v>1</v>
      </c>
      <c r="AR41" s="127">
        <v>1</v>
      </c>
      <c r="AS41" s="127">
        <v>1</v>
      </c>
      <c r="AT41" s="127">
        <v>1</v>
      </c>
      <c r="AU41" s="127">
        <v>1</v>
      </c>
      <c r="AV41" s="127">
        <v>1</v>
      </c>
      <c r="AW41" s="127">
        <v>3</v>
      </c>
      <c r="AX41" s="127">
        <v>1</v>
      </c>
      <c r="AY41" s="127">
        <v>2</v>
      </c>
    </row>
    <row r="42" spans="1:52" x14ac:dyDescent="0.2">
      <c r="A42" s="127"/>
      <c r="B42" s="192" t="s">
        <v>350</v>
      </c>
      <c r="C42" s="127"/>
      <c r="D42" s="127">
        <v>0</v>
      </c>
      <c r="E42" s="127">
        <v>537840</v>
      </c>
      <c r="F42" s="127">
        <v>0</v>
      </c>
      <c r="G42" s="127">
        <v>537840</v>
      </c>
      <c r="H42" s="127">
        <v>0</v>
      </c>
      <c r="I42" s="127">
        <v>537840</v>
      </c>
      <c r="J42" s="127">
        <v>0</v>
      </c>
      <c r="K42" s="127">
        <v>537840</v>
      </c>
      <c r="L42" s="127">
        <v>0</v>
      </c>
      <c r="M42" s="127">
        <v>537840</v>
      </c>
      <c r="N42" s="127">
        <v>0</v>
      </c>
      <c r="O42" s="127">
        <v>537840</v>
      </c>
      <c r="P42" s="127">
        <v>0</v>
      </c>
      <c r="Q42" s="127">
        <v>537840</v>
      </c>
      <c r="R42" s="127">
        <v>0</v>
      </c>
      <c r="S42" s="127">
        <v>537840</v>
      </c>
      <c r="T42" s="127">
        <v>0</v>
      </c>
      <c r="U42" s="127">
        <v>537840</v>
      </c>
      <c r="V42" s="127">
        <v>0</v>
      </c>
      <c r="W42" s="127">
        <v>493020</v>
      </c>
      <c r="X42" s="127">
        <v>0</v>
      </c>
      <c r="Y42" s="127">
        <v>537840</v>
      </c>
      <c r="Z42" s="127">
        <v>0</v>
      </c>
      <c r="AA42" s="127">
        <v>537840</v>
      </c>
      <c r="AB42" s="127">
        <v>0</v>
      </c>
      <c r="AC42" s="127">
        <v>537840</v>
      </c>
      <c r="AD42" s="127">
        <v>0</v>
      </c>
      <c r="AE42" s="127">
        <v>537840</v>
      </c>
      <c r="AF42" s="127">
        <v>0</v>
      </c>
      <c r="AG42" s="127">
        <v>537840</v>
      </c>
      <c r="AH42" s="127">
        <v>0</v>
      </c>
      <c r="AI42" s="127">
        <v>537840</v>
      </c>
      <c r="AJ42" s="127">
        <v>0</v>
      </c>
      <c r="AK42" s="127">
        <v>0</v>
      </c>
      <c r="AL42" s="127">
        <v>493020</v>
      </c>
      <c r="AM42" s="127">
        <v>0</v>
      </c>
      <c r="AN42" s="127">
        <v>537840</v>
      </c>
      <c r="AO42" s="127">
        <v>0</v>
      </c>
      <c r="AP42" s="127">
        <v>537840</v>
      </c>
      <c r="AQ42" s="127">
        <v>0</v>
      </c>
      <c r="AR42" s="127">
        <v>493020</v>
      </c>
      <c r="AS42" s="127">
        <v>0</v>
      </c>
      <c r="AT42" s="127">
        <v>493020</v>
      </c>
      <c r="AU42" s="127">
        <v>0</v>
      </c>
      <c r="AV42" s="127">
        <v>537840</v>
      </c>
      <c r="AW42" s="127">
        <v>0</v>
      </c>
      <c r="AX42" s="127">
        <v>537840</v>
      </c>
      <c r="AY42" s="127">
        <v>0</v>
      </c>
      <c r="AZ42">
        <f>SUM($D$42:$AY$42)</f>
        <v>12191040</v>
      </c>
    </row>
    <row r="43" spans="1:52" x14ac:dyDescent="0.2">
      <c r="A43" s="127"/>
      <c r="B43" s="192" t="s">
        <v>351</v>
      </c>
      <c r="C43" s="127"/>
      <c r="D43" s="127">
        <v>344476.7925447374</v>
      </c>
      <c r="E43" s="127">
        <v>0</v>
      </c>
      <c r="F43" s="127">
        <v>275177.85019910417</v>
      </c>
      <c r="G43" s="127">
        <v>0</v>
      </c>
      <c r="H43" s="127">
        <v>275177.85019910417</v>
      </c>
      <c r="I43" s="127">
        <v>0</v>
      </c>
      <c r="J43" s="127">
        <v>275177.85019910429</v>
      </c>
      <c r="K43" s="127">
        <v>0</v>
      </c>
      <c r="L43" s="127">
        <v>275177.85019910429</v>
      </c>
      <c r="M43" s="127">
        <v>0</v>
      </c>
      <c r="N43" s="127">
        <v>275177.85019910429</v>
      </c>
      <c r="O43" s="127">
        <v>0</v>
      </c>
      <c r="P43" s="127">
        <v>275177.85019910429</v>
      </c>
      <c r="Q43" s="127">
        <v>0</v>
      </c>
      <c r="R43" s="127">
        <v>275177.85019910429</v>
      </c>
      <c r="S43" s="127">
        <v>0</v>
      </c>
      <c r="T43" s="127">
        <v>275177.85019910429</v>
      </c>
      <c r="U43" s="127">
        <v>0</v>
      </c>
      <c r="V43" s="127">
        <v>0</v>
      </c>
      <c r="W43" s="127">
        <v>283303.20039820857</v>
      </c>
      <c r="X43" s="127">
        <v>275177.85019910429</v>
      </c>
      <c r="Y43" s="127">
        <v>0</v>
      </c>
      <c r="Z43" s="127">
        <v>275177.85019910429</v>
      </c>
      <c r="AA43" s="127">
        <v>0</v>
      </c>
      <c r="AB43" s="127">
        <v>275177.85019910429</v>
      </c>
      <c r="AC43" s="127">
        <v>0</v>
      </c>
      <c r="AD43" s="127">
        <v>275177.85019910429</v>
      </c>
      <c r="AE43" s="127">
        <v>0</v>
      </c>
      <c r="AF43" s="127">
        <v>275177.85019910429</v>
      </c>
      <c r="AG43" s="127">
        <v>0</v>
      </c>
      <c r="AH43" s="127">
        <v>275177.85019910429</v>
      </c>
      <c r="AI43" s="127">
        <v>0</v>
      </c>
      <c r="AJ43" s="127">
        <v>275177.85019910429</v>
      </c>
      <c r="AK43" s="127">
        <v>0</v>
      </c>
      <c r="AL43" s="127">
        <v>283303.20039820857</v>
      </c>
      <c r="AM43" s="127">
        <v>275177.85019910429</v>
      </c>
      <c r="AN43" s="127">
        <v>0</v>
      </c>
      <c r="AO43" s="127">
        <v>275177.85019910429</v>
      </c>
      <c r="AP43" s="127">
        <v>0</v>
      </c>
      <c r="AQ43" s="127">
        <v>0</v>
      </c>
      <c r="AR43" s="127">
        <v>283303.20039820857</v>
      </c>
      <c r="AS43" s="127">
        <v>0</v>
      </c>
      <c r="AT43" s="127">
        <v>283303.20039820857</v>
      </c>
      <c r="AU43" s="127">
        <v>275177.85019910429</v>
      </c>
      <c r="AV43" s="127">
        <v>0</v>
      </c>
      <c r="AW43" s="127">
        <v>275177.85019910429</v>
      </c>
      <c r="AX43" s="127">
        <v>0</v>
      </c>
      <c r="AY43" s="127">
        <v>275177.85019910429</v>
      </c>
      <c r="AZ43">
        <f>SUM($D$43:$AY$43)</f>
        <v>6981246.5981196566</v>
      </c>
    </row>
    <row r="44" spans="1:52" x14ac:dyDescent="0.2">
      <c r="A44" s="151" t="s">
        <v>59</v>
      </c>
      <c r="B44" s="151" t="s">
        <v>341</v>
      </c>
      <c r="C44" s="140"/>
      <c r="D44" s="140">
        <f>D$21*shipping_manufacturing!$H$28/100</f>
        <v>993.23964486176965</v>
      </c>
      <c r="E44" s="140">
        <f>E$21*shipping_manufacturing!$H$28/100</f>
        <v>793.42805123827782</v>
      </c>
      <c r="F44" s="140">
        <f>F$21*shipping_manufacturing!$H$28/100</f>
        <v>793.42805123827782</v>
      </c>
      <c r="G44" s="140">
        <f>G$21*shipping_manufacturing!$H$28/100</f>
        <v>793.42805123827782</v>
      </c>
      <c r="H44" s="140">
        <f>H$21*shipping_manufacturing!$H$28/100</f>
        <v>793.42805123827782</v>
      </c>
      <c r="I44" s="140">
        <f>I$21*shipping_manufacturing!$H$28/100</f>
        <v>793.42805123827816</v>
      </c>
      <c r="J44" s="140">
        <f>J$21*shipping_manufacturing!$H$28/100</f>
        <v>793.42805123827816</v>
      </c>
      <c r="K44" s="140">
        <f>K$21*shipping_manufacturing!$H$28/100</f>
        <v>793.42805123827816</v>
      </c>
      <c r="L44" s="140">
        <f>L$21*shipping_manufacturing!$H$28/100</f>
        <v>793.42805123827816</v>
      </c>
      <c r="M44" s="140">
        <f>M$21*shipping_manufacturing!$H$28/100</f>
        <v>793.42805123827816</v>
      </c>
      <c r="N44" s="140">
        <f>N$21*shipping_manufacturing!$H$28/100</f>
        <v>793.42805123827816</v>
      </c>
      <c r="O44" s="140">
        <f>O$21*shipping_manufacturing!$H$28/100</f>
        <v>793.42805123827816</v>
      </c>
      <c r="P44" s="140">
        <f>P$21*shipping_manufacturing!$H$28/100</f>
        <v>793.42805123827816</v>
      </c>
      <c r="Q44" s="140">
        <f>Q$21*shipping_manufacturing!$H$28/100</f>
        <v>793.42805123827816</v>
      </c>
      <c r="R44" s="140">
        <f>R$21*shipping_manufacturing!$H$28/100</f>
        <v>793.42805123827816</v>
      </c>
      <c r="S44" s="140">
        <f>S$21*shipping_manufacturing!$H$28/100</f>
        <v>793.42805123827816</v>
      </c>
      <c r="T44" s="140">
        <f>T$21*shipping_manufacturing!$H$28/100</f>
        <v>793.42805123827816</v>
      </c>
      <c r="U44" s="140">
        <f>U$21*shipping_manufacturing!$H$28/100</f>
        <v>793.42805123827816</v>
      </c>
      <c r="V44" s="140">
        <f>V$21*shipping_manufacturing!$H$28/100</f>
        <v>0</v>
      </c>
      <c r="W44" s="140">
        <f>W$21*shipping_manufacturing!$H$28/100</f>
        <v>1586.8561024765563</v>
      </c>
      <c r="X44" s="140">
        <f>X$21*shipping_manufacturing!$H$28/100</f>
        <v>793.42805123827816</v>
      </c>
      <c r="Y44" s="140">
        <f>Y$21*shipping_manufacturing!$H$28/100</f>
        <v>793.42805123827816</v>
      </c>
      <c r="Z44" s="140">
        <f>Z$21*shipping_manufacturing!$H$28/100</f>
        <v>793.42805123827816</v>
      </c>
      <c r="AA44" s="140">
        <f>AA$21*shipping_manufacturing!$H$28/100</f>
        <v>793.42805123827816</v>
      </c>
      <c r="AB44" s="140">
        <f>AB$21*shipping_manufacturing!$H$28/100</f>
        <v>793.42805123827816</v>
      </c>
      <c r="AC44" s="140">
        <f>AC$21*shipping_manufacturing!$H$28/100</f>
        <v>793.42805123827816</v>
      </c>
      <c r="AD44" s="140">
        <f>AD$21*shipping_manufacturing!$H$28/100</f>
        <v>793.42805123827816</v>
      </c>
      <c r="AE44" s="140">
        <f>AE$21*shipping_manufacturing!$H$28/100</f>
        <v>793.42805123827816</v>
      </c>
      <c r="AF44" s="140">
        <f>AF$21*shipping_manufacturing!$H$28/100</f>
        <v>793.42805123827816</v>
      </c>
      <c r="AG44" s="140">
        <f>AG$21*shipping_manufacturing!$H$28/100</f>
        <v>793.42805123827816</v>
      </c>
      <c r="AH44" s="140">
        <f>AH$21*shipping_manufacturing!$H$28/100</f>
        <v>793.42805123827816</v>
      </c>
      <c r="AI44" s="140">
        <f>AI$21*shipping_manufacturing!$H$28/100</f>
        <v>793.42805123827816</v>
      </c>
      <c r="AJ44" s="140">
        <f>AJ$21*shipping_manufacturing!$H$28/100</f>
        <v>793.42805123827816</v>
      </c>
      <c r="AK44" s="140">
        <f>AK$21*shipping_manufacturing!$H$28/100</f>
        <v>0</v>
      </c>
      <c r="AL44" s="140">
        <f>AL$21*shipping_manufacturing!$H$28/100</f>
        <v>1586.8561024765563</v>
      </c>
      <c r="AM44" s="140">
        <f>AM$21*shipping_manufacturing!$H$28/100</f>
        <v>793.42805123827816</v>
      </c>
      <c r="AN44" s="140">
        <f>AN$21*shipping_manufacturing!$H$28/100</f>
        <v>793.42805123827816</v>
      </c>
      <c r="AO44" s="140">
        <f>AO$21*shipping_manufacturing!$H$28/100</f>
        <v>793.42805123827816</v>
      </c>
      <c r="AP44" s="140">
        <f>AP$21*shipping_manufacturing!$H$28/100</f>
        <v>793.42805123827816</v>
      </c>
      <c r="AQ44" s="140">
        <f>AQ$21*shipping_manufacturing!$H$28/100</f>
        <v>0</v>
      </c>
      <c r="AR44" s="140">
        <f>AR$21*shipping_manufacturing!$H$28/100</f>
        <v>1586.8561024765563</v>
      </c>
      <c r="AS44" s="140">
        <f>AS$21*shipping_manufacturing!$H$28/100</f>
        <v>0</v>
      </c>
      <c r="AT44" s="140">
        <f>AT$21*shipping_manufacturing!$H$28/100</f>
        <v>1586.8561024765563</v>
      </c>
      <c r="AU44" s="140">
        <f>AU$21*shipping_manufacturing!$H$28/100</f>
        <v>793.42805123827816</v>
      </c>
      <c r="AV44" s="140">
        <f>AV$21*shipping_manufacturing!$H$28/100</f>
        <v>793.42805123827816</v>
      </c>
      <c r="AW44" s="140">
        <f>AW$21*shipping_manufacturing!$H$28/100</f>
        <v>793.42805123827816</v>
      </c>
      <c r="AX44" s="140">
        <f>AX$21*shipping_manufacturing!$H$28/100</f>
        <v>793.42805123827816</v>
      </c>
      <c r="AY44" s="140">
        <f>AY$21*shipping_manufacturing!$H$28/100</f>
        <v>793.42805123827816</v>
      </c>
    </row>
    <row r="45" spans="1:52" x14ac:dyDescent="0.2">
      <c r="A45" s="129" t="s">
        <v>340</v>
      </c>
      <c r="B45" s="181" t="s">
        <v>342</v>
      </c>
      <c r="C45" s="127"/>
      <c r="D45" s="127">
        <f>D$22*shipping_manufacturing!$I$28/100</f>
        <v>0</v>
      </c>
      <c r="E45" s="127">
        <f>E$22*shipping_manufacturing!$I$28/100</f>
        <v>0</v>
      </c>
      <c r="F45" s="127">
        <f>F$22*shipping_manufacturing!$I$28/100</f>
        <v>0</v>
      </c>
      <c r="G45" s="127">
        <f>G$22*shipping_manufacturing!$I$28/100</f>
        <v>0</v>
      </c>
      <c r="H45" s="127">
        <f>H$22*shipping_manufacturing!$I$28/100</f>
        <v>0</v>
      </c>
      <c r="I45" s="127">
        <f>I$22*shipping_manufacturing!$I$28/100</f>
        <v>0</v>
      </c>
      <c r="J45" s="127">
        <f>J$22*shipping_manufacturing!$I$28/100</f>
        <v>0</v>
      </c>
      <c r="K45" s="127">
        <f>K$22*shipping_manufacturing!$I$28/100</f>
        <v>0</v>
      </c>
      <c r="L45" s="127">
        <f>L$22*shipping_manufacturing!$I$28/100</f>
        <v>0</v>
      </c>
      <c r="M45" s="127">
        <f>M$22*shipping_manufacturing!$I$28/100</f>
        <v>0</v>
      </c>
      <c r="N45" s="127">
        <f>N$22*shipping_manufacturing!$I$28/100</f>
        <v>0</v>
      </c>
      <c r="O45" s="127">
        <f>O$22*shipping_manufacturing!$I$28/100</f>
        <v>0</v>
      </c>
      <c r="P45" s="127">
        <f>P$22*shipping_manufacturing!$I$28/100</f>
        <v>0</v>
      </c>
      <c r="Q45" s="127">
        <f>Q$22*shipping_manufacturing!$I$28/100</f>
        <v>0</v>
      </c>
      <c r="R45" s="127">
        <f>R$22*shipping_manufacturing!$I$28/100</f>
        <v>0</v>
      </c>
      <c r="S45" s="127">
        <f>S$22*shipping_manufacturing!$I$28/100</f>
        <v>0</v>
      </c>
      <c r="T45" s="127">
        <f>T$22*shipping_manufacturing!$I$28/100</f>
        <v>0</v>
      </c>
      <c r="U45" s="127">
        <f>U$22*shipping_manufacturing!$I$28/100</f>
        <v>0</v>
      </c>
      <c r="V45" s="127">
        <f>V$22*shipping_manufacturing!$I$28/100</f>
        <v>0</v>
      </c>
      <c r="W45" s="127">
        <f>W$22*shipping_manufacturing!$I$28/100</f>
        <v>0</v>
      </c>
      <c r="X45" s="127">
        <f>X$22*shipping_manufacturing!$I$28/100</f>
        <v>0</v>
      </c>
      <c r="Y45" s="127">
        <f>Y$22*shipping_manufacturing!$I$28/100</f>
        <v>0</v>
      </c>
      <c r="Z45" s="127">
        <f>Z$22*shipping_manufacturing!$I$28/100</f>
        <v>0</v>
      </c>
      <c r="AA45" s="127">
        <f>AA$22*shipping_manufacturing!$I$28/100</f>
        <v>0</v>
      </c>
      <c r="AB45" s="127">
        <f>AB$22*shipping_manufacturing!$I$28/100</f>
        <v>0</v>
      </c>
      <c r="AC45" s="127">
        <f>AC$22*shipping_manufacturing!$I$28/100</f>
        <v>0</v>
      </c>
      <c r="AD45" s="127">
        <f>AD$22*shipping_manufacturing!$I$28/100</f>
        <v>0</v>
      </c>
      <c r="AE45" s="127">
        <f>AE$22*shipping_manufacturing!$I$28/100</f>
        <v>0</v>
      </c>
      <c r="AF45" s="127">
        <f>AF$22*shipping_manufacturing!$I$28/100</f>
        <v>0</v>
      </c>
      <c r="AG45" s="127">
        <f>AG$22*shipping_manufacturing!$I$28/100</f>
        <v>0</v>
      </c>
      <c r="AH45" s="127">
        <f>AH$22*shipping_manufacturing!$I$28/100</f>
        <v>0</v>
      </c>
      <c r="AI45" s="127">
        <f>AI$22*shipping_manufacturing!$I$28/100</f>
        <v>0</v>
      </c>
      <c r="AJ45" s="127">
        <f>AJ$22*shipping_manufacturing!$I$28/100</f>
        <v>0</v>
      </c>
      <c r="AK45" s="127">
        <f>AK$22*shipping_manufacturing!$I$28/100</f>
        <v>0</v>
      </c>
      <c r="AL45" s="127">
        <f>AL$22*shipping_manufacturing!$I$28/100</f>
        <v>0</v>
      </c>
      <c r="AM45" s="127">
        <f>AM$22*shipping_manufacturing!$I$28/100</f>
        <v>0</v>
      </c>
      <c r="AN45" s="127">
        <f>AN$22*shipping_manufacturing!$I$28/100</f>
        <v>0</v>
      </c>
      <c r="AO45" s="127">
        <f>AO$22*shipping_manufacturing!$I$28/100</f>
        <v>0</v>
      </c>
      <c r="AP45" s="127">
        <f>AP$22*shipping_manufacturing!$I$28/100</f>
        <v>0</v>
      </c>
      <c r="AQ45" s="127">
        <f>AQ$22*shipping_manufacturing!$I$28/100</f>
        <v>0</v>
      </c>
      <c r="AR45" s="127">
        <f>AR$22*shipping_manufacturing!$I$28/100</f>
        <v>0</v>
      </c>
      <c r="AS45" s="127">
        <f>AS$22*shipping_manufacturing!$I$28/100</f>
        <v>0</v>
      </c>
      <c r="AT45" s="127">
        <f>AT$22*shipping_manufacturing!$I$28/100</f>
        <v>0</v>
      </c>
      <c r="AU45" s="127">
        <f>AU$22*shipping_manufacturing!$I$28/100</f>
        <v>0</v>
      </c>
      <c r="AV45" s="127">
        <f>AV$22*shipping_manufacturing!$I$28/100</f>
        <v>0</v>
      </c>
      <c r="AW45" s="127">
        <f>AW$22*shipping_manufacturing!$I$28/100</f>
        <v>0</v>
      </c>
      <c r="AX45" s="127">
        <f>AX$22*shipping_manufacturing!$I$28/100</f>
        <v>0</v>
      </c>
      <c r="AY45" s="127">
        <f>AY$22*shipping_manufacturing!$I$28/100</f>
        <v>0</v>
      </c>
    </row>
    <row r="46" spans="1:52" x14ac:dyDescent="0.2">
      <c r="A46" s="127">
        <v>495</v>
      </c>
      <c r="B46" s="181" t="s">
        <v>343</v>
      </c>
      <c r="C46" s="127"/>
      <c r="D46" s="127">
        <f>SUM(D44:D45)</f>
        <v>993.23964486176965</v>
      </c>
      <c r="E46" s="127">
        <f t="shared" ref="E46:AY46" si="14">SUM(E44:E45)</f>
        <v>793.42805123827782</v>
      </c>
      <c r="F46" s="127">
        <f t="shared" si="14"/>
        <v>793.42805123827782</v>
      </c>
      <c r="G46" s="127">
        <f t="shared" si="14"/>
        <v>793.42805123827782</v>
      </c>
      <c r="H46" s="127">
        <f t="shared" si="14"/>
        <v>793.42805123827782</v>
      </c>
      <c r="I46" s="127">
        <f t="shared" si="14"/>
        <v>793.42805123827816</v>
      </c>
      <c r="J46" s="127">
        <f t="shared" si="14"/>
        <v>793.42805123827816</v>
      </c>
      <c r="K46" s="127">
        <f t="shared" si="14"/>
        <v>793.42805123827816</v>
      </c>
      <c r="L46" s="127">
        <f t="shared" si="14"/>
        <v>793.42805123827816</v>
      </c>
      <c r="M46" s="127">
        <f t="shared" si="14"/>
        <v>793.42805123827816</v>
      </c>
      <c r="N46" s="127">
        <f t="shared" si="14"/>
        <v>793.42805123827816</v>
      </c>
      <c r="O46" s="127">
        <f t="shared" si="14"/>
        <v>793.42805123827816</v>
      </c>
      <c r="P46" s="127">
        <f t="shared" si="14"/>
        <v>793.42805123827816</v>
      </c>
      <c r="Q46" s="127">
        <f t="shared" si="14"/>
        <v>793.42805123827816</v>
      </c>
      <c r="R46" s="127">
        <f t="shared" si="14"/>
        <v>793.42805123827816</v>
      </c>
      <c r="S46" s="127">
        <f t="shared" si="14"/>
        <v>793.42805123827816</v>
      </c>
      <c r="T46" s="127">
        <f t="shared" si="14"/>
        <v>793.42805123827816</v>
      </c>
      <c r="U46" s="127">
        <f t="shared" si="14"/>
        <v>793.42805123827816</v>
      </c>
      <c r="V46" s="127">
        <f t="shared" si="14"/>
        <v>0</v>
      </c>
      <c r="W46" s="127">
        <f t="shared" si="14"/>
        <v>1586.8561024765563</v>
      </c>
      <c r="X46" s="127">
        <f t="shared" si="14"/>
        <v>793.42805123827816</v>
      </c>
      <c r="Y46" s="127">
        <f t="shared" si="14"/>
        <v>793.42805123827816</v>
      </c>
      <c r="Z46" s="127">
        <f t="shared" si="14"/>
        <v>793.42805123827816</v>
      </c>
      <c r="AA46" s="127">
        <f t="shared" si="14"/>
        <v>793.42805123827816</v>
      </c>
      <c r="AB46" s="127">
        <f t="shared" si="14"/>
        <v>793.42805123827816</v>
      </c>
      <c r="AC46" s="127">
        <f t="shared" si="14"/>
        <v>793.42805123827816</v>
      </c>
      <c r="AD46" s="127">
        <f t="shared" si="14"/>
        <v>793.42805123827816</v>
      </c>
      <c r="AE46" s="127">
        <f t="shared" si="14"/>
        <v>793.42805123827816</v>
      </c>
      <c r="AF46" s="127">
        <f t="shared" si="14"/>
        <v>793.42805123827816</v>
      </c>
      <c r="AG46" s="127">
        <f t="shared" si="14"/>
        <v>793.42805123827816</v>
      </c>
      <c r="AH46" s="127">
        <f t="shared" si="14"/>
        <v>793.42805123827816</v>
      </c>
      <c r="AI46" s="127">
        <f t="shared" si="14"/>
        <v>793.42805123827816</v>
      </c>
      <c r="AJ46" s="127">
        <f t="shared" si="14"/>
        <v>793.42805123827816</v>
      </c>
      <c r="AK46" s="127">
        <f t="shared" si="14"/>
        <v>0</v>
      </c>
      <c r="AL46" s="127">
        <f t="shared" si="14"/>
        <v>1586.8561024765563</v>
      </c>
      <c r="AM46" s="127">
        <f t="shared" si="14"/>
        <v>793.42805123827816</v>
      </c>
      <c r="AN46" s="127">
        <f t="shared" si="14"/>
        <v>793.42805123827816</v>
      </c>
      <c r="AO46" s="127">
        <f t="shared" si="14"/>
        <v>793.42805123827816</v>
      </c>
      <c r="AP46" s="127">
        <f t="shared" si="14"/>
        <v>793.42805123827816</v>
      </c>
      <c r="AQ46" s="127">
        <f t="shared" si="14"/>
        <v>0</v>
      </c>
      <c r="AR46" s="127">
        <f t="shared" si="14"/>
        <v>1586.8561024765563</v>
      </c>
      <c r="AS46" s="127">
        <f t="shared" si="14"/>
        <v>0</v>
      </c>
      <c r="AT46" s="127">
        <f t="shared" si="14"/>
        <v>1586.8561024765563</v>
      </c>
      <c r="AU46" s="127">
        <f t="shared" si="14"/>
        <v>793.42805123827816</v>
      </c>
      <c r="AV46" s="127">
        <f t="shared" si="14"/>
        <v>793.42805123827816</v>
      </c>
      <c r="AW46" s="127">
        <f t="shared" si="14"/>
        <v>793.42805123827816</v>
      </c>
      <c r="AX46" s="127">
        <f t="shared" si="14"/>
        <v>793.42805123827816</v>
      </c>
      <c r="AY46" s="127">
        <f t="shared" si="14"/>
        <v>793.42805123827816</v>
      </c>
    </row>
    <row r="47" spans="1:52" x14ac:dyDescent="0.2">
      <c r="A47" s="127"/>
      <c r="B47" s="181" t="s">
        <v>344</v>
      </c>
      <c r="C47" s="127"/>
      <c r="D47" s="127"/>
      <c r="E47" s="127">
        <v>793.42805123827782</v>
      </c>
      <c r="F47" s="127">
        <v>420</v>
      </c>
      <c r="G47" s="127">
        <v>793.42805123827782</v>
      </c>
      <c r="H47" s="127">
        <v>420</v>
      </c>
      <c r="I47" s="127">
        <v>793.42805123827816</v>
      </c>
      <c r="J47" s="127">
        <v>420</v>
      </c>
      <c r="K47" s="127">
        <v>793.42805123827816</v>
      </c>
      <c r="L47" s="127">
        <v>420</v>
      </c>
      <c r="M47" s="127">
        <v>793.42805123827816</v>
      </c>
      <c r="N47" s="127">
        <v>420</v>
      </c>
      <c r="O47" s="127">
        <v>793.42805123827816</v>
      </c>
      <c r="P47" s="127">
        <v>420</v>
      </c>
      <c r="Q47" s="127">
        <v>793.42805123827816</v>
      </c>
      <c r="R47" s="127">
        <v>420</v>
      </c>
      <c r="S47" s="127">
        <v>793.42805123827816</v>
      </c>
      <c r="T47" s="127">
        <v>420</v>
      </c>
      <c r="U47" s="127">
        <v>793.42805123827816</v>
      </c>
      <c r="V47" s="127"/>
      <c r="W47" s="127">
        <v>1260</v>
      </c>
      <c r="X47" s="127"/>
      <c r="Y47" s="127">
        <v>793.42805123827816</v>
      </c>
      <c r="Z47" s="127">
        <v>420</v>
      </c>
      <c r="AA47" s="127">
        <v>793.42805123827816</v>
      </c>
      <c r="AB47" s="127">
        <v>420</v>
      </c>
      <c r="AC47" s="127">
        <v>793.42805123827816</v>
      </c>
      <c r="AD47" s="127">
        <v>420</v>
      </c>
      <c r="AE47" s="127">
        <v>793.42805123827816</v>
      </c>
      <c r="AF47" s="127">
        <v>420</v>
      </c>
      <c r="AG47" s="127">
        <v>793.42805123827816</v>
      </c>
      <c r="AH47" s="127">
        <v>420</v>
      </c>
      <c r="AI47" s="127">
        <v>793.42805123827816</v>
      </c>
      <c r="AJ47" s="127">
        <v>420</v>
      </c>
      <c r="AK47" s="127"/>
      <c r="AL47" s="127">
        <v>1260</v>
      </c>
      <c r="AM47" s="127"/>
      <c r="AN47" s="127">
        <v>793.42805123827816</v>
      </c>
      <c r="AO47" s="127">
        <v>420</v>
      </c>
      <c r="AP47" s="127">
        <v>793.42805123827816</v>
      </c>
      <c r="AQ47" s="127"/>
      <c r="AR47" s="127">
        <v>1260</v>
      </c>
      <c r="AS47" s="127"/>
      <c r="AT47" s="127">
        <v>1260</v>
      </c>
      <c r="AU47" s="127"/>
      <c r="AV47" s="127">
        <v>793.42805123827816</v>
      </c>
      <c r="AW47" s="127">
        <v>420</v>
      </c>
      <c r="AX47" s="127">
        <v>793.42805123827816</v>
      </c>
      <c r="AY47" s="127">
        <v>420</v>
      </c>
    </row>
    <row r="48" spans="1:52" x14ac:dyDescent="0.2">
      <c r="A48" s="127"/>
      <c r="B48" s="181" t="s">
        <v>345</v>
      </c>
      <c r="C48" s="127"/>
      <c r="D48" s="127"/>
      <c r="E48" s="127">
        <v>0</v>
      </c>
      <c r="F48" s="127">
        <v>0</v>
      </c>
      <c r="G48" s="127">
        <v>0</v>
      </c>
      <c r="H48" s="127">
        <v>0</v>
      </c>
      <c r="I48" s="127">
        <v>0</v>
      </c>
      <c r="J48" s="127">
        <v>0</v>
      </c>
      <c r="K48" s="127">
        <v>0</v>
      </c>
      <c r="L48" s="127">
        <v>0</v>
      </c>
      <c r="M48" s="127">
        <v>0</v>
      </c>
      <c r="N48" s="127">
        <v>0</v>
      </c>
      <c r="O48" s="127">
        <v>0</v>
      </c>
      <c r="P48" s="127">
        <v>0</v>
      </c>
      <c r="Q48" s="127">
        <v>0</v>
      </c>
      <c r="R48" s="127">
        <v>0</v>
      </c>
      <c r="S48" s="127">
        <v>0</v>
      </c>
      <c r="T48" s="127">
        <v>0</v>
      </c>
      <c r="U48" s="127">
        <v>0</v>
      </c>
      <c r="V48" s="127"/>
      <c r="W48" s="127">
        <v>0</v>
      </c>
      <c r="X48" s="127"/>
      <c r="Y48" s="127">
        <v>0</v>
      </c>
      <c r="Z48" s="127">
        <v>0</v>
      </c>
      <c r="AA48" s="127">
        <v>0</v>
      </c>
      <c r="AB48" s="127">
        <v>0</v>
      </c>
      <c r="AC48" s="127">
        <v>0</v>
      </c>
      <c r="AD48" s="127">
        <v>0</v>
      </c>
      <c r="AE48" s="127">
        <v>0</v>
      </c>
      <c r="AF48" s="127">
        <v>0</v>
      </c>
      <c r="AG48" s="127">
        <v>0</v>
      </c>
      <c r="AH48" s="127">
        <v>0</v>
      </c>
      <c r="AI48" s="127">
        <v>0</v>
      </c>
      <c r="AJ48" s="127">
        <v>0</v>
      </c>
      <c r="AK48" s="127"/>
      <c r="AL48" s="127">
        <v>0</v>
      </c>
      <c r="AM48" s="127"/>
      <c r="AN48" s="127">
        <v>0</v>
      </c>
      <c r="AO48" s="127">
        <v>0</v>
      </c>
      <c r="AP48" s="127">
        <v>0</v>
      </c>
      <c r="AQ48" s="127"/>
      <c r="AR48" s="127">
        <v>0</v>
      </c>
      <c r="AS48" s="127"/>
      <c r="AT48" s="127">
        <v>0</v>
      </c>
      <c r="AU48" s="127"/>
      <c r="AV48" s="127">
        <v>0</v>
      </c>
      <c r="AW48" s="127">
        <v>0</v>
      </c>
      <c r="AX48" s="127">
        <v>0</v>
      </c>
      <c r="AY48" s="127">
        <v>0</v>
      </c>
    </row>
    <row r="49" spans="1:52" x14ac:dyDescent="0.2">
      <c r="A49" s="127"/>
      <c r="B49" s="181" t="s">
        <v>346</v>
      </c>
      <c r="C49" s="127"/>
      <c r="D49" s="127"/>
      <c r="E49" s="127">
        <v>27</v>
      </c>
      <c r="F49" s="127">
        <v>14</v>
      </c>
      <c r="G49" s="127">
        <v>27</v>
      </c>
      <c r="H49" s="127">
        <v>14</v>
      </c>
      <c r="I49" s="127">
        <v>27</v>
      </c>
      <c r="J49" s="127">
        <v>14</v>
      </c>
      <c r="K49" s="127">
        <v>27</v>
      </c>
      <c r="L49" s="127">
        <v>14</v>
      </c>
      <c r="M49" s="127">
        <v>27</v>
      </c>
      <c r="N49" s="127">
        <v>14</v>
      </c>
      <c r="O49" s="127">
        <v>27</v>
      </c>
      <c r="P49" s="127">
        <v>14</v>
      </c>
      <c r="Q49" s="127">
        <v>27</v>
      </c>
      <c r="R49" s="127">
        <v>14</v>
      </c>
      <c r="S49" s="127">
        <v>27</v>
      </c>
      <c r="T49" s="127">
        <v>14</v>
      </c>
      <c r="U49" s="127">
        <v>27</v>
      </c>
      <c r="V49" s="127"/>
      <c r="W49" s="127">
        <v>42</v>
      </c>
      <c r="X49" s="127"/>
      <c r="Y49" s="127">
        <v>27</v>
      </c>
      <c r="Z49" s="127">
        <v>14</v>
      </c>
      <c r="AA49" s="127">
        <v>27</v>
      </c>
      <c r="AB49" s="127">
        <v>14</v>
      </c>
      <c r="AC49" s="127">
        <v>27</v>
      </c>
      <c r="AD49" s="127">
        <v>14</v>
      </c>
      <c r="AE49" s="127">
        <v>27</v>
      </c>
      <c r="AF49" s="127">
        <v>14</v>
      </c>
      <c r="AG49" s="127">
        <v>27</v>
      </c>
      <c r="AH49" s="127">
        <v>14</v>
      </c>
      <c r="AI49" s="127">
        <v>27</v>
      </c>
      <c r="AJ49" s="127">
        <v>14</v>
      </c>
      <c r="AK49" s="127"/>
      <c r="AL49" s="127">
        <v>42</v>
      </c>
      <c r="AM49" s="127"/>
      <c r="AN49" s="127">
        <v>27</v>
      </c>
      <c r="AO49" s="127">
        <v>14</v>
      </c>
      <c r="AP49" s="127">
        <v>27</v>
      </c>
      <c r="AQ49" s="127"/>
      <c r="AR49" s="127">
        <v>42</v>
      </c>
      <c r="AS49" s="127"/>
      <c r="AT49" s="127">
        <v>42</v>
      </c>
      <c r="AU49" s="127"/>
      <c r="AV49" s="127">
        <v>27</v>
      </c>
      <c r="AW49" s="127">
        <v>14</v>
      </c>
      <c r="AX49" s="127">
        <v>27</v>
      </c>
      <c r="AY49" s="127">
        <v>14</v>
      </c>
    </row>
    <row r="50" spans="1:52" x14ac:dyDescent="0.2">
      <c r="A50" s="127"/>
      <c r="B50" s="181" t="s">
        <v>347</v>
      </c>
      <c r="C50" s="127"/>
      <c r="D50" s="127">
        <f>D44-D47</f>
        <v>993.23964486176965</v>
      </c>
      <c r="E50" s="127">
        <f t="shared" ref="E50:AY50" si="15">E44-E47</f>
        <v>0</v>
      </c>
      <c r="F50" s="127">
        <f t="shared" si="15"/>
        <v>373.42805123827782</v>
      </c>
      <c r="G50" s="127">
        <f t="shared" si="15"/>
        <v>0</v>
      </c>
      <c r="H50" s="127">
        <f t="shared" si="15"/>
        <v>373.42805123827782</v>
      </c>
      <c r="I50" s="127">
        <f t="shared" si="15"/>
        <v>0</v>
      </c>
      <c r="J50" s="127">
        <f t="shared" si="15"/>
        <v>373.42805123827816</v>
      </c>
      <c r="K50" s="127">
        <f t="shared" si="15"/>
        <v>0</v>
      </c>
      <c r="L50" s="127">
        <f t="shared" si="15"/>
        <v>373.42805123827816</v>
      </c>
      <c r="M50" s="127">
        <f t="shared" si="15"/>
        <v>0</v>
      </c>
      <c r="N50" s="127">
        <f t="shared" si="15"/>
        <v>373.42805123827816</v>
      </c>
      <c r="O50" s="127">
        <f t="shared" si="15"/>
        <v>0</v>
      </c>
      <c r="P50" s="127">
        <f t="shared" si="15"/>
        <v>373.42805123827816</v>
      </c>
      <c r="Q50" s="127">
        <f t="shared" si="15"/>
        <v>0</v>
      </c>
      <c r="R50" s="127">
        <f t="shared" si="15"/>
        <v>373.42805123827816</v>
      </c>
      <c r="S50" s="127">
        <f t="shared" si="15"/>
        <v>0</v>
      </c>
      <c r="T50" s="127">
        <f t="shared" si="15"/>
        <v>373.42805123827816</v>
      </c>
      <c r="U50" s="127">
        <f t="shared" si="15"/>
        <v>0</v>
      </c>
      <c r="V50" s="127">
        <f t="shared" si="15"/>
        <v>0</v>
      </c>
      <c r="W50" s="127">
        <f t="shared" si="15"/>
        <v>326.85610247655632</v>
      </c>
      <c r="X50" s="127">
        <f t="shared" si="15"/>
        <v>793.42805123827816</v>
      </c>
      <c r="Y50" s="127">
        <f t="shared" si="15"/>
        <v>0</v>
      </c>
      <c r="Z50" s="127">
        <f t="shared" si="15"/>
        <v>373.42805123827816</v>
      </c>
      <c r="AA50" s="127">
        <f t="shared" si="15"/>
        <v>0</v>
      </c>
      <c r="AB50" s="127">
        <f t="shared" si="15"/>
        <v>373.42805123827816</v>
      </c>
      <c r="AC50" s="127">
        <f t="shared" si="15"/>
        <v>0</v>
      </c>
      <c r="AD50" s="127">
        <f t="shared" si="15"/>
        <v>373.42805123827816</v>
      </c>
      <c r="AE50" s="127">
        <f t="shared" si="15"/>
        <v>0</v>
      </c>
      <c r="AF50" s="127">
        <f t="shared" si="15"/>
        <v>373.42805123827816</v>
      </c>
      <c r="AG50" s="127">
        <f t="shared" si="15"/>
        <v>0</v>
      </c>
      <c r="AH50" s="127">
        <f t="shared" si="15"/>
        <v>373.42805123827816</v>
      </c>
      <c r="AI50" s="127">
        <f t="shared" si="15"/>
        <v>0</v>
      </c>
      <c r="AJ50" s="127">
        <f t="shared" si="15"/>
        <v>373.42805123827816</v>
      </c>
      <c r="AK50" s="127">
        <f t="shared" si="15"/>
        <v>0</v>
      </c>
      <c r="AL50" s="127">
        <f t="shared" si="15"/>
        <v>326.85610247655632</v>
      </c>
      <c r="AM50" s="127">
        <f t="shared" si="15"/>
        <v>793.42805123827816</v>
      </c>
      <c r="AN50" s="127">
        <f t="shared" si="15"/>
        <v>0</v>
      </c>
      <c r="AO50" s="127">
        <f t="shared" si="15"/>
        <v>373.42805123827816</v>
      </c>
      <c r="AP50" s="127">
        <f t="shared" si="15"/>
        <v>0</v>
      </c>
      <c r="AQ50" s="127">
        <f t="shared" si="15"/>
        <v>0</v>
      </c>
      <c r="AR50" s="127">
        <f t="shared" si="15"/>
        <v>326.85610247655632</v>
      </c>
      <c r="AS50" s="127">
        <f t="shared" si="15"/>
        <v>0</v>
      </c>
      <c r="AT50" s="127">
        <f t="shared" si="15"/>
        <v>326.85610247655632</v>
      </c>
      <c r="AU50" s="127">
        <f t="shared" si="15"/>
        <v>793.42805123827816</v>
      </c>
      <c r="AV50" s="127">
        <f t="shared" si="15"/>
        <v>0</v>
      </c>
      <c r="AW50" s="127">
        <f t="shared" si="15"/>
        <v>373.42805123827816</v>
      </c>
      <c r="AX50" s="127">
        <f t="shared" si="15"/>
        <v>0</v>
      </c>
      <c r="AY50" s="127">
        <f t="shared" si="15"/>
        <v>373.42805123827816</v>
      </c>
    </row>
    <row r="51" spans="1:52" x14ac:dyDescent="0.2">
      <c r="A51" s="127"/>
      <c r="B51" s="181" t="s">
        <v>348</v>
      </c>
      <c r="C51" s="127"/>
      <c r="D51" s="127">
        <f>D45-D48</f>
        <v>0</v>
      </c>
      <c r="E51" s="127">
        <f t="shared" ref="E51:AY51" si="16">E45-E48</f>
        <v>0</v>
      </c>
      <c r="F51" s="127">
        <f t="shared" si="16"/>
        <v>0</v>
      </c>
      <c r="G51" s="127">
        <f t="shared" si="16"/>
        <v>0</v>
      </c>
      <c r="H51" s="127">
        <f t="shared" si="16"/>
        <v>0</v>
      </c>
      <c r="I51" s="127">
        <f t="shared" si="16"/>
        <v>0</v>
      </c>
      <c r="J51" s="127">
        <f t="shared" si="16"/>
        <v>0</v>
      </c>
      <c r="K51" s="127">
        <f t="shared" si="16"/>
        <v>0</v>
      </c>
      <c r="L51" s="127">
        <f t="shared" si="16"/>
        <v>0</v>
      </c>
      <c r="M51" s="127">
        <f t="shared" si="16"/>
        <v>0</v>
      </c>
      <c r="N51" s="127">
        <f t="shared" si="16"/>
        <v>0</v>
      </c>
      <c r="O51" s="127">
        <f t="shared" si="16"/>
        <v>0</v>
      </c>
      <c r="P51" s="127">
        <f t="shared" si="16"/>
        <v>0</v>
      </c>
      <c r="Q51" s="127">
        <f t="shared" si="16"/>
        <v>0</v>
      </c>
      <c r="R51" s="127">
        <f t="shared" si="16"/>
        <v>0</v>
      </c>
      <c r="S51" s="127">
        <f t="shared" si="16"/>
        <v>0</v>
      </c>
      <c r="T51" s="127">
        <f t="shared" si="16"/>
        <v>0</v>
      </c>
      <c r="U51" s="127">
        <f t="shared" si="16"/>
        <v>0</v>
      </c>
      <c r="V51" s="127">
        <f t="shared" si="16"/>
        <v>0</v>
      </c>
      <c r="W51" s="127">
        <f t="shared" si="16"/>
        <v>0</v>
      </c>
      <c r="X51" s="127">
        <f t="shared" si="16"/>
        <v>0</v>
      </c>
      <c r="Y51" s="127">
        <f t="shared" si="16"/>
        <v>0</v>
      </c>
      <c r="Z51" s="127">
        <f t="shared" si="16"/>
        <v>0</v>
      </c>
      <c r="AA51" s="127">
        <f t="shared" si="16"/>
        <v>0</v>
      </c>
      <c r="AB51" s="127">
        <f t="shared" si="16"/>
        <v>0</v>
      </c>
      <c r="AC51" s="127">
        <f t="shared" si="16"/>
        <v>0</v>
      </c>
      <c r="AD51" s="127">
        <f t="shared" si="16"/>
        <v>0</v>
      </c>
      <c r="AE51" s="127">
        <f t="shared" si="16"/>
        <v>0</v>
      </c>
      <c r="AF51" s="127">
        <f t="shared" si="16"/>
        <v>0</v>
      </c>
      <c r="AG51" s="127">
        <f t="shared" si="16"/>
        <v>0</v>
      </c>
      <c r="AH51" s="127">
        <f t="shared" si="16"/>
        <v>0</v>
      </c>
      <c r="AI51" s="127">
        <f t="shared" si="16"/>
        <v>0</v>
      </c>
      <c r="AJ51" s="127">
        <f t="shared" si="16"/>
        <v>0</v>
      </c>
      <c r="AK51" s="127">
        <f t="shared" si="16"/>
        <v>0</v>
      </c>
      <c r="AL51" s="127">
        <f t="shared" si="16"/>
        <v>0</v>
      </c>
      <c r="AM51" s="127">
        <f t="shared" si="16"/>
        <v>0</v>
      </c>
      <c r="AN51" s="127">
        <f t="shared" si="16"/>
        <v>0</v>
      </c>
      <c r="AO51" s="127">
        <f t="shared" si="16"/>
        <v>0</v>
      </c>
      <c r="AP51" s="127">
        <f t="shared" si="16"/>
        <v>0</v>
      </c>
      <c r="AQ51" s="127">
        <f t="shared" si="16"/>
        <v>0</v>
      </c>
      <c r="AR51" s="127">
        <f t="shared" si="16"/>
        <v>0</v>
      </c>
      <c r="AS51" s="127">
        <f t="shared" si="16"/>
        <v>0</v>
      </c>
      <c r="AT51" s="127">
        <f t="shared" si="16"/>
        <v>0</v>
      </c>
      <c r="AU51" s="127">
        <f t="shared" si="16"/>
        <v>0</v>
      </c>
      <c r="AV51" s="127">
        <f t="shared" si="16"/>
        <v>0</v>
      </c>
      <c r="AW51" s="127">
        <f t="shared" si="16"/>
        <v>0</v>
      </c>
      <c r="AX51" s="127">
        <f t="shared" si="16"/>
        <v>0</v>
      </c>
      <c r="AY51" s="127">
        <f t="shared" si="16"/>
        <v>0</v>
      </c>
    </row>
    <row r="52" spans="1:52" x14ac:dyDescent="0.2">
      <c r="A52" s="127"/>
      <c r="B52" s="181" t="s">
        <v>349</v>
      </c>
      <c r="C52" s="127"/>
      <c r="D52" s="127">
        <v>2</v>
      </c>
      <c r="E52" s="127">
        <v>1</v>
      </c>
      <c r="F52" s="127">
        <v>1</v>
      </c>
      <c r="G52" s="127">
        <v>1</v>
      </c>
      <c r="H52" s="127">
        <v>1</v>
      </c>
      <c r="I52" s="127">
        <v>1</v>
      </c>
      <c r="J52" s="127">
        <v>1</v>
      </c>
      <c r="K52" s="127">
        <v>1</v>
      </c>
      <c r="L52" s="127">
        <v>2</v>
      </c>
      <c r="M52" s="127">
        <v>1</v>
      </c>
      <c r="N52" s="127">
        <v>3</v>
      </c>
      <c r="O52" s="127">
        <v>2</v>
      </c>
      <c r="P52" s="127">
        <v>1</v>
      </c>
      <c r="Q52" s="127">
        <v>1</v>
      </c>
      <c r="R52" s="127">
        <v>2</v>
      </c>
      <c r="S52" s="127">
        <v>1</v>
      </c>
      <c r="T52" s="127">
        <v>1</v>
      </c>
      <c r="U52" s="127">
        <v>1</v>
      </c>
      <c r="V52" s="127">
        <v>1</v>
      </c>
      <c r="W52" s="127">
        <v>1</v>
      </c>
      <c r="X52" s="127">
        <v>1</v>
      </c>
      <c r="Y52" s="127">
        <v>2</v>
      </c>
      <c r="Z52" s="127">
        <v>3</v>
      </c>
      <c r="AA52" s="127">
        <v>1</v>
      </c>
      <c r="AB52" s="127">
        <v>2</v>
      </c>
      <c r="AC52" s="127">
        <v>1</v>
      </c>
      <c r="AD52" s="127">
        <v>1</v>
      </c>
      <c r="AE52" s="127">
        <v>1</v>
      </c>
      <c r="AF52" s="127">
        <v>1</v>
      </c>
      <c r="AG52" s="127">
        <v>2</v>
      </c>
      <c r="AH52" s="127">
        <v>2</v>
      </c>
      <c r="AI52" s="127">
        <v>2</v>
      </c>
      <c r="AJ52" s="127">
        <v>1</v>
      </c>
      <c r="AK52" s="127">
        <v>1</v>
      </c>
      <c r="AL52" s="127">
        <v>1</v>
      </c>
      <c r="AM52" s="127">
        <v>1</v>
      </c>
      <c r="AN52" s="127">
        <v>1</v>
      </c>
      <c r="AO52" s="127">
        <v>1</v>
      </c>
      <c r="AP52" s="127">
        <v>1</v>
      </c>
      <c r="AQ52" s="127">
        <v>1</v>
      </c>
      <c r="AR52" s="127">
        <v>2</v>
      </c>
      <c r="AS52" s="127">
        <v>1</v>
      </c>
      <c r="AT52" s="127">
        <v>1</v>
      </c>
      <c r="AU52" s="127">
        <v>2</v>
      </c>
      <c r="AV52" s="127">
        <v>1</v>
      </c>
      <c r="AW52" s="127">
        <v>1</v>
      </c>
      <c r="AX52" s="127">
        <v>2</v>
      </c>
      <c r="AY52" s="127">
        <v>1</v>
      </c>
    </row>
    <row r="53" spans="1:52" x14ac:dyDescent="0.2">
      <c r="A53" s="127"/>
      <c r="B53" s="192" t="s">
        <v>350</v>
      </c>
      <c r="C53" s="127"/>
      <c r="D53" s="127">
        <v>0</v>
      </c>
      <c r="E53" s="127">
        <v>481140</v>
      </c>
      <c r="F53" s="127">
        <v>249480</v>
      </c>
      <c r="G53" s="127">
        <v>481140</v>
      </c>
      <c r="H53" s="127">
        <v>249480</v>
      </c>
      <c r="I53" s="127">
        <v>481140</v>
      </c>
      <c r="J53" s="127">
        <v>249480</v>
      </c>
      <c r="K53" s="127">
        <v>481140</v>
      </c>
      <c r="L53" s="127">
        <v>249480</v>
      </c>
      <c r="M53" s="127">
        <v>481140</v>
      </c>
      <c r="N53" s="127">
        <v>249480</v>
      </c>
      <c r="O53" s="127">
        <v>481140</v>
      </c>
      <c r="P53" s="127">
        <v>249480</v>
      </c>
      <c r="Q53" s="127">
        <v>481140</v>
      </c>
      <c r="R53" s="127">
        <v>249480</v>
      </c>
      <c r="S53" s="127">
        <v>481140</v>
      </c>
      <c r="T53" s="127">
        <v>249480</v>
      </c>
      <c r="U53" s="127">
        <v>481140</v>
      </c>
      <c r="V53" s="127">
        <v>0</v>
      </c>
      <c r="W53" s="127">
        <v>748440</v>
      </c>
      <c r="X53" s="127">
        <v>0</v>
      </c>
      <c r="Y53" s="127">
        <v>481140</v>
      </c>
      <c r="Z53" s="127">
        <v>249480</v>
      </c>
      <c r="AA53" s="127">
        <v>481140</v>
      </c>
      <c r="AB53" s="127">
        <v>249480</v>
      </c>
      <c r="AC53" s="127">
        <v>481140</v>
      </c>
      <c r="AD53" s="127">
        <v>249480</v>
      </c>
      <c r="AE53" s="127">
        <v>481140</v>
      </c>
      <c r="AF53" s="127">
        <v>249480</v>
      </c>
      <c r="AG53" s="127">
        <v>481140</v>
      </c>
      <c r="AH53" s="127">
        <v>249480</v>
      </c>
      <c r="AI53" s="127">
        <v>481140</v>
      </c>
      <c r="AJ53" s="127">
        <v>249480</v>
      </c>
      <c r="AK53" s="127">
        <v>0</v>
      </c>
      <c r="AL53" s="127">
        <v>748440</v>
      </c>
      <c r="AM53" s="127">
        <v>0</v>
      </c>
      <c r="AN53" s="127">
        <v>481140</v>
      </c>
      <c r="AO53" s="127">
        <v>249480</v>
      </c>
      <c r="AP53" s="127">
        <v>481140</v>
      </c>
      <c r="AQ53" s="127">
        <v>0</v>
      </c>
      <c r="AR53" s="127">
        <v>748440</v>
      </c>
      <c r="AS53" s="127">
        <v>0</v>
      </c>
      <c r="AT53" s="127">
        <v>748440</v>
      </c>
      <c r="AU53" s="127">
        <v>0</v>
      </c>
      <c r="AV53" s="127">
        <v>481140</v>
      </c>
      <c r="AW53" s="127">
        <v>249480</v>
      </c>
      <c r="AX53" s="127">
        <v>481140</v>
      </c>
      <c r="AY53" s="127">
        <v>249480</v>
      </c>
      <c r="AZ53">
        <f>SUM($D$53:$AY$53)</f>
        <v>16376580</v>
      </c>
    </row>
    <row r="54" spans="1:52" x14ac:dyDescent="0.2">
      <c r="A54" s="141"/>
      <c r="B54" s="156" t="s">
        <v>351</v>
      </c>
      <c r="C54" s="141"/>
      <c r="D54" s="141">
        <v>319574.85573427437</v>
      </c>
      <c r="E54" s="141">
        <v>0</v>
      </c>
      <c r="F54" s="141">
        <v>120150.47548591589</v>
      </c>
      <c r="G54" s="141">
        <v>0</v>
      </c>
      <c r="H54" s="141">
        <v>120150.47548591589</v>
      </c>
      <c r="I54" s="141">
        <v>0</v>
      </c>
      <c r="J54" s="141">
        <v>120150.475485916</v>
      </c>
      <c r="K54" s="141">
        <v>0</v>
      </c>
      <c r="L54" s="141">
        <v>120150.475485916</v>
      </c>
      <c r="M54" s="141">
        <v>0</v>
      </c>
      <c r="N54" s="141">
        <v>120150.475485916</v>
      </c>
      <c r="O54" s="141">
        <v>0</v>
      </c>
      <c r="P54" s="141">
        <v>120150.475485916</v>
      </c>
      <c r="Q54" s="141">
        <v>0</v>
      </c>
      <c r="R54" s="141">
        <v>120150.475485916</v>
      </c>
      <c r="S54" s="141">
        <v>0</v>
      </c>
      <c r="T54" s="141">
        <v>120150.475485916</v>
      </c>
      <c r="U54" s="141">
        <v>0</v>
      </c>
      <c r="V54" s="141">
        <v>0</v>
      </c>
      <c r="W54" s="141">
        <v>105165.950971832</v>
      </c>
      <c r="X54" s="141">
        <v>255285.47548591602</v>
      </c>
      <c r="Y54" s="141">
        <v>0</v>
      </c>
      <c r="Z54" s="141">
        <v>120150.475485916</v>
      </c>
      <c r="AA54" s="141">
        <v>0</v>
      </c>
      <c r="AB54" s="141">
        <v>120150.475485916</v>
      </c>
      <c r="AC54" s="141">
        <v>0</v>
      </c>
      <c r="AD54" s="141">
        <v>120150.475485916</v>
      </c>
      <c r="AE54" s="141">
        <v>0</v>
      </c>
      <c r="AF54" s="141">
        <v>120150.475485916</v>
      </c>
      <c r="AG54" s="141">
        <v>0</v>
      </c>
      <c r="AH54" s="141">
        <v>120150.475485916</v>
      </c>
      <c r="AI54" s="141">
        <v>0</v>
      </c>
      <c r="AJ54" s="141">
        <v>120150.475485916</v>
      </c>
      <c r="AK54" s="141">
        <v>0</v>
      </c>
      <c r="AL54" s="141">
        <v>105165.950971832</v>
      </c>
      <c r="AM54" s="141">
        <v>255285.47548591602</v>
      </c>
      <c r="AN54" s="141">
        <v>0</v>
      </c>
      <c r="AO54" s="141">
        <v>120150.475485916</v>
      </c>
      <c r="AP54" s="141">
        <v>0</v>
      </c>
      <c r="AQ54" s="141">
        <v>0</v>
      </c>
      <c r="AR54" s="141">
        <v>105165.950971832</v>
      </c>
      <c r="AS54" s="141">
        <v>0</v>
      </c>
      <c r="AT54" s="141">
        <v>105165.950971832</v>
      </c>
      <c r="AU54" s="141">
        <v>255285.47548591602</v>
      </c>
      <c r="AV54" s="141">
        <v>0</v>
      </c>
      <c r="AW54" s="141">
        <v>120150.475485916</v>
      </c>
      <c r="AX54" s="141">
        <v>0</v>
      </c>
      <c r="AY54" s="141">
        <v>120150.475485916</v>
      </c>
      <c r="AZ54">
        <f>SUM($D$54:$AY$54)</f>
        <v>3548653.1693399213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75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customWidth="1"/>
    <col min="2" max="2" width="12.7109375" customWidth="1"/>
  </cols>
  <sheetData>
    <row r="1" spans="1:54" x14ac:dyDescent="0.2">
      <c r="A1" s="1" t="s">
        <v>284</v>
      </c>
    </row>
    <row r="2" spans="1:54" x14ac:dyDescent="0.2">
      <c r="A2" t="s">
        <v>285</v>
      </c>
      <c r="B2" s="124" t="s">
        <v>22</v>
      </c>
    </row>
    <row r="3" spans="1:54" x14ac:dyDescent="0.2">
      <c r="A3" t="s">
        <v>286</v>
      </c>
      <c r="B3" s="125">
        <v>40000</v>
      </c>
      <c r="C3" s="126"/>
    </row>
    <row r="4" spans="1:54" x14ac:dyDescent="0.2">
      <c r="B4" s="127"/>
      <c r="C4" s="127"/>
    </row>
    <row r="5" spans="1:54" x14ac:dyDescent="0.2">
      <c r="C5" s="9" t="s">
        <v>287</v>
      </c>
    </row>
    <row r="6" spans="1:54" x14ac:dyDescent="0.2">
      <c r="C6" s="128">
        <v>0</v>
      </c>
      <c r="D6" s="128">
        <v>1</v>
      </c>
      <c r="E6" s="128">
        <v>2</v>
      </c>
      <c r="F6" s="128">
        <v>3</v>
      </c>
      <c r="G6" s="128">
        <v>4</v>
      </c>
      <c r="H6" s="128">
        <v>5</v>
      </c>
      <c r="I6" s="128">
        <v>6</v>
      </c>
      <c r="J6" s="128">
        <v>7</v>
      </c>
      <c r="K6" s="128">
        <v>8</v>
      </c>
      <c r="L6" s="128">
        <v>9</v>
      </c>
      <c r="M6" s="128">
        <v>10</v>
      </c>
      <c r="N6" s="128">
        <v>11</v>
      </c>
      <c r="O6" s="128">
        <v>12</v>
      </c>
      <c r="P6" s="128">
        <v>13</v>
      </c>
      <c r="Q6" s="128">
        <v>14</v>
      </c>
      <c r="R6" s="128">
        <v>15</v>
      </c>
      <c r="S6" s="128">
        <v>16</v>
      </c>
      <c r="T6" s="128">
        <v>17</v>
      </c>
      <c r="U6" s="128">
        <v>18</v>
      </c>
      <c r="V6" s="128">
        <v>19</v>
      </c>
      <c r="W6" s="128">
        <v>20</v>
      </c>
      <c r="X6" s="128">
        <v>21</v>
      </c>
      <c r="Y6" s="128">
        <v>22</v>
      </c>
      <c r="Z6" s="128">
        <v>23</v>
      </c>
      <c r="AA6" s="128">
        <v>24</v>
      </c>
      <c r="AB6" s="128">
        <v>25</v>
      </c>
      <c r="AC6" s="128">
        <v>26</v>
      </c>
      <c r="AD6" s="128">
        <v>27</v>
      </c>
      <c r="AE6" s="128">
        <v>28</v>
      </c>
      <c r="AF6" s="128">
        <v>29</v>
      </c>
      <c r="AG6" s="128">
        <v>30</v>
      </c>
      <c r="AH6" s="128">
        <v>31</v>
      </c>
      <c r="AI6" s="128">
        <v>32</v>
      </c>
      <c r="AJ6" s="128">
        <v>33</v>
      </c>
      <c r="AK6" s="128">
        <v>34</v>
      </c>
      <c r="AL6" s="128">
        <v>35</v>
      </c>
      <c r="AM6" s="128">
        <v>36</v>
      </c>
      <c r="AN6" s="128">
        <v>37</v>
      </c>
      <c r="AO6" s="128">
        <v>38</v>
      </c>
      <c r="AP6" s="128">
        <v>39</v>
      </c>
      <c r="AQ6" s="128">
        <v>40</v>
      </c>
      <c r="AR6" s="128">
        <v>41</v>
      </c>
      <c r="AS6" s="128">
        <v>42</v>
      </c>
      <c r="AT6" s="128">
        <v>43</v>
      </c>
      <c r="AU6" s="128">
        <v>44</v>
      </c>
      <c r="AV6" s="128">
        <v>45</v>
      </c>
      <c r="AW6" s="128">
        <v>46</v>
      </c>
      <c r="AX6" s="128">
        <v>47</v>
      </c>
      <c r="AY6" s="128">
        <v>48</v>
      </c>
    </row>
    <row r="7" spans="1:54" x14ac:dyDescent="0.2">
      <c r="B7" s="127"/>
      <c r="C7" s="129" t="s">
        <v>288</v>
      </c>
      <c r="D7" s="128" t="s">
        <v>289</v>
      </c>
      <c r="E7" s="128" t="s">
        <v>289</v>
      </c>
      <c r="F7" s="128" t="s">
        <v>289</v>
      </c>
      <c r="G7" s="128" t="s">
        <v>289</v>
      </c>
      <c r="H7" s="128" t="s">
        <v>289</v>
      </c>
      <c r="I7" s="128" t="s">
        <v>289</v>
      </c>
      <c r="J7" s="128" t="s">
        <v>289</v>
      </c>
      <c r="K7" s="128" t="s">
        <v>289</v>
      </c>
      <c r="L7" s="128" t="s">
        <v>289</v>
      </c>
      <c r="M7" s="128" t="s">
        <v>289</v>
      </c>
      <c r="N7" s="128" t="s">
        <v>289</v>
      </c>
      <c r="O7" s="128" t="s">
        <v>289</v>
      </c>
      <c r="P7" s="128" t="s">
        <v>289</v>
      </c>
      <c r="Q7" s="128" t="s">
        <v>289</v>
      </c>
      <c r="R7" s="128" t="s">
        <v>289</v>
      </c>
      <c r="S7" s="128" t="s">
        <v>289</v>
      </c>
      <c r="T7" s="128" t="s">
        <v>289</v>
      </c>
      <c r="U7" s="128" t="s">
        <v>289</v>
      </c>
      <c r="V7" s="128" t="s">
        <v>289</v>
      </c>
      <c r="W7" s="128" t="s">
        <v>289</v>
      </c>
      <c r="X7" s="128" t="s">
        <v>289</v>
      </c>
      <c r="Y7" s="128" t="s">
        <v>289</v>
      </c>
      <c r="Z7" s="128" t="s">
        <v>289</v>
      </c>
      <c r="AA7" s="128" t="s">
        <v>289</v>
      </c>
      <c r="AB7" s="128" t="s">
        <v>289</v>
      </c>
      <c r="AC7" s="128" t="s">
        <v>289</v>
      </c>
      <c r="AD7" s="128" t="s">
        <v>289</v>
      </c>
      <c r="AE7" s="128" t="s">
        <v>289</v>
      </c>
      <c r="AF7" s="128" t="s">
        <v>289</v>
      </c>
      <c r="AG7" s="128" t="s">
        <v>289</v>
      </c>
      <c r="AH7" s="128" t="s">
        <v>289</v>
      </c>
      <c r="AI7" s="128" t="s">
        <v>289</v>
      </c>
      <c r="AJ7" s="128" t="s">
        <v>289</v>
      </c>
      <c r="AK7" s="128" t="s">
        <v>289</v>
      </c>
      <c r="AL7" s="128" t="s">
        <v>289</v>
      </c>
      <c r="AM7" s="128" t="s">
        <v>289</v>
      </c>
      <c r="AN7" s="128" t="s">
        <v>289</v>
      </c>
      <c r="AO7" s="128" t="s">
        <v>289</v>
      </c>
      <c r="AP7" s="128" t="s">
        <v>289</v>
      </c>
      <c r="AQ7" s="128" t="s">
        <v>289</v>
      </c>
      <c r="AR7" s="128" t="s">
        <v>289</v>
      </c>
      <c r="AS7" s="128" t="s">
        <v>289</v>
      </c>
      <c r="AT7" s="128" t="s">
        <v>289</v>
      </c>
      <c r="AU7" s="128" t="s">
        <v>289</v>
      </c>
      <c r="AV7" s="128" t="s">
        <v>289</v>
      </c>
      <c r="AW7" s="128" t="s">
        <v>289</v>
      </c>
      <c r="AX7" s="128" t="s">
        <v>289</v>
      </c>
      <c r="AY7" s="9" t="s">
        <v>290</v>
      </c>
      <c r="AZ7" s="9" t="s">
        <v>291</v>
      </c>
    </row>
    <row r="8" spans="1:54" x14ac:dyDescent="0.2">
      <c r="A8" s="1" t="s">
        <v>292</v>
      </c>
      <c r="B8" s="130"/>
      <c r="AY8" s="127"/>
    </row>
    <row r="9" spans="1:54" x14ac:dyDescent="0.2">
      <c r="A9" s="131" t="s">
        <v>125</v>
      </c>
      <c r="B9" s="132">
        <v>1</v>
      </c>
      <c r="C9" s="133" t="s">
        <v>293</v>
      </c>
      <c r="D9" s="133">
        <v>3440.6512500843232</v>
      </c>
      <c r="E9" s="133">
        <v>3440.6512500843232</v>
      </c>
      <c r="F9" s="133">
        <v>3440.6512500843232</v>
      </c>
      <c r="G9" s="133">
        <v>3440.6512500843232</v>
      </c>
      <c r="H9" s="133">
        <v>3440.6512500843255</v>
      </c>
      <c r="I9" s="133">
        <v>3440.6512500843255</v>
      </c>
      <c r="J9" s="133">
        <v>3440.6512500843255</v>
      </c>
      <c r="K9" s="133">
        <v>3440.6512500843255</v>
      </c>
      <c r="L9" s="133">
        <v>3440.6512500843255</v>
      </c>
      <c r="M9" s="133">
        <v>3440.6512500843255</v>
      </c>
      <c r="N9" s="133">
        <v>3440.6512500843255</v>
      </c>
      <c r="O9" s="133">
        <v>3440.6512500843255</v>
      </c>
      <c r="P9" s="133">
        <v>3440.6512500843255</v>
      </c>
      <c r="Q9" s="133">
        <v>3440.6512500843255</v>
      </c>
      <c r="R9" s="133">
        <v>3440.6512500843255</v>
      </c>
      <c r="S9" s="133">
        <v>3440.6512500843255</v>
      </c>
      <c r="T9" s="133">
        <v>3440.6512500843255</v>
      </c>
      <c r="U9" s="133">
        <v>3440.6512500843255</v>
      </c>
      <c r="V9" s="133">
        <v>3440.6512500843255</v>
      </c>
      <c r="W9" s="133">
        <v>3440.6512500843255</v>
      </c>
      <c r="X9" s="133">
        <v>3440.6512500843255</v>
      </c>
      <c r="Y9" s="133">
        <v>3440.6512500843255</v>
      </c>
      <c r="Z9" s="133">
        <v>3440.6512500843255</v>
      </c>
      <c r="AA9" s="133">
        <v>3440.6512500843255</v>
      </c>
      <c r="AB9" s="133">
        <v>3440.6512500843255</v>
      </c>
      <c r="AC9" s="133">
        <v>3440.6512500843255</v>
      </c>
      <c r="AD9" s="133">
        <v>3440.6512500843255</v>
      </c>
      <c r="AE9" s="133">
        <v>3440.6512500843255</v>
      </c>
      <c r="AF9" s="133">
        <v>3440.6512500843255</v>
      </c>
      <c r="AG9" s="133">
        <v>3440.6512500843255</v>
      </c>
      <c r="AH9" s="133">
        <v>3440.6512500843255</v>
      </c>
      <c r="AI9" s="133">
        <v>3440.6512500843255</v>
      </c>
      <c r="AJ9" s="133">
        <v>3440.6512500843255</v>
      </c>
      <c r="AK9" s="133">
        <v>3440.6512500843255</v>
      </c>
      <c r="AL9" s="133">
        <v>3440.6512500843255</v>
      </c>
      <c r="AM9" s="133">
        <v>3440.6512500843255</v>
      </c>
      <c r="AN9" s="133">
        <v>3440.6512500843255</v>
      </c>
      <c r="AO9" s="133">
        <v>3440.6512500843255</v>
      </c>
      <c r="AP9" s="133">
        <v>3440.6512500843255</v>
      </c>
      <c r="AQ9" s="133">
        <v>3440.6512500843255</v>
      </c>
      <c r="AR9" s="133">
        <v>3440.6512500843255</v>
      </c>
      <c r="AS9" s="133">
        <v>3440.6512500843255</v>
      </c>
      <c r="AT9" s="133">
        <v>3440.6512500843255</v>
      </c>
      <c r="AU9" s="133">
        <v>3440.6512500843255</v>
      </c>
      <c r="AV9" s="133">
        <v>3440.6512500843255</v>
      </c>
      <c r="AW9" s="133">
        <v>3440.6512500843255</v>
      </c>
      <c r="AX9" s="133">
        <v>3440.6512500843255</v>
      </c>
      <c r="AY9" s="133">
        <v>3440.6512500843255</v>
      </c>
    </row>
    <row r="10" spans="1:54" x14ac:dyDescent="0.2">
      <c r="A10" s="134" t="s">
        <v>133</v>
      </c>
      <c r="B10" s="135">
        <v>1</v>
      </c>
      <c r="C10" s="123" t="s">
        <v>293</v>
      </c>
      <c r="D10">
        <v>240</v>
      </c>
      <c r="E10">
        <v>0</v>
      </c>
      <c r="F10">
        <v>241.49999999999997</v>
      </c>
      <c r="G10">
        <v>241.49999999999997</v>
      </c>
      <c r="H10">
        <v>241.49999999999997</v>
      </c>
      <c r="I10">
        <v>0</v>
      </c>
      <c r="J10">
        <v>241.49999999999997</v>
      </c>
      <c r="K10">
        <v>241.49999999999997</v>
      </c>
      <c r="L10">
        <v>241.49999999999997</v>
      </c>
      <c r="M10">
        <v>0</v>
      </c>
      <c r="N10">
        <v>241.49999999999997</v>
      </c>
      <c r="O10">
        <v>0</v>
      </c>
      <c r="P10">
        <v>230.99999999999997</v>
      </c>
      <c r="Q10">
        <v>0</v>
      </c>
      <c r="R10">
        <v>241.49999999999997</v>
      </c>
      <c r="S10">
        <v>0</v>
      </c>
      <c r="T10">
        <v>230.99999999999997</v>
      </c>
      <c r="U10">
        <v>0</v>
      </c>
      <c r="V10">
        <v>241.49999999999997</v>
      </c>
      <c r="W10">
        <v>241.49999999999997</v>
      </c>
      <c r="X10">
        <v>241.49999999999997</v>
      </c>
      <c r="Y10">
        <v>0</v>
      </c>
      <c r="Z10">
        <v>241.49999999999997</v>
      </c>
      <c r="AA10">
        <v>241.49999999999997</v>
      </c>
      <c r="AB10">
        <v>241.49999999999997</v>
      </c>
      <c r="AC10">
        <v>0</v>
      </c>
      <c r="AD10">
        <v>241.49999999999997</v>
      </c>
      <c r="AE10">
        <v>241.49999999999997</v>
      </c>
      <c r="AF10">
        <v>230.99999999999997</v>
      </c>
      <c r="AG10">
        <v>0</v>
      </c>
      <c r="AH10">
        <v>230.99999999999997</v>
      </c>
      <c r="AI10">
        <v>0</v>
      </c>
      <c r="AJ10">
        <v>230.99999999999997</v>
      </c>
      <c r="AK10">
        <v>241.49999999999997</v>
      </c>
      <c r="AL10">
        <v>241.49999999999997</v>
      </c>
      <c r="AM10">
        <v>241.49999999999997</v>
      </c>
      <c r="AN10">
        <v>230.99999999999997</v>
      </c>
      <c r="AO10">
        <v>0</v>
      </c>
      <c r="AP10">
        <v>241.49999999999997</v>
      </c>
      <c r="AQ10">
        <v>241.49999999999997</v>
      </c>
      <c r="AR10">
        <v>230.99999999999997</v>
      </c>
      <c r="AS10">
        <v>241.49999999999997</v>
      </c>
      <c r="AT10">
        <v>241.49999999999997</v>
      </c>
      <c r="AU10">
        <v>241.49999999999997</v>
      </c>
      <c r="AV10">
        <v>230.99999999999997</v>
      </c>
      <c r="AW10">
        <v>241.49999999999997</v>
      </c>
      <c r="AX10">
        <v>0</v>
      </c>
      <c r="AY10">
        <v>230.99999999999997</v>
      </c>
      <c r="AZ10">
        <v>0</v>
      </c>
    </row>
    <row r="11" spans="1:54" x14ac:dyDescent="0.2">
      <c r="B11" s="135">
        <v>2</v>
      </c>
      <c r="C11" s="123" t="s">
        <v>293</v>
      </c>
      <c r="D11">
        <v>0</v>
      </c>
      <c r="E11">
        <v>634.73030863507029</v>
      </c>
      <c r="F11">
        <v>241.49999999999997</v>
      </c>
      <c r="G11">
        <v>0</v>
      </c>
      <c r="H11">
        <v>0</v>
      </c>
      <c r="J11">
        <v>241.49999999999997</v>
      </c>
      <c r="K11">
        <v>0</v>
      </c>
      <c r="M11">
        <v>0</v>
      </c>
      <c r="N11">
        <v>241.49999999999997</v>
      </c>
      <c r="O11">
        <v>0</v>
      </c>
      <c r="Q11">
        <v>10.5</v>
      </c>
      <c r="T11">
        <v>241.49999999999997</v>
      </c>
      <c r="U11">
        <v>10.5</v>
      </c>
      <c r="V11">
        <v>241.49999999999997</v>
      </c>
      <c r="X11">
        <v>0</v>
      </c>
      <c r="Y11">
        <v>0</v>
      </c>
      <c r="AA11">
        <v>0</v>
      </c>
      <c r="AC11">
        <v>0</v>
      </c>
      <c r="AD11">
        <v>241.49999999999997</v>
      </c>
      <c r="AE11">
        <v>0</v>
      </c>
      <c r="AF11">
        <v>0</v>
      </c>
      <c r="AG11">
        <v>10.5</v>
      </c>
      <c r="AH11">
        <v>241.49999999999997</v>
      </c>
      <c r="AI11">
        <v>10.5</v>
      </c>
      <c r="AJ11">
        <v>241.49999999999997</v>
      </c>
      <c r="AM11">
        <v>0</v>
      </c>
      <c r="AP11">
        <v>241.49999999999997</v>
      </c>
      <c r="AQ11">
        <v>0</v>
      </c>
      <c r="AT11">
        <v>0</v>
      </c>
      <c r="AY11">
        <v>0</v>
      </c>
      <c r="BA11">
        <v>0</v>
      </c>
    </row>
    <row r="12" spans="1:54" x14ac:dyDescent="0.2">
      <c r="B12" s="136">
        <v>3</v>
      </c>
      <c r="C12" s="123" t="s">
        <v>293</v>
      </c>
      <c r="F12">
        <v>0</v>
      </c>
      <c r="L12">
        <v>0</v>
      </c>
      <c r="Q12">
        <v>241.49999999999997</v>
      </c>
      <c r="S12">
        <v>241.49999999999997</v>
      </c>
      <c r="T12">
        <v>0</v>
      </c>
      <c r="X12">
        <v>0</v>
      </c>
      <c r="AA12">
        <v>241.49999999999997</v>
      </c>
      <c r="AC12">
        <v>0</v>
      </c>
      <c r="AG12">
        <v>0</v>
      </c>
      <c r="AH12">
        <v>0</v>
      </c>
      <c r="AJ12">
        <v>0</v>
      </c>
      <c r="AL12">
        <v>10.5</v>
      </c>
      <c r="AO12">
        <v>0</v>
      </c>
      <c r="AP12">
        <v>10.5</v>
      </c>
      <c r="AR12">
        <v>0</v>
      </c>
      <c r="AT12">
        <v>10.5</v>
      </c>
      <c r="AX12">
        <v>10.5</v>
      </c>
      <c r="AZ12">
        <v>0</v>
      </c>
      <c r="BA12">
        <v>10.5</v>
      </c>
      <c r="BB12">
        <v>241.49999999999997</v>
      </c>
    </row>
    <row r="13" spans="1:54" x14ac:dyDescent="0.2">
      <c r="B13" s="136">
        <v>4</v>
      </c>
      <c r="C13" s="123" t="s">
        <v>293</v>
      </c>
    </row>
    <row r="14" spans="1:54" x14ac:dyDescent="0.2">
      <c r="A14" s="131" t="s">
        <v>134</v>
      </c>
      <c r="B14" s="137">
        <v>1</v>
      </c>
      <c r="C14" s="133" t="s">
        <v>293</v>
      </c>
      <c r="D14" s="133">
        <v>262.8786932568355</v>
      </c>
      <c r="E14" s="133">
        <f t="shared" ref="E14:AZ14" si="0">D$172*SUM(D$122:D$169)</f>
        <v>187.85897427832242</v>
      </c>
      <c r="F14" s="133">
        <f t="shared" si="0"/>
        <v>316.65488454603866</v>
      </c>
      <c r="G14" s="133">
        <f t="shared" si="0"/>
        <v>477.30788233845823</v>
      </c>
      <c r="H14" s="133">
        <f t="shared" si="0"/>
        <v>508.84234891156041</v>
      </c>
      <c r="I14" s="133">
        <f t="shared" si="0"/>
        <v>609.89041795444564</v>
      </c>
      <c r="J14" s="133">
        <f t="shared" si="0"/>
        <v>532.97119998349206</v>
      </c>
      <c r="K14" s="133">
        <f t="shared" si="0"/>
        <v>628.87011361230759</v>
      </c>
      <c r="L14" s="133">
        <f t="shared" si="0"/>
        <v>625.81637238531084</v>
      </c>
      <c r="M14" s="133">
        <f t="shared" si="0"/>
        <v>626.52603807818036</v>
      </c>
      <c r="N14" s="133">
        <f t="shared" si="0"/>
        <v>523.97630407648558</v>
      </c>
      <c r="O14" s="133">
        <f t="shared" si="0"/>
        <v>703.39507317921971</v>
      </c>
      <c r="P14" s="133">
        <f t="shared" si="0"/>
        <v>665.01160428360731</v>
      </c>
      <c r="Q14" s="133">
        <f t="shared" si="0"/>
        <v>664.68126612357048</v>
      </c>
      <c r="R14" s="133">
        <f t="shared" si="0"/>
        <v>682.78659048381098</v>
      </c>
      <c r="S14" s="133">
        <f t="shared" si="0"/>
        <v>663.56056491845573</v>
      </c>
      <c r="T14" s="133">
        <f t="shared" si="0"/>
        <v>683.07289319792483</v>
      </c>
      <c r="U14" s="133">
        <f t="shared" si="0"/>
        <v>747.7074845995071</v>
      </c>
      <c r="V14" s="133">
        <f t="shared" si="0"/>
        <v>693.46054967123769</v>
      </c>
      <c r="W14" s="133">
        <f t="shared" si="0"/>
        <v>736.85127828762006</v>
      </c>
      <c r="X14" s="133">
        <f t="shared" si="0"/>
        <v>583.59481436238025</v>
      </c>
      <c r="Y14" s="133">
        <f t="shared" si="0"/>
        <v>673.0144468584183</v>
      </c>
      <c r="Z14" s="133">
        <f t="shared" si="0"/>
        <v>728.961072634689</v>
      </c>
      <c r="AA14" s="133">
        <f t="shared" si="0"/>
        <v>756.63368093308952</v>
      </c>
      <c r="AB14" s="133">
        <f t="shared" si="0"/>
        <v>689.19034949600859</v>
      </c>
      <c r="AC14" s="133">
        <f t="shared" si="0"/>
        <v>719.27597126561216</v>
      </c>
      <c r="AD14" s="133">
        <f t="shared" si="0"/>
        <v>735.20797783011403</v>
      </c>
      <c r="AE14" s="133">
        <f t="shared" si="0"/>
        <v>793.51666073605293</v>
      </c>
      <c r="AF14" s="133">
        <f t="shared" si="0"/>
        <v>592.58799734704894</v>
      </c>
      <c r="AG14" s="133">
        <f t="shared" si="0"/>
        <v>717.25680399651571</v>
      </c>
      <c r="AH14" s="133">
        <f t="shared" si="0"/>
        <v>705.2241146996605</v>
      </c>
      <c r="AI14" s="133">
        <f t="shared" si="0"/>
        <v>734.91541890295457</v>
      </c>
      <c r="AJ14" s="133">
        <f t="shared" si="0"/>
        <v>681.10578031741898</v>
      </c>
      <c r="AK14" s="133">
        <f t="shared" si="0"/>
        <v>716.88635348755975</v>
      </c>
      <c r="AL14" s="133">
        <f t="shared" si="0"/>
        <v>674.89445525534336</v>
      </c>
      <c r="AM14" s="133">
        <f t="shared" si="0"/>
        <v>549.05301537937305</v>
      </c>
      <c r="AN14" s="133">
        <f t="shared" si="0"/>
        <v>548.4757692162832</v>
      </c>
      <c r="AO14" s="133">
        <f t="shared" si="0"/>
        <v>573.61492430907219</v>
      </c>
      <c r="AP14" s="133">
        <f t="shared" si="0"/>
        <v>672.60264802545817</v>
      </c>
      <c r="AQ14" s="133">
        <f t="shared" si="0"/>
        <v>570.87177629884059</v>
      </c>
      <c r="AR14" s="133">
        <f t="shared" si="0"/>
        <v>589.15244181693163</v>
      </c>
      <c r="AS14" s="133">
        <f t="shared" si="0"/>
        <v>576.61409954685473</v>
      </c>
      <c r="AT14" s="133">
        <f t="shared" si="0"/>
        <v>661.19949890792486</v>
      </c>
      <c r="AU14" s="133">
        <f t="shared" si="0"/>
        <v>576.7944872313069</v>
      </c>
      <c r="AV14" s="133">
        <f t="shared" si="0"/>
        <v>657.54216650925696</v>
      </c>
      <c r="AW14" s="133">
        <f t="shared" si="0"/>
        <v>646.95085119522003</v>
      </c>
      <c r="AX14" s="133">
        <f t="shared" si="0"/>
        <v>640.68428374083464</v>
      </c>
      <c r="AY14" s="133">
        <f t="shared" si="0"/>
        <v>506.28999251276326</v>
      </c>
      <c r="AZ14" s="127">
        <f t="shared" si="0"/>
        <v>510.09212662229896</v>
      </c>
      <c r="BA14" s="124">
        <f>SUM($E14:$AZ14)</f>
        <v>30061.445820344838</v>
      </c>
    </row>
    <row r="15" spans="1:54" x14ac:dyDescent="0.2">
      <c r="A15" s="138" t="s">
        <v>123</v>
      </c>
      <c r="B15" s="139">
        <v>1</v>
      </c>
      <c r="C15" s="140" t="s">
        <v>293</v>
      </c>
      <c r="D15" s="140">
        <v>620.87923391506524</v>
      </c>
      <c r="E15" s="140">
        <v>1046.5533674272524</v>
      </c>
      <c r="F15" s="140">
        <v>1214.4198273028987</v>
      </c>
      <c r="G15" s="140">
        <v>1064.4198273028987</v>
      </c>
      <c r="H15" s="140">
        <v>1214.4198273028987</v>
      </c>
      <c r="I15" s="140">
        <v>960.91982730289863</v>
      </c>
      <c r="J15" s="140">
        <v>1214.4198273028987</v>
      </c>
      <c r="K15" s="140">
        <v>1214.4198273028987</v>
      </c>
      <c r="L15" s="140">
        <v>1214.4198273028987</v>
      </c>
      <c r="M15" s="140">
        <v>770.87923391506524</v>
      </c>
      <c r="N15" s="140">
        <v>1214.4198273028987</v>
      </c>
      <c r="O15" s="140">
        <v>1110.9198273028987</v>
      </c>
      <c r="P15" s="140">
        <v>1209.9198273028987</v>
      </c>
      <c r="Q15" s="140">
        <v>1110.9198273028987</v>
      </c>
      <c r="R15" s="140">
        <v>1214.4198273028987</v>
      </c>
      <c r="S15" s="140">
        <v>1110.9198273028987</v>
      </c>
      <c r="T15" s="140">
        <v>1209.9198273028987</v>
      </c>
      <c r="U15" s="140">
        <v>1110.9198273028987</v>
      </c>
      <c r="V15" s="140">
        <v>1214.4198273028987</v>
      </c>
      <c r="W15" s="140">
        <v>724.37923391506524</v>
      </c>
      <c r="X15" s="140">
        <v>1204.3792339150652</v>
      </c>
      <c r="Y15" s="140">
        <v>960.91982730289874</v>
      </c>
      <c r="Z15" s="140">
        <v>1214.4198273028987</v>
      </c>
      <c r="AA15" s="140">
        <v>874.37923391506524</v>
      </c>
      <c r="AB15" s="140">
        <v>1214.4198273028987</v>
      </c>
      <c r="AC15" s="140">
        <v>960.91982730289874</v>
      </c>
      <c r="AD15" s="140">
        <v>1214.4198273028987</v>
      </c>
      <c r="AE15" s="140">
        <v>724.37923391506524</v>
      </c>
      <c r="AF15" s="140">
        <v>1209.9198273028987</v>
      </c>
      <c r="AG15" s="140">
        <v>1110.9198273028987</v>
      </c>
      <c r="AH15" s="140">
        <v>1209.9198273028987</v>
      </c>
      <c r="AI15" s="140">
        <v>1110.9198273028987</v>
      </c>
      <c r="AJ15" s="140">
        <v>1209.9198273028987</v>
      </c>
      <c r="AK15" s="140">
        <v>1214.4198273028987</v>
      </c>
      <c r="AL15" s="140">
        <v>874.37923391506524</v>
      </c>
      <c r="AM15" s="140">
        <v>1204.3792339150652</v>
      </c>
      <c r="AN15" s="140">
        <v>1209.9198273028987</v>
      </c>
      <c r="AO15" s="140">
        <v>1110.9198273028987</v>
      </c>
      <c r="AP15" s="140">
        <v>874.37923391506524</v>
      </c>
      <c r="AQ15" s="140">
        <v>1214.4198273028987</v>
      </c>
      <c r="AR15" s="140">
        <v>869.87923391506524</v>
      </c>
      <c r="AS15" s="140">
        <v>1404.4604206907325</v>
      </c>
      <c r="AT15" s="140">
        <v>874.37923391506524</v>
      </c>
      <c r="AU15" s="140">
        <v>1404.4604206907325</v>
      </c>
      <c r="AV15" s="140">
        <v>1209.9198273028987</v>
      </c>
      <c r="AW15" s="140">
        <v>1214.4198273028987</v>
      </c>
      <c r="AX15" s="140">
        <v>770.87923391506524</v>
      </c>
      <c r="AY15" s="140">
        <v>1059.9198273028987</v>
      </c>
      <c r="AZ15">
        <v>0</v>
      </c>
    </row>
    <row r="16" spans="1:54" x14ac:dyDescent="0.2">
      <c r="A16" s="127"/>
      <c r="B16" s="135">
        <v>2</v>
      </c>
      <c r="C16" s="126" t="s">
        <v>293</v>
      </c>
      <c r="D16" s="123">
        <v>0</v>
      </c>
      <c r="E16" s="127">
        <v>0</v>
      </c>
      <c r="F16" s="127">
        <v>103.50000000000001</v>
      </c>
      <c r="G16" s="127">
        <v>0</v>
      </c>
      <c r="H16" s="127">
        <v>150.00000000000003</v>
      </c>
      <c r="I16" s="127"/>
      <c r="J16" s="127">
        <v>253.50000000000006</v>
      </c>
      <c r="K16" s="127">
        <v>0</v>
      </c>
      <c r="L16" s="127"/>
      <c r="M16" s="127">
        <v>0</v>
      </c>
      <c r="N16" s="127">
        <v>443.54059338783355</v>
      </c>
      <c r="O16" s="127">
        <v>0</v>
      </c>
      <c r="P16" s="127"/>
      <c r="Q16" s="127">
        <v>4.5</v>
      </c>
      <c r="R16" s="127"/>
      <c r="S16" s="127"/>
      <c r="T16" s="127">
        <v>103.50000000000001</v>
      </c>
      <c r="U16" s="127">
        <v>4.5</v>
      </c>
      <c r="V16" s="127">
        <v>103.50000000000001</v>
      </c>
      <c r="W16" s="127"/>
      <c r="X16" s="127">
        <v>150.00000000000003</v>
      </c>
      <c r="Y16" s="127">
        <v>350.08118677566711</v>
      </c>
      <c r="Z16" s="127"/>
      <c r="AA16" s="127">
        <v>0</v>
      </c>
      <c r="AB16" s="127"/>
      <c r="AC16" s="127">
        <v>0</v>
      </c>
      <c r="AD16" s="127">
        <v>253.50000000000006</v>
      </c>
      <c r="AE16" s="127">
        <v>0</v>
      </c>
      <c r="AF16" s="127">
        <v>340.04059338783355</v>
      </c>
      <c r="AG16" s="127">
        <v>4.5</v>
      </c>
      <c r="AH16" s="127">
        <v>103.50000000000001</v>
      </c>
      <c r="AI16" s="127">
        <v>4.5</v>
      </c>
      <c r="AJ16" s="127">
        <v>103.50000000000001</v>
      </c>
      <c r="AK16" s="127"/>
      <c r="AL16" s="127"/>
      <c r="AM16" s="127">
        <v>0</v>
      </c>
      <c r="AN16" s="127"/>
      <c r="AO16" s="127"/>
      <c r="AP16" s="127">
        <v>103.50000000000001</v>
      </c>
      <c r="AQ16" s="127">
        <v>0</v>
      </c>
      <c r="AR16" s="127"/>
      <c r="AS16" s="127"/>
      <c r="AT16" s="127">
        <v>150.00000000000003</v>
      </c>
      <c r="AU16" s="127"/>
      <c r="AV16" s="127"/>
      <c r="AW16" s="127"/>
      <c r="AX16" s="127"/>
      <c r="AY16" s="127">
        <v>0</v>
      </c>
      <c r="BA16">
        <v>340.04059338783355</v>
      </c>
    </row>
    <row r="17" spans="1:54" x14ac:dyDescent="0.2">
      <c r="A17" s="127"/>
      <c r="B17" s="135">
        <v>3</v>
      </c>
      <c r="C17" s="126" t="s">
        <v>293</v>
      </c>
      <c r="D17" s="123"/>
      <c r="E17" s="127"/>
      <c r="F17" s="127">
        <v>0</v>
      </c>
      <c r="G17" s="127"/>
      <c r="H17" s="127"/>
      <c r="I17" s="127"/>
      <c r="J17" s="127"/>
      <c r="K17" s="127"/>
      <c r="L17" s="127">
        <v>0</v>
      </c>
      <c r="M17" s="127"/>
      <c r="N17" s="127"/>
      <c r="O17" s="127"/>
      <c r="P17" s="127"/>
      <c r="Q17" s="127">
        <v>103.50000000000001</v>
      </c>
      <c r="R17" s="127"/>
      <c r="S17" s="127">
        <v>103.50000000000001</v>
      </c>
      <c r="T17" s="127">
        <v>0</v>
      </c>
      <c r="U17" s="127"/>
      <c r="V17" s="127"/>
      <c r="W17" s="127"/>
      <c r="X17" s="127">
        <v>0</v>
      </c>
      <c r="Y17" s="127"/>
      <c r="Z17" s="127"/>
      <c r="AA17" s="127">
        <v>103.50000000000001</v>
      </c>
      <c r="AB17" s="127"/>
      <c r="AC17" s="127">
        <v>340.04059338783355</v>
      </c>
      <c r="AD17" s="127"/>
      <c r="AE17" s="127"/>
      <c r="AF17" s="127"/>
      <c r="AG17" s="127">
        <v>150.00000000000003</v>
      </c>
      <c r="AH17" s="127">
        <v>0</v>
      </c>
      <c r="AI17" s="127"/>
      <c r="AJ17" s="127">
        <v>0</v>
      </c>
      <c r="AK17" s="127"/>
      <c r="AL17" s="127">
        <v>4.5</v>
      </c>
      <c r="AM17" s="127"/>
      <c r="AN17" s="127"/>
      <c r="AO17" s="127">
        <v>350.08118677566711</v>
      </c>
      <c r="AP17" s="127">
        <v>4.5</v>
      </c>
      <c r="AQ17" s="127"/>
      <c r="AR17" s="127">
        <v>340.04059338783355</v>
      </c>
      <c r="AS17" s="127"/>
      <c r="AT17" s="127">
        <v>4.5</v>
      </c>
      <c r="AU17" s="127"/>
      <c r="AV17" s="127"/>
      <c r="AW17" s="127"/>
      <c r="AX17" s="127">
        <v>4.5</v>
      </c>
      <c r="AY17" s="127"/>
      <c r="AZ17">
        <v>340.04059338783355</v>
      </c>
      <c r="BA17">
        <v>4.5</v>
      </c>
      <c r="BB17">
        <v>103.50000000000001</v>
      </c>
    </row>
    <row r="18" spans="1:54" x14ac:dyDescent="0.2">
      <c r="A18" s="141"/>
      <c r="B18" s="132">
        <v>4</v>
      </c>
      <c r="C18" s="141" t="s">
        <v>293</v>
      </c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41"/>
      <c r="Z18" s="141"/>
      <c r="AA18" s="141"/>
      <c r="AB18" s="141"/>
      <c r="AC18" s="141"/>
      <c r="AD18" s="141"/>
      <c r="AE18" s="141"/>
      <c r="AF18" s="141"/>
      <c r="AG18" s="141"/>
      <c r="AH18" s="141"/>
      <c r="AI18" s="141"/>
      <c r="AJ18" s="141"/>
      <c r="AK18" s="141"/>
      <c r="AL18" s="141"/>
      <c r="AM18" s="141"/>
      <c r="AN18" s="141"/>
      <c r="AO18" s="141"/>
      <c r="AP18" s="141"/>
      <c r="AQ18" s="141"/>
      <c r="AR18" s="141"/>
      <c r="AS18" s="141"/>
      <c r="AT18" s="141"/>
      <c r="AU18" s="141"/>
      <c r="AV18" s="141"/>
      <c r="AW18" s="141"/>
      <c r="AX18" s="141"/>
      <c r="AY18" s="141"/>
    </row>
    <row r="20" spans="1:54" x14ac:dyDescent="0.2">
      <c r="A20" s="1" t="s">
        <v>294</v>
      </c>
    </row>
    <row r="21" spans="1:54" x14ac:dyDescent="0.2">
      <c r="A21" s="142" t="s">
        <v>125</v>
      </c>
      <c r="B21" s="139">
        <v>1</v>
      </c>
      <c r="C21" s="140" t="s">
        <v>293</v>
      </c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</row>
    <row r="22" spans="1:54" x14ac:dyDescent="0.2">
      <c r="A22" s="126"/>
      <c r="B22" s="136">
        <v>2</v>
      </c>
      <c r="C22" s="127" t="s">
        <v>293</v>
      </c>
      <c r="D22" s="127"/>
      <c r="E22" s="127"/>
      <c r="F22" s="127"/>
      <c r="G22" s="127"/>
      <c r="H22" s="127"/>
      <c r="I22" s="127"/>
      <c r="J22" s="127"/>
      <c r="K22" s="127"/>
      <c r="L22" s="127"/>
      <c r="M22" s="127"/>
      <c r="N22" s="127"/>
      <c r="O22" s="127"/>
      <c r="P22" s="127"/>
      <c r="Q22" s="127"/>
      <c r="R22" s="127"/>
      <c r="S22" s="127"/>
      <c r="T22" s="127"/>
      <c r="U22" s="127"/>
      <c r="V22" s="127"/>
      <c r="W22" s="127"/>
      <c r="X22" s="127"/>
      <c r="Y22" s="127"/>
      <c r="Z22" s="127"/>
      <c r="AA22" s="127"/>
      <c r="AB22" s="127"/>
      <c r="AC22" s="127"/>
      <c r="AD22" s="127"/>
      <c r="AE22" s="127"/>
      <c r="AF22" s="127"/>
      <c r="AG22" s="127"/>
      <c r="AH22" s="127"/>
      <c r="AI22" s="127"/>
      <c r="AJ22" s="127"/>
      <c r="AK22" s="127"/>
      <c r="AL22" s="127"/>
      <c r="AM22" s="127"/>
      <c r="AN22" s="127"/>
      <c r="AO22" s="127"/>
      <c r="AP22" s="127"/>
      <c r="AQ22" s="127"/>
      <c r="AR22" s="127"/>
      <c r="AS22" s="127"/>
      <c r="AT22" s="127"/>
      <c r="AU22" s="127"/>
      <c r="AV22" s="127"/>
      <c r="AW22" s="127"/>
      <c r="AX22" s="127"/>
      <c r="AY22" s="127"/>
    </row>
    <row r="23" spans="1:54" x14ac:dyDescent="0.2">
      <c r="A23" s="126"/>
      <c r="B23" s="143">
        <v>3</v>
      </c>
      <c r="C23" s="127" t="s">
        <v>293</v>
      </c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27"/>
      <c r="S23" s="127"/>
      <c r="T23" s="127"/>
      <c r="U23" s="127"/>
      <c r="V23" s="127"/>
      <c r="W23" s="127"/>
      <c r="X23" s="127"/>
      <c r="Y23" s="127"/>
      <c r="Z23" s="127"/>
      <c r="AA23" s="127"/>
      <c r="AB23" s="127"/>
      <c r="AC23" s="127"/>
      <c r="AD23" s="127"/>
      <c r="AE23" s="127"/>
      <c r="AF23" s="127"/>
      <c r="AG23" s="127"/>
      <c r="AH23" s="127"/>
      <c r="AI23" s="127"/>
      <c r="AJ23" s="127"/>
      <c r="AK23" s="127"/>
      <c r="AL23" s="127"/>
      <c r="AM23" s="127"/>
      <c r="AN23" s="127"/>
      <c r="AO23" s="127"/>
      <c r="AP23" s="127"/>
      <c r="AQ23" s="127"/>
      <c r="AR23" s="127"/>
      <c r="AS23" s="127"/>
      <c r="AT23" s="127"/>
      <c r="AU23" s="127"/>
      <c r="AV23" s="127"/>
      <c r="AW23" s="127"/>
      <c r="AX23" s="127"/>
      <c r="AY23" s="127"/>
    </row>
    <row r="24" spans="1:54" x14ac:dyDescent="0.2">
      <c r="A24" s="144"/>
      <c r="B24" s="145">
        <v>4</v>
      </c>
      <c r="C24" s="144" t="s">
        <v>293</v>
      </c>
      <c r="D24" s="141">
        <v>0</v>
      </c>
      <c r="E24" s="141">
        <v>0</v>
      </c>
      <c r="F24" s="141">
        <v>0</v>
      </c>
      <c r="G24" s="141">
        <v>0</v>
      </c>
      <c r="H24" s="141">
        <v>0</v>
      </c>
      <c r="I24" s="141">
        <v>0</v>
      </c>
      <c r="J24" s="141">
        <v>0</v>
      </c>
      <c r="K24" s="141">
        <v>0</v>
      </c>
      <c r="L24" s="141">
        <v>0</v>
      </c>
      <c r="M24" s="141">
        <v>0</v>
      </c>
      <c r="N24" s="141">
        <v>0</v>
      </c>
      <c r="O24" s="141">
        <v>0</v>
      </c>
      <c r="P24" s="141">
        <v>0</v>
      </c>
      <c r="Q24" s="141">
        <v>0</v>
      </c>
      <c r="R24" s="141">
        <v>0</v>
      </c>
      <c r="S24" s="141">
        <v>0</v>
      </c>
      <c r="T24" s="141">
        <v>0</v>
      </c>
      <c r="U24" s="141">
        <v>0</v>
      </c>
      <c r="V24" s="141">
        <v>0</v>
      </c>
      <c r="W24" s="141">
        <v>0</v>
      </c>
      <c r="X24" s="141">
        <v>0</v>
      </c>
      <c r="Y24" s="141">
        <v>0</v>
      </c>
      <c r="Z24" s="141">
        <v>0</v>
      </c>
      <c r="AA24" s="141">
        <v>0</v>
      </c>
      <c r="AB24" s="141">
        <v>0</v>
      </c>
      <c r="AC24" s="141">
        <v>0</v>
      </c>
      <c r="AD24" s="141">
        <v>0</v>
      </c>
      <c r="AE24" s="141">
        <v>0</v>
      </c>
      <c r="AF24" s="141">
        <v>0</v>
      </c>
      <c r="AG24" s="141">
        <v>0</v>
      </c>
      <c r="AH24" s="141">
        <v>0</v>
      </c>
      <c r="AI24" s="141">
        <v>0</v>
      </c>
      <c r="AJ24" s="141">
        <v>0</v>
      </c>
      <c r="AK24" s="141">
        <v>0</v>
      </c>
      <c r="AL24" s="141">
        <v>0</v>
      </c>
      <c r="AM24" s="141">
        <v>0</v>
      </c>
      <c r="AN24" s="141">
        <v>0</v>
      </c>
      <c r="AO24" s="141">
        <v>0</v>
      </c>
      <c r="AP24" s="141">
        <v>0</v>
      </c>
      <c r="AQ24" s="141">
        <v>0</v>
      </c>
      <c r="AR24" s="141">
        <v>0</v>
      </c>
      <c r="AS24" s="141">
        <v>0</v>
      </c>
      <c r="AT24" s="141">
        <v>0</v>
      </c>
      <c r="AU24" s="141">
        <v>0</v>
      </c>
      <c r="AV24" s="141">
        <v>0</v>
      </c>
      <c r="AW24" s="141">
        <v>0</v>
      </c>
      <c r="AX24" s="141">
        <v>0</v>
      </c>
      <c r="AY24" s="141">
        <v>0</v>
      </c>
    </row>
    <row r="25" spans="1:54" x14ac:dyDescent="0.2">
      <c r="A25" s="142" t="s">
        <v>133</v>
      </c>
      <c r="B25" s="139">
        <v>1</v>
      </c>
      <c r="C25" s="126" t="s">
        <v>293</v>
      </c>
      <c r="D25" s="127"/>
      <c r="E25" s="127"/>
      <c r="F25" s="127"/>
      <c r="G25" s="127"/>
      <c r="H25" s="127"/>
      <c r="I25" s="127"/>
      <c r="J25" s="127"/>
      <c r="K25" s="127"/>
      <c r="L25" s="127"/>
      <c r="M25" s="127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7"/>
      <c r="AB25" s="127"/>
      <c r="AC25" s="127"/>
      <c r="AD25" s="127"/>
      <c r="AE25" s="127"/>
      <c r="AF25" s="127"/>
      <c r="AG25" s="127"/>
      <c r="AH25" s="127"/>
      <c r="AI25" s="127"/>
      <c r="AJ25" s="127"/>
      <c r="AK25" s="127"/>
      <c r="AL25" s="127"/>
      <c r="AM25" s="127"/>
      <c r="AN25" s="127"/>
      <c r="AO25" s="127"/>
      <c r="AP25" s="127"/>
      <c r="AQ25" s="127"/>
      <c r="AR25" s="127"/>
      <c r="AS25" s="127"/>
      <c r="AT25" s="127"/>
      <c r="AU25" s="127"/>
      <c r="AV25" s="127"/>
      <c r="AW25" s="127"/>
      <c r="AX25" s="127"/>
      <c r="AY25" s="127"/>
    </row>
    <row r="26" spans="1:54" x14ac:dyDescent="0.2">
      <c r="A26" s="126"/>
      <c r="B26" s="135">
        <v>2</v>
      </c>
      <c r="C26" s="126" t="s">
        <v>293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27"/>
      <c r="R26" s="127"/>
      <c r="S26" s="127"/>
      <c r="T26" s="127"/>
      <c r="U26" s="127"/>
      <c r="V26" s="127"/>
      <c r="W26" s="127"/>
      <c r="X26" s="127"/>
      <c r="Y26" s="127"/>
      <c r="Z26" s="127"/>
      <c r="AA26" s="127"/>
      <c r="AB26" s="127"/>
      <c r="AC26" s="127"/>
      <c r="AD26" s="127"/>
      <c r="AE26" s="127"/>
      <c r="AF26" s="127"/>
      <c r="AG26" s="127"/>
      <c r="AH26" s="127"/>
      <c r="AI26" s="127"/>
      <c r="AJ26" s="127"/>
      <c r="AK26" s="127"/>
      <c r="AL26" s="127"/>
      <c r="AM26" s="127"/>
      <c r="AN26" s="127"/>
      <c r="AO26" s="127"/>
      <c r="AP26" s="127"/>
      <c r="AQ26" s="127"/>
      <c r="AR26" s="127"/>
      <c r="AS26" s="127"/>
      <c r="AT26" s="127"/>
      <c r="AU26" s="127"/>
      <c r="AV26" s="127"/>
      <c r="AW26" s="127"/>
      <c r="AX26" s="127"/>
      <c r="AY26" s="127"/>
    </row>
    <row r="27" spans="1:54" x14ac:dyDescent="0.2">
      <c r="A27" s="126"/>
      <c r="B27" s="136">
        <v>3</v>
      </c>
      <c r="C27" s="126" t="s">
        <v>293</v>
      </c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  <c r="AA27" s="127"/>
      <c r="AB27" s="127"/>
      <c r="AC27" s="127"/>
      <c r="AD27" s="127"/>
      <c r="AE27" s="127"/>
      <c r="AF27" s="127"/>
      <c r="AG27" s="127"/>
      <c r="AH27" s="127"/>
      <c r="AI27" s="127"/>
      <c r="AJ27" s="127"/>
      <c r="AK27" s="127"/>
      <c r="AL27" s="127"/>
      <c r="AM27" s="127"/>
      <c r="AN27" s="127"/>
      <c r="AO27" s="127"/>
      <c r="AP27" s="127"/>
      <c r="AQ27" s="127"/>
      <c r="AR27" s="127"/>
      <c r="AS27" s="127"/>
      <c r="AT27" s="127"/>
      <c r="AU27" s="127"/>
      <c r="AV27" s="127"/>
      <c r="AW27" s="127"/>
      <c r="AX27" s="127"/>
      <c r="AY27" s="127"/>
    </row>
    <row r="28" spans="1:54" x14ac:dyDescent="0.2">
      <c r="A28" s="126"/>
      <c r="B28" s="136">
        <v>4</v>
      </c>
      <c r="C28" s="126" t="s">
        <v>293</v>
      </c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27"/>
      <c r="R28" s="127"/>
      <c r="S28" s="127"/>
      <c r="T28" s="127"/>
      <c r="U28" s="127"/>
      <c r="V28" s="127"/>
      <c r="W28" s="127"/>
      <c r="X28" s="127"/>
      <c r="Y28" s="127"/>
      <c r="Z28" s="127"/>
      <c r="AA28" s="127"/>
      <c r="AB28" s="127"/>
      <c r="AC28" s="127"/>
      <c r="AD28" s="127"/>
      <c r="AE28" s="127"/>
      <c r="AF28" s="127"/>
      <c r="AG28" s="127"/>
      <c r="AH28" s="127"/>
      <c r="AI28" s="127"/>
      <c r="AJ28" s="127"/>
      <c r="AK28" s="127"/>
      <c r="AL28" s="127"/>
      <c r="AM28" s="127"/>
      <c r="AN28" s="127"/>
      <c r="AO28" s="127"/>
      <c r="AP28" s="127"/>
      <c r="AQ28" s="127"/>
      <c r="AR28" s="127"/>
      <c r="AS28" s="127"/>
      <c r="AT28" s="127"/>
      <c r="AU28" s="127"/>
      <c r="AV28" s="127"/>
      <c r="AW28" s="127"/>
      <c r="AX28" s="127"/>
      <c r="AY28" s="127"/>
    </row>
    <row r="29" spans="1:54" x14ac:dyDescent="0.2">
      <c r="A29" s="126"/>
      <c r="B29" s="143">
        <v>5</v>
      </c>
      <c r="C29" s="126" t="s">
        <v>293</v>
      </c>
      <c r="D29" s="127"/>
      <c r="E29" s="127"/>
      <c r="F29" s="127"/>
      <c r="G29" s="127"/>
      <c r="H29" s="127"/>
      <c r="I29" s="127"/>
      <c r="J29" s="127"/>
      <c r="K29" s="127"/>
      <c r="L29" s="127"/>
      <c r="M29" s="127"/>
      <c r="N29" s="127"/>
      <c r="O29" s="127"/>
      <c r="P29" s="127"/>
      <c r="Q29" s="127"/>
      <c r="R29" s="127"/>
      <c r="S29" s="127"/>
      <c r="T29" s="127"/>
      <c r="U29" s="127"/>
      <c r="V29" s="127"/>
      <c r="W29" s="127"/>
      <c r="X29" s="127"/>
      <c r="Y29" s="127"/>
      <c r="Z29" s="127"/>
      <c r="AA29" s="127"/>
      <c r="AB29" s="127"/>
      <c r="AC29" s="127"/>
      <c r="AD29" s="127"/>
      <c r="AE29" s="127"/>
      <c r="AF29" s="127"/>
      <c r="AG29" s="127"/>
      <c r="AH29" s="127"/>
      <c r="AI29" s="127"/>
      <c r="AJ29" s="127"/>
      <c r="AK29" s="127"/>
      <c r="AL29" s="127"/>
      <c r="AM29" s="127"/>
      <c r="AN29" s="127"/>
      <c r="AO29" s="127"/>
      <c r="AP29" s="127"/>
      <c r="AQ29" s="127"/>
      <c r="AR29" s="127"/>
      <c r="AS29" s="127"/>
      <c r="AT29" s="127"/>
      <c r="AU29" s="127"/>
      <c r="AV29" s="127"/>
      <c r="AW29" s="127"/>
      <c r="AX29" s="127"/>
      <c r="AY29" s="127"/>
    </row>
    <row r="30" spans="1:54" x14ac:dyDescent="0.2">
      <c r="A30" s="126"/>
      <c r="B30" s="143">
        <v>6</v>
      </c>
      <c r="C30" s="126" t="s">
        <v>293</v>
      </c>
      <c r="D30" s="127"/>
      <c r="E30" s="127"/>
      <c r="F30" s="127"/>
      <c r="G30" s="127"/>
      <c r="H30" s="127"/>
      <c r="I30" s="127"/>
      <c r="J30" s="127"/>
      <c r="K30" s="127"/>
      <c r="L30" s="127"/>
      <c r="M30" s="127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7"/>
      <c r="AB30" s="127"/>
      <c r="AC30" s="127"/>
      <c r="AD30" s="127"/>
      <c r="AE30" s="127"/>
      <c r="AF30" s="127"/>
      <c r="AG30" s="127"/>
      <c r="AH30" s="127"/>
      <c r="AI30" s="127"/>
      <c r="AJ30" s="127"/>
      <c r="AK30" s="127"/>
      <c r="AL30" s="127"/>
      <c r="AM30" s="127"/>
      <c r="AN30" s="127"/>
      <c r="AO30" s="127"/>
      <c r="AP30" s="127"/>
      <c r="AQ30" s="127"/>
      <c r="AR30" s="127"/>
      <c r="AS30" s="127"/>
      <c r="AT30" s="127"/>
      <c r="AU30" s="127"/>
      <c r="AV30" s="127"/>
      <c r="AW30" s="127"/>
      <c r="AX30" s="127"/>
      <c r="AY30" s="127"/>
    </row>
    <row r="31" spans="1:54" x14ac:dyDescent="0.2">
      <c r="A31" s="126"/>
      <c r="B31" s="146">
        <v>7</v>
      </c>
      <c r="C31" s="126" t="s">
        <v>293</v>
      </c>
      <c r="D31" s="127"/>
      <c r="E31" s="127"/>
      <c r="F31" s="127"/>
      <c r="G31" s="127"/>
      <c r="H31" s="127"/>
      <c r="I31" s="127"/>
      <c r="J31" s="127"/>
      <c r="K31" s="127"/>
      <c r="L31" s="127"/>
      <c r="M31" s="127"/>
      <c r="N31" s="127"/>
      <c r="O31" s="127"/>
      <c r="P31" s="127"/>
      <c r="Q31" s="127"/>
      <c r="R31" s="127"/>
      <c r="S31" s="127"/>
      <c r="T31" s="127"/>
      <c r="U31" s="127"/>
      <c r="V31" s="127"/>
      <c r="W31" s="127"/>
      <c r="X31" s="127"/>
      <c r="Y31" s="127"/>
      <c r="Z31" s="127"/>
      <c r="AA31" s="127"/>
      <c r="AB31" s="127"/>
      <c r="AC31" s="127"/>
      <c r="AD31" s="127"/>
      <c r="AE31" s="127"/>
      <c r="AF31" s="127"/>
      <c r="AG31" s="127"/>
      <c r="AH31" s="127"/>
      <c r="AI31" s="127"/>
      <c r="AJ31" s="127"/>
      <c r="AK31" s="127"/>
      <c r="AL31" s="127"/>
      <c r="AM31" s="127"/>
      <c r="AN31" s="127"/>
      <c r="AO31" s="127"/>
      <c r="AP31" s="127"/>
      <c r="AQ31" s="127"/>
      <c r="AR31" s="127"/>
      <c r="AS31" s="127"/>
      <c r="AT31" s="127"/>
      <c r="AU31" s="127"/>
      <c r="AV31" s="127"/>
      <c r="AW31" s="127"/>
      <c r="AX31" s="127"/>
      <c r="AY31" s="127"/>
    </row>
    <row r="32" spans="1:54" x14ac:dyDescent="0.2">
      <c r="A32" s="144"/>
      <c r="B32" s="145">
        <v>8</v>
      </c>
      <c r="C32" s="144" t="s">
        <v>293</v>
      </c>
      <c r="D32" s="141">
        <v>0</v>
      </c>
      <c r="E32" s="141">
        <v>0</v>
      </c>
      <c r="F32" s="141">
        <v>0</v>
      </c>
      <c r="G32" s="141">
        <v>0</v>
      </c>
      <c r="H32" s="141">
        <v>0</v>
      </c>
      <c r="I32" s="141">
        <v>0</v>
      </c>
      <c r="J32" s="141">
        <v>0</v>
      </c>
      <c r="K32" s="141">
        <v>0</v>
      </c>
      <c r="L32" s="141">
        <v>0</v>
      </c>
      <c r="M32" s="141">
        <v>0</v>
      </c>
      <c r="N32" s="141">
        <v>0</v>
      </c>
      <c r="O32" s="141">
        <v>0</v>
      </c>
      <c r="P32" s="141">
        <v>0</v>
      </c>
      <c r="Q32" s="141">
        <v>0</v>
      </c>
      <c r="R32" s="141">
        <v>0</v>
      </c>
      <c r="S32" s="141">
        <v>0</v>
      </c>
      <c r="T32" s="141">
        <v>0</v>
      </c>
      <c r="U32" s="141">
        <v>0</v>
      </c>
      <c r="V32" s="141">
        <v>0</v>
      </c>
      <c r="W32" s="141">
        <v>0</v>
      </c>
      <c r="X32" s="141">
        <v>0</v>
      </c>
      <c r="Y32" s="141">
        <v>0</v>
      </c>
      <c r="Z32" s="141">
        <v>0</v>
      </c>
      <c r="AA32" s="141">
        <v>0</v>
      </c>
      <c r="AB32" s="141">
        <v>0</v>
      </c>
      <c r="AC32" s="141">
        <v>0</v>
      </c>
      <c r="AD32" s="141">
        <v>0</v>
      </c>
      <c r="AE32" s="141">
        <v>0</v>
      </c>
      <c r="AF32" s="141">
        <v>0</v>
      </c>
      <c r="AG32" s="141">
        <v>0</v>
      </c>
      <c r="AH32" s="141">
        <v>0</v>
      </c>
      <c r="AI32" s="141">
        <v>0</v>
      </c>
      <c r="AJ32" s="141">
        <v>0</v>
      </c>
      <c r="AK32" s="141">
        <v>0</v>
      </c>
      <c r="AL32" s="141">
        <v>0</v>
      </c>
      <c r="AM32" s="141">
        <v>0</v>
      </c>
      <c r="AN32" s="141">
        <v>0</v>
      </c>
      <c r="AO32" s="141">
        <v>0</v>
      </c>
      <c r="AP32" s="141">
        <v>0</v>
      </c>
      <c r="AQ32" s="141">
        <v>0</v>
      </c>
      <c r="AR32" s="141">
        <v>0</v>
      </c>
      <c r="AS32" s="141">
        <v>0</v>
      </c>
      <c r="AT32" s="141">
        <v>0</v>
      </c>
      <c r="AU32" s="141">
        <v>0</v>
      </c>
      <c r="AV32" s="141">
        <v>0</v>
      </c>
      <c r="AW32" s="141">
        <v>0</v>
      </c>
      <c r="AX32" s="141">
        <v>0</v>
      </c>
      <c r="AY32" s="141">
        <v>0</v>
      </c>
    </row>
    <row r="33" spans="1:51" x14ac:dyDescent="0.2">
      <c r="A33" s="147" t="s">
        <v>134</v>
      </c>
      <c r="B33" s="135">
        <v>1</v>
      </c>
      <c r="C33" s="126" t="s">
        <v>293</v>
      </c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  <c r="AS33" s="123"/>
      <c r="AT33" s="123"/>
      <c r="AU33" s="123"/>
      <c r="AV33" s="123"/>
      <c r="AW33" s="123"/>
      <c r="AX33" s="123"/>
      <c r="AY33" s="123"/>
    </row>
    <row r="34" spans="1:51" x14ac:dyDescent="0.2">
      <c r="A34" s="126"/>
      <c r="B34" s="135">
        <v>2</v>
      </c>
      <c r="C34" s="126" t="s">
        <v>293</v>
      </c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</row>
    <row r="35" spans="1:51" x14ac:dyDescent="0.2">
      <c r="A35" s="126"/>
      <c r="B35" s="135">
        <v>3</v>
      </c>
      <c r="C35" s="126" t="s">
        <v>293</v>
      </c>
      <c r="D35" s="123"/>
      <c r="E35" s="123"/>
      <c r="F35" s="123"/>
      <c r="G35" s="123"/>
      <c r="H35" s="123"/>
      <c r="I35" s="123"/>
      <c r="J35" s="123"/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  <c r="AS35" s="123"/>
      <c r="AT35" s="123"/>
      <c r="AU35" s="123"/>
      <c r="AV35" s="123"/>
      <c r="AW35" s="123"/>
      <c r="AX35" s="123"/>
      <c r="AY35" s="123"/>
    </row>
    <row r="36" spans="1:51" x14ac:dyDescent="0.2">
      <c r="A36" s="126"/>
      <c r="B36" s="136">
        <v>4</v>
      </c>
      <c r="C36" s="126" t="s">
        <v>293</v>
      </c>
      <c r="D36" s="123"/>
      <c r="E36" s="123"/>
      <c r="F36" s="123"/>
      <c r="G36" s="123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  <c r="AS36" s="123"/>
      <c r="AT36" s="123"/>
      <c r="AU36" s="123"/>
      <c r="AV36" s="123"/>
      <c r="AW36" s="123"/>
      <c r="AX36" s="123"/>
      <c r="AY36" s="123"/>
    </row>
    <row r="37" spans="1:51" x14ac:dyDescent="0.2">
      <c r="A37" s="126"/>
      <c r="B37" s="136">
        <v>5</v>
      </c>
      <c r="C37" s="126" t="s">
        <v>293</v>
      </c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  <c r="AS37" s="123"/>
      <c r="AT37" s="123"/>
      <c r="AU37" s="123"/>
      <c r="AV37" s="123"/>
      <c r="AW37" s="123"/>
      <c r="AX37" s="123"/>
      <c r="AY37" s="123"/>
    </row>
    <row r="38" spans="1:51" x14ac:dyDescent="0.2">
      <c r="A38" s="126"/>
      <c r="B38" s="136">
        <v>6</v>
      </c>
      <c r="C38" s="126" t="s">
        <v>293</v>
      </c>
      <c r="D38" s="123"/>
      <c r="E38" s="123"/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  <c r="AS38" s="123"/>
      <c r="AT38" s="123"/>
      <c r="AU38" s="123"/>
      <c r="AV38" s="123"/>
      <c r="AW38" s="123"/>
      <c r="AX38" s="123"/>
      <c r="AY38" s="123"/>
    </row>
    <row r="39" spans="1:51" x14ac:dyDescent="0.2">
      <c r="A39" s="126"/>
      <c r="B39" s="143">
        <v>7</v>
      </c>
      <c r="C39" s="126" t="s">
        <v>293</v>
      </c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  <c r="AS39" s="123"/>
      <c r="AT39" s="123"/>
      <c r="AU39" s="123"/>
      <c r="AV39" s="123"/>
      <c r="AW39" s="123"/>
      <c r="AX39" s="123"/>
      <c r="AY39" s="123"/>
    </row>
    <row r="40" spans="1:51" x14ac:dyDescent="0.2">
      <c r="A40" s="126"/>
      <c r="B40" s="143">
        <v>8</v>
      </c>
      <c r="C40" s="126" t="s">
        <v>293</v>
      </c>
      <c r="D40" s="123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  <c r="AS40" s="123"/>
      <c r="AT40" s="123"/>
      <c r="AU40" s="123"/>
      <c r="AV40" s="123"/>
      <c r="AW40" s="123"/>
      <c r="AX40" s="123"/>
      <c r="AY40" s="123"/>
    </row>
    <row r="41" spans="1:51" x14ac:dyDescent="0.2">
      <c r="A41" s="126"/>
      <c r="B41" s="143">
        <v>9</v>
      </c>
      <c r="C41" s="126" t="s">
        <v>293</v>
      </c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  <c r="AS41" s="123"/>
      <c r="AT41" s="123"/>
      <c r="AU41" s="123"/>
      <c r="AV41" s="123"/>
      <c r="AW41" s="123"/>
      <c r="AX41" s="123"/>
      <c r="AY41" s="123"/>
    </row>
    <row r="42" spans="1:51" x14ac:dyDescent="0.2">
      <c r="A42" s="126"/>
      <c r="B42" s="146">
        <v>10</v>
      </c>
      <c r="C42" s="126" t="s">
        <v>293</v>
      </c>
      <c r="D42" s="123"/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  <c r="AI42" s="123"/>
      <c r="AJ42" s="123"/>
      <c r="AK42" s="123"/>
      <c r="AL42" s="123"/>
      <c r="AM42" s="123"/>
      <c r="AN42" s="123"/>
      <c r="AO42" s="123"/>
      <c r="AP42" s="123"/>
      <c r="AQ42" s="123"/>
      <c r="AR42" s="123"/>
      <c r="AS42" s="123"/>
      <c r="AT42" s="123"/>
      <c r="AU42" s="123"/>
      <c r="AV42" s="123"/>
      <c r="AW42" s="123"/>
      <c r="AX42" s="123"/>
      <c r="AY42" s="123"/>
    </row>
    <row r="43" spans="1:51" x14ac:dyDescent="0.2">
      <c r="A43" s="126"/>
      <c r="B43" s="146">
        <v>11</v>
      </c>
      <c r="C43" s="126" t="s">
        <v>293</v>
      </c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3"/>
      <c r="AR43" s="123"/>
      <c r="AS43" s="123"/>
      <c r="AT43" s="123"/>
      <c r="AU43" s="123"/>
      <c r="AV43" s="123"/>
      <c r="AW43" s="123"/>
      <c r="AX43" s="123"/>
      <c r="AY43" s="123"/>
    </row>
    <row r="44" spans="1:51" x14ac:dyDescent="0.2">
      <c r="A44" s="126"/>
      <c r="B44" s="146">
        <v>12</v>
      </c>
      <c r="C44" s="144" t="s">
        <v>293</v>
      </c>
      <c r="D44" s="123">
        <v>0</v>
      </c>
      <c r="E44" s="123">
        <v>0</v>
      </c>
      <c r="F44" s="123">
        <v>0</v>
      </c>
      <c r="G44" s="123">
        <v>0</v>
      </c>
      <c r="H44" s="123">
        <v>0</v>
      </c>
      <c r="I44" s="123">
        <v>0</v>
      </c>
      <c r="J44" s="123">
        <v>0</v>
      </c>
      <c r="K44" s="123">
        <v>0</v>
      </c>
      <c r="L44" s="123">
        <v>0</v>
      </c>
      <c r="M44" s="123">
        <v>0</v>
      </c>
      <c r="N44" s="123">
        <v>0</v>
      </c>
      <c r="O44" s="123">
        <v>0</v>
      </c>
      <c r="P44" s="123">
        <v>0</v>
      </c>
      <c r="Q44" s="123">
        <v>0</v>
      </c>
      <c r="R44" s="123">
        <v>0</v>
      </c>
      <c r="S44" s="123">
        <v>0</v>
      </c>
      <c r="T44" s="123">
        <v>0</v>
      </c>
      <c r="U44" s="123">
        <v>0</v>
      </c>
      <c r="V44" s="123">
        <v>0</v>
      </c>
      <c r="W44" s="123">
        <v>0</v>
      </c>
      <c r="X44" s="123">
        <v>0</v>
      </c>
      <c r="Y44" s="123">
        <v>0</v>
      </c>
      <c r="Z44" s="123">
        <v>0</v>
      </c>
      <c r="AA44" s="123">
        <v>0</v>
      </c>
      <c r="AB44" s="123">
        <v>0</v>
      </c>
      <c r="AC44" s="123">
        <v>0</v>
      </c>
      <c r="AD44" s="123">
        <v>0</v>
      </c>
      <c r="AE44" s="123">
        <v>0</v>
      </c>
      <c r="AF44" s="123">
        <v>0</v>
      </c>
      <c r="AG44" s="123">
        <v>0</v>
      </c>
      <c r="AH44" s="123">
        <v>0</v>
      </c>
      <c r="AI44" s="123">
        <v>0</v>
      </c>
      <c r="AJ44" s="123">
        <v>0</v>
      </c>
      <c r="AK44" s="123">
        <v>0</v>
      </c>
      <c r="AL44" s="123">
        <v>0</v>
      </c>
      <c r="AM44" s="123">
        <v>0</v>
      </c>
      <c r="AN44" s="123">
        <v>0</v>
      </c>
      <c r="AO44" s="123">
        <v>0</v>
      </c>
      <c r="AP44" s="123">
        <v>0</v>
      </c>
      <c r="AQ44" s="123">
        <v>0</v>
      </c>
      <c r="AR44" s="123">
        <v>0</v>
      </c>
      <c r="AS44" s="123">
        <v>0</v>
      </c>
      <c r="AT44" s="123">
        <v>0</v>
      </c>
      <c r="AU44" s="123">
        <v>0</v>
      </c>
      <c r="AV44" s="123">
        <v>0</v>
      </c>
      <c r="AW44" s="123">
        <v>0</v>
      </c>
      <c r="AX44" s="123">
        <v>0</v>
      </c>
      <c r="AY44" s="123">
        <v>0</v>
      </c>
    </row>
    <row r="45" spans="1:51" x14ac:dyDescent="0.2">
      <c r="A45" s="142" t="s">
        <v>123</v>
      </c>
      <c r="B45" s="139">
        <v>1</v>
      </c>
      <c r="C45" s="126" t="s">
        <v>293</v>
      </c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</row>
    <row r="46" spans="1:51" x14ac:dyDescent="0.2">
      <c r="A46" s="126"/>
      <c r="B46" s="135">
        <v>2</v>
      </c>
      <c r="C46" s="126" t="s">
        <v>293</v>
      </c>
      <c r="D46" s="127"/>
      <c r="E46" s="127"/>
      <c r="F46" s="127"/>
      <c r="G46" s="127"/>
      <c r="H46" s="127"/>
      <c r="I46" s="127"/>
      <c r="J46" s="127"/>
      <c r="K46" s="127"/>
      <c r="L46" s="127"/>
      <c r="M46" s="127"/>
      <c r="N46" s="127"/>
      <c r="O46" s="127"/>
      <c r="P46" s="127"/>
      <c r="Q46" s="127"/>
      <c r="R46" s="127"/>
      <c r="S46" s="127"/>
      <c r="T46" s="127"/>
      <c r="U46" s="127"/>
      <c r="V46" s="127"/>
      <c r="W46" s="127"/>
      <c r="X46" s="127"/>
      <c r="Y46" s="127"/>
      <c r="Z46" s="127"/>
      <c r="AA46" s="127"/>
      <c r="AB46" s="127"/>
      <c r="AC46" s="127"/>
      <c r="AD46" s="127"/>
      <c r="AE46" s="127"/>
      <c r="AF46" s="127"/>
      <c r="AG46" s="127"/>
      <c r="AH46" s="127"/>
      <c r="AI46" s="127"/>
      <c r="AJ46" s="127"/>
      <c r="AK46" s="127"/>
      <c r="AL46" s="127"/>
      <c r="AM46" s="127"/>
      <c r="AN46" s="127"/>
      <c r="AO46" s="127"/>
      <c r="AP46" s="127"/>
      <c r="AQ46" s="127"/>
      <c r="AR46" s="127"/>
      <c r="AS46" s="127"/>
      <c r="AT46" s="127"/>
      <c r="AU46" s="127"/>
      <c r="AV46" s="127"/>
      <c r="AW46" s="127"/>
      <c r="AX46" s="127"/>
      <c r="AY46" s="127"/>
    </row>
    <row r="47" spans="1:51" x14ac:dyDescent="0.2">
      <c r="A47" s="126"/>
      <c r="B47" s="135">
        <v>3</v>
      </c>
      <c r="C47" s="126" t="s">
        <v>293</v>
      </c>
      <c r="D47" s="127"/>
      <c r="E47" s="127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127"/>
      <c r="T47" s="127"/>
      <c r="U47" s="127"/>
      <c r="V47" s="127"/>
      <c r="W47" s="127"/>
      <c r="X47" s="127"/>
      <c r="Y47" s="127"/>
      <c r="Z47" s="127"/>
      <c r="AA47" s="127"/>
      <c r="AB47" s="127"/>
      <c r="AC47" s="127"/>
      <c r="AD47" s="127"/>
      <c r="AE47" s="127"/>
      <c r="AF47" s="127"/>
      <c r="AG47" s="127"/>
      <c r="AH47" s="127"/>
      <c r="AI47" s="127"/>
      <c r="AJ47" s="127"/>
      <c r="AK47" s="127"/>
      <c r="AL47" s="127"/>
      <c r="AM47" s="127"/>
      <c r="AN47" s="127"/>
      <c r="AO47" s="127"/>
      <c r="AP47" s="127"/>
      <c r="AQ47" s="127"/>
      <c r="AR47" s="127"/>
      <c r="AS47" s="127"/>
      <c r="AT47" s="127"/>
      <c r="AU47" s="127"/>
      <c r="AV47" s="127"/>
      <c r="AW47" s="127"/>
      <c r="AX47" s="127"/>
      <c r="AY47" s="127"/>
    </row>
    <row r="48" spans="1:51" x14ac:dyDescent="0.2">
      <c r="A48" s="126"/>
      <c r="B48" s="135">
        <v>4</v>
      </c>
      <c r="C48" s="126" t="s">
        <v>293</v>
      </c>
      <c r="D48" s="127"/>
      <c r="E48" s="127"/>
      <c r="F48" s="127"/>
      <c r="G48" s="127"/>
      <c r="H48" s="127"/>
      <c r="I48" s="127"/>
      <c r="J48" s="127"/>
      <c r="K48" s="127"/>
      <c r="L48" s="127"/>
      <c r="M48" s="127"/>
      <c r="N48" s="127"/>
      <c r="O48" s="127"/>
      <c r="P48" s="127"/>
      <c r="Q48" s="127"/>
      <c r="R48" s="127"/>
      <c r="S48" s="127"/>
      <c r="T48" s="127"/>
      <c r="U48" s="127"/>
      <c r="V48" s="127"/>
      <c r="W48" s="127"/>
      <c r="X48" s="127"/>
      <c r="Y48" s="127"/>
      <c r="Z48" s="127"/>
      <c r="AA48" s="127"/>
      <c r="AB48" s="127"/>
      <c r="AC48" s="127"/>
      <c r="AD48" s="127"/>
      <c r="AE48" s="127"/>
      <c r="AF48" s="127"/>
      <c r="AG48" s="127"/>
      <c r="AH48" s="127"/>
      <c r="AI48" s="127"/>
      <c r="AJ48" s="127"/>
      <c r="AK48" s="127"/>
      <c r="AL48" s="127"/>
      <c r="AM48" s="127"/>
      <c r="AN48" s="127"/>
      <c r="AO48" s="127"/>
      <c r="AP48" s="127"/>
      <c r="AQ48" s="127"/>
      <c r="AR48" s="127"/>
      <c r="AS48" s="127"/>
      <c r="AT48" s="127"/>
      <c r="AU48" s="127"/>
      <c r="AV48" s="127"/>
      <c r="AW48" s="127"/>
      <c r="AX48" s="127"/>
      <c r="AY48" s="127"/>
    </row>
    <row r="49" spans="1:51" x14ac:dyDescent="0.2">
      <c r="A49" s="126"/>
      <c r="B49" s="135">
        <v>5</v>
      </c>
      <c r="C49" s="126" t="s">
        <v>293</v>
      </c>
      <c r="D49" s="127"/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27"/>
      <c r="R49" s="127"/>
      <c r="S49" s="127"/>
      <c r="T49" s="127"/>
      <c r="U49" s="127"/>
      <c r="V49" s="127"/>
      <c r="W49" s="127"/>
      <c r="X49" s="127"/>
      <c r="Y49" s="127"/>
      <c r="Z49" s="127"/>
      <c r="AA49" s="127"/>
      <c r="AB49" s="127"/>
      <c r="AC49" s="127"/>
      <c r="AD49" s="127"/>
      <c r="AE49" s="127"/>
      <c r="AF49" s="127"/>
      <c r="AG49" s="127"/>
      <c r="AH49" s="127"/>
      <c r="AI49" s="127"/>
      <c r="AJ49" s="127"/>
      <c r="AK49" s="127"/>
      <c r="AL49" s="127"/>
      <c r="AM49" s="127"/>
      <c r="AN49" s="127"/>
      <c r="AO49" s="127"/>
      <c r="AP49" s="127"/>
      <c r="AQ49" s="127"/>
      <c r="AR49" s="127"/>
      <c r="AS49" s="127"/>
      <c r="AT49" s="127"/>
      <c r="AU49" s="127"/>
      <c r="AV49" s="127"/>
      <c r="AW49" s="127"/>
      <c r="AX49" s="127"/>
      <c r="AY49" s="127"/>
    </row>
    <row r="50" spans="1:51" x14ac:dyDescent="0.2">
      <c r="A50" s="126"/>
      <c r="B50" s="135">
        <v>6</v>
      </c>
      <c r="C50" s="126" t="s">
        <v>293</v>
      </c>
      <c r="D50" s="127"/>
      <c r="E50" s="127"/>
      <c r="F50" s="127"/>
      <c r="G50" s="127"/>
      <c r="H50" s="127"/>
      <c r="I50" s="127"/>
      <c r="J50" s="127"/>
      <c r="K50" s="127"/>
      <c r="L50" s="127"/>
      <c r="M50" s="127"/>
      <c r="N50" s="127"/>
      <c r="O50" s="127"/>
      <c r="P50" s="127"/>
      <c r="Q50" s="127"/>
      <c r="R50" s="127"/>
      <c r="S50" s="127"/>
      <c r="T50" s="127"/>
      <c r="U50" s="127"/>
      <c r="V50" s="127"/>
      <c r="W50" s="127"/>
      <c r="X50" s="127"/>
      <c r="Y50" s="127"/>
      <c r="Z50" s="127"/>
      <c r="AA50" s="127"/>
      <c r="AB50" s="127"/>
      <c r="AC50" s="127"/>
      <c r="AD50" s="127"/>
      <c r="AE50" s="127"/>
      <c r="AF50" s="127"/>
      <c r="AG50" s="127"/>
      <c r="AH50" s="127"/>
      <c r="AI50" s="127"/>
      <c r="AJ50" s="127"/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7"/>
      <c r="AW50" s="127"/>
      <c r="AX50" s="127"/>
      <c r="AY50" s="127"/>
    </row>
    <row r="51" spans="1:51" x14ac:dyDescent="0.2">
      <c r="A51" s="126"/>
      <c r="B51" s="135">
        <v>7</v>
      </c>
      <c r="C51" s="126" t="s">
        <v>293</v>
      </c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  <c r="Q51" s="127"/>
      <c r="R51" s="127"/>
      <c r="S51" s="127"/>
      <c r="T51" s="127"/>
      <c r="U51" s="127"/>
      <c r="V51" s="127"/>
      <c r="W51" s="127"/>
      <c r="X51" s="127"/>
      <c r="Y51" s="127"/>
      <c r="Z51" s="127"/>
      <c r="AA51" s="127"/>
      <c r="AB51" s="127"/>
      <c r="AC51" s="127"/>
      <c r="AD51" s="127"/>
      <c r="AE51" s="127"/>
      <c r="AF51" s="127"/>
      <c r="AG51" s="127"/>
      <c r="AH51" s="127"/>
      <c r="AI51" s="127"/>
      <c r="AJ51" s="127"/>
      <c r="AK51" s="127"/>
      <c r="AL51" s="127"/>
      <c r="AM51" s="127"/>
      <c r="AN51" s="127"/>
      <c r="AO51" s="127"/>
      <c r="AP51" s="127"/>
      <c r="AQ51" s="127"/>
      <c r="AR51" s="127"/>
      <c r="AS51" s="127"/>
      <c r="AT51" s="127"/>
      <c r="AU51" s="127"/>
      <c r="AV51" s="127"/>
      <c r="AW51" s="127"/>
      <c r="AX51" s="127"/>
      <c r="AY51" s="127"/>
    </row>
    <row r="52" spans="1:51" x14ac:dyDescent="0.2">
      <c r="A52" s="126"/>
      <c r="B52" s="135">
        <v>8</v>
      </c>
      <c r="C52" s="126" t="s">
        <v>293</v>
      </c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</row>
    <row r="53" spans="1:51" x14ac:dyDescent="0.2">
      <c r="A53" s="126"/>
      <c r="B53" s="135">
        <v>9</v>
      </c>
      <c r="C53" s="126" t="s">
        <v>293</v>
      </c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  <c r="Q53" s="127"/>
      <c r="R53" s="127"/>
      <c r="S53" s="127"/>
      <c r="T53" s="127"/>
      <c r="U53" s="127"/>
      <c r="V53" s="127"/>
      <c r="W53" s="127"/>
      <c r="X53" s="127"/>
      <c r="Y53" s="127"/>
      <c r="Z53" s="127"/>
      <c r="AA53" s="127"/>
      <c r="AB53" s="127"/>
      <c r="AC53" s="127"/>
      <c r="AD53" s="127"/>
      <c r="AE53" s="127"/>
      <c r="AF53" s="127"/>
      <c r="AG53" s="127"/>
      <c r="AH53" s="127"/>
      <c r="AI53" s="127"/>
      <c r="AJ53" s="127"/>
      <c r="AK53" s="127"/>
      <c r="AL53" s="127"/>
      <c r="AM53" s="127"/>
      <c r="AN53" s="127"/>
      <c r="AO53" s="127"/>
      <c r="AP53" s="127"/>
      <c r="AQ53" s="127"/>
      <c r="AR53" s="127"/>
      <c r="AS53" s="127"/>
      <c r="AT53" s="127"/>
      <c r="AU53" s="127"/>
      <c r="AV53" s="127"/>
      <c r="AW53" s="127"/>
      <c r="AX53" s="127"/>
      <c r="AY53" s="127"/>
    </row>
    <row r="54" spans="1:51" x14ac:dyDescent="0.2">
      <c r="A54" s="126"/>
      <c r="B54" s="135">
        <v>10</v>
      </c>
      <c r="C54" s="126" t="s">
        <v>293</v>
      </c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  <c r="Q54" s="127"/>
      <c r="R54" s="127"/>
      <c r="S54" s="127"/>
      <c r="T54" s="127"/>
      <c r="U54" s="127"/>
      <c r="V54" s="127"/>
      <c r="W54" s="127"/>
      <c r="X54" s="127"/>
      <c r="Y54" s="127"/>
      <c r="Z54" s="127"/>
      <c r="AA54" s="127"/>
      <c r="AB54" s="127"/>
      <c r="AC54" s="127"/>
      <c r="AD54" s="127"/>
      <c r="AE54" s="127"/>
      <c r="AF54" s="127"/>
      <c r="AG54" s="127"/>
      <c r="AH54" s="127"/>
      <c r="AI54" s="127"/>
      <c r="AJ54" s="127"/>
      <c r="AK54" s="127"/>
      <c r="AL54" s="127"/>
      <c r="AM54" s="127"/>
      <c r="AN54" s="127"/>
      <c r="AO54" s="127"/>
      <c r="AP54" s="127"/>
      <c r="AQ54" s="127"/>
      <c r="AR54" s="127"/>
      <c r="AS54" s="127"/>
      <c r="AT54" s="127"/>
      <c r="AU54" s="127"/>
      <c r="AV54" s="127"/>
      <c r="AW54" s="127"/>
      <c r="AX54" s="127"/>
      <c r="AY54" s="127"/>
    </row>
    <row r="55" spans="1:51" x14ac:dyDescent="0.2">
      <c r="A55" s="126"/>
      <c r="B55" s="135">
        <v>11</v>
      </c>
      <c r="C55" s="126" t="s">
        <v>293</v>
      </c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  <c r="Q55" s="127"/>
      <c r="R55" s="127"/>
      <c r="S55" s="127"/>
      <c r="T55" s="127"/>
      <c r="U55" s="127"/>
      <c r="V55" s="127"/>
      <c r="W55" s="127"/>
      <c r="X55" s="127"/>
      <c r="Y55" s="127"/>
      <c r="Z55" s="127"/>
      <c r="AA55" s="127"/>
      <c r="AB55" s="127"/>
      <c r="AC55" s="127"/>
      <c r="AD55" s="127"/>
      <c r="AE55" s="127"/>
      <c r="AF55" s="127"/>
      <c r="AG55" s="127"/>
      <c r="AH55" s="127"/>
      <c r="AI55" s="127"/>
      <c r="AJ55" s="127"/>
      <c r="AK55" s="127"/>
      <c r="AL55" s="127"/>
      <c r="AM55" s="127"/>
      <c r="AN55" s="127"/>
      <c r="AO55" s="127"/>
      <c r="AP55" s="127"/>
      <c r="AQ55" s="127"/>
      <c r="AR55" s="127"/>
      <c r="AS55" s="127"/>
      <c r="AT55" s="127"/>
      <c r="AU55" s="127"/>
      <c r="AV55" s="127"/>
      <c r="AW55" s="127"/>
      <c r="AX55" s="127"/>
      <c r="AY55" s="127"/>
    </row>
    <row r="56" spans="1:51" x14ac:dyDescent="0.2">
      <c r="A56" s="126"/>
      <c r="B56" s="135">
        <v>12</v>
      </c>
      <c r="C56" s="126" t="s">
        <v>293</v>
      </c>
      <c r="D56" s="127"/>
      <c r="E56" s="127"/>
      <c r="F56" s="127"/>
      <c r="G56" s="127"/>
      <c r="H56" s="127"/>
      <c r="I56" s="127"/>
      <c r="J56" s="127"/>
      <c r="K56" s="127"/>
      <c r="L56" s="127"/>
      <c r="M56" s="127"/>
      <c r="N56" s="127"/>
      <c r="O56" s="127"/>
      <c r="P56" s="127"/>
      <c r="Q56" s="127"/>
      <c r="R56" s="127"/>
      <c r="S56" s="127"/>
      <c r="T56" s="127"/>
      <c r="U56" s="127"/>
      <c r="V56" s="127"/>
      <c r="W56" s="127"/>
      <c r="X56" s="127"/>
      <c r="Y56" s="127"/>
      <c r="Z56" s="127"/>
      <c r="AA56" s="127"/>
      <c r="AB56" s="127"/>
      <c r="AC56" s="127"/>
      <c r="AD56" s="127"/>
      <c r="AE56" s="127"/>
      <c r="AF56" s="127"/>
      <c r="AG56" s="127"/>
      <c r="AH56" s="127"/>
      <c r="AI56" s="127"/>
      <c r="AJ56" s="127"/>
      <c r="AK56" s="127"/>
      <c r="AL56" s="127"/>
      <c r="AM56" s="127"/>
      <c r="AN56" s="127"/>
      <c r="AO56" s="127"/>
      <c r="AP56" s="127"/>
      <c r="AQ56" s="127"/>
      <c r="AR56" s="127"/>
      <c r="AS56" s="127"/>
      <c r="AT56" s="127"/>
      <c r="AU56" s="127"/>
      <c r="AV56" s="127"/>
      <c r="AW56" s="127"/>
      <c r="AX56" s="127"/>
      <c r="AY56" s="127"/>
    </row>
    <row r="57" spans="1:51" x14ac:dyDescent="0.2">
      <c r="A57" s="126"/>
      <c r="B57" s="136">
        <v>13</v>
      </c>
      <c r="C57" s="126" t="s">
        <v>293</v>
      </c>
      <c r="D57" s="127"/>
      <c r="E57" s="127"/>
      <c r="F57" s="127"/>
      <c r="G57" s="127"/>
      <c r="H57" s="127"/>
      <c r="I57" s="127"/>
      <c r="J57" s="127"/>
      <c r="K57" s="127"/>
      <c r="L57" s="127"/>
      <c r="M57" s="127"/>
      <c r="N57" s="127"/>
      <c r="O57" s="127"/>
      <c r="P57" s="127"/>
      <c r="Q57" s="127"/>
      <c r="R57" s="127"/>
      <c r="S57" s="127"/>
      <c r="T57" s="127"/>
      <c r="U57" s="127"/>
      <c r="V57" s="127"/>
      <c r="W57" s="127"/>
      <c r="X57" s="127"/>
      <c r="Y57" s="127"/>
      <c r="Z57" s="127"/>
      <c r="AA57" s="127"/>
      <c r="AB57" s="127"/>
      <c r="AC57" s="127"/>
      <c r="AD57" s="127"/>
      <c r="AE57" s="127"/>
      <c r="AF57" s="127"/>
      <c r="AG57" s="127"/>
      <c r="AH57" s="127"/>
      <c r="AI57" s="127"/>
      <c r="AJ57" s="127"/>
      <c r="AK57" s="127"/>
      <c r="AL57" s="127"/>
      <c r="AM57" s="127"/>
      <c r="AN57" s="127"/>
      <c r="AO57" s="127"/>
      <c r="AP57" s="127"/>
      <c r="AQ57" s="127"/>
      <c r="AR57" s="127"/>
      <c r="AS57" s="127"/>
      <c r="AT57" s="127"/>
      <c r="AU57" s="127"/>
      <c r="AV57" s="127"/>
      <c r="AW57" s="127"/>
      <c r="AX57" s="127"/>
      <c r="AY57" s="127"/>
    </row>
    <row r="58" spans="1:51" x14ac:dyDescent="0.2">
      <c r="A58" s="126"/>
      <c r="B58" s="136">
        <v>14</v>
      </c>
      <c r="C58" s="126" t="s">
        <v>293</v>
      </c>
      <c r="D58" s="127"/>
      <c r="E58" s="127"/>
      <c r="F58" s="127"/>
      <c r="G58" s="127"/>
      <c r="H58" s="127"/>
      <c r="I58" s="127"/>
      <c r="J58" s="127"/>
      <c r="K58" s="127"/>
      <c r="L58" s="127"/>
      <c r="M58" s="127"/>
      <c r="N58" s="127"/>
      <c r="O58" s="127"/>
      <c r="P58" s="127"/>
      <c r="Q58" s="127"/>
      <c r="R58" s="127"/>
      <c r="S58" s="127"/>
      <c r="T58" s="127"/>
      <c r="U58" s="127"/>
      <c r="V58" s="127"/>
      <c r="W58" s="127"/>
      <c r="X58" s="127"/>
      <c r="Y58" s="127"/>
      <c r="Z58" s="127"/>
      <c r="AA58" s="127"/>
      <c r="AB58" s="127"/>
      <c r="AC58" s="127"/>
      <c r="AD58" s="127"/>
      <c r="AE58" s="127"/>
      <c r="AF58" s="127"/>
      <c r="AG58" s="127"/>
      <c r="AH58" s="127"/>
      <c r="AI58" s="127"/>
      <c r="AJ58" s="127"/>
      <c r="AK58" s="127"/>
      <c r="AL58" s="127"/>
      <c r="AM58" s="127"/>
      <c r="AN58" s="127"/>
      <c r="AO58" s="127"/>
      <c r="AP58" s="127"/>
      <c r="AQ58" s="127"/>
      <c r="AR58" s="127"/>
      <c r="AS58" s="127"/>
      <c r="AT58" s="127"/>
      <c r="AU58" s="127"/>
      <c r="AV58" s="127"/>
      <c r="AW58" s="127"/>
      <c r="AX58" s="127"/>
      <c r="AY58" s="127"/>
    </row>
    <row r="59" spans="1:51" x14ac:dyDescent="0.2">
      <c r="A59" s="126"/>
      <c r="B59" s="136">
        <v>15</v>
      </c>
      <c r="C59" s="126" t="s">
        <v>293</v>
      </c>
      <c r="D59" s="127"/>
      <c r="E59" s="127"/>
      <c r="F59" s="127"/>
      <c r="G59" s="127"/>
      <c r="H59" s="127"/>
      <c r="I59" s="127"/>
      <c r="J59" s="127"/>
      <c r="K59" s="127"/>
      <c r="L59" s="127"/>
      <c r="M59" s="127"/>
      <c r="N59" s="127"/>
      <c r="O59" s="127"/>
      <c r="P59" s="127"/>
      <c r="Q59" s="127"/>
      <c r="R59" s="127"/>
      <c r="S59" s="127"/>
      <c r="T59" s="127"/>
      <c r="U59" s="127"/>
      <c r="V59" s="127"/>
      <c r="W59" s="127"/>
      <c r="X59" s="127"/>
      <c r="Y59" s="127"/>
      <c r="Z59" s="127"/>
      <c r="AA59" s="127"/>
      <c r="AB59" s="127"/>
      <c r="AC59" s="127"/>
      <c r="AD59" s="127"/>
      <c r="AE59" s="127"/>
      <c r="AF59" s="127"/>
      <c r="AG59" s="127"/>
      <c r="AH59" s="127"/>
      <c r="AI59" s="127"/>
      <c r="AJ59" s="127"/>
      <c r="AK59" s="127"/>
      <c r="AL59" s="127"/>
      <c r="AM59" s="127"/>
      <c r="AN59" s="127"/>
      <c r="AO59" s="127"/>
      <c r="AP59" s="127"/>
      <c r="AQ59" s="127"/>
      <c r="AR59" s="127"/>
      <c r="AS59" s="127"/>
      <c r="AT59" s="127"/>
      <c r="AU59" s="127"/>
      <c r="AV59" s="127"/>
      <c r="AW59" s="127"/>
      <c r="AX59" s="127"/>
      <c r="AY59" s="127"/>
    </row>
    <row r="60" spans="1:51" x14ac:dyDescent="0.2">
      <c r="A60" s="126"/>
      <c r="B60" s="136">
        <v>16</v>
      </c>
      <c r="C60" s="126" t="s">
        <v>293</v>
      </c>
      <c r="D60" s="127"/>
      <c r="E60" s="127"/>
      <c r="F60" s="127"/>
      <c r="G60" s="127"/>
      <c r="H60" s="127"/>
      <c r="I60" s="127"/>
      <c r="J60" s="127"/>
      <c r="K60" s="127"/>
      <c r="L60" s="127"/>
      <c r="M60" s="127"/>
      <c r="N60" s="127"/>
      <c r="O60" s="127"/>
      <c r="P60" s="127"/>
      <c r="Q60" s="127"/>
      <c r="R60" s="127"/>
      <c r="S60" s="127"/>
      <c r="T60" s="127"/>
      <c r="U60" s="127"/>
      <c r="V60" s="127"/>
      <c r="W60" s="127"/>
      <c r="X60" s="127"/>
      <c r="Y60" s="127"/>
      <c r="Z60" s="127"/>
      <c r="AA60" s="127"/>
      <c r="AB60" s="127"/>
      <c r="AC60" s="127"/>
      <c r="AD60" s="127"/>
      <c r="AE60" s="127"/>
      <c r="AF60" s="127"/>
      <c r="AG60" s="127"/>
      <c r="AH60" s="127"/>
      <c r="AI60" s="127"/>
      <c r="AJ60" s="127"/>
      <c r="AK60" s="127"/>
      <c r="AL60" s="127"/>
      <c r="AM60" s="127"/>
      <c r="AN60" s="127"/>
      <c r="AO60" s="127"/>
      <c r="AP60" s="127"/>
      <c r="AQ60" s="127"/>
      <c r="AR60" s="127"/>
      <c r="AS60" s="127"/>
      <c r="AT60" s="127"/>
      <c r="AU60" s="127"/>
      <c r="AV60" s="127"/>
      <c r="AW60" s="127"/>
      <c r="AX60" s="127"/>
      <c r="AY60" s="127"/>
    </row>
    <row r="61" spans="1:51" x14ac:dyDescent="0.2">
      <c r="A61" s="126"/>
      <c r="B61" s="136">
        <v>17</v>
      </c>
      <c r="C61" s="126" t="s">
        <v>293</v>
      </c>
      <c r="D61" s="127"/>
      <c r="E61" s="127"/>
      <c r="F61" s="127"/>
      <c r="G61" s="127"/>
      <c r="H61" s="127"/>
      <c r="I61" s="127"/>
      <c r="J61" s="127"/>
      <c r="K61" s="127"/>
      <c r="L61" s="127"/>
      <c r="M61" s="127"/>
      <c r="N61" s="127"/>
      <c r="O61" s="127"/>
      <c r="P61" s="127"/>
      <c r="Q61" s="127"/>
      <c r="R61" s="127"/>
      <c r="S61" s="127"/>
      <c r="T61" s="127"/>
      <c r="U61" s="127"/>
      <c r="V61" s="127"/>
      <c r="W61" s="127"/>
      <c r="X61" s="127"/>
      <c r="Y61" s="127"/>
      <c r="Z61" s="127"/>
      <c r="AA61" s="127"/>
      <c r="AB61" s="127"/>
      <c r="AC61" s="127"/>
      <c r="AD61" s="127"/>
      <c r="AE61" s="127"/>
      <c r="AF61" s="127"/>
      <c r="AG61" s="127"/>
      <c r="AH61" s="127"/>
      <c r="AI61" s="127"/>
      <c r="AJ61" s="127"/>
      <c r="AK61" s="127"/>
      <c r="AL61" s="127"/>
      <c r="AM61" s="127"/>
      <c r="AN61" s="127"/>
      <c r="AO61" s="127"/>
      <c r="AP61" s="127"/>
      <c r="AQ61" s="127"/>
      <c r="AR61" s="127"/>
      <c r="AS61" s="127"/>
      <c r="AT61" s="127"/>
      <c r="AU61" s="127"/>
      <c r="AV61" s="127"/>
      <c r="AW61" s="127"/>
      <c r="AX61" s="127"/>
      <c r="AY61" s="127"/>
    </row>
    <row r="62" spans="1:51" x14ac:dyDescent="0.2">
      <c r="A62" s="126"/>
      <c r="B62" s="136">
        <v>18</v>
      </c>
      <c r="C62" s="126" t="s">
        <v>293</v>
      </c>
      <c r="D62" s="127"/>
      <c r="E62" s="127"/>
      <c r="F62" s="127"/>
      <c r="G62" s="127"/>
      <c r="H62" s="127"/>
      <c r="I62" s="127"/>
      <c r="J62" s="127"/>
      <c r="K62" s="127"/>
      <c r="L62" s="127"/>
      <c r="M62" s="127"/>
      <c r="N62" s="127"/>
      <c r="O62" s="127"/>
      <c r="P62" s="127"/>
      <c r="Q62" s="127"/>
      <c r="R62" s="127"/>
      <c r="S62" s="127"/>
      <c r="T62" s="127"/>
      <c r="U62" s="127"/>
      <c r="V62" s="127"/>
      <c r="W62" s="127"/>
      <c r="X62" s="127"/>
      <c r="Y62" s="127"/>
      <c r="Z62" s="127"/>
      <c r="AA62" s="127"/>
      <c r="AB62" s="127"/>
      <c r="AC62" s="127"/>
      <c r="AD62" s="127"/>
      <c r="AE62" s="127"/>
      <c r="AF62" s="127"/>
      <c r="AG62" s="127"/>
      <c r="AH62" s="127"/>
      <c r="AI62" s="127"/>
      <c r="AJ62" s="127"/>
      <c r="AK62" s="127"/>
      <c r="AL62" s="127"/>
      <c r="AM62" s="127"/>
      <c r="AN62" s="127"/>
      <c r="AO62" s="127"/>
      <c r="AP62" s="127"/>
      <c r="AQ62" s="127"/>
      <c r="AR62" s="127"/>
      <c r="AS62" s="127"/>
      <c r="AT62" s="127"/>
      <c r="AU62" s="127"/>
      <c r="AV62" s="127"/>
      <c r="AW62" s="127"/>
      <c r="AX62" s="127"/>
      <c r="AY62" s="127"/>
    </row>
    <row r="63" spans="1:51" x14ac:dyDescent="0.2">
      <c r="A63" s="126"/>
      <c r="B63" s="136">
        <v>19</v>
      </c>
      <c r="C63" s="126" t="s">
        <v>293</v>
      </c>
      <c r="D63" s="127"/>
      <c r="E63" s="127"/>
      <c r="F63" s="127"/>
      <c r="G63" s="127"/>
      <c r="H63" s="127"/>
      <c r="I63" s="127"/>
      <c r="J63" s="127"/>
      <c r="K63" s="127"/>
      <c r="L63" s="127"/>
      <c r="M63" s="127"/>
      <c r="N63" s="127"/>
      <c r="O63" s="127"/>
      <c r="P63" s="127"/>
      <c r="Q63" s="127"/>
      <c r="R63" s="127"/>
      <c r="S63" s="127"/>
      <c r="T63" s="127"/>
      <c r="U63" s="127"/>
      <c r="V63" s="127"/>
      <c r="W63" s="127"/>
      <c r="X63" s="127"/>
      <c r="Y63" s="127"/>
      <c r="Z63" s="127"/>
      <c r="AA63" s="127"/>
      <c r="AB63" s="127"/>
      <c r="AC63" s="127"/>
      <c r="AD63" s="127"/>
      <c r="AE63" s="127"/>
      <c r="AF63" s="127"/>
      <c r="AG63" s="127"/>
      <c r="AH63" s="127"/>
      <c r="AI63" s="127"/>
      <c r="AJ63" s="127"/>
      <c r="AK63" s="127"/>
      <c r="AL63" s="127"/>
      <c r="AM63" s="127"/>
      <c r="AN63" s="127"/>
      <c r="AO63" s="127"/>
      <c r="AP63" s="127"/>
      <c r="AQ63" s="127"/>
      <c r="AR63" s="127"/>
      <c r="AS63" s="127"/>
      <c r="AT63" s="127"/>
      <c r="AU63" s="127"/>
      <c r="AV63" s="127"/>
      <c r="AW63" s="127"/>
      <c r="AX63" s="127"/>
      <c r="AY63" s="127"/>
    </row>
    <row r="64" spans="1:51" x14ac:dyDescent="0.2">
      <c r="A64" s="126"/>
      <c r="B64" s="136">
        <v>20</v>
      </c>
      <c r="C64" s="126" t="s">
        <v>293</v>
      </c>
      <c r="D64" s="127"/>
      <c r="E64" s="127"/>
      <c r="F64" s="127"/>
      <c r="G64" s="127"/>
      <c r="H64" s="127"/>
      <c r="I64" s="127"/>
      <c r="J64" s="127"/>
      <c r="K64" s="127"/>
      <c r="L64" s="127"/>
      <c r="M64" s="127"/>
      <c r="N64" s="127"/>
      <c r="O64" s="127"/>
      <c r="P64" s="127"/>
      <c r="Q64" s="127"/>
      <c r="R64" s="127"/>
      <c r="S64" s="127"/>
      <c r="T64" s="127"/>
      <c r="U64" s="127"/>
      <c r="V64" s="127"/>
      <c r="W64" s="127"/>
      <c r="X64" s="127"/>
      <c r="Y64" s="127"/>
      <c r="Z64" s="127"/>
      <c r="AA64" s="127"/>
      <c r="AB64" s="127"/>
      <c r="AC64" s="127"/>
      <c r="AD64" s="127"/>
      <c r="AE64" s="127"/>
      <c r="AF64" s="127"/>
      <c r="AG64" s="127"/>
      <c r="AH64" s="127"/>
      <c r="AI64" s="127"/>
      <c r="AJ64" s="127"/>
      <c r="AK64" s="127"/>
      <c r="AL64" s="127"/>
      <c r="AM64" s="127"/>
      <c r="AN64" s="127"/>
      <c r="AO64" s="127"/>
      <c r="AP64" s="127"/>
      <c r="AQ64" s="127"/>
      <c r="AR64" s="127"/>
      <c r="AS64" s="127"/>
      <c r="AT64" s="127"/>
      <c r="AU64" s="127"/>
      <c r="AV64" s="127"/>
      <c r="AW64" s="127"/>
      <c r="AX64" s="127"/>
      <c r="AY64" s="127"/>
    </row>
    <row r="65" spans="1:51" x14ac:dyDescent="0.2">
      <c r="A65" s="126"/>
      <c r="B65" s="136">
        <v>21</v>
      </c>
      <c r="C65" s="126" t="s">
        <v>293</v>
      </c>
      <c r="D65" s="127"/>
      <c r="E65" s="127"/>
      <c r="F65" s="127"/>
      <c r="G65" s="127"/>
      <c r="H65" s="127"/>
      <c r="I65" s="127"/>
      <c r="J65" s="127"/>
      <c r="K65" s="127"/>
      <c r="L65" s="127"/>
      <c r="M65" s="127"/>
      <c r="N65" s="127"/>
      <c r="O65" s="127"/>
      <c r="P65" s="127"/>
      <c r="Q65" s="127"/>
      <c r="R65" s="127"/>
      <c r="S65" s="127"/>
      <c r="T65" s="127"/>
      <c r="U65" s="127"/>
      <c r="V65" s="127"/>
      <c r="W65" s="127"/>
      <c r="X65" s="127"/>
      <c r="Y65" s="127"/>
      <c r="Z65" s="127"/>
      <c r="AA65" s="127"/>
      <c r="AB65" s="127"/>
      <c r="AC65" s="127"/>
      <c r="AD65" s="127"/>
      <c r="AE65" s="127"/>
      <c r="AF65" s="127"/>
      <c r="AG65" s="127"/>
      <c r="AH65" s="127"/>
      <c r="AI65" s="127"/>
      <c r="AJ65" s="127"/>
      <c r="AK65" s="127"/>
      <c r="AL65" s="127"/>
      <c r="AM65" s="127"/>
      <c r="AN65" s="127"/>
      <c r="AO65" s="127"/>
      <c r="AP65" s="127"/>
      <c r="AQ65" s="127"/>
      <c r="AR65" s="127"/>
      <c r="AS65" s="127"/>
      <c r="AT65" s="127"/>
      <c r="AU65" s="127"/>
      <c r="AV65" s="127"/>
      <c r="AW65" s="127"/>
      <c r="AX65" s="127"/>
      <c r="AY65" s="127"/>
    </row>
    <row r="66" spans="1:51" x14ac:dyDescent="0.2">
      <c r="A66" s="126"/>
      <c r="B66" s="136">
        <v>22</v>
      </c>
      <c r="C66" s="126" t="s">
        <v>293</v>
      </c>
      <c r="D66" s="127"/>
      <c r="E66" s="127"/>
      <c r="F66" s="127"/>
      <c r="G66" s="127"/>
      <c r="H66" s="127"/>
      <c r="I66" s="127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</row>
    <row r="67" spans="1:51" x14ac:dyDescent="0.2">
      <c r="A67" s="126"/>
      <c r="B67" s="136">
        <v>23</v>
      </c>
      <c r="C67" s="126" t="s">
        <v>293</v>
      </c>
      <c r="D67" s="127"/>
      <c r="E67" s="127"/>
      <c r="F67" s="127"/>
      <c r="G67" s="127"/>
      <c r="H67" s="127"/>
      <c r="I67" s="127"/>
      <c r="J67" s="127"/>
      <c r="K67" s="127"/>
      <c r="L67" s="127"/>
      <c r="M67" s="127"/>
      <c r="N67" s="127"/>
      <c r="O67" s="127"/>
      <c r="P67" s="127"/>
      <c r="Q67" s="127"/>
      <c r="R67" s="127"/>
      <c r="S67" s="127"/>
      <c r="T67" s="127"/>
      <c r="U67" s="127"/>
      <c r="V67" s="127"/>
      <c r="W67" s="127"/>
      <c r="X67" s="127"/>
      <c r="Y67" s="127"/>
      <c r="Z67" s="127"/>
      <c r="AA67" s="127"/>
      <c r="AB67" s="127"/>
      <c r="AC67" s="127"/>
      <c r="AD67" s="127"/>
      <c r="AE67" s="127"/>
      <c r="AF67" s="127"/>
      <c r="AG67" s="127"/>
      <c r="AH67" s="127"/>
      <c r="AI67" s="127"/>
      <c r="AJ67" s="127"/>
      <c r="AK67" s="127"/>
      <c r="AL67" s="127"/>
      <c r="AM67" s="127"/>
      <c r="AN67" s="127"/>
      <c r="AO67" s="127"/>
      <c r="AP67" s="127"/>
      <c r="AQ67" s="127"/>
      <c r="AR67" s="127"/>
      <c r="AS67" s="127"/>
      <c r="AT67" s="127"/>
      <c r="AU67" s="127"/>
      <c r="AV67" s="127"/>
      <c r="AW67" s="127"/>
      <c r="AX67" s="127"/>
      <c r="AY67" s="127"/>
    </row>
    <row r="68" spans="1:51" x14ac:dyDescent="0.2">
      <c r="A68" s="126"/>
      <c r="B68" s="136">
        <v>24</v>
      </c>
      <c r="C68" s="126" t="s">
        <v>293</v>
      </c>
      <c r="D68" s="127"/>
      <c r="E68" s="127"/>
      <c r="F68" s="127"/>
      <c r="G68" s="127"/>
      <c r="H68" s="127"/>
      <c r="I68" s="127"/>
      <c r="J68" s="127"/>
      <c r="K68" s="127"/>
      <c r="L68" s="127"/>
      <c r="M68" s="127"/>
      <c r="N68" s="127"/>
      <c r="O68" s="127"/>
      <c r="P68" s="127"/>
      <c r="Q68" s="127"/>
      <c r="R68" s="127"/>
      <c r="S68" s="127"/>
      <c r="T68" s="127"/>
      <c r="U68" s="127"/>
      <c r="V68" s="127"/>
      <c r="W68" s="127"/>
      <c r="X68" s="127"/>
      <c r="Y68" s="127"/>
      <c r="Z68" s="127"/>
      <c r="AA68" s="127"/>
      <c r="AB68" s="127"/>
      <c r="AC68" s="127"/>
      <c r="AD68" s="127"/>
      <c r="AE68" s="127"/>
      <c r="AF68" s="127"/>
      <c r="AG68" s="127"/>
      <c r="AH68" s="127"/>
      <c r="AI68" s="127"/>
      <c r="AJ68" s="127"/>
      <c r="AK68" s="127"/>
      <c r="AL68" s="127"/>
      <c r="AM68" s="127"/>
      <c r="AN68" s="127"/>
      <c r="AO68" s="127"/>
      <c r="AP68" s="127"/>
      <c r="AQ68" s="127"/>
      <c r="AR68" s="127"/>
      <c r="AS68" s="127"/>
      <c r="AT68" s="127"/>
      <c r="AU68" s="127"/>
      <c r="AV68" s="127"/>
      <c r="AW68" s="127"/>
      <c r="AX68" s="127"/>
      <c r="AY68" s="127"/>
    </row>
    <row r="69" spans="1:51" x14ac:dyDescent="0.2">
      <c r="A69" s="126"/>
      <c r="B69" s="143">
        <v>25</v>
      </c>
      <c r="C69" s="126" t="s">
        <v>293</v>
      </c>
      <c r="D69" s="127"/>
      <c r="E69" s="127"/>
      <c r="F69" s="127"/>
      <c r="G69" s="127"/>
      <c r="H69" s="127"/>
      <c r="I69" s="127"/>
      <c r="J69" s="127"/>
      <c r="K69" s="127"/>
      <c r="L69" s="127"/>
      <c r="M69" s="127"/>
      <c r="N69" s="127"/>
      <c r="O69" s="127"/>
      <c r="P69" s="127"/>
      <c r="Q69" s="127"/>
      <c r="R69" s="127"/>
      <c r="S69" s="127"/>
      <c r="T69" s="127"/>
      <c r="U69" s="127"/>
      <c r="V69" s="127"/>
      <c r="W69" s="127"/>
      <c r="X69" s="127"/>
      <c r="Y69" s="127"/>
      <c r="Z69" s="127"/>
      <c r="AA69" s="127"/>
      <c r="AB69" s="127"/>
      <c r="AC69" s="127"/>
      <c r="AD69" s="127"/>
      <c r="AE69" s="127"/>
      <c r="AF69" s="127"/>
      <c r="AG69" s="127"/>
      <c r="AH69" s="127"/>
      <c r="AI69" s="127"/>
      <c r="AJ69" s="127"/>
      <c r="AK69" s="127"/>
      <c r="AL69" s="127"/>
      <c r="AM69" s="127"/>
      <c r="AN69" s="127"/>
      <c r="AO69" s="127"/>
      <c r="AP69" s="127"/>
      <c r="AQ69" s="127"/>
      <c r="AR69" s="127"/>
      <c r="AS69" s="127"/>
      <c r="AT69" s="127"/>
      <c r="AU69" s="127"/>
      <c r="AV69" s="127"/>
      <c r="AW69" s="127"/>
      <c r="AX69" s="127"/>
      <c r="AY69" s="127"/>
    </row>
    <row r="70" spans="1:51" x14ac:dyDescent="0.2">
      <c r="A70" s="126"/>
      <c r="B70" s="143">
        <v>26</v>
      </c>
      <c r="C70" s="126" t="s">
        <v>293</v>
      </c>
      <c r="D70" s="127"/>
      <c r="E70" s="127"/>
      <c r="F70" s="127"/>
      <c r="G70" s="127"/>
      <c r="H70" s="127"/>
      <c r="I70" s="127"/>
      <c r="J70" s="127"/>
      <c r="K70" s="127"/>
      <c r="L70" s="127"/>
      <c r="M70" s="127"/>
      <c r="N70" s="127"/>
      <c r="O70" s="127"/>
      <c r="P70" s="127"/>
      <c r="Q70" s="127"/>
      <c r="R70" s="127"/>
      <c r="S70" s="127"/>
      <c r="T70" s="127"/>
      <c r="U70" s="127"/>
      <c r="V70" s="127"/>
      <c r="W70" s="127"/>
      <c r="X70" s="127"/>
      <c r="Y70" s="127"/>
      <c r="Z70" s="127"/>
      <c r="AA70" s="127"/>
      <c r="AB70" s="127"/>
      <c r="AC70" s="127"/>
      <c r="AD70" s="127"/>
      <c r="AE70" s="127"/>
      <c r="AF70" s="127"/>
      <c r="AG70" s="127"/>
      <c r="AH70" s="127"/>
      <c r="AI70" s="127"/>
      <c r="AJ70" s="127"/>
      <c r="AK70" s="127"/>
      <c r="AL70" s="127"/>
      <c r="AM70" s="127"/>
      <c r="AN70" s="127"/>
      <c r="AO70" s="127"/>
      <c r="AP70" s="127"/>
      <c r="AQ70" s="127"/>
      <c r="AR70" s="127"/>
      <c r="AS70" s="127"/>
      <c r="AT70" s="127"/>
      <c r="AU70" s="127"/>
      <c r="AV70" s="127"/>
      <c r="AW70" s="127"/>
      <c r="AX70" s="127"/>
      <c r="AY70" s="127"/>
    </row>
    <row r="71" spans="1:51" x14ac:dyDescent="0.2">
      <c r="A71" s="126"/>
      <c r="B71" s="143">
        <v>27</v>
      </c>
      <c r="C71" s="126" t="s">
        <v>293</v>
      </c>
      <c r="D71" s="127"/>
      <c r="E71" s="127"/>
      <c r="F71" s="127"/>
      <c r="G71" s="127"/>
      <c r="H71" s="127"/>
      <c r="I71" s="127"/>
      <c r="J71" s="127"/>
      <c r="K71" s="127"/>
      <c r="L71" s="127"/>
      <c r="M71" s="127"/>
      <c r="N71" s="127"/>
      <c r="O71" s="127"/>
      <c r="P71" s="127"/>
      <c r="Q71" s="127"/>
      <c r="R71" s="127"/>
      <c r="S71" s="127"/>
      <c r="T71" s="127"/>
      <c r="U71" s="127"/>
      <c r="V71" s="127"/>
      <c r="W71" s="127"/>
      <c r="X71" s="127"/>
      <c r="Y71" s="127"/>
      <c r="Z71" s="127"/>
      <c r="AA71" s="127"/>
      <c r="AB71" s="127"/>
      <c r="AC71" s="127"/>
      <c r="AD71" s="127"/>
      <c r="AE71" s="127"/>
      <c r="AF71" s="127"/>
      <c r="AG71" s="127"/>
      <c r="AH71" s="127"/>
      <c r="AI71" s="127"/>
      <c r="AJ71" s="127"/>
      <c r="AK71" s="127"/>
      <c r="AL71" s="127"/>
      <c r="AM71" s="127"/>
      <c r="AN71" s="127"/>
      <c r="AO71" s="127"/>
      <c r="AP71" s="127"/>
      <c r="AQ71" s="127"/>
      <c r="AR71" s="127"/>
      <c r="AS71" s="127"/>
      <c r="AT71" s="127"/>
      <c r="AU71" s="127"/>
      <c r="AV71" s="127"/>
      <c r="AW71" s="127"/>
      <c r="AX71" s="127"/>
      <c r="AY71" s="127"/>
    </row>
    <row r="72" spans="1:51" x14ac:dyDescent="0.2">
      <c r="A72" s="126"/>
      <c r="B72" s="143">
        <v>28</v>
      </c>
      <c r="C72" s="126" t="s">
        <v>293</v>
      </c>
      <c r="D72" s="127"/>
      <c r="E72" s="127"/>
      <c r="F72" s="127"/>
      <c r="G72" s="127"/>
      <c r="H72" s="127"/>
      <c r="I72" s="127"/>
      <c r="J72" s="127"/>
      <c r="K72" s="127"/>
      <c r="L72" s="127"/>
      <c r="M72" s="127"/>
      <c r="N72" s="127"/>
      <c r="O72" s="127"/>
      <c r="P72" s="127"/>
      <c r="Q72" s="127"/>
      <c r="R72" s="127"/>
      <c r="S72" s="127"/>
      <c r="T72" s="127"/>
      <c r="U72" s="127"/>
      <c r="V72" s="127"/>
      <c r="W72" s="127"/>
      <c r="X72" s="127"/>
      <c r="Y72" s="127"/>
      <c r="Z72" s="127"/>
      <c r="AA72" s="127"/>
      <c r="AB72" s="127"/>
      <c r="AC72" s="127"/>
      <c r="AD72" s="127"/>
      <c r="AE72" s="127"/>
      <c r="AF72" s="127"/>
      <c r="AG72" s="127"/>
      <c r="AH72" s="127"/>
      <c r="AI72" s="127"/>
      <c r="AJ72" s="127"/>
      <c r="AK72" s="127"/>
      <c r="AL72" s="127"/>
      <c r="AM72" s="127"/>
      <c r="AN72" s="127"/>
      <c r="AO72" s="127"/>
      <c r="AP72" s="127"/>
      <c r="AQ72" s="127"/>
      <c r="AR72" s="127"/>
      <c r="AS72" s="127"/>
      <c r="AT72" s="127"/>
      <c r="AU72" s="127"/>
      <c r="AV72" s="127"/>
      <c r="AW72" s="127"/>
      <c r="AX72" s="127"/>
      <c r="AY72" s="127"/>
    </row>
    <row r="73" spans="1:51" x14ac:dyDescent="0.2">
      <c r="A73" s="126"/>
      <c r="B73" s="143">
        <v>29</v>
      </c>
      <c r="C73" s="126" t="s">
        <v>293</v>
      </c>
      <c r="D73" s="127"/>
      <c r="E73" s="127"/>
      <c r="F73" s="127"/>
      <c r="G73" s="127"/>
      <c r="H73" s="127"/>
      <c r="I73" s="127"/>
      <c r="J73" s="127"/>
      <c r="K73" s="127"/>
      <c r="L73" s="127"/>
      <c r="M73" s="127"/>
      <c r="N73" s="127"/>
      <c r="O73" s="127"/>
      <c r="P73" s="127"/>
      <c r="Q73" s="127"/>
      <c r="R73" s="127"/>
      <c r="S73" s="127"/>
      <c r="T73" s="127"/>
      <c r="U73" s="127"/>
      <c r="V73" s="127"/>
      <c r="W73" s="127"/>
      <c r="X73" s="127"/>
      <c r="Y73" s="127"/>
      <c r="Z73" s="127"/>
      <c r="AA73" s="127"/>
      <c r="AB73" s="127"/>
      <c r="AC73" s="127"/>
      <c r="AD73" s="127"/>
      <c r="AE73" s="127"/>
      <c r="AF73" s="127"/>
      <c r="AG73" s="127"/>
      <c r="AH73" s="127"/>
      <c r="AI73" s="127"/>
      <c r="AJ73" s="127"/>
      <c r="AK73" s="127"/>
      <c r="AL73" s="127"/>
      <c r="AM73" s="127"/>
      <c r="AN73" s="127"/>
      <c r="AO73" s="127"/>
      <c r="AP73" s="127"/>
      <c r="AQ73" s="127"/>
      <c r="AR73" s="127"/>
      <c r="AS73" s="127"/>
      <c r="AT73" s="127"/>
      <c r="AU73" s="127"/>
      <c r="AV73" s="127"/>
      <c r="AW73" s="127"/>
      <c r="AX73" s="127"/>
      <c r="AY73" s="127"/>
    </row>
    <row r="74" spans="1:51" x14ac:dyDescent="0.2">
      <c r="A74" s="126"/>
      <c r="B74" s="143">
        <v>30</v>
      </c>
      <c r="C74" s="126" t="s">
        <v>293</v>
      </c>
      <c r="D74" s="127"/>
      <c r="E74" s="127"/>
      <c r="F74" s="127"/>
      <c r="G74" s="127"/>
      <c r="H74" s="127"/>
      <c r="I74" s="127"/>
      <c r="J74" s="127"/>
      <c r="K74" s="127"/>
      <c r="L74" s="127"/>
      <c r="M74" s="127"/>
      <c r="N74" s="127"/>
      <c r="O74" s="127"/>
      <c r="P74" s="127"/>
      <c r="Q74" s="127"/>
      <c r="R74" s="127"/>
      <c r="S74" s="127"/>
      <c r="T74" s="127"/>
      <c r="U74" s="127"/>
      <c r="V74" s="127"/>
      <c r="W74" s="127"/>
      <c r="X74" s="127"/>
      <c r="Y74" s="127"/>
      <c r="Z74" s="127"/>
      <c r="AA74" s="127"/>
      <c r="AB74" s="127"/>
      <c r="AC74" s="127"/>
      <c r="AD74" s="127"/>
      <c r="AE74" s="127"/>
      <c r="AF74" s="127"/>
      <c r="AG74" s="127"/>
      <c r="AH74" s="127"/>
      <c r="AI74" s="127"/>
      <c r="AJ74" s="127"/>
      <c r="AK74" s="127"/>
      <c r="AL74" s="127"/>
      <c r="AM74" s="127"/>
      <c r="AN74" s="127"/>
      <c r="AO74" s="127"/>
      <c r="AP74" s="127"/>
      <c r="AQ74" s="127"/>
      <c r="AR74" s="127"/>
      <c r="AS74" s="127"/>
      <c r="AT74" s="127"/>
      <c r="AU74" s="127"/>
      <c r="AV74" s="127"/>
      <c r="AW74" s="127"/>
      <c r="AX74" s="127"/>
      <c r="AY74" s="127"/>
    </row>
    <row r="75" spans="1:51" x14ac:dyDescent="0.2">
      <c r="A75" s="126"/>
      <c r="B75" s="143">
        <v>31</v>
      </c>
      <c r="C75" s="126" t="s">
        <v>293</v>
      </c>
      <c r="D75" s="127"/>
      <c r="E75" s="127"/>
      <c r="F75" s="127"/>
      <c r="G75" s="127"/>
      <c r="H75" s="127"/>
      <c r="I75" s="127"/>
      <c r="J75" s="127"/>
      <c r="K75" s="127"/>
      <c r="L75" s="127"/>
      <c r="M75" s="127"/>
      <c r="N75" s="127"/>
      <c r="O75" s="127"/>
      <c r="P75" s="127"/>
      <c r="Q75" s="127"/>
      <c r="R75" s="127"/>
      <c r="S75" s="127"/>
      <c r="T75" s="127"/>
      <c r="U75" s="127"/>
      <c r="V75" s="127"/>
      <c r="W75" s="127"/>
      <c r="X75" s="127"/>
      <c r="Y75" s="127"/>
      <c r="Z75" s="127"/>
      <c r="AA75" s="127"/>
      <c r="AB75" s="127"/>
      <c r="AC75" s="127"/>
      <c r="AD75" s="127"/>
      <c r="AE75" s="127"/>
      <c r="AF75" s="127"/>
      <c r="AG75" s="127"/>
      <c r="AH75" s="127"/>
      <c r="AI75" s="127"/>
      <c r="AJ75" s="127"/>
      <c r="AK75" s="127"/>
      <c r="AL75" s="127"/>
      <c r="AM75" s="127"/>
      <c r="AN75" s="127"/>
      <c r="AO75" s="127"/>
      <c r="AP75" s="127"/>
      <c r="AQ75" s="127"/>
      <c r="AR75" s="127"/>
      <c r="AS75" s="127"/>
      <c r="AT75" s="127"/>
      <c r="AU75" s="127"/>
      <c r="AV75" s="127"/>
      <c r="AW75" s="127"/>
      <c r="AX75" s="127"/>
      <c r="AY75" s="127"/>
    </row>
    <row r="76" spans="1:51" x14ac:dyDescent="0.2">
      <c r="A76" s="126"/>
      <c r="B76" s="143">
        <v>32</v>
      </c>
      <c r="C76" s="126" t="s">
        <v>293</v>
      </c>
      <c r="D76" s="127"/>
      <c r="E76" s="127"/>
      <c r="F76" s="127"/>
      <c r="G76" s="127"/>
      <c r="H76" s="127"/>
      <c r="I76" s="127"/>
      <c r="J76" s="127"/>
      <c r="K76" s="127"/>
      <c r="L76" s="127"/>
      <c r="M76" s="127"/>
      <c r="N76" s="127"/>
      <c r="O76" s="127"/>
      <c r="P76" s="127"/>
      <c r="Q76" s="127"/>
      <c r="R76" s="127"/>
      <c r="S76" s="127"/>
      <c r="T76" s="127"/>
      <c r="U76" s="127"/>
      <c r="V76" s="127"/>
      <c r="W76" s="127"/>
      <c r="X76" s="127"/>
      <c r="Y76" s="127"/>
      <c r="Z76" s="127"/>
      <c r="AA76" s="127"/>
      <c r="AB76" s="127"/>
      <c r="AC76" s="127"/>
      <c r="AD76" s="127"/>
      <c r="AE76" s="127"/>
      <c r="AF76" s="127"/>
      <c r="AG76" s="127"/>
      <c r="AH76" s="127"/>
      <c r="AI76" s="127"/>
      <c r="AJ76" s="127"/>
      <c r="AK76" s="127"/>
      <c r="AL76" s="127"/>
      <c r="AM76" s="127"/>
      <c r="AN76" s="127"/>
      <c r="AO76" s="127"/>
      <c r="AP76" s="127"/>
      <c r="AQ76" s="127"/>
      <c r="AR76" s="127"/>
      <c r="AS76" s="127"/>
      <c r="AT76" s="127"/>
      <c r="AU76" s="127"/>
      <c r="AV76" s="127"/>
      <c r="AW76" s="127"/>
      <c r="AX76" s="127"/>
      <c r="AY76" s="127"/>
    </row>
    <row r="77" spans="1:51" x14ac:dyDescent="0.2">
      <c r="A77" s="126"/>
      <c r="B77" s="143">
        <v>33</v>
      </c>
      <c r="C77" s="126" t="s">
        <v>293</v>
      </c>
      <c r="D77" s="127"/>
      <c r="E77" s="127"/>
      <c r="F77" s="127"/>
      <c r="G77" s="127"/>
      <c r="H77" s="127"/>
      <c r="I77" s="127"/>
      <c r="J77" s="127"/>
      <c r="K77" s="127"/>
      <c r="L77" s="127"/>
      <c r="M77" s="127"/>
      <c r="N77" s="127"/>
      <c r="O77" s="127"/>
      <c r="P77" s="127"/>
      <c r="Q77" s="127"/>
      <c r="R77" s="127"/>
      <c r="S77" s="127"/>
      <c r="T77" s="127"/>
      <c r="U77" s="127"/>
      <c r="V77" s="127"/>
      <c r="W77" s="127"/>
      <c r="X77" s="127"/>
      <c r="Y77" s="127"/>
      <c r="Z77" s="127"/>
      <c r="AA77" s="127"/>
      <c r="AB77" s="127"/>
      <c r="AC77" s="127"/>
      <c r="AD77" s="127"/>
      <c r="AE77" s="127"/>
      <c r="AF77" s="127"/>
      <c r="AG77" s="127"/>
      <c r="AH77" s="127"/>
      <c r="AI77" s="127"/>
      <c r="AJ77" s="127"/>
      <c r="AK77" s="127"/>
      <c r="AL77" s="127"/>
      <c r="AM77" s="127"/>
      <c r="AN77" s="127"/>
      <c r="AO77" s="127"/>
      <c r="AP77" s="127"/>
      <c r="AQ77" s="127"/>
      <c r="AR77" s="127"/>
      <c r="AS77" s="127"/>
      <c r="AT77" s="127"/>
      <c r="AU77" s="127"/>
      <c r="AV77" s="127"/>
      <c r="AW77" s="127"/>
      <c r="AX77" s="127"/>
      <c r="AY77" s="127"/>
    </row>
    <row r="78" spans="1:51" x14ac:dyDescent="0.2">
      <c r="A78" s="126"/>
      <c r="B78" s="143">
        <v>34</v>
      </c>
      <c r="C78" s="126" t="s">
        <v>293</v>
      </c>
      <c r="D78" s="127"/>
      <c r="E78" s="127"/>
      <c r="F78" s="127"/>
      <c r="G78" s="127"/>
      <c r="H78" s="127"/>
      <c r="I78" s="127"/>
      <c r="J78" s="127"/>
      <c r="K78" s="127"/>
      <c r="L78" s="127"/>
      <c r="M78" s="127"/>
      <c r="N78" s="127"/>
      <c r="O78" s="127"/>
      <c r="P78" s="127"/>
      <c r="Q78" s="127"/>
      <c r="R78" s="127"/>
      <c r="S78" s="127"/>
      <c r="T78" s="127"/>
      <c r="U78" s="127"/>
      <c r="V78" s="127"/>
      <c r="W78" s="127"/>
      <c r="X78" s="127"/>
      <c r="Y78" s="127"/>
      <c r="Z78" s="127"/>
      <c r="AA78" s="127"/>
      <c r="AB78" s="127"/>
      <c r="AC78" s="127"/>
      <c r="AD78" s="127"/>
      <c r="AE78" s="127"/>
      <c r="AF78" s="127"/>
      <c r="AG78" s="127"/>
      <c r="AH78" s="127"/>
      <c r="AI78" s="127"/>
      <c r="AJ78" s="127"/>
      <c r="AK78" s="127"/>
      <c r="AL78" s="127"/>
      <c r="AM78" s="127"/>
      <c r="AN78" s="127"/>
      <c r="AO78" s="127"/>
      <c r="AP78" s="127"/>
      <c r="AQ78" s="127"/>
      <c r="AR78" s="127"/>
      <c r="AS78" s="127"/>
      <c r="AT78" s="127"/>
      <c r="AU78" s="127"/>
      <c r="AV78" s="127"/>
      <c r="AW78" s="127"/>
      <c r="AX78" s="127"/>
      <c r="AY78" s="127"/>
    </row>
    <row r="79" spans="1:51" x14ac:dyDescent="0.2">
      <c r="A79" s="126"/>
      <c r="B79" s="143">
        <v>35</v>
      </c>
      <c r="C79" s="126" t="s">
        <v>293</v>
      </c>
      <c r="D79" s="127"/>
      <c r="E79" s="127"/>
      <c r="F79" s="127"/>
      <c r="G79" s="127"/>
      <c r="H79" s="127"/>
      <c r="I79" s="127"/>
      <c r="J79" s="127"/>
      <c r="K79" s="127"/>
      <c r="L79" s="127"/>
      <c r="M79" s="127"/>
      <c r="N79" s="127"/>
      <c r="O79" s="127"/>
      <c r="P79" s="127"/>
      <c r="Q79" s="127"/>
      <c r="R79" s="127"/>
      <c r="S79" s="127"/>
      <c r="T79" s="127"/>
      <c r="U79" s="127"/>
      <c r="V79" s="127"/>
      <c r="W79" s="127"/>
      <c r="X79" s="127"/>
      <c r="Y79" s="127"/>
      <c r="Z79" s="127"/>
      <c r="AA79" s="127"/>
      <c r="AB79" s="127"/>
      <c r="AC79" s="127"/>
      <c r="AD79" s="127"/>
      <c r="AE79" s="127"/>
      <c r="AF79" s="127"/>
      <c r="AG79" s="127"/>
      <c r="AH79" s="127"/>
      <c r="AI79" s="127"/>
      <c r="AJ79" s="127"/>
      <c r="AK79" s="127"/>
      <c r="AL79" s="127"/>
      <c r="AM79" s="127"/>
      <c r="AN79" s="127"/>
      <c r="AO79" s="127"/>
      <c r="AP79" s="127"/>
      <c r="AQ79" s="127"/>
      <c r="AR79" s="127"/>
      <c r="AS79" s="127"/>
      <c r="AT79" s="127"/>
      <c r="AU79" s="127"/>
      <c r="AV79" s="127"/>
      <c r="AW79" s="127"/>
      <c r="AX79" s="127"/>
      <c r="AY79" s="127"/>
    </row>
    <row r="80" spans="1:51" x14ac:dyDescent="0.2">
      <c r="A80" s="126"/>
      <c r="B80" s="143">
        <v>36</v>
      </c>
      <c r="C80" s="126" t="s">
        <v>293</v>
      </c>
      <c r="D80" s="127"/>
      <c r="E80" s="127"/>
      <c r="F80" s="127"/>
      <c r="G80" s="127"/>
      <c r="H80" s="127"/>
      <c r="I80" s="127"/>
      <c r="J80" s="127"/>
      <c r="K80" s="127"/>
      <c r="L80" s="127"/>
      <c r="M80" s="127"/>
      <c r="N80" s="127"/>
      <c r="O80" s="127"/>
      <c r="P80" s="127"/>
      <c r="Q80" s="127"/>
      <c r="R80" s="127"/>
      <c r="S80" s="127"/>
      <c r="T80" s="127"/>
      <c r="U80" s="127"/>
      <c r="V80" s="127"/>
      <c r="W80" s="127"/>
      <c r="X80" s="127"/>
      <c r="Y80" s="127"/>
      <c r="Z80" s="127"/>
      <c r="AA80" s="127"/>
      <c r="AB80" s="127"/>
      <c r="AC80" s="127"/>
      <c r="AD80" s="127"/>
      <c r="AE80" s="127"/>
      <c r="AF80" s="127"/>
      <c r="AG80" s="127"/>
      <c r="AH80" s="127"/>
      <c r="AI80" s="127"/>
      <c r="AJ80" s="127"/>
      <c r="AK80" s="127"/>
      <c r="AL80" s="127"/>
      <c r="AM80" s="127"/>
      <c r="AN80" s="127"/>
      <c r="AO80" s="127"/>
      <c r="AP80" s="127"/>
      <c r="AQ80" s="127"/>
      <c r="AR80" s="127"/>
      <c r="AS80" s="127"/>
      <c r="AT80" s="127"/>
      <c r="AU80" s="127"/>
      <c r="AV80" s="127"/>
      <c r="AW80" s="127"/>
      <c r="AX80" s="127"/>
      <c r="AY80" s="127"/>
    </row>
    <row r="81" spans="1:52" x14ac:dyDescent="0.2">
      <c r="A81" s="126"/>
      <c r="B81" s="146">
        <v>37</v>
      </c>
      <c r="C81" s="126" t="s">
        <v>293</v>
      </c>
      <c r="D81" s="127"/>
      <c r="E81" s="127"/>
      <c r="F81" s="127"/>
      <c r="G81" s="127"/>
      <c r="H81" s="127"/>
      <c r="I81" s="127"/>
      <c r="J81" s="127"/>
      <c r="K81" s="127"/>
      <c r="L81" s="127"/>
      <c r="M81" s="127"/>
      <c r="N81" s="127"/>
      <c r="O81" s="127"/>
      <c r="P81" s="127"/>
      <c r="Q81" s="127"/>
      <c r="R81" s="127"/>
      <c r="S81" s="127"/>
      <c r="T81" s="127"/>
      <c r="U81" s="127"/>
      <c r="V81" s="127"/>
      <c r="W81" s="127"/>
      <c r="X81" s="127"/>
      <c r="Y81" s="127"/>
      <c r="Z81" s="127"/>
      <c r="AA81" s="127"/>
      <c r="AB81" s="127"/>
      <c r="AC81" s="127"/>
      <c r="AD81" s="127"/>
      <c r="AE81" s="127"/>
      <c r="AF81" s="127"/>
      <c r="AG81" s="127"/>
      <c r="AH81" s="127"/>
      <c r="AI81" s="127"/>
      <c r="AJ81" s="127"/>
      <c r="AK81" s="127"/>
      <c r="AL81" s="127"/>
      <c r="AM81" s="127"/>
      <c r="AN81" s="127"/>
      <c r="AO81" s="127"/>
      <c r="AP81" s="127"/>
      <c r="AQ81" s="127"/>
      <c r="AR81" s="127"/>
      <c r="AS81" s="127"/>
      <c r="AT81" s="127"/>
      <c r="AU81" s="127"/>
      <c r="AV81" s="127"/>
      <c r="AW81" s="127"/>
      <c r="AX81" s="127"/>
      <c r="AY81" s="127"/>
    </row>
    <row r="82" spans="1:52" x14ac:dyDescent="0.2">
      <c r="A82" s="126"/>
      <c r="B82" s="146">
        <v>38</v>
      </c>
      <c r="C82" s="126" t="s">
        <v>293</v>
      </c>
      <c r="D82" s="127"/>
      <c r="E82" s="127"/>
      <c r="F82" s="127"/>
      <c r="G82" s="127"/>
      <c r="H82" s="127"/>
      <c r="I82" s="127"/>
      <c r="J82" s="127"/>
      <c r="K82" s="127"/>
      <c r="L82" s="127"/>
      <c r="M82" s="127"/>
      <c r="N82" s="127"/>
      <c r="O82" s="127"/>
      <c r="P82" s="127"/>
      <c r="Q82" s="127"/>
      <c r="R82" s="127"/>
      <c r="S82" s="127"/>
      <c r="T82" s="127"/>
      <c r="U82" s="127"/>
      <c r="V82" s="127"/>
      <c r="W82" s="127"/>
      <c r="X82" s="127"/>
      <c r="Y82" s="127"/>
      <c r="Z82" s="127"/>
      <c r="AA82" s="127"/>
      <c r="AB82" s="127"/>
      <c r="AC82" s="127"/>
      <c r="AD82" s="127"/>
      <c r="AE82" s="127"/>
      <c r="AF82" s="127"/>
      <c r="AG82" s="127"/>
      <c r="AH82" s="127"/>
      <c r="AI82" s="127"/>
      <c r="AJ82" s="127"/>
      <c r="AK82" s="127"/>
      <c r="AL82" s="127"/>
      <c r="AM82" s="127"/>
      <c r="AN82" s="127"/>
      <c r="AO82" s="127"/>
      <c r="AP82" s="127"/>
      <c r="AQ82" s="127"/>
      <c r="AR82" s="127"/>
      <c r="AS82" s="127"/>
      <c r="AT82" s="127"/>
      <c r="AU82" s="127"/>
      <c r="AV82" s="127"/>
      <c r="AW82" s="127"/>
      <c r="AX82" s="127"/>
      <c r="AY82" s="127"/>
    </row>
    <row r="83" spans="1:52" x14ac:dyDescent="0.2">
      <c r="A83" s="126"/>
      <c r="B83" s="146">
        <v>39</v>
      </c>
      <c r="C83" s="126" t="s">
        <v>293</v>
      </c>
      <c r="D83" s="127"/>
      <c r="E83" s="127"/>
      <c r="F83" s="127"/>
      <c r="G83" s="127"/>
      <c r="H83" s="127"/>
      <c r="I83" s="127"/>
      <c r="J83" s="127"/>
      <c r="K83" s="127"/>
      <c r="L83" s="127"/>
      <c r="M83" s="127"/>
      <c r="N83" s="127"/>
      <c r="O83" s="127"/>
      <c r="P83" s="127"/>
      <c r="Q83" s="127"/>
      <c r="R83" s="127"/>
      <c r="S83" s="127"/>
      <c r="T83" s="127"/>
      <c r="U83" s="127"/>
      <c r="V83" s="127"/>
      <c r="W83" s="127"/>
      <c r="X83" s="127"/>
      <c r="Y83" s="127"/>
      <c r="Z83" s="127"/>
      <c r="AA83" s="127"/>
      <c r="AB83" s="127"/>
      <c r="AC83" s="127"/>
      <c r="AD83" s="127"/>
      <c r="AE83" s="127"/>
      <c r="AF83" s="127"/>
      <c r="AG83" s="127"/>
      <c r="AH83" s="127"/>
      <c r="AI83" s="127"/>
      <c r="AJ83" s="127"/>
      <c r="AK83" s="127"/>
      <c r="AL83" s="127"/>
      <c r="AM83" s="127"/>
      <c r="AN83" s="127"/>
      <c r="AO83" s="127"/>
      <c r="AP83" s="127"/>
      <c r="AQ83" s="127"/>
      <c r="AR83" s="127"/>
      <c r="AS83" s="127"/>
      <c r="AT83" s="127"/>
      <c r="AU83" s="127"/>
      <c r="AV83" s="127"/>
      <c r="AW83" s="127"/>
      <c r="AX83" s="127"/>
      <c r="AY83" s="127"/>
    </row>
    <row r="84" spans="1:52" x14ac:dyDescent="0.2">
      <c r="A84" s="126"/>
      <c r="B84" s="146">
        <v>40</v>
      </c>
      <c r="C84" s="126" t="s">
        <v>293</v>
      </c>
      <c r="D84" s="127"/>
      <c r="E84" s="127"/>
      <c r="F84" s="127"/>
      <c r="G84" s="127"/>
      <c r="H84" s="127"/>
      <c r="I84" s="127"/>
      <c r="J84" s="127"/>
      <c r="K84" s="127"/>
      <c r="L84" s="127"/>
      <c r="M84" s="127"/>
      <c r="N84" s="127"/>
      <c r="O84" s="127"/>
      <c r="P84" s="127"/>
      <c r="Q84" s="127"/>
      <c r="R84" s="127"/>
      <c r="S84" s="127"/>
      <c r="T84" s="127"/>
      <c r="U84" s="127"/>
      <c r="V84" s="127"/>
      <c r="W84" s="127"/>
      <c r="X84" s="127"/>
      <c r="Y84" s="127"/>
      <c r="Z84" s="127"/>
      <c r="AA84" s="127"/>
      <c r="AB84" s="127"/>
      <c r="AC84" s="127"/>
      <c r="AD84" s="127"/>
      <c r="AE84" s="127"/>
      <c r="AF84" s="127"/>
      <c r="AG84" s="127"/>
      <c r="AH84" s="127"/>
      <c r="AI84" s="127"/>
      <c r="AJ84" s="127"/>
      <c r="AK84" s="127"/>
      <c r="AL84" s="127"/>
      <c r="AM84" s="127"/>
      <c r="AN84" s="127"/>
      <c r="AO84" s="127"/>
      <c r="AP84" s="127"/>
      <c r="AQ84" s="127"/>
      <c r="AR84" s="127"/>
      <c r="AS84" s="127"/>
      <c r="AT84" s="127"/>
      <c r="AU84" s="127"/>
      <c r="AV84" s="127"/>
      <c r="AW84" s="127"/>
      <c r="AX84" s="127"/>
      <c r="AY84" s="127"/>
    </row>
    <row r="85" spans="1:52" x14ac:dyDescent="0.2">
      <c r="A85" s="126"/>
      <c r="B85" s="146">
        <v>41</v>
      </c>
      <c r="C85" s="126" t="s">
        <v>293</v>
      </c>
      <c r="D85" s="127"/>
      <c r="E85" s="127"/>
      <c r="F85" s="127"/>
      <c r="G85" s="127"/>
      <c r="H85" s="127"/>
      <c r="I85" s="127"/>
      <c r="J85" s="127"/>
      <c r="K85" s="127"/>
      <c r="L85" s="127"/>
      <c r="M85" s="127"/>
      <c r="N85" s="127"/>
      <c r="O85" s="127"/>
      <c r="P85" s="127"/>
      <c r="Q85" s="127"/>
      <c r="R85" s="127"/>
      <c r="S85" s="127"/>
      <c r="T85" s="127"/>
      <c r="U85" s="127"/>
      <c r="V85" s="127"/>
      <c r="W85" s="127"/>
      <c r="X85" s="127"/>
      <c r="Y85" s="127"/>
      <c r="Z85" s="127"/>
      <c r="AA85" s="127"/>
      <c r="AB85" s="127"/>
      <c r="AC85" s="127"/>
      <c r="AD85" s="127"/>
      <c r="AE85" s="127"/>
      <c r="AF85" s="127"/>
      <c r="AG85" s="127"/>
      <c r="AH85" s="127"/>
      <c r="AI85" s="127"/>
      <c r="AJ85" s="127"/>
      <c r="AK85" s="127"/>
      <c r="AL85" s="127"/>
      <c r="AM85" s="127"/>
      <c r="AN85" s="127"/>
      <c r="AO85" s="127"/>
      <c r="AP85" s="127"/>
      <c r="AQ85" s="127"/>
      <c r="AR85" s="127"/>
      <c r="AS85" s="127"/>
      <c r="AT85" s="127"/>
      <c r="AU85" s="127"/>
      <c r="AV85" s="127"/>
      <c r="AW85" s="127"/>
      <c r="AX85" s="127"/>
      <c r="AY85" s="127"/>
    </row>
    <row r="86" spans="1:52" x14ac:dyDescent="0.2">
      <c r="A86" s="126"/>
      <c r="B86" s="146">
        <v>42</v>
      </c>
      <c r="C86" s="126" t="s">
        <v>293</v>
      </c>
      <c r="D86" s="127"/>
      <c r="E86" s="127"/>
      <c r="F86" s="127"/>
      <c r="G86" s="127"/>
      <c r="H86" s="127"/>
      <c r="I86" s="127"/>
      <c r="J86" s="127"/>
      <c r="K86" s="127"/>
      <c r="L86" s="127"/>
      <c r="M86" s="127"/>
      <c r="N86" s="127"/>
      <c r="O86" s="127"/>
      <c r="P86" s="127"/>
      <c r="Q86" s="127"/>
      <c r="R86" s="127"/>
      <c r="S86" s="127"/>
      <c r="T86" s="127"/>
      <c r="U86" s="127"/>
      <c r="V86" s="127"/>
      <c r="W86" s="127"/>
      <c r="X86" s="127"/>
      <c r="Y86" s="127"/>
      <c r="Z86" s="127"/>
      <c r="AA86" s="127"/>
      <c r="AB86" s="127"/>
      <c r="AC86" s="127"/>
      <c r="AD86" s="127"/>
      <c r="AE86" s="127"/>
      <c r="AF86" s="127"/>
      <c r="AG86" s="127"/>
      <c r="AH86" s="127"/>
      <c r="AI86" s="127"/>
      <c r="AJ86" s="127"/>
      <c r="AK86" s="127"/>
      <c r="AL86" s="127"/>
      <c r="AM86" s="127"/>
      <c r="AN86" s="127"/>
      <c r="AO86" s="127"/>
      <c r="AP86" s="127"/>
      <c r="AQ86" s="127"/>
      <c r="AR86" s="127"/>
      <c r="AS86" s="127"/>
      <c r="AT86" s="127"/>
      <c r="AU86" s="127"/>
      <c r="AV86" s="127"/>
      <c r="AW86" s="127"/>
      <c r="AX86" s="127"/>
      <c r="AY86" s="127"/>
    </row>
    <row r="87" spans="1:52" x14ac:dyDescent="0.2">
      <c r="A87" s="126"/>
      <c r="B87" s="146">
        <v>43</v>
      </c>
      <c r="C87" s="126" t="s">
        <v>293</v>
      </c>
      <c r="D87" s="127"/>
      <c r="E87" s="127"/>
      <c r="F87" s="127"/>
      <c r="G87" s="127"/>
      <c r="H87" s="127"/>
      <c r="I87" s="127"/>
      <c r="J87" s="127"/>
      <c r="K87" s="127"/>
      <c r="L87" s="127"/>
      <c r="M87" s="127"/>
      <c r="N87" s="127"/>
      <c r="O87" s="127"/>
      <c r="P87" s="127"/>
      <c r="Q87" s="127"/>
      <c r="R87" s="127"/>
      <c r="S87" s="127"/>
      <c r="T87" s="127"/>
      <c r="U87" s="127"/>
      <c r="V87" s="127"/>
      <c r="W87" s="127"/>
      <c r="X87" s="127"/>
      <c r="Y87" s="127"/>
      <c r="Z87" s="127"/>
      <c r="AA87" s="127"/>
      <c r="AB87" s="127"/>
      <c r="AC87" s="127"/>
      <c r="AD87" s="127"/>
      <c r="AE87" s="127"/>
      <c r="AF87" s="127"/>
      <c r="AG87" s="127"/>
      <c r="AH87" s="127"/>
      <c r="AI87" s="127"/>
      <c r="AJ87" s="127"/>
      <c r="AK87" s="127"/>
      <c r="AL87" s="127"/>
      <c r="AM87" s="127"/>
      <c r="AN87" s="127"/>
      <c r="AO87" s="127"/>
      <c r="AP87" s="127"/>
      <c r="AQ87" s="127"/>
      <c r="AR87" s="127"/>
      <c r="AS87" s="127"/>
      <c r="AT87" s="127"/>
      <c r="AU87" s="127"/>
      <c r="AV87" s="127"/>
      <c r="AW87" s="127"/>
      <c r="AX87" s="127"/>
      <c r="AY87" s="127"/>
    </row>
    <row r="88" spans="1:52" x14ac:dyDescent="0.2">
      <c r="A88" s="126"/>
      <c r="B88" s="146">
        <v>44</v>
      </c>
      <c r="C88" s="126" t="s">
        <v>293</v>
      </c>
      <c r="D88" s="127"/>
      <c r="E88" s="127"/>
      <c r="F88" s="127"/>
      <c r="G88" s="127"/>
      <c r="H88" s="127"/>
      <c r="I88" s="127"/>
      <c r="J88" s="127"/>
      <c r="K88" s="127"/>
      <c r="L88" s="127"/>
      <c r="M88" s="127"/>
      <c r="N88" s="127"/>
      <c r="O88" s="127"/>
      <c r="P88" s="127"/>
      <c r="Q88" s="127"/>
      <c r="R88" s="127"/>
      <c r="S88" s="127"/>
      <c r="T88" s="127"/>
      <c r="U88" s="127"/>
      <c r="V88" s="127"/>
      <c r="W88" s="127"/>
      <c r="X88" s="127"/>
      <c r="Y88" s="127"/>
      <c r="Z88" s="127"/>
      <c r="AA88" s="127"/>
      <c r="AB88" s="127"/>
      <c r="AC88" s="127"/>
      <c r="AD88" s="127"/>
      <c r="AE88" s="127"/>
      <c r="AF88" s="127"/>
      <c r="AG88" s="127"/>
      <c r="AH88" s="127"/>
      <c r="AI88" s="127"/>
      <c r="AJ88" s="127"/>
      <c r="AK88" s="127"/>
      <c r="AL88" s="127"/>
      <c r="AM88" s="127"/>
      <c r="AN88" s="127"/>
      <c r="AO88" s="127"/>
      <c r="AP88" s="127"/>
      <c r="AQ88" s="127"/>
      <c r="AR88" s="127"/>
      <c r="AS88" s="127"/>
      <c r="AT88" s="127"/>
      <c r="AU88" s="127"/>
      <c r="AV88" s="127"/>
      <c r="AW88" s="127"/>
      <c r="AX88" s="127"/>
      <c r="AY88" s="127"/>
    </row>
    <row r="89" spans="1:52" x14ac:dyDescent="0.2">
      <c r="A89" s="126"/>
      <c r="B89" s="146">
        <v>45</v>
      </c>
      <c r="C89" s="126" t="s">
        <v>293</v>
      </c>
      <c r="D89" s="127"/>
      <c r="E89" s="127"/>
      <c r="F89" s="127"/>
      <c r="G89" s="127"/>
      <c r="H89" s="127"/>
      <c r="I89" s="127"/>
      <c r="J89" s="127"/>
      <c r="K89" s="127"/>
      <c r="L89" s="127"/>
      <c r="M89" s="127"/>
      <c r="N89" s="127"/>
      <c r="O89" s="127"/>
      <c r="P89" s="127"/>
      <c r="Q89" s="127"/>
      <c r="R89" s="127"/>
      <c r="S89" s="127"/>
      <c r="T89" s="127"/>
      <c r="U89" s="127"/>
      <c r="V89" s="127"/>
      <c r="W89" s="127"/>
      <c r="X89" s="127"/>
      <c r="Y89" s="127"/>
      <c r="Z89" s="127"/>
      <c r="AA89" s="127"/>
      <c r="AB89" s="127"/>
      <c r="AC89" s="127"/>
      <c r="AD89" s="127"/>
      <c r="AE89" s="127"/>
      <c r="AF89" s="127"/>
      <c r="AG89" s="127"/>
      <c r="AH89" s="127"/>
      <c r="AI89" s="127"/>
      <c r="AJ89" s="127"/>
      <c r="AK89" s="127"/>
      <c r="AL89" s="127"/>
      <c r="AM89" s="127"/>
      <c r="AN89" s="127"/>
      <c r="AO89" s="127"/>
      <c r="AP89" s="127"/>
      <c r="AQ89" s="127"/>
      <c r="AR89" s="127"/>
      <c r="AS89" s="127"/>
      <c r="AT89" s="127"/>
      <c r="AU89" s="127"/>
      <c r="AV89" s="127"/>
      <c r="AW89" s="127"/>
      <c r="AX89" s="127"/>
      <c r="AY89" s="127"/>
    </row>
    <row r="90" spans="1:52" x14ac:dyDescent="0.2">
      <c r="A90" s="126"/>
      <c r="B90" s="146">
        <v>46</v>
      </c>
      <c r="C90" s="126" t="s">
        <v>293</v>
      </c>
      <c r="D90" s="127"/>
      <c r="E90" s="127"/>
      <c r="F90" s="127"/>
      <c r="G90" s="127"/>
      <c r="H90" s="127"/>
      <c r="I90" s="127"/>
      <c r="J90" s="127"/>
      <c r="K90" s="127"/>
      <c r="L90" s="127"/>
      <c r="M90" s="127"/>
      <c r="N90" s="127"/>
      <c r="O90" s="127"/>
      <c r="P90" s="127"/>
      <c r="Q90" s="127"/>
      <c r="R90" s="127"/>
      <c r="S90" s="127"/>
      <c r="T90" s="127"/>
      <c r="U90" s="127"/>
      <c r="V90" s="127"/>
      <c r="W90" s="127"/>
      <c r="X90" s="127"/>
      <c r="Y90" s="127"/>
      <c r="Z90" s="127"/>
      <c r="AA90" s="127"/>
      <c r="AB90" s="127"/>
      <c r="AC90" s="127"/>
      <c r="AD90" s="127"/>
      <c r="AE90" s="127"/>
      <c r="AF90" s="127"/>
      <c r="AG90" s="127"/>
      <c r="AH90" s="127"/>
      <c r="AI90" s="127"/>
      <c r="AJ90" s="127"/>
      <c r="AK90" s="127"/>
      <c r="AL90" s="127"/>
      <c r="AM90" s="127"/>
      <c r="AN90" s="127"/>
      <c r="AO90" s="127"/>
      <c r="AP90" s="127"/>
      <c r="AQ90" s="127"/>
      <c r="AR90" s="127"/>
      <c r="AS90" s="127"/>
      <c r="AT90" s="127"/>
      <c r="AU90" s="127"/>
      <c r="AV90" s="127"/>
      <c r="AW90" s="127"/>
      <c r="AX90" s="127"/>
      <c r="AY90" s="127"/>
    </row>
    <row r="91" spans="1:52" x14ac:dyDescent="0.2">
      <c r="A91" s="126"/>
      <c r="B91" s="146">
        <v>47</v>
      </c>
      <c r="C91" s="126" t="s">
        <v>293</v>
      </c>
      <c r="D91" s="127"/>
      <c r="E91" s="127"/>
      <c r="F91" s="127"/>
      <c r="G91" s="127"/>
      <c r="H91" s="127"/>
      <c r="I91" s="127"/>
      <c r="J91" s="127"/>
      <c r="K91" s="127"/>
      <c r="L91" s="127"/>
      <c r="M91" s="127"/>
      <c r="N91" s="127"/>
      <c r="O91" s="127"/>
      <c r="P91" s="127"/>
      <c r="Q91" s="127"/>
      <c r="R91" s="127"/>
      <c r="S91" s="127"/>
      <c r="T91" s="127"/>
      <c r="U91" s="127"/>
      <c r="V91" s="127"/>
      <c r="W91" s="127"/>
      <c r="X91" s="127"/>
      <c r="Y91" s="127"/>
      <c r="Z91" s="127"/>
      <c r="AA91" s="127"/>
      <c r="AB91" s="127"/>
      <c r="AC91" s="127"/>
      <c r="AD91" s="127"/>
      <c r="AE91" s="127"/>
      <c r="AF91" s="127"/>
      <c r="AG91" s="127"/>
      <c r="AH91" s="127"/>
      <c r="AI91" s="127"/>
      <c r="AJ91" s="127"/>
      <c r="AK91" s="127"/>
      <c r="AL91" s="127"/>
      <c r="AM91" s="127"/>
      <c r="AN91" s="127"/>
      <c r="AO91" s="127"/>
      <c r="AP91" s="127"/>
      <c r="AQ91" s="127"/>
      <c r="AR91" s="127"/>
      <c r="AS91" s="127"/>
      <c r="AT91" s="127"/>
      <c r="AU91" s="127"/>
      <c r="AV91" s="127"/>
      <c r="AW91" s="127"/>
      <c r="AX91" s="127"/>
      <c r="AY91" s="127"/>
    </row>
    <row r="92" spans="1:52" x14ac:dyDescent="0.2">
      <c r="A92" s="144"/>
      <c r="B92" s="145">
        <v>48</v>
      </c>
      <c r="C92" s="144" t="s">
        <v>293</v>
      </c>
      <c r="D92" s="141">
        <v>0</v>
      </c>
      <c r="E92" s="141">
        <v>0</v>
      </c>
      <c r="F92" s="141">
        <v>0</v>
      </c>
      <c r="G92" s="141">
        <v>0</v>
      </c>
      <c r="H92" s="141">
        <v>0</v>
      </c>
      <c r="I92" s="141">
        <v>0</v>
      </c>
      <c r="J92" s="141">
        <v>0</v>
      </c>
      <c r="K92" s="141">
        <v>0</v>
      </c>
      <c r="L92" s="141">
        <v>0</v>
      </c>
      <c r="M92" s="141">
        <v>0</v>
      </c>
      <c r="N92" s="141">
        <v>0</v>
      </c>
      <c r="O92" s="141">
        <v>0</v>
      </c>
      <c r="P92" s="141">
        <v>0</v>
      </c>
      <c r="Q92" s="141">
        <v>0</v>
      </c>
      <c r="R92" s="141">
        <v>0</v>
      </c>
      <c r="S92" s="141">
        <v>0</v>
      </c>
      <c r="T92" s="141">
        <v>0</v>
      </c>
      <c r="U92" s="141">
        <v>0</v>
      </c>
      <c r="V92" s="141">
        <v>0</v>
      </c>
      <c r="W92" s="141">
        <v>0</v>
      </c>
      <c r="X92" s="141">
        <v>0</v>
      </c>
      <c r="Y92" s="141">
        <v>0</v>
      </c>
      <c r="Z92" s="141">
        <v>0</v>
      </c>
      <c r="AA92" s="141">
        <v>0</v>
      </c>
      <c r="AB92" s="141">
        <v>0</v>
      </c>
      <c r="AC92" s="141">
        <v>0</v>
      </c>
      <c r="AD92" s="141">
        <v>0</v>
      </c>
      <c r="AE92" s="141">
        <v>0</v>
      </c>
      <c r="AF92" s="141">
        <v>0</v>
      </c>
      <c r="AG92" s="141">
        <v>0</v>
      </c>
      <c r="AH92" s="141">
        <v>0</v>
      </c>
      <c r="AI92" s="141">
        <v>0</v>
      </c>
      <c r="AJ92" s="141">
        <v>0</v>
      </c>
      <c r="AK92" s="141">
        <v>0</v>
      </c>
      <c r="AL92" s="141">
        <v>0</v>
      </c>
      <c r="AM92" s="141">
        <v>0</v>
      </c>
      <c r="AN92" s="141">
        <v>0</v>
      </c>
      <c r="AO92" s="141">
        <v>0</v>
      </c>
      <c r="AP92" s="141">
        <v>0</v>
      </c>
      <c r="AQ92" s="141">
        <v>0</v>
      </c>
      <c r="AR92" s="141">
        <v>0</v>
      </c>
      <c r="AS92" s="141">
        <v>0</v>
      </c>
      <c r="AT92" s="141">
        <v>0</v>
      </c>
      <c r="AU92" s="141">
        <v>0</v>
      </c>
      <c r="AV92" s="141">
        <v>0</v>
      </c>
      <c r="AW92" s="141">
        <v>0</v>
      </c>
      <c r="AX92" s="141">
        <v>0</v>
      </c>
      <c r="AY92" s="141">
        <v>0</v>
      </c>
      <c r="AZ92" s="124">
        <f>SUM(D21:AY92)</f>
        <v>0</v>
      </c>
    </row>
    <row r="94" spans="1:52" x14ac:dyDescent="0.2">
      <c r="A94" s="1" t="s">
        <v>295</v>
      </c>
      <c r="B94" s="123"/>
      <c r="C94" s="123"/>
      <c r="D94" s="130"/>
      <c r="E94" s="130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  <c r="V94" s="130"/>
      <c r="W94" s="130"/>
      <c r="X94" s="130"/>
      <c r="Y94" s="130"/>
      <c r="Z94" s="130"/>
      <c r="AA94" s="130"/>
      <c r="AB94" s="130"/>
      <c r="AC94" s="130"/>
      <c r="AD94" s="130"/>
      <c r="AE94" s="130"/>
      <c r="AF94" s="130"/>
      <c r="AG94" s="130"/>
      <c r="AH94" s="130"/>
      <c r="AI94" s="130"/>
      <c r="AJ94" s="130"/>
      <c r="AK94" s="130"/>
      <c r="AL94" s="130"/>
      <c r="AM94" s="130"/>
      <c r="AN94" s="130"/>
      <c r="AO94" s="130"/>
      <c r="AP94" s="130"/>
      <c r="AQ94" s="130"/>
      <c r="AR94" s="130"/>
      <c r="AS94" s="130"/>
      <c r="AT94" s="130"/>
      <c r="AU94" s="130"/>
      <c r="AV94" s="130"/>
      <c r="AW94" s="130"/>
      <c r="AX94" s="130"/>
      <c r="AY94" s="130"/>
    </row>
    <row r="95" spans="1:52" x14ac:dyDescent="0.2">
      <c r="A95" s="142" t="s">
        <v>125</v>
      </c>
      <c r="B95" s="139">
        <v>1</v>
      </c>
      <c r="C95" s="140">
        <v>1791.8884404187716</v>
      </c>
      <c r="D95" s="127">
        <v>3440.6512500843232</v>
      </c>
      <c r="E95" s="127">
        <v>3440.6512500843232</v>
      </c>
      <c r="F95" s="127">
        <v>3440.6512500843232</v>
      </c>
      <c r="G95" s="127">
        <v>3440.6512500843232</v>
      </c>
      <c r="H95" s="127">
        <v>3440.6512500843255</v>
      </c>
      <c r="I95" s="127">
        <v>3440.6512500843255</v>
      </c>
      <c r="J95" s="127">
        <v>3440.6512500843255</v>
      </c>
      <c r="K95" s="127">
        <v>3440.6512500843255</v>
      </c>
      <c r="L95" s="127">
        <v>3440.6512500843255</v>
      </c>
      <c r="M95" s="127">
        <v>3440.6512500843255</v>
      </c>
      <c r="N95" s="127">
        <v>3440.6512500843255</v>
      </c>
      <c r="O95" s="127">
        <v>3440.6512500843255</v>
      </c>
      <c r="P95" s="127">
        <v>3440.6512500843255</v>
      </c>
      <c r="Q95" s="127">
        <v>3440.6512500843255</v>
      </c>
      <c r="R95" s="127">
        <v>3440.6512500843255</v>
      </c>
      <c r="S95" s="127">
        <v>3440.6512500843255</v>
      </c>
      <c r="T95" s="127">
        <v>3440.6512500843255</v>
      </c>
      <c r="U95" s="127">
        <v>3440.6512500843255</v>
      </c>
      <c r="V95" s="127">
        <v>3440.6512500843255</v>
      </c>
      <c r="W95" s="127">
        <v>3440.6512500843255</v>
      </c>
      <c r="X95" s="127">
        <v>3440.6512500843255</v>
      </c>
      <c r="Y95" s="127">
        <v>3440.6512500843255</v>
      </c>
      <c r="Z95" s="127">
        <v>3440.6512500843255</v>
      </c>
      <c r="AA95" s="127">
        <v>3440.6512500843255</v>
      </c>
      <c r="AB95" s="127">
        <v>3440.6512500843255</v>
      </c>
      <c r="AC95" s="127">
        <v>3440.6512500843255</v>
      </c>
      <c r="AD95" s="127">
        <v>3440.6512500843255</v>
      </c>
      <c r="AE95" s="127">
        <v>3440.6512500843255</v>
      </c>
      <c r="AF95" s="127">
        <v>3440.6512500843255</v>
      </c>
      <c r="AG95" s="127">
        <v>3440.6512500843255</v>
      </c>
      <c r="AH95" s="127">
        <v>3440.6512500843255</v>
      </c>
      <c r="AI95" s="127">
        <v>3440.6512500843255</v>
      </c>
      <c r="AJ95" s="127">
        <v>3440.6512500843255</v>
      </c>
      <c r="AK95" s="127">
        <v>3440.6512500843255</v>
      </c>
      <c r="AL95" s="127">
        <v>3440.6512500843255</v>
      </c>
      <c r="AM95" s="127">
        <v>3440.6512500843255</v>
      </c>
      <c r="AN95" s="127">
        <v>3440.6512500843255</v>
      </c>
      <c r="AO95" s="127">
        <v>3440.6512500843255</v>
      </c>
      <c r="AP95" s="127">
        <v>3440.6512500843255</v>
      </c>
      <c r="AQ95" s="127">
        <v>3440.6512500843255</v>
      </c>
      <c r="AR95" s="127">
        <v>3440.6512500843255</v>
      </c>
      <c r="AS95" s="127">
        <v>3440.6512500843255</v>
      </c>
      <c r="AT95" s="127">
        <v>3440.6512500843255</v>
      </c>
      <c r="AU95" s="127">
        <v>3440.6512500843255</v>
      </c>
      <c r="AV95" s="127">
        <v>3440.6512500843255</v>
      </c>
      <c r="AW95" s="127">
        <v>3440.6512500843255</v>
      </c>
      <c r="AX95" s="127">
        <v>3440.6512500843255</v>
      </c>
      <c r="AY95" s="127">
        <v>3440.6512500843255</v>
      </c>
    </row>
    <row r="96" spans="1:52" x14ac:dyDescent="0.2">
      <c r="A96" s="126"/>
      <c r="B96" s="136">
        <v>2</v>
      </c>
      <c r="C96" s="127">
        <v>1791.8884404187716</v>
      </c>
      <c r="D96" s="127">
        <v>1791.8884404187716</v>
      </c>
      <c r="E96" s="127">
        <v>3440.6512500843232</v>
      </c>
      <c r="F96" s="127">
        <v>3440.6512500843232</v>
      </c>
      <c r="G96" s="127">
        <v>3440.6512500843232</v>
      </c>
      <c r="H96" s="127">
        <v>3440.6512500843232</v>
      </c>
      <c r="I96" s="127">
        <v>3440.6512500843255</v>
      </c>
      <c r="J96" s="127">
        <v>3440.6512500843255</v>
      </c>
      <c r="K96" s="127">
        <v>3440.6512500843255</v>
      </c>
      <c r="L96" s="127">
        <v>3440.6512500843255</v>
      </c>
      <c r="M96" s="127">
        <v>3440.6512500843255</v>
      </c>
      <c r="N96" s="127">
        <v>3440.6512500843255</v>
      </c>
      <c r="O96" s="127">
        <v>3440.6512500843255</v>
      </c>
      <c r="P96" s="127">
        <v>3440.6512500843255</v>
      </c>
      <c r="Q96" s="127">
        <v>3440.6512500843255</v>
      </c>
      <c r="R96" s="127">
        <v>3440.6512500843255</v>
      </c>
      <c r="S96" s="127">
        <v>3440.6512500843255</v>
      </c>
      <c r="T96" s="127">
        <v>3440.6512500843255</v>
      </c>
      <c r="U96" s="127">
        <v>3440.6512500843255</v>
      </c>
      <c r="V96" s="127">
        <v>3440.6512500843255</v>
      </c>
      <c r="W96" s="127">
        <v>3440.6512500843255</v>
      </c>
      <c r="X96" s="127">
        <v>3440.6512500843255</v>
      </c>
      <c r="Y96" s="127">
        <v>3440.6512500843255</v>
      </c>
      <c r="Z96" s="127">
        <v>3440.6512500843255</v>
      </c>
      <c r="AA96" s="127">
        <v>3440.6512500843255</v>
      </c>
      <c r="AB96" s="127">
        <v>3440.6512500843255</v>
      </c>
      <c r="AC96" s="127">
        <v>3440.6512500843255</v>
      </c>
      <c r="AD96" s="127">
        <v>3440.6512500843255</v>
      </c>
      <c r="AE96" s="127">
        <v>3440.6512500843255</v>
      </c>
      <c r="AF96" s="127">
        <v>3440.6512500843255</v>
      </c>
      <c r="AG96" s="127">
        <v>3440.6512500843255</v>
      </c>
      <c r="AH96" s="127">
        <v>3440.6512500843255</v>
      </c>
      <c r="AI96" s="127">
        <v>3440.6512500843255</v>
      </c>
      <c r="AJ96" s="127">
        <v>3440.6512500843255</v>
      </c>
      <c r="AK96" s="127">
        <v>3440.6512500843255</v>
      </c>
      <c r="AL96" s="127">
        <v>3440.6512500843255</v>
      </c>
      <c r="AM96" s="127">
        <v>3440.6512500843255</v>
      </c>
      <c r="AN96" s="127">
        <v>3440.6512500843255</v>
      </c>
      <c r="AO96" s="127">
        <v>3440.6512500843255</v>
      </c>
      <c r="AP96" s="127">
        <v>3440.6512500843255</v>
      </c>
      <c r="AQ96" s="127">
        <v>3440.6512500843255</v>
      </c>
      <c r="AR96" s="127">
        <v>3440.6512500843255</v>
      </c>
      <c r="AS96" s="127">
        <v>3440.6512500843255</v>
      </c>
      <c r="AT96" s="127">
        <v>3440.6512500843255</v>
      </c>
      <c r="AU96" s="127">
        <v>3440.6512500843255</v>
      </c>
      <c r="AV96" s="127">
        <v>3440.6512500843255</v>
      </c>
      <c r="AW96" s="127">
        <v>3440.6512500843255</v>
      </c>
      <c r="AX96" s="127">
        <v>3440.6512500843255</v>
      </c>
      <c r="AY96" s="127">
        <v>3440.6512500843255</v>
      </c>
    </row>
    <row r="97" spans="1:52" x14ac:dyDescent="0.2">
      <c r="A97" s="126"/>
      <c r="B97" s="143">
        <v>3</v>
      </c>
      <c r="C97" s="127">
        <v>1791.8884404187716</v>
      </c>
      <c r="D97" s="127">
        <v>1791.8884404187716</v>
      </c>
      <c r="E97" s="127">
        <v>1791.8884404187716</v>
      </c>
      <c r="F97" s="127">
        <v>3440.6512500843232</v>
      </c>
      <c r="G97" s="127">
        <v>3440.6512500843232</v>
      </c>
      <c r="H97" s="127">
        <v>3440.6512500843232</v>
      </c>
      <c r="I97" s="127">
        <v>3440.6512500843232</v>
      </c>
      <c r="J97" s="127">
        <v>3440.6512500843255</v>
      </c>
      <c r="K97" s="127">
        <v>3440.6512500843255</v>
      </c>
      <c r="L97" s="127">
        <v>3440.6512500843255</v>
      </c>
      <c r="M97" s="127">
        <v>3440.6512500843255</v>
      </c>
      <c r="N97" s="127">
        <v>3440.6512500843255</v>
      </c>
      <c r="O97" s="127">
        <v>3440.6512500843255</v>
      </c>
      <c r="P97" s="127">
        <v>3440.6512500843255</v>
      </c>
      <c r="Q97" s="127">
        <v>3440.6512500843255</v>
      </c>
      <c r="R97" s="127">
        <v>3440.6512500843255</v>
      </c>
      <c r="S97" s="127">
        <v>3440.6512500843255</v>
      </c>
      <c r="T97" s="127">
        <v>3440.6512500843255</v>
      </c>
      <c r="U97" s="127">
        <v>3440.6512500843255</v>
      </c>
      <c r="V97" s="127">
        <v>3440.6512500843255</v>
      </c>
      <c r="W97" s="127">
        <v>3440.6512500843255</v>
      </c>
      <c r="X97" s="127">
        <v>3440.6512500843255</v>
      </c>
      <c r="Y97" s="127">
        <v>3440.6512500843255</v>
      </c>
      <c r="Z97" s="127">
        <v>3440.6512500843255</v>
      </c>
      <c r="AA97" s="127">
        <v>3440.6512500843255</v>
      </c>
      <c r="AB97" s="127">
        <v>3440.6512500843255</v>
      </c>
      <c r="AC97" s="127">
        <v>3440.6512500843255</v>
      </c>
      <c r="AD97" s="127">
        <v>3440.6512500843255</v>
      </c>
      <c r="AE97" s="127">
        <v>3440.6512500843255</v>
      </c>
      <c r="AF97" s="127">
        <v>3440.6512500843255</v>
      </c>
      <c r="AG97" s="127">
        <v>3440.6512500843255</v>
      </c>
      <c r="AH97" s="127">
        <v>3440.6512500843255</v>
      </c>
      <c r="AI97" s="127">
        <v>3440.6512500843255</v>
      </c>
      <c r="AJ97" s="127">
        <v>3440.6512500843255</v>
      </c>
      <c r="AK97" s="127">
        <v>3440.6512500843255</v>
      </c>
      <c r="AL97" s="127">
        <v>3440.6512500843255</v>
      </c>
      <c r="AM97" s="127">
        <v>3440.6512500843255</v>
      </c>
      <c r="AN97" s="127">
        <v>3440.6512500843255</v>
      </c>
      <c r="AO97" s="127">
        <v>3440.6512500843255</v>
      </c>
      <c r="AP97" s="127">
        <v>3440.6512500843255</v>
      </c>
      <c r="AQ97" s="127">
        <v>3440.6512500843255</v>
      </c>
      <c r="AR97" s="127">
        <v>3440.6512500843255</v>
      </c>
      <c r="AS97" s="127">
        <v>3440.6512500843255</v>
      </c>
      <c r="AT97" s="127">
        <v>3440.6512500843255</v>
      </c>
      <c r="AU97" s="127">
        <v>3440.6512500843255</v>
      </c>
      <c r="AV97" s="127">
        <v>3440.6512500843255</v>
      </c>
      <c r="AW97" s="127">
        <v>3440.6512500843255</v>
      </c>
      <c r="AX97" s="127">
        <v>3440.6512500843255</v>
      </c>
      <c r="AY97" s="127">
        <v>3440.6512500843255</v>
      </c>
    </row>
    <row r="98" spans="1:52" x14ac:dyDescent="0.2">
      <c r="A98" s="126"/>
      <c r="B98" s="146">
        <v>4</v>
      </c>
      <c r="C98" s="123">
        <v>1791.8884404187716</v>
      </c>
      <c r="D98" s="127">
        <v>1791.8884404187716</v>
      </c>
      <c r="E98" s="127">
        <v>1791.8884404187716</v>
      </c>
      <c r="F98" s="127">
        <v>1791.8884404187716</v>
      </c>
      <c r="G98" s="127">
        <v>3440.6512500843232</v>
      </c>
      <c r="H98" s="127">
        <v>3440.6512500843232</v>
      </c>
      <c r="I98" s="127">
        <v>3440.6512500843232</v>
      </c>
      <c r="J98" s="127">
        <v>3440.6512500843232</v>
      </c>
      <c r="K98" s="127">
        <v>3440.6512500843255</v>
      </c>
      <c r="L98" s="127">
        <v>3440.6512500843255</v>
      </c>
      <c r="M98" s="127">
        <v>3440.6512500843255</v>
      </c>
      <c r="N98" s="127">
        <v>3440.6512500843255</v>
      </c>
      <c r="O98" s="127">
        <v>3440.6512500843255</v>
      </c>
      <c r="P98" s="127">
        <v>3440.6512500843255</v>
      </c>
      <c r="Q98" s="127">
        <v>3440.6512500843255</v>
      </c>
      <c r="R98" s="127">
        <v>3440.6512500843255</v>
      </c>
      <c r="S98" s="127">
        <v>3440.6512500843255</v>
      </c>
      <c r="T98" s="127">
        <v>3440.6512500843255</v>
      </c>
      <c r="U98" s="127">
        <v>3440.6512500843255</v>
      </c>
      <c r="V98" s="127">
        <v>3440.6512500843255</v>
      </c>
      <c r="W98" s="127">
        <v>3440.6512500843255</v>
      </c>
      <c r="X98" s="127">
        <v>3440.6512500843255</v>
      </c>
      <c r="Y98" s="127">
        <v>3440.6512500843255</v>
      </c>
      <c r="Z98" s="127">
        <v>3440.6512500843255</v>
      </c>
      <c r="AA98" s="127">
        <v>3440.6512500843255</v>
      </c>
      <c r="AB98" s="127">
        <v>3440.6512500843255</v>
      </c>
      <c r="AC98" s="127">
        <v>3440.6512500843255</v>
      </c>
      <c r="AD98" s="127">
        <v>3440.6512500843255</v>
      </c>
      <c r="AE98" s="127">
        <v>3440.6512500843255</v>
      </c>
      <c r="AF98" s="127">
        <v>3440.6512500843255</v>
      </c>
      <c r="AG98" s="127">
        <v>3440.6512500843255</v>
      </c>
      <c r="AH98" s="127">
        <v>3440.6512500843255</v>
      </c>
      <c r="AI98" s="127">
        <v>3440.6512500843255</v>
      </c>
      <c r="AJ98" s="127">
        <v>3440.6512500843255</v>
      </c>
      <c r="AK98" s="127">
        <v>3440.6512500843255</v>
      </c>
      <c r="AL98" s="127">
        <v>3440.6512500843255</v>
      </c>
      <c r="AM98" s="127">
        <v>3440.6512500843255</v>
      </c>
      <c r="AN98" s="127">
        <v>3440.6512500843255</v>
      </c>
      <c r="AO98" s="127">
        <v>3440.6512500843255</v>
      </c>
      <c r="AP98" s="127">
        <v>3440.6512500843255</v>
      </c>
      <c r="AQ98" s="127">
        <v>3440.6512500843255</v>
      </c>
      <c r="AR98" s="127">
        <v>3440.6512500843255</v>
      </c>
      <c r="AS98" s="127">
        <v>3440.6512500843255</v>
      </c>
      <c r="AT98" s="127">
        <v>3440.6512500843255</v>
      </c>
      <c r="AU98" s="127">
        <v>3440.6512500843255</v>
      </c>
      <c r="AV98" s="127">
        <v>3440.6512500843255</v>
      </c>
      <c r="AW98" s="127">
        <v>3440.6512500843255</v>
      </c>
      <c r="AX98" s="127">
        <v>3440.6512500843255</v>
      </c>
      <c r="AY98" s="127">
        <v>3440.6512500843255</v>
      </c>
    </row>
    <row r="99" spans="1:52" x14ac:dyDescent="0.2">
      <c r="A99" s="144"/>
      <c r="B99" s="148" t="s">
        <v>296</v>
      </c>
      <c r="C99" s="141">
        <v>1459.8884404187716</v>
      </c>
      <c r="D99" s="141">
        <v>1522.8884404187716</v>
      </c>
      <c r="E99" s="141">
        <v>1420.8884404187716</v>
      </c>
      <c r="F99" s="141">
        <v>1331.8884404187716</v>
      </c>
      <c r="G99" s="141">
        <v>1436.8884404187716</v>
      </c>
      <c r="H99" s="141">
        <v>3053.6512500843232</v>
      </c>
      <c r="I99" s="141">
        <v>3012.6512500843232</v>
      </c>
      <c r="J99" s="141">
        <v>3042.6512500843232</v>
      </c>
      <c r="K99" s="141">
        <v>3024.6512500843232</v>
      </c>
      <c r="L99" s="141">
        <v>2963.6512500843255</v>
      </c>
      <c r="M99" s="141">
        <v>3002.6512500843255</v>
      </c>
      <c r="N99" s="141">
        <v>3021.6512500843255</v>
      </c>
      <c r="O99" s="141">
        <v>3096.6512500843255</v>
      </c>
      <c r="P99" s="141">
        <v>3014.6512500843255</v>
      </c>
      <c r="Q99" s="141">
        <v>3084.6512500843255</v>
      </c>
      <c r="R99" s="141">
        <v>3003.6512500843255</v>
      </c>
      <c r="S99" s="141">
        <v>2915.6512500843255</v>
      </c>
      <c r="T99" s="141">
        <v>2984.6512500843255</v>
      </c>
      <c r="U99" s="141">
        <v>2975.6512500843255</v>
      </c>
      <c r="V99" s="141">
        <v>2992.6512500843255</v>
      </c>
      <c r="W99" s="141">
        <v>2984.6512500843255</v>
      </c>
      <c r="X99" s="141">
        <v>2935.6512500843255</v>
      </c>
      <c r="Y99" s="141">
        <v>2969.6512500843255</v>
      </c>
      <c r="Z99" s="141">
        <v>3016.6512500843255</v>
      </c>
      <c r="AA99" s="141">
        <v>3076.6512500843255</v>
      </c>
      <c r="AB99" s="141">
        <v>2893.6512500843255</v>
      </c>
      <c r="AC99" s="141">
        <v>3025.6512500843255</v>
      </c>
      <c r="AD99" s="141">
        <v>2941.6512500843255</v>
      </c>
      <c r="AE99" s="141">
        <v>3095.6512500843255</v>
      </c>
      <c r="AF99" s="141">
        <v>3026.6512500843255</v>
      </c>
      <c r="AG99" s="141">
        <v>3025.6512500843255</v>
      </c>
      <c r="AH99" s="141">
        <v>3046.6512500843255</v>
      </c>
      <c r="AI99" s="141">
        <v>2971.6512500843255</v>
      </c>
      <c r="AJ99" s="141">
        <v>2927.6512500843255</v>
      </c>
      <c r="AK99" s="141">
        <v>2996.6512500843255</v>
      </c>
      <c r="AL99" s="141">
        <v>3019.6512500843255</v>
      </c>
      <c r="AM99" s="141">
        <v>3029.6512500843255</v>
      </c>
      <c r="AN99" s="141">
        <v>2998.6512500843255</v>
      </c>
      <c r="AO99" s="141">
        <v>2992.6512500843255</v>
      </c>
      <c r="AP99" s="141">
        <v>2963.6512500843255</v>
      </c>
      <c r="AQ99" s="141">
        <v>2993.6512500843255</v>
      </c>
      <c r="AR99" s="141">
        <v>2915.6512500843255</v>
      </c>
      <c r="AS99" s="141">
        <v>2896.6512500843255</v>
      </c>
      <c r="AT99" s="141">
        <v>3039.6512500843255</v>
      </c>
      <c r="AU99" s="141">
        <v>3011.6512500843255</v>
      </c>
      <c r="AV99" s="141">
        <v>2955.6512500843255</v>
      </c>
      <c r="AW99" s="141">
        <v>3018.6512500843255</v>
      </c>
      <c r="AX99" s="141">
        <v>2982.6512500843255</v>
      </c>
      <c r="AY99" s="141">
        <v>3101.6512500843255</v>
      </c>
      <c r="AZ99" s="124">
        <f>SUM($D99:$AY99)</f>
        <v>137757.20876538538</v>
      </c>
    </row>
    <row r="100" spans="1:52" x14ac:dyDescent="0.2">
      <c r="A100" s="147" t="s">
        <v>133</v>
      </c>
      <c r="B100" s="135">
        <v>1</v>
      </c>
      <c r="C100" s="123">
        <v>0</v>
      </c>
      <c r="D100" s="123">
        <v>240</v>
      </c>
      <c r="E100" s="123">
        <v>0</v>
      </c>
      <c r="F100" s="123">
        <v>241.49999999999997</v>
      </c>
      <c r="G100" s="123">
        <v>241.49999999999997</v>
      </c>
      <c r="H100" s="123">
        <v>241.49999999999997</v>
      </c>
      <c r="I100" s="123">
        <v>0</v>
      </c>
      <c r="J100" s="123">
        <v>241.49999999999997</v>
      </c>
      <c r="K100" s="123">
        <v>241.49999999999997</v>
      </c>
      <c r="L100" s="123">
        <v>241.49999999999997</v>
      </c>
      <c r="M100" s="123">
        <v>0</v>
      </c>
      <c r="N100" s="123">
        <v>241.49999999999997</v>
      </c>
      <c r="O100" s="123">
        <v>0</v>
      </c>
      <c r="P100" s="123">
        <v>230.99999999999997</v>
      </c>
      <c r="Q100" s="123">
        <v>0</v>
      </c>
      <c r="R100" s="123">
        <v>241.49999999999997</v>
      </c>
      <c r="S100" s="123">
        <v>0</v>
      </c>
      <c r="T100" s="123">
        <v>230.99999999999997</v>
      </c>
      <c r="U100" s="123">
        <v>0</v>
      </c>
      <c r="V100" s="123">
        <v>241.49999999999997</v>
      </c>
      <c r="W100" s="123">
        <v>241.49999999999997</v>
      </c>
      <c r="X100" s="123">
        <v>241.49999999999997</v>
      </c>
      <c r="Y100" s="123">
        <v>0</v>
      </c>
      <c r="Z100" s="123">
        <v>241.49999999999997</v>
      </c>
      <c r="AA100" s="123">
        <v>241.49999999999997</v>
      </c>
      <c r="AB100" s="123">
        <v>241.49999999999997</v>
      </c>
      <c r="AC100" s="123">
        <v>0</v>
      </c>
      <c r="AD100" s="123">
        <v>241.49999999999997</v>
      </c>
      <c r="AE100" s="123">
        <v>241.49999999999997</v>
      </c>
      <c r="AF100" s="123">
        <v>230.99999999999997</v>
      </c>
      <c r="AG100" s="123">
        <v>0</v>
      </c>
      <c r="AH100" s="123">
        <v>230.99999999999997</v>
      </c>
      <c r="AI100" s="123">
        <v>0</v>
      </c>
      <c r="AJ100" s="123">
        <v>230.99999999999997</v>
      </c>
      <c r="AK100" s="123">
        <v>241.49999999999997</v>
      </c>
      <c r="AL100" s="123">
        <v>241.49999999999997</v>
      </c>
      <c r="AM100" s="123">
        <v>241.49999999999997</v>
      </c>
      <c r="AN100" s="123">
        <v>230.99999999999997</v>
      </c>
      <c r="AO100" s="123">
        <v>0</v>
      </c>
      <c r="AP100" s="123">
        <v>241.49999999999997</v>
      </c>
      <c r="AQ100" s="123">
        <v>241.49999999999997</v>
      </c>
      <c r="AR100" s="123">
        <v>230.99999999999997</v>
      </c>
      <c r="AS100" s="123">
        <v>241.49999999999997</v>
      </c>
      <c r="AT100" s="123">
        <v>241.49999999999997</v>
      </c>
      <c r="AU100" s="123">
        <v>241.49999999999997</v>
      </c>
      <c r="AV100" s="123">
        <v>230.99999999999997</v>
      </c>
      <c r="AW100" s="123">
        <v>241.49999999999997</v>
      </c>
      <c r="AX100" s="123">
        <v>0</v>
      </c>
      <c r="AY100" s="123">
        <v>230.99999999999997</v>
      </c>
    </row>
    <row r="101" spans="1:52" x14ac:dyDescent="0.2">
      <c r="A101" s="126"/>
      <c r="B101" s="135">
        <v>2</v>
      </c>
      <c r="C101" s="123">
        <v>0</v>
      </c>
      <c r="D101" s="123">
        <v>0</v>
      </c>
      <c r="E101" s="123">
        <v>634.73030863507029</v>
      </c>
      <c r="F101" s="123">
        <v>241.49999999999997</v>
      </c>
      <c r="G101" s="123">
        <v>45.73030863507023</v>
      </c>
      <c r="H101" s="123">
        <v>2.8421709430404007E-14</v>
      </c>
      <c r="I101" s="123">
        <v>0</v>
      </c>
      <c r="J101" s="123">
        <v>241.49999999999997</v>
      </c>
      <c r="K101" s="123">
        <v>0</v>
      </c>
      <c r="L101" s="123">
        <v>0</v>
      </c>
      <c r="M101" s="123">
        <v>0</v>
      </c>
      <c r="N101" s="123">
        <v>241.49999999999997</v>
      </c>
      <c r="O101" s="123">
        <v>0</v>
      </c>
      <c r="P101" s="123">
        <v>0</v>
      </c>
      <c r="Q101" s="123">
        <v>10.5</v>
      </c>
      <c r="R101" s="123">
        <v>0</v>
      </c>
      <c r="S101" s="123">
        <v>0</v>
      </c>
      <c r="T101" s="123">
        <v>241.49999999999997</v>
      </c>
      <c r="U101" s="123">
        <v>69.999999999999943</v>
      </c>
      <c r="V101" s="123">
        <v>241.49999999999997</v>
      </c>
      <c r="W101" s="123">
        <v>0</v>
      </c>
      <c r="X101" s="123">
        <v>0</v>
      </c>
      <c r="Y101" s="123">
        <v>0</v>
      </c>
      <c r="Z101" s="123">
        <v>0</v>
      </c>
      <c r="AA101" s="123">
        <v>0</v>
      </c>
      <c r="AB101" s="123">
        <v>0</v>
      </c>
      <c r="AC101" s="123">
        <v>0</v>
      </c>
      <c r="AD101" s="123">
        <v>241.49999999999997</v>
      </c>
      <c r="AE101" s="123">
        <v>0</v>
      </c>
      <c r="AF101" s="123">
        <v>0</v>
      </c>
      <c r="AG101" s="123">
        <v>10.5</v>
      </c>
      <c r="AH101" s="123">
        <v>241.49999999999997</v>
      </c>
      <c r="AI101" s="123">
        <v>10.5</v>
      </c>
      <c r="AJ101" s="123">
        <v>241.49999999999997</v>
      </c>
      <c r="AK101" s="123">
        <v>0</v>
      </c>
      <c r="AL101" s="123">
        <v>0</v>
      </c>
      <c r="AM101" s="123">
        <v>0</v>
      </c>
      <c r="AN101" s="123">
        <v>0</v>
      </c>
      <c r="AO101" s="123">
        <v>0</v>
      </c>
      <c r="AP101" s="123">
        <v>241.49999999999997</v>
      </c>
      <c r="AQ101" s="123">
        <v>0</v>
      </c>
      <c r="AR101" s="123">
        <v>0</v>
      </c>
      <c r="AS101" s="123">
        <v>0</v>
      </c>
      <c r="AT101" s="123">
        <v>0</v>
      </c>
      <c r="AU101" s="123">
        <v>0</v>
      </c>
      <c r="AV101" s="123">
        <v>0</v>
      </c>
      <c r="AW101" s="123">
        <v>0</v>
      </c>
      <c r="AX101" s="123">
        <v>0</v>
      </c>
      <c r="AY101" s="123">
        <v>0</v>
      </c>
    </row>
    <row r="102" spans="1:52" x14ac:dyDescent="0.2">
      <c r="A102" s="126"/>
      <c r="B102" s="136">
        <v>3</v>
      </c>
      <c r="C102" s="123">
        <v>0</v>
      </c>
      <c r="D102" s="123">
        <v>0</v>
      </c>
      <c r="E102" s="123">
        <v>0</v>
      </c>
      <c r="F102" s="123">
        <v>71.730308635070287</v>
      </c>
      <c r="G102" s="123">
        <v>0</v>
      </c>
      <c r="H102" s="123">
        <v>0</v>
      </c>
      <c r="I102" s="123">
        <v>0</v>
      </c>
      <c r="J102" s="123">
        <v>0</v>
      </c>
      <c r="K102" s="123">
        <v>0</v>
      </c>
      <c r="L102" s="123">
        <v>0</v>
      </c>
      <c r="M102" s="123">
        <v>0</v>
      </c>
      <c r="N102" s="123">
        <v>0</v>
      </c>
      <c r="O102" s="123">
        <v>0</v>
      </c>
      <c r="P102" s="123">
        <v>0</v>
      </c>
      <c r="Q102" s="123">
        <v>241.49999999999997</v>
      </c>
      <c r="R102" s="123">
        <v>0</v>
      </c>
      <c r="S102" s="123">
        <v>241.49999999999997</v>
      </c>
      <c r="T102" s="123">
        <v>0</v>
      </c>
      <c r="U102" s="123">
        <v>0</v>
      </c>
      <c r="V102" s="123">
        <v>0</v>
      </c>
      <c r="W102" s="123">
        <v>0</v>
      </c>
      <c r="X102" s="123">
        <v>0</v>
      </c>
      <c r="Y102" s="123">
        <v>0</v>
      </c>
      <c r="Z102" s="123">
        <v>0</v>
      </c>
      <c r="AA102" s="123">
        <v>241.49999999999997</v>
      </c>
      <c r="AB102" s="123">
        <v>0</v>
      </c>
      <c r="AC102" s="123">
        <v>0</v>
      </c>
      <c r="AD102" s="123">
        <v>0</v>
      </c>
      <c r="AE102" s="123">
        <v>0</v>
      </c>
      <c r="AF102" s="123">
        <v>0</v>
      </c>
      <c r="AG102" s="123">
        <v>0</v>
      </c>
      <c r="AH102" s="123">
        <v>0</v>
      </c>
      <c r="AI102" s="123">
        <v>0</v>
      </c>
      <c r="AJ102" s="123">
        <v>0</v>
      </c>
      <c r="AK102" s="123">
        <v>0</v>
      </c>
      <c r="AL102" s="123">
        <v>10.5</v>
      </c>
      <c r="AM102" s="123">
        <v>0</v>
      </c>
      <c r="AN102" s="123">
        <v>0</v>
      </c>
      <c r="AO102" s="123">
        <v>0</v>
      </c>
      <c r="AP102" s="123">
        <v>10.5</v>
      </c>
      <c r="AQ102" s="123">
        <v>0</v>
      </c>
      <c r="AR102" s="123">
        <v>0</v>
      </c>
      <c r="AS102" s="123">
        <v>0</v>
      </c>
      <c r="AT102" s="123">
        <v>10.5</v>
      </c>
      <c r="AU102" s="123">
        <v>0</v>
      </c>
      <c r="AV102" s="123">
        <v>0</v>
      </c>
      <c r="AW102" s="123">
        <v>0</v>
      </c>
      <c r="AX102" s="123">
        <v>10.5</v>
      </c>
      <c r="AY102" s="123">
        <v>0</v>
      </c>
    </row>
    <row r="103" spans="1:52" x14ac:dyDescent="0.2">
      <c r="A103" s="126"/>
      <c r="B103" s="136">
        <v>4</v>
      </c>
      <c r="C103" s="123">
        <v>0</v>
      </c>
      <c r="D103" s="123">
        <v>0</v>
      </c>
      <c r="E103" s="123">
        <v>0</v>
      </c>
      <c r="F103" s="123">
        <v>0</v>
      </c>
      <c r="G103" s="123">
        <v>0</v>
      </c>
      <c r="H103" s="123">
        <v>0</v>
      </c>
      <c r="I103" s="123">
        <v>0</v>
      </c>
      <c r="J103" s="123">
        <v>0</v>
      </c>
      <c r="K103" s="123">
        <v>0</v>
      </c>
      <c r="L103" s="123">
        <v>0</v>
      </c>
      <c r="M103" s="123">
        <v>0</v>
      </c>
      <c r="N103" s="123">
        <v>0</v>
      </c>
      <c r="O103" s="123">
        <v>0</v>
      </c>
      <c r="P103" s="123">
        <v>0</v>
      </c>
      <c r="Q103" s="123">
        <v>0</v>
      </c>
      <c r="R103" s="123">
        <v>0</v>
      </c>
      <c r="S103" s="123">
        <v>0</v>
      </c>
      <c r="T103" s="123">
        <v>0</v>
      </c>
      <c r="U103" s="123">
        <v>0</v>
      </c>
      <c r="V103" s="123">
        <v>0</v>
      </c>
      <c r="W103" s="123">
        <v>0</v>
      </c>
      <c r="X103" s="123">
        <v>0</v>
      </c>
      <c r="Y103" s="123">
        <v>0</v>
      </c>
      <c r="Z103" s="123">
        <v>0</v>
      </c>
      <c r="AA103" s="123">
        <v>0</v>
      </c>
      <c r="AB103" s="123">
        <v>0</v>
      </c>
      <c r="AC103" s="123">
        <v>0</v>
      </c>
      <c r="AD103" s="123">
        <v>0</v>
      </c>
      <c r="AE103" s="123">
        <v>0</v>
      </c>
      <c r="AF103" s="123">
        <v>0</v>
      </c>
      <c r="AG103" s="123">
        <v>0</v>
      </c>
      <c r="AH103" s="123">
        <v>0</v>
      </c>
      <c r="AI103" s="123">
        <v>0</v>
      </c>
      <c r="AJ103" s="123">
        <v>0</v>
      </c>
      <c r="AK103" s="123">
        <v>0</v>
      </c>
      <c r="AL103" s="123">
        <v>0</v>
      </c>
      <c r="AM103" s="123">
        <v>0</v>
      </c>
      <c r="AN103" s="123">
        <v>0</v>
      </c>
      <c r="AO103" s="123">
        <v>0</v>
      </c>
      <c r="AP103" s="123">
        <v>0</v>
      </c>
      <c r="AQ103" s="123">
        <v>0</v>
      </c>
      <c r="AR103" s="123">
        <v>0</v>
      </c>
      <c r="AS103" s="123">
        <v>0</v>
      </c>
      <c r="AT103" s="123">
        <v>0</v>
      </c>
      <c r="AU103" s="123">
        <v>0</v>
      </c>
      <c r="AV103" s="123">
        <v>0</v>
      </c>
      <c r="AW103" s="123">
        <v>0</v>
      </c>
      <c r="AX103" s="123">
        <v>0</v>
      </c>
      <c r="AY103" s="123">
        <v>0</v>
      </c>
    </row>
    <row r="104" spans="1:52" x14ac:dyDescent="0.2">
      <c r="A104" s="126"/>
      <c r="B104" s="143">
        <v>5</v>
      </c>
      <c r="C104" s="123">
        <v>0</v>
      </c>
      <c r="D104" s="123">
        <v>0</v>
      </c>
      <c r="E104" s="123">
        <v>0</v>
      </c>
      <c r="F104" s="123">
        <v>0</v>
      </c>
      <c r="G104" s="123">
        <v>0</v>
      </c>
      <c r="H104" s="123">
        <v>0</v>
      </c>
      <c r="I104" s="123">
        <v>0</v>
      </c>
      <c r="J104" s="123">
        <v>0</v>
      </c>
      <c r="K104" s="123">
        <v>0</v>
      </c>
      <c r="L104" s="123">
        <v>0</v>
      </c>
      <c r="M104" s="123">
        <v>0</v>
      </c>
      <c r="N104" s="123">
        <v>0</v>
      </c>
      <c r="O104" s="123">
        <v>0</v>
      </c>
      <c r="P104" s="123">
        <v>0</v>
      </c>
      <c r="Q104" s="123">
        <v>0</v>
      </c>
      <c r="R104" s="123">
        <v>0</v>
      </c>
      <c r="S104" s="123">
        <v>0</v>
      </c>
      <c r="T104" s="123">
        <v>0</v>
      </c>
      <c r="U104" s="123">
        <v>0</v>
      </c>
      <c r="V104" s="123">
        <v>0</v>
      </c>
      <c r="W104" s="123">
        <v>0</v>
      </c>
      <c r="X104" s="123">
        <v>0</v>
      </c>
      <c r="Y104" s="123">
        <v>0</v>
      </c>
      <c r="Z104" s="123">
        <v>0</v>
      </c>
      <c r="AA104" s="123">
        <v>0</v>
      </c>
      <c r="AB104" s="123">
        <v>0</v>
      </c>
      <c r="AC104" s="123">
        <v>0</v>
      </c>
      <c r="AD104" s="123">
        <v>0</v>
      </c>
      <c r="AE104" s="123">
        <v>0</v>
      </c>
      <c r="AF104" s="123">
        <v>0</v>
      </c>
      <c r="AG104" s="123">
        <v>0</v>
      </c>
      <c r="AH104" s="123">
        <v>0</v>
      </c>
      <c r="AI104" s="123">
        <v>0</v>
      </c>
      <c r="AJ104" s="123">
        <v>0</v>
      </c>
      <c r="AK104" s="123">
        <v>0</v>
      </c>
      <c r="AL104" s="123">
        <v>0</v>
      </c>
      <c r="AM104" s="123">
        <v>0</v>
      </c>
      <c r="AN104" s="123">
        <v>0</v>
      </c>
      <c r="AO104" s="123">
        <v>0</v>
      </c>
      <c r="AP104" s="123">
        <v>0</v>
      </c>
      <c r="AQ104" s="123">
        <v>0</v>
      </c>
      <c r="AR104" s="123">
        <v>0</v>
      </c>
      <c r="AS104" s="123">
        <v>0</v>
      </c>
      <c r="AT104" s="123">
        <v>0</v>
      </c>
      <c r="AU104" s="123">
        <v>0</v>
      </c>
      <c r="AV104" s="123">
        <v>0</v>
      </c>
      <c r="AW104" s="123">
        <v>0</v>
      </c>
      <c r="AX104" s="123">
        <v>0</v>
      </c>
      <c r="AY104" s="123">
        <v>0</v>
      </c>
    </row>
    <row r="105" spans="1:52" x14ac:dyDescent="0.2">
      <c r="A105" s="126"/>
      <c r="B105" s="143">
        <v>6</v>
      </c>
      <c r="C105" s="123">
        <v>0</v>
      </c>
      <c r="D105" s="123">
        <v>0</v>
      </c>
      <c r="E105" s="123">
        <v>0</v>
      </c>
      <c r="F105" s="123">
        <v>0</v>
      </c>
      <c r="G105" s="123">
        <v>0</v>
      </c>
      <c r="H105" s="123">
        <v>0</v>
      </c>
      <c r="I105" s="123">
        <v>0</v>
      </c>
      <c r="J105" s="123">
        <v>0</v>
      </c>
      <c r="K105" s="123">
        <v>0</v>
      </c>
      <c r="L105" s="123">
        <v>0</v>
      </c>
      <c r="M105" s="123">
        <v>0</v>
      </c>
      <c r="N105" s="123">
        <v>0</v>
      </c>
      <c r="O105" s="123">
        <v>0</v>
      </c>
      <c r="P105" s="123">
        <v>0</v>
      </c>
      <c r="Q105" s="123">
        <v>0</v>
      </c>
      <c r="R105" s="123">
        <v>0</v>
      </c>
      <c r="S105" s="123">
        <v>0</v>
      </c>
      <c r="T105" s="123">
        <v>0</v>
      </c>
      <c r="U105" s="123">
        <v>0</v>
      </c>
      <c r="V105" s="123">
        <v>0</v>
      </c>
      <c r="W105" s="123">
        <v>0</v>
      </c>
      <c r="X105" s="123">
        <v>0</v>
      </c>
      <c r="Y105" s="123">
        <v>0</v>
      </c>
      <c r="Z105" s="123">
        <v>0</v>
      </c>
      <c r="AA105" s="123">
        <v>0</v>
      </c>
      <c r="AB105" s="123">
        <v>0</v>
      </c>
      <c r="AC105" s="123">
        <v>0</v>
      </c>
      <c r="AD105" s="123">
        <v>0</v>
      </c>
      <c r="AE105" s="123">
        <v>0</v>
      </c>
      <c r="AF105" s="123">
        <v>0</v>
      </c>
      <c r="AG105" s="123">
        <v>0</v>
      </c>
      <c r="AH105" s="123">
        <v>0</v>
      </c>
      <c r="AI105" s="123">
        <v>0</v>
      </c>
      <c r="AJ105" s="123">
        <v>0</v>
      </c>
      <c r="AK105" s="123">
        <v>0</v>
      </c>
      <c r="AL105" s="123">
        <v>0</v>
      </c>
      <c r="AM105" s="123">
        <v>0</v>
      </c>
      <c r="AN105" s="123">
        <v>0</v>
      </c>
      <c r="AO105" s="123">
        <v>0</v>
      </c>
      <c r="AP105" s="123">
        <v>0</v>
      </c>
      <c r="AQ105" s="123">
        <v>0</v>
      </c>
      <c r="AR105" s="123">
        <v>0</v>
      </c>
      <c r="AS105" s="123">
        <v>0</v>
      </c>
      <c r="AT105" s="123">
        <v>0</v>
      </c>
      <c r="AU105" s="123">
        <v>0</v>
      </c>
      <c r="AV105" s="123">
        <v>0</v>
      </c>
      <c r="AW105" s="123">
        <v>0</v>
      </c>
      <c r="AX105" s="123">
        <v>0</v>
      </c>
      <c r="AY105" s="123">
        <v>0</v>
      </c>
    </row>
    <row r="106" spans="1:52" x14ac:dyDescent="0.2">
      <c r="A106" s="126"/>
      <c r="B106" s="146">
        <v>7</v>
      </c>
      <c r="C106" s="123">
        <v>0</v>
      </c>
      <c r="D106" s="123">
        <v>0</v>
      </c>
      <c r="E106" s="123">
        <v>0</v>
      </c>
      <c r="F106" s="123">
        <v>0</v>
      </c>
      <c r="G106" s="123">
        <v>0</v>
      </c>
      <c r="H106" s="123">
        <v>0</v>
      </c>
      <c r="I106" s="123">
        <v>0</v>
      </c>
      <c r="J106" s="123">
        <v>0</v>
      </c>
      <c r="K106" s="123">
        <v>0</v>
      </c>
      <c r="L106" s="123">
        <v>0</v>
      </c>
      <c r="M106" s="123">
        <v>0</v>
      </c>
      <c r="N106" s="123">
        <v>0</v>
      </c>
      <c r="O106" s="123">
        <v>0</v>
      </c>
      <c r="P106" s="123">
        <v>0</v>
      </c>
      <c r="Q106" s="123">
        <v>0</v>
      </c>
      <c r="R106" s="123">
        <v>0</v>
      </c>
      <c r="S106" s="123">
        <v>0</v>
      </c>
      <c r="T106" s="123">
        <v>0</v>
      </c>
      <c r="U106" s="123">
        <v>0</v>
      </c>
      <c r="V106" s="123">
        <v>0</v>
      </c>
      <c r="W106" s="123">
        <v>0</v>
      </c>
      <c r="X106" s="123">
        <v>0</v>
      </c>
      <c r="Y106" s="123">
        <v>0</v>
      </c>
      <c r="Z106" s="123">
        <v>0</v>
      </c>
      <c r="AA106" s="123">
        <v>0</v>
      </c>
      <c r="AB106" s="123">
        <v>0</v>
      </c>
      <c r="AC106" s="123">
        <v>0</v>
      </c>
      <c r="AD106" s="123">
        <v>0</v>
      </c>
      <c r="AE106" s="123">
        <v>0</v>
      </c>
      <c r="AF106" s="123">
        <v>0</v>
      </c>
      <c r="AG106" s="123">
        <v>0</v>
      </c>
      <c r="AH106" s="123">
        <v>0</v>
      </c>
      <c r="AI106" s="123">
        <v>0</v>
      </c>
      <c r="AJ106" s="123">
        <v>0</v>
      </c>
      <c r="AK106" s="123">
        <v>0</v>
      </c>
      <c r="AL106" s="123">
        <v>0</v>
      </c>
      <c r="AM106" s="123">
        <v>0</v>
      </c>
      <c r="AN106" s="123">
        <v>0</v>
      </c>
      <c r="AO106" s="123">
        <v>0</v>
      </c>
      <c r="AP106" s="123">
        <v>0</v>
      </c>
      <c r="AQ106" s="123">
        <v>0</v>
      </c>
      <c r="AR106" s="123">
        <v>0</v>
      </c>
      <c r="AS106" s="123">
        <v>0</v>
      </c>
      <c r="AT106" s="123">
        <v>0</v>
      </c>
      <c r="AU106" s="123">
        <v>0</v>
      </c>
      <c r="AV106" s="123">
        <v>0</v>
      </c>
      <c r="AW106" s="123">
        <v>0</v>
      </c>
      <c r="AX106" s="123">
        <v>0</v>
      </c>
      <c r="AY106" s="123">
        <v>0</v>
      </c>
    </row>
    <row r="107" spans="1:52" x14ac:dyDescent="0.2">
      <c r="A107" s="126"/>
      <c r="B107" s="146">
        <v>8</v>
      </c>
      <c r="C107" s="123">
        <v>0</v>
      </c>
      <c r="D107" s="123">
        <v>0</v>
      </c>
      <c r="E107" s="123">
        <v>0</v>
      </c>
      <c r="F107" s="123">
        <v>0</v>
      </c>
      <c r="G107" s="123">
        <v>0</v>
      </c>
      <c r="H107" s="123">
        <v>0</v>
      </c>
      <c r="I107" s="123">
        <v>0</v>
      </c>
      <c r="J107" s="123">
        <v>0</v>
      </c>
      <c r="K107" s="123">
        <v>0</v>
      </c>
      <c r="L107" s="123">
        <v>0</v>
      </c>
      <c r="M107" s="123">
        <v>0</v>
      </c>
      <c r="N107" s="123">
        <v>0</v>
      </c>
      <c r="O107" s="123">
        <v>0</v>
      </c>
      <c r="P107" s="123">
        <v>0</v>
      </c>
      <c r="Q107" s="123">
        <v>0</v>
      </c>
      <c r="R107" s="123">
        <v>0</v>
      </c>
      <c r="S107" s="123">
        <v>0</v>
      </c>
      <c r="T107" s="123">
        <v>0</v>
      </c>
      <c r="U107" s="123">
        <v>0</v>
      </c>
      <c r="V107" s="123">
        <v>0</v>
      </c>
      <c r="W107" s="123">
        <v>0</v>
      </c>
      <c r="X107" s="123">
        <v>0</v>
      </c>
      <c r="Y107" s="123">
        <v>0</v>
      </c>
      <c r="Z107" s="123">
        <v>0</v>
      </c>
      <c r="AA107" s="123">
        <v>0</v>
      </c>
      <c r="AB107" s="123">
        <v>0</v>
      </c>
      <c r="AC107" s="123">
        <v>0</v>
      </c>
      <c r="AD107" s="123">
        <v>0</v>
      </c>
      <c r="AE107" s="123">
        <v>0</v>
      </c>
      <c r="AF107" s="123">
        <v>0</v>
      </c>
      <c r="AG107" s="123">
        <v>0</v>
      </c>
      <c r="AH107" s="123">
        <v>0</v>
      </c>
      <c r="AI107" s="123">
        <v>0</v>
      </c>
      <c r="AJ107" s="123">
        <v>0</v>
      </c>
      <c r="AK107" s="123">
        <v>0</v>
      </c>
      <c r="AL107" s="123">
        <v>0</v>
      </c>
      <c r="AM107" s="123">
        <v>0</v>
      </c>
      <c r="AN107" s="123">
        <v>0</v>
      </c>
      <c r="AO107" s="123">
        <v>0</v>
      </c>
      <c r="AP107" s="123">
        <v>0</v>
      </c>
      <c r="AQ107" s="123">
        <v>0</v>
      </c>
      <c r="AR107" s="123">
        <v>0</v>
      </c>
      <c r="AS107" s="123">
        <v>0</v>
      </c>
      <c r="AT107" s="123">
        <v>0</v>
      </c>
      <c r="AU107" s="123">
        <v>0</v>
      </c>
      <c r="AV107" s="123">
        <v>0</v>
      </c>
      <c r="AW107" s="123">
        <v>0</v>
      </c>
      <c r="AX107" s="123">
        <v>0</v>
      </c>
      <c r="AY107" s="123">
        <v>0</v>
      </c>
    </row>
    <row r="108" spans="1:52" x14ac:dyDescent="0.2">
      <c r="A108" s="144"/>
      <c r="B108" s="148" t="s">
        <v>296</v>
      </c>
      <c r="C108" s="130">
        <v>0</v>
      </c>
      <c r="D108" s="141">
        <v>0</v>
      </c>
      <c r="E108" s="141">
        <v>0</v>
      </c>
      <c r="F108" s="141">
        <v>0</v>
      </c>
      <c r="G108" s="141">
        <v>0</v>
      </c>
      <c r="H108" s="141">
        <v>0</v>
      </c>
      <c r="I108" s="141">
        <v>0</v>
      </c>
      <c r="J108" s="141">
        <v>0</v>
      </c>
      <c r="K108" s="141">
        <v>0</v>
      </c>
      <c r="L108" s="141">
        <v>0</v>
      </c>
      <c r="M108" s="141">
        <v>0</v>
      </c>
      <c r="N108" s="141">
        <v>0</v>
      </c>
      <c r="O108" s="141">
        <v>0</v>
      </c>
      <c r="P108" s="141">
        <v>0</v>
      </c>
      <c r="Q108" s="141">
        <v>0</v>
      </c>
      <c r="R108" s="141">
        <v>0</v>
      </c>
      <c r="S108" s="141">
        <v>0</v>
      </c>
      <c r="T108" s="141">
        <v>0</v>
      </c>
      <c r="U108" s="141">
        <v>0</v>
      </c>
      <c r="V108" s="141">
        <v>0</v>
      </c>
      <c r="W108" s="141">
        <v>0</v>
      </c>
      <c r="X108" s="141">
        <v>0</v>
      </c>
      <c r="Y108" s="141">
        <v>0</v>
      </c>
      <c r="Z108" s="141">
        <v>0</v>
      </c>
      <c r="AA108" s="141">
        <v>0</v>
      </c>
      <c r="AB108" s="141">
        <v>0</v>
      </c>
      <c r="AC108" s="141">
        <v>0</v>
      </c>
      <c r="AD108" s="141">
        <v>0</v>
      </c>
      <c r="AE108" s="141">
        <v>0</v>
      </c>
      <c r="AF108" s="141">
        <v>0</v>
      </c>
      <c r="AG108" s="141">
        <v>0</v>
      </c>
      <c r="AH108" s="141">
        <v>0</v>
      </c>
      <c r="AI108" s="141">
        <v>0</v>
      </c>
      <c r="AJ108" s="141">
        <v>0</v>
      </c>
      <c r="AK108" s="141">
        <v>0</v>
      </c>
      <c r="AL108" s="141">
        <v>0</v>
      </c>
      <c r="AM108" s="141">
        <v>0</v>
      </c>
      <c r="AN108" s="141">
        <v>0</v>
      </c>
      <c r="AO108" s="141">
        <v>0</v>
      </c>
      <c r="AP108" s="141">
        <v>0</v>
      </c>
      <c r="AQ108" s="141">
        <v>0</v>
      </c>
      <c r="AR108" s="141">
        <v>0</v>
      </c>
      <c r="AS108" s="141">
        <v>0</v>
      </c>
      <c r="AT108" s="141">
        <v>0</v>
      </c>
      <c r="AU108" s="141">
        <v>0</v>
      </c>
      <c r="AV108" s="141">
        <v>0</v>
      </c>
      <c r="AW108" s="141">
        <v>0</v>
      </c>
      <c r="AX108" s="141">
        <v>0</v>
      </c>
      <c r="AY108" s="141">
        <v>0</v>
      </c>
      <c r="AZ108" s="124">
        <f>SUM($D108:$AY108)</f>
        <v>0</v>
      </c>
    </row>
    <row r="109" spans="1:52" x14ac:dyDescent="0.2">
      <c r="A109" s="147" t="s">
        <v>134</v>
      </c>
      <c r="B109" s="135">
        <v>1</v>
      </c>
      <c r="C109" s="123">
        <v>262.8786932568355</v>
      </c>
      <c r="D109" s="123">
        <v>262.8786932568355</v>
      </c>
      <c r="E109" s="123">
        <v>187.85897427832242</v>
      </c>
      <c r="F109" s="123">
        <v>316.65488454603866</v>
      </c>
      <c r="G109" s="123">
        <v>477.30788233845823</v>
      </c>
      <c r="H109" s="123">
        <v>508.84234891156041</v>
      </c>
      <c r="I109" s="123">
        <v>609.89041795444564</v>
      </c>
      <c r="J109" s="123">
        <v>532.97119998349206</v>
      </c>
      <c r="K109" s="123">
        <v>628.87011361230759</v>
      </c>
      <c r="L109" s="123">
        <v>625.81637238531084</v>
      </c>
      <c r="M109" s="123">
        <v>626.52603807818036</v>
      </c>
      <c r="N109" s="123">
        <v>523.97630407648558</v>
      </c>
      <c r="O109" s="123">
        <v>703.39507317921971</v>
      </c>
      <c r="P109" s="123">
        <v>665.01160428360731</v>
      </c>
      <c r="Q109" s="123">
        <v>664.68126612357048</v>
      </c>
      <c r="R109" s="123">
        <v>682.78659048381098</v>
      </c>
      <c r="S109" s="123">
        <v>663.56056491845573</v>
      </c>
      <c r="T109" s="123">
        <v>683.07289319792483</v>
      </c>
      <c r="U109" s="123">
        <v>747.7074845995071</v>
      </c>
      <c r="V109" s="123">
        <v>693.46054967123769</v>
      </c>
      <c r="W109" s="123">
        <v>736.85127828762006</v>
      </c>
      <c r="X109" s="123">
        <v>583.59481436238025</v>
      </c>
      <c r="Y109" s="123">
        <v>673.0144468584183</v>
      </c>
      <c r="Z109" s="123">
        <v>728.961072634689</v>
      </c>
      <c r="AA109" s="123">
        <v>756.63368093308952</v>
      </c>
      <c r="AB109" s="123">
        <v>689.19034949600859</v>
      </c>
      <c r="AC109" s="123">
        <v>719.27597126561216</v>
      </c>
      <c r="AD109" s="123">
        <v>735.20797783011403</v>
      </c>
      <c r="AE109" s="123">
        <v>793.51666073605293</v>
      </c>
      <c r="AF109" s="123">
        <v>592.58799734704894</v>
      </c>
      <c r="AG109" s="123">
        <v>717.25680399651571</v>
      </c>
      <c r="AH109" s="123">
        <v>705.2241146996605</v>
      </c>
      <c r="AI109" s="123">
        <v>734.91541890295457</v>
      </c>
      <c r="AJ109" s="123">
        <v>681.10578031741898</v>
      </c>
      <c r="AK109" s="123">
        <v>716.88635348755975</v>
      </c>
      <c r="AL109" s="123">
        <v>674.89445525534336</v>
      </c>
      <c r="AM109" s="123">
        <v>549.05301537937305</v>
      </c>
      <c r="AN109" s="123">
        <v>548.4757692162832</v>
      </c>
      <c r="AO109" s="123">
        <v>573.61492430907219</v>
      </c>
      <c r="AP109" s="123">
        <v>672.60264802545817</v>
      </c>
      <c r="AQ109" s="123">
        <v>570.87177629884059</v>
      </c>
      <c r="AR109" s="123">
        <v>589.15244181693163</v>
      </c>
      <c r="AS109" s="123">
        <v>576.61409954685473</v>
      </c>
      <c r="AT109" s="123">
        <v>661.19949890792486</v>
      </c>
      <c r="AU109" s="123">
        <v>576.7944872313069</v>
      </c>
      <c r="AV109" s="123">
        <v>657.54216650925696</v>
      </c>
      <c r="AW109" s="123">
        <v>646.95085119522003</v>
      </c>
      <c r="AX109" s="123">
        <v>640.68428374083464</v>
      </c>
      <c r="AY109" s="123">
        <v>506.28999251276326</v>
      </c>
    </row>
    <row r="110" spans="1:52" x14ac:dyDescent="0.2">
      <c r="A110" s="126"/>
      <c r="B110" s="135">
        <v>2</v>
      </c>
      <c r="C110" s="123">
        <v>0</v>
      </c>
      <c r="D110" s="123">
        <v>0</v>
      </c>
      <c r="E110" s="123">
        <v>0</v>
      </c>
      <c r="F110" s="123">
        <v>0</v>
      </c>
      <c r="G110" s="123">
        <v>0</v>
      </c>
      <c r="H110" s="123">
        <v>17.69713583714298</v>
      </c>
      <c r="I110" s="123">
        <v>101.28988011484222</v>
      </c>
      <c r="J110" s="123">
        <v>241.18029806928786</v>
      </c>
      <c r="K110" s="123">
        <v>430.50908306390772</v>
      </c>
      <c r="L110" s="123">
        <v>568.1212069854937</v>
      </c>
      <c r="M110" s="123">
        <v>625.81637238531084</v>
      </c>
      <c r="N110" s="123">
        <v>626.52603807818036</v>
      </c>
      <c r="O110" s="123">
        <v>523.97630407648558</v>
      </c>
      <c r="P110" s="123">
        <v>703.39507317921971</v>
      </c>
      <c r="Q110" s="123">
        <v>665.01160428360731</v>
      </c>
      <c r="R110" s="123">
        <v>664.68126612357048</v>
      </c>
      <c r="S110" s="123">
        <v>682.78659048381098</v>
      </c>
      <c r="T110" s="123">
        <v>663.56056491845573</v>
      </c>
      <c r="U110" s="123">
        <v>683.07289319792483</v>
      </c>
      <c r="V110" s="123">
        <v>747.7074845995071</v>
      </c>
      <c r="W110" s="123">
        <v>693.46054967123769</v>
      </c>
      <c r="X110" s="123">
        <v>736.85127828762006</v>
      </c>
      <c r="Y110" s="123">
        <v>583.59481436238025</v>
      </c>
      <c r="Z110" s="123">
        <v>673.0144468584183</v>
      </c>
      <c r="AA110" s="123">
        <v>728.961072634689</v>
      </c>
      <c r="AB110" s="123">
        <v>756.63368093308952</v>
      </c>
      <c r="AC110" s="123">
        <v>689.19034949600859</v>
      </c>
      <c r="AD110" s="123">
        <v>719.27597126561216</v>
      </c>
      <c r="AE110" s="123">
        <v>735.20797783011403</v>
      </c>
      <c r="AF110" s="123">
        <v>793.51666073605293</v>
      </c>
      <c r="AG110" s="123">
        <v>592.58799734704894</v>
      </c>
      <c r="AH110" s="123">
        <v>717.25680399651571</v>
      </c>
      <c r="AI110" s="123">
        <v>705.2241146996605</v>
      </c>
      <c r="AJ110" s="123">
        <v>734.91541890295457</v>
      </c>
      <c r="AK110" s="123">
        <v>681.10578031741898</v>
      </c>
      <c r="AL110" s="123">
        <v>716.88635348755975</v>
      </c>
      <c r="AM110" s="123">
        <v>674.89445525534336</v>
      </c>
      <c r="AN110" s="123">
        <v>549.05301537937305</v>
      </c>
      <c r="AO110" s="123">
        <v>548.4757692162832</v>
      </c>
      <c r="AP110" s="123">
        <v>573.61492430907219</v>
      </c>
      <c r="AQ110" s="123">
        <v>672.60264802545817</v>
      </c>
      <c r="AR110" s="123">
        <v>570.87177629884059</v>
      </c>
      <c r="AS110" s="123">
        <v>589.15244181693163</v>
      </c>
      <c r="AT110" s="123">
        <v>576.61409954685473</v>
      </c>
      <c r="AU110" s="123">
        <v>661.19949890792486</v>
      </c>
      <c r="AV110" s="123">
        <v>576.7944872313069</v>
      </c>
      <c r="AW110" s="123">
        <v>657.54216650925696</v>
      </c>
      <c r="AX110" s="123">
        <v>646.95085119522003</v>
      </c>
      <c r="AY110" s="123">
        <v>640.68428374083464</v>
      </c>
    </row>
    <row r="111" spans="1:52" x14ac:dyDescent="0.2">
      <c r="A111" s="126"/>
      <c r="B111" s="135">
        <v>3</v>
      </c>
      <c r="C111" s="123">
        <v>0</v>
      </c>
      <c r="D111" s="123">
        <v>0</v>
      </c>
      <c r="E111" s="123">
        <v>0</v>
      </c>
      <c r="F111" s="123">
        <v>0</v>
      </c>
      <c r="G111" s="123">
        <v>0</v>
      </c>
      <c r="H111" s="123">
        <v>0</v>
      </c>
      <c r="I111" s="123">
        <v>0</v>
      </c>
      <c r="J111" s="123">
        <v>0</v>
      </c>
      <c r="K111" s="123">
        <v>0</v>
      </c>
      <c r="L111" s="123">
        <v>0</v>
      </c>
      <c r="M111" s="123">
        <v>200.83823401252073</v>
      </c>
      <c r="N111" s="123">
        <v>302.65460639783157</v>
      </c>
      <c r="O111" s="123">
        <v>557.79743786444169</v>
      </c>
      <c r="P111" s="123">
        <v>523.97630407648558</v>
      </c>
      <c r="Q111" s="123">
        <v>703.39507317921971</v>
      </c>
      <c r="R111" s="123">
        <v>665.01160428360731</v>
      </c>
      <c r="S111" s="123">
        <v>664.68126612357048</v>
      </c>
      <c r="T111" s="123">
        <v>682.78659048381098</v>
      </c>
      <c r="U111" s="123">
        <v>663.56056491845573</v>
      </c>
      <c r="V111" s="123">
        <v>683.07289319792483</v>
      </c>
      <c r="W111" s="123">
        <v>747.7074845995071</v>
      </c>
      <c r="X111" s="123">
        <v>693.46054967123769</v>
      </c>
      <c r="Y111" s="123">
        <v>736.85127828762006</v>
      </c>
      <c r="Z111" s="123">
        <v>583.59481436238025</v>
      </c>
      <c r="AA111" s="123">
        <v>673.0144468584183</v>
      </c>
      <c r="AB111" s="123">
        <v>728.961072634689</v>
      </c>
      <c r="AC111" s="123">
        <v>756.63368093308952</v>
      </c>
      <c r="AD111" s="123">
        <v>689.19034949600859</v>
      </c>
      <c r="AE111" s="123">
        <v>719.27597126561216</v>
      </c>
      <c r="AF111" s="123">
        <v>735.20797783011403</v>
      </c>
      <c r="AG111" s="123">
        <v>793.51666073605293</v>
      </c>
      <c r="AH111" s="123">
        <v>592.58799734704894</v>
      </c>
      <c r="AI111" s="123">
        <v>717.25680399651571</v>
      </c>
      <c r="AJ111" s="123">
        <v>705.2241146996605</v>
      </c>
      <c r="AK111" s="123">
        <v>734.91541890295457</v>
      </c>
      <c r="AL111" s="123">
        <v>681.10578031741898</v>
      </c>
      <c r="AM111" s="123">
        <v>716.88635348755975</v>
      </c>
      <c r="AN111" s="123">
        <v>674.89445525534336</v>
      </c>
      <c r="AO111" s="123">
        <v>549.05301537937305</v>
      </c>
      <c r="AP111" s="123">
        <v>548.4757692162832</v>
      </c>
      <c r="AQ111" s="123">
        <v>573.61492430907219</v>
      </c>
      <c r="AR111" s="123">
        <v>672.60264802545817</v>
      </c>
      <c r="AS111" s="123">
        <v>570.87177629884059</v>
      </c>
      <c r="AT111" s="123">
        <v>589.15244181693163</v>
      </c>
      <c r="AU111" s="123">
        <v>576.61409954685473</v>
      </c>
      <c r="AV111" s="123">
        <v>661.19949890792486</v>
      </c>
      <c r="AW111" s="123">
        <v>576.7944872313069</v>
      </c>
      <c r="AX111" s="123">
        <v>657.54216650925696</v>
      </c>
      <c r="AY111" s="123">
        <v>646.95085119522003</v>
      </c>
    </row>
    <row r="112" spans="1:52" x14ac:dyDescent="0.2">
      <c r="A112" s="126"/>
      <c r="B112" s="136">
        <v>4</v>
      </c>
      <c r="C112" s="123">
        <v>0</v>
      </c>
      <c r="D112" s="123">
        <v>0</v>
      </c>
      <c r="E112" s="123">
        <v>0</v>
      </c>
      <c r="F112" s="123">
        <v>0</v>
      </c>
      <c r="G112" s="123">
        <v>0</v>
      </c>
      <c r="H112" s="123">
        <v>0</v>
      </c>
      <c r="I112" s="123">
        <v>0</v>
      </c>
      <c r="J112" s="123">
        <v>0</v>
      </c>
      <c r="K112" s="123">
        <v>0</v>
      </c>
      <c r="L112" s="123">
        <v>0</v>
      </c>
      <c r="M112" s="123">
        <v>0</v>
      </c>
      <c r="N112" s="123">
        <v>0</v>
      </c>
      <c r="O112" s="123">
        <v>0</v>
      </c>
      <c r="P112" s="123">
        <v>130.79743786444169</v>
      </c>
      <c r="Q112" s="123">
        <v>161.37379087726765</v>
      </c>
      <c r="R112" s="123">
        <v>445.59306787814342</v>
      </c>
      <c r="S112" s="123">
        <v>555.23420772053157</v>
      </c>
      <c r="T112" s="123">
        <v>664.68126612357048</v>
      </c>
      <c r="U112" s="123">
        <v>682.78659048381098</v>
      </c>
      <c r="V112" s="123">
        <v>663.56056491845573</v>
      </c>
      <c r="W112" s="123">
        <v>683.07289319792483</v>
      </c>
      <c r="X112" s="123">
        <v>747.7074845995071</v>
      </c>
      <c r="Y112" s="123">
        <v>693.46054967123769</v>
      </c>
      <c r="Z112" s="123">
        <v>736.85127828762006</v>
      </c>
      <c r="AA112" s="123">
        <v>583.59481436238025</v>
      </c>
      <c r="AB112" s="123">
        <v>673.0144468584183</v>
      </c>
      <c r="AC112" s="123">
        <v>728.961072634689</v>
      </c>
      <c r="AD112" s="123">
        <v>756.63368093308952</v>
      </c>
      <c r="AE112" s="123">
        <v>689.19034949600859</v>
      </c>
      <c r="AF112" s="123">
        <v>719.27597126561216</v>
      </c>
      <c r="AG112" s="123">
        <v>735.20797783011403</v>
      </c>
      <c r="AH112" s="123">
        <v>793.51666073605293</v>
      </c>
      <c r="AI112" s="123">
        <v>592.58799734704894</v>
      </c>
      <c r="AJ112" s="123">
        <v>717.25680399651571</v>
      </c>
      <c r="AK112" s="123">
        <v>705.2241146996605</v>
      </c>
      <c r="AL112" s="123">
        <v>734.91541890295457</v>
      </c>
      <c r="AM112" s="123">
        <v>681.10578031741898</v>
      </c>
      <c r="AN112" s="123">
        <v>716.88635348755975</v>
      </c>
      <c r="AO112" s="123">
        <v>674.89445525534336</v>
      </c>
      <c r="AP112" s="123">
        <v>549.05301537937305</v>
      </c>
      <c r="AQ112" s="123">
        <v>548.4757692162832</v>
      </c>
      <c r="AR112" s="123">
        <v>573.61492430907219</v>
      </c>
      <c r="AS112" s="123">
        <v>672.60264802545817</v>
      </c>
      <c r="AT112" s="123">
        <v>570.87177629884059</v>
      </c>
      <c r="AU112" s="123">
        <v>589.15244181693163</v>
      </c>
      <c r="AV112" s="123">
        <v>576.61409954685473</v>
      </c>
      <c r="AW112" s="123">
        <v>661.19949890792486</v>
      </c>
      <c r="AX112" s="123">
        <v>576.7944872313069</v>
      </c>
      <c r="AY112" s="123">
        <v>657.54216650925696</v>
      </c>
    </row>
    <row r="113" spans="1:52" x14ac:dyDescent="0.2">
      <c r="A113" s="126"/>
      <c r="B113" s="136">
        <v>5</v>
      </c>
      <c r="C113" s="123">
        <v>0</v>
      </c>
      <c r="D113" s="123">
        <v>0</v>
      </c>
      <c r="E113" s="123">
        <v>0</v>
      </c>
      <c r="F113" s="123">
        <v>0</v>
      </c>
      <c r="G113" s="123">
        <v>0</v>
      </c>
      <c r="H113" s="123">
        <v>0</v>
      </c>
      <c r="I113" s="123">
        <v>0</v>
      </c>
      <c r="J113" s="123">
        <v>0</v>
      </c>
      <c r="K113" s="123">
        <v>0</v>
      </c>
      <c r="L113" s="123">
        <v>0</v>
      </c>
      <c r="M113" s="123">
        <v>0</v>
      </c>
      <c r="N113" s="123">
        <v>0</v>
      </c>
      <c r="O113" s="123">
        <v>0</v>
      </c>
      <c r="P113" s="123">
        <v>0</v>
      </c>
      <c r="Q113" s="123">
        <v>0</v>
      </c>
      <c r="R113" s="123">
        <v>0</v>
      </c>
      <c r="S113" s="123">
        <v>0</v>
      </c>
      <c r="T113" s="123">
        <v>95.506429942753812</v>
      </c>
      <c r="U113" s="123">
        <v>237.18769606632429</v>
      </c>
      <c r="V113" s="123">
        <v>468.92259668930029</v>
      </c>
      <c r="W113" s="123">
        <v>663.56056491845573</v>
      </c>
      <c r="X113" s="123">
        <v>683.07289319792483</v>
      </c>
      <c r="Y113" s="123">
        <v>747.7074845995071</v>
      </c>
      <c r="Z113" s="123">
        <v>693.46054967123769</v>
      </c>
      <c r="AA113" s="123">
        <v>736.85127828762006</v>
      </c>
      <c r="AB113" s="123">
        <v>583.59481436238025</v>
      </c>
      <c r="AC113" s="123">
        <v>673.0144468584183</v>
      </c>
      <c r="AD113" s="123">
        <v>728.961072634689</v>
      </c>
      <c r="AE113" s="123">
        <v>756.63368093308952</v>
      </c>
      <c r="AF113" s="123">
        <v>689.19034949600859</v>
      </c>
      <c r="AG113" s="123">
        <v>719.27597126561216</v>
      </c>
      <c r="AH113" s="123">
        <v>735.20797783011403</v>
      </c>
      <c r="AI113" s="123">
        <v>793.51666073605293</v>
      </c>
      <c r="AJ113" s="123">
        <v>592.58799734704894</v>
      </c>
      <c r="AK113" s="123">
        <v>717.25680399651571</v>
      </c>
      <c r="AL113" s="123">
        <v>705.2241146996605</v>
      </c>
      <c r="AM113" s="123">
        <v>734.91541890295457</v>
      </c>
      <c r="AN113" s="123">
        <v>681.10578031741898</v>
      </c>
      <c r="AO113" s="123">
        <v>716.88635348755975</v>
      </c>
      <c r="AP113" s="123">
        <v>674.89445525534336</v>
      </c>
      <c r="AQ113" s="123">
        <v>549.05301537937305</v>
      </c>
      <c r="AR113" s="123">
        <v>548.4757692162832</v>
      </c>
      <c r="AS113" s="123">
        <v>573.61492430907219</v>
      </c>
      <c r="AT113" s="123">
        <v>672.60264802545817</v>
      </c>
      <c r="AU113" s="123">
        <v>570.87177629884059</v>
      </c>
      <c r="AV113" s="123">
        <v>589.15244181693163</v>
      </c>
      <c r="AW113" s="123">
        <v>576.61409954685473</v>
      </c>
      <c r="AX113" s="123">
        <v>661.19949890792486</v>
      </c>
      <c r="AY113" s="123">
        <v>576.7944872313069</v>
      </c>
    </row>
    <row r="114" spans="1:52" x14ac:dyDescent="0.2">
      <c r="A114" s="126"/>
      <c r="B114" s="136">
        <v>6</v>
      </c>
      <c r="C114" s="123">
        <v>0</v>
      </c>
      <c r="D114" s="123">
        <v>0</v>
      </c>
      <c r="E114" s="123">
        <v>0</v>
      </c>
      <c r="F114" s="123">
        <v>0</v>
      </c>
      <c r="G114" s="123">
        <v>0</v>
      </c>
      <c r="H114" s="123">
        <v>0</v>
      </c>
      <c r="I114" s="123">
        <v>0</v>
      </c>
      <c r="J114" s="123">
        <v>0</v>
      </c>
      <c r="K114" s="123">
        <v>0</v>
      </c>
      <c r="L114" s="123">
        <v>0</v>
      </c>
      <c r="M114" s="123">
        <v>0</v>
      </c>
      <c r="N114" s="123">
        <v>0</v>
      </c>
      <c r="O114" s="123">
        <v>0</v>
      </c>
      <c r="P114" s="123">
        <v>0</v>
      </c>
      <c r="Q114" s="123">
        <v>0</v>
      </c>
      <c r="R114" s="123">
        <v>0</v>
      </c>
      <c r="S114" s="123">
        <v>0</v>
      </c>
      <c r="T114" s="123">
        <v>0</v>
      </c>
      <c r="U114" s="123">
        <v>0</v>
      </c>
      <c r="V114" s="123">
        <v>0</v>
      </c>
      <c r="W114" s="123">
        <v>39.877684499217651</v>
      </c>
      <c r="X114" s="123">
        <v>287.18824941767338</v>
      </c>
      <c r="Y114" s="123">
        <v>480.17975911395922</v>
      </c>
      <c r="Z114" s="123">
        <v>747.7074845995071</v>
      </c>
      <c r="AA114" s="123">
        <v>693.46054967123769</v>
      </c>
      <c r="AB114" s="123">
        <v>736.85127828762006</v>
      </c>
      <c r="AC114" s="123">
        <v>583.59481436238025</v>
      </c>
      <c r="AD114" s="123">
        <v>673.0144468584183</v>
      </c>
      <c r="AE114" s="123">
        <v>728.961072634689</v>
      </c>
      <c r="AF114" s="123">
        <v>756.63368093308952</v>
      </c>
      <c r="AG114" s="123">
        <v>689.19034949600859</v>
      </c>
      <c r="AH114" s="123">
        <v>719.27597126561216</v>
      </c>
      <c r="AI114" s="123">
        <v>735.20797783011403</v>
      </c>
      <c r="AJ114" s="123">
        <v>793.51666073605293</v>
      </c>
      <c r="AK114" s="123">
        <v>592.58799734704894</v>
      </c>
      <c r="AL114" s="123">
        <v>717.25680399651571</v>
      </c>
      <c r="AM114" s="123">
        <v>705.2241146996605</v>
      </c>
      <c r="AN114" s="123">
        <v>734.91541890295457</v>
      </c>
      <c r="AO114" s="123">
        <v>681.10578031741898</v>
      </c>
      <c r="AP114" s="123">
        <v>716.88635348755975</v>
      </c>
      <c r="AQ114" s="123">
        <v>674.89445525534336</v>
      </c>
      <c r="AR114" s="123">
        <v>549.05301537937305</v>
      </c>
      <c r="AS114" s="123">
        <v>548.4757692162832</v>
      </c>
      <c r="AT114" s="123">
        <v>573.61492430907219</v>
      </c>
      <c r="AU114" s="123">
        <v>672.60264802545817</v>
      </c>
      <c r="AV114" s="123">
        <v>570.87177629884059</v>
      </c>
      <c r="AW114" s="123">
        <v>589.15244181693163</v>
      </c>
      <c r="AX114" s="123">
        <v>576.61409954685473</v>
      </c>
      <c r="AY114" s="123">
        <v>661.19949890792486</v>
      </c>
    </row>
    <row r="115" spans="1:52" x14ac:dyDescent="0.2">
      <c r="A115" s="126"/>
      <c r="B115" s="143">
        <v>7</v>
      </c>
      <c r="C115" s="123">
        <v>0</v>
      </c>
      <c r="D115" s="123">
        <v>0</v>
      </c>
      <c r="E115" s="123">
        <v>0</v>
      </c>
      <c r="F115" s="123">
        <v>0</v>
      </c>
      <c r="G115" s="123">
        <v>0</v>
      </c>
      <c r="H115" s="123">
        <v>0</v>
      </c>
      <c r="I115" s="123">
        <v>0</v>
      </c>
      <c r="J115" s="123">
        <v>0</v>
      </c>
      <c r="K115" s="123">
        <v>0</v>
      </c>
      <c r="L115" s="123">
        <v>0</v>
      </c>
      <c r="M115" s="123">
        <v>0</v>
      </c>
      <c r="N115" s="123">
        <v>0</v>
      </c>
      <c r="O115" s="123">
        <v>0</v>
      </c>
      <c r="P115" s="123">
        <v>0</v>
      </c>
      <c r="Q115" s="123">
        <v>0</v>
      </c>
      <c r="R115" s="123">
        <v>0</v>
      </c>
      <c r="S115" s="123">
        <v>0</v>
      </c>
      <c r="T115" s="123">
        <v>0</v>
      </c>
      <c r="U115" s="123">
        <v>0</v>
      </c>
      <c r="V115" s="123">
        <v>0</v>
      </c>
      <c r="W115" s="123">
        <v>0</v>
      </c>
      <c r="X115" s="123">
        <v>0</v>
      </c>
      <c r="Y115" s="123">
        <v>0</v>
      </c>
      <c r="Z115" s="123">
        <v>31.179759113959221</v>
      </c>
      <c r="AA115" s="123">
        <v>324.73956898725027</v>
      </c>
      <c r="AB115" s="123">
        <v>582.40447342695938</v>
      </c>
      <c r="AC115" s="123">
        <v>736.85127828762006</v>
      </c>
      <c r="AD115" s="123">
        <v>583.59481436238025</v>
      </c>
      <c r="AE115" s="123">
        <v>673.0144468584183</v>
      </c>
      <c r="AF115" s="123">
        <v>728.961072634689</v>
      </c>
      <c r="AG115" s="123">
        <v>756.63368093308952</v>
      </c>
      <c r="AH115" s="123">
        <v>689.19034949600859</v>
      </c>
      <c r="AI115" s="123">
        <v>719.27597126561216</v>
      </c>
      <c r="AJ115" s="123">
        <v>735.20797783011403</v>
      </c>
      <c r="AK115" s="123">
        <v>793.51666073605293</v>
      </c>
      <c r="AL115" s="123">
        <v>592.58799734704894</v>
      </c>
      <c r="AM115" s="123">
        <v>717.25680399651571</v>
      </c>
      <c r="AN115" s="123">
        <v>705.2241146996605</v>
      </c>
      <c r="AO115" s="123">
        <v>734.91541890295457</v>
      </c>
      <c r="AP115" s="123">
        <v>681.10578031741898</v>
      </c>
      <c r="AQ115" s="123">
        <v>716.88635348755975</v>
      </c>
      <c r="AR115" s="123">
        <v>674.89445525534336</v>
      </c>
      <c r="AS115" s="123">
        <v>549.05301537937305</v>
      </c>
      <c r="AT115" s="123">
        <v>548.4757692162832</v>
      </c>
      <c r="AU115" s="123">
        <v>573.61492430907219</v>
      </c>
      <c r="AV115" s="123">
        <v>672.60264802545817</v>
      </c>
      <c r="AW115" s="123">
        <v>570.87177629884059</v>
      </c>
      <c r="AX115" s="123">
        <v>589.15244181693163</v>
      </c>
      <c r="AY115" s="123">
        <v>576.61409954685473</v>
      </c>
    </row>
    <row r="116" spans="1:52" x14ac:dyDescent="0.2">
      <c r="A116" s="126"/>
      <c r="B116" s="143">
        <v>8</v>
      </c>
      <c r="C116" s="123">
        <v>0</v>
      </c>
      <c r="D116" s="123">
        <v>0</v>
      </c>
      <c r="E116" s="123">
        <v>0</v>
      </c>
      <c r="F116" s="123">
        <v>0</v>
      </c>
      <c r="G116" s="123">
        <v>0</v>
      </c>
      <c r="H116" s="123">
        <v>0</v>
      </c>
      <c r="I116" s="123">
        <v>0</v>
      </c>
      <c r="J116" s="123">
        <v>0</v>
      </c>
      <c r="K116" s="123">
        <v>0</v>
      </c>
      <c r="L116" s="123">
        <v>0</v>
      </c>
      <c r="M116" s="123">
        <v>0</v>
      </c>
      <c r="N116" s="123">
        <v>0</v>
      </c>
      <c r="O116" s="123">
        <v>0</v>
      </c>
      <c r="P116" s="123">
        <v>0</v>
      </c>
      <c r="Q116" s="123">
        <v>0</v>
      </c>
      <c r="R116" s="123">
        <v>0</v>
      </c>
      <c r="S116" s="123">
        <v>0</v>
      </c>
      <c r="T116" s="123">
        <v>0</v>
      </c>
      <c r="U116" s="123">
        <v>0</v>
      </c>
      <c r="V116" s="123">
        <v>0</v>
      </c>
      <c r="W116" s="123">
        <v>0</v>
      </c>
      <c r="X116" s="123">
        <v>0</v>
      </c>
      <c r="Y116" s="123">
        <v>0</v>
      </c>
      <c r="Z116" s="123">
        <v>0</v>
      </c>
      <c r="AA116" s="123">
        <v>0</v>
      </c>
      <c r="AB116" s="123">
        <v>0</v>
      </c>
      <c r="AC116" s="123">
        <v>147.37575721074319</v>
      </c>
      <c r="AD116" s="123">
        <v>427.22703549836325</v>
      </c>
      <c r="AE116" s="123">
        <v>569.88434986074344</v>
      </c>
      <c r="AF116" s="123">
        <v>673.0144468584183</v>
      </c>
      <c r="AG116" s="123">
        <v>728.961072634689</v>
      </c>
      <c r="AH116" s="123">
        <v>756.63368093308952</v>
      </c>
      <c r="AI116" s="123">
        <v>689.19034949600859</v>
      </c>
      <c r="AJ116" s="123">
        <v>719.27597126561216</v>
      </c>
      <c r="AK116" s="123">
        <v>735.20797783011403</v>
      </c>
      <c r="AL116" s="123">
        <v>793.51666073605293</v>
      </c>
      <c r="AM116" s="123">
        <v>592.58799734704894</v>
      </c>
      <c r="AN116" s="123">
        <v>717.25680399651571</v>
      </c>
      <c r="AO116" s="123">
        <v>705.2241146996605</v>
      </c>
      <c r="AP116" s="123">
        <v>734.91541890295457</v>
      </c>
      <c r="AQ116" s="123">
        <v>681.10578031741898</v>
      </c>
      <c r="AR116" s="123">
        <v>716.88635348755975</v>
      </c>
      <c r="AS116" s="123">
        <v>674.89445525534336</v>
      </c>
      <c r="AT116" s="123">
        <v>549.05301537937305</v>
      </c>
      <c r="AU116" s="123">
        <v>548.4757692162832</v>
      </c>
      <c r="AV116" s="123">
        <v>573.61492430907219</v>
      </c>
      <c r="AW116" s="123">
        <v>672.60264802545817</v>
      </c>
      <c r="AX116" s="123">
        <v>570.87177629884059</v>
      </c>
      <c r="AY116" s="123">
        <v>589.15244181693163</v>
      </c>
    </row>
    <row r="117" spans="1:52" x14ac:dyDescent="0.2">
      <c r="A117" s="126"/>
      <c r="B117" s="143">
        <v>9</v>
      </c>
      <c r="C117" s="123">
        <v>0</v>
      </c>
      <c r="D117" s="123">
        <v>0</v>
      </c>
      <c r="E117" s="123">
        <v>0</v>
      </c>
      <c r="F117" s="123">
        <v>0</v>
      </c>
      <c r="G117" s="123">
        <v>0</v>
      </c>
      <c r="H117" s="123">
        <v>0</v>
      </c>
      <c r="I117" s="123">
        <v>0</v>
      </c>
      <c r="J117" s="123">
        <v>0</v>
      </c>
      <c r="K117" s="123">
        <v>0</v>
      </c>
      <c r="L117" s="123">
        <v>0</v>
      </c>
      <c r="M117" s="123">
        <v>0</v>
      </c>
      <c r="N117" s="123">
        <v>0</v>
      </c>
      <c r="O117" s="123">
        <v>0</v>
      </c>
      <c r="P117" s="123">
        <v>0</v>
      </c>
      <c r="Q117" s="123">
        <v>0</v>
      </c>
      <c r="R117" s="123">
        <v>0</v>
      </c>
      <c r="S117" s="123">
        <v>0</v>
      </c>
      <c r="T117" s="123">
        <v>0</v>
      </c>
      <c r="U117" s="123">
        <v>0</v>
      </c>
      <c r="V117" s="123">
        <v>0</v>
      </c>
      <c r="W117" s="123">
        <v>0</v>
      </c>
      <c r="X117" s="123">
        <v>0</v>
      </c>
      <c r="Y117" s="123">
        <v>0</v>
      </c>
      <c r="Z117" s="123">
        <v>0</v>
      </c>
      <c r="AA117" s="123">
        <v>0</v>
      </c>
      <c r="AB117" s="123">
        <v>0</v>
      </c>
      <c r="AC117" s="123">
        <v>0</v>
      </c>
      <c r="AD117" s="123">
        <v>0</v>
      </c>
      <c r="AE117" s="123">
        <v>0</v>
      </c>
      <c r="AF117" s="123">
        <v>152.54586560877493</v>
      </c>
      <c r="AG117" s="123">
        <v>347.62891002816883</v>
      </c>
      <c r="AH117" s="123">
        <v>558.5248719033641</v>
      </c>
      <c r="AI117" s="123">
        <v>756.63368093308952</v>
      </c>
      <c r="AJ117" s="123">
        <v>689.19034949600859</v>
      </c>
      <c r="AK117" s="123">
        <v>719.27597126561216</v>
      </c>
      <c r="AL117" s="123">
        <v>735.20797783011403</v>
      </c>
      <c r="AM117" s="123">
        <v>793.51666073605293</v>
      </c>
      <c r="AN117" s="123">
        <v>592.58799734704894</v>
      </c>
      <c r="AO117" s="123">
        <v>717.25680399651571</v>
      </c>
      <c r="AP117" s="123">
        <v>705.2241146996605</v>
      </c>
      <c r="AQ117" s="123">
        <v>734.91541890295457</v>
      </c>
      <c r="AR117" s="123">
        <v>681.10578031741898</v>
      </c>
      <c r="AS117" s="123">
        <v>716.88635348755975</v>
      </c>
      <c r="AT117" s="123">
        <v>674.89445525534336</v>
      </c>
      <c r="AU117" s="123">
        <v>549.05301537937305</v>
      </c>
      <c r="AV117" s="123">
        <v>548.4757692162832</v>
      </c>
      <c r="AW117" s="123">
        <v>573.61492430907219</v>
      </c>
      <c r="AX117" s="123">
        <v>672.60264802545817</v>
      </c>
      <c r="AY117" s="123">
        <v>570.87177629884059</v>
      </c>
    </row>
    <row r="118" spans="1:52" x14ac:dyDescent="0.2">
      <c r="A118" s="126"/>
      <c r="B118" s="146">
        <v>10</v>
      </c>
      <c r="C118" s="123">
        <v>0</v>
      </c>
      <c r="D118" s="123">
        <v>0</v>
      </c>
      <c r="E118" s="123">
        <v>0</v>
      </c>
      <c r="F118" s="123">
        <v>0</v>
      </c>
      <c r="G118" s="123">
        <v>0</v>
      </c>
      <c r="H118" s="123">
        <v>0</v>
      </c>
      <c r="I118" s="123">
        <v>0</v>
      </c>
      <c r="J118" s="123">
        <v>0</v>
      </c>
      <c r="K118" s="123">
        <v>0</v>
      </c>
      <c r="L118" s="123">
        <v>0</v>
      </c>
      <c r="M118" s="123">
        <v>0</v>
      </c>
      <c r="N118" s="123">
        <v>0</v>
      </c>
      <c r="O118" s="123">
        <v>0</v>
      </c>
      <c r="P118" s="123">
        <v>0</v>
      </c>
      <c r="Q118" s="123">
        <v>0</v>
      </c>
      <c r="R118" s="123">
        <v>0</v>
      </c>
      <c r="S118" s="123">
        <v>0</v>
      </c>
      <c r="T118" s="123">
        <v>0</v>
      </c>
      <c r="U118" s="123">
        <v>0</v>
      </c>
      <c r="V118" s="123">
        <v>0</v>
      </c>
      <c r="W118" s="123">
        <v>0</v>
      </c>
      <c r="X118" s="123">
        <v>0</v>
      </c>
      <c r="Y118" s="123">
        <v>0</v>
      </c>
      <c r="Z118" s="123">
        <v>0</v>
      </c>
      <c r="AA118" s="123">
        <v>0</v>
      </c>
      <c r="AB118" s="123">
        <v>0</v>
      </c>
      <c r="AC118" s="123">
        <v>0</v>
      </c>
      <c r="AD118" s="123">
        <v>0</v>
      </c>
      <c r="AE118" s="123">
        <v>0</v>
      </c>
      <c r="AF118" s="123">
        <v>0</v>
      </c>
      <c r="AG118" s="123">
        <v>0</v>
      </c>
      <c r="AH118" s="123">
        <v>0</v>
      </c>
      <c r="AI118" s="123">
        <v>182.17808301252967</v>
      </c>
      <c r="AJ118" s="123">
        <v>489.75352530925556</v>
      </c>
      <c r="AK118" s="123">
        <v>689.19034949600859</v>
      </c>
      <c r="AL118" s="123">
        <v>719.27597126561216</v>
      </c>
      <c r="AM118" s="123">
        <v>735.20797783011403</v>
      </c>
      <c r="AN118" s="123">
        <v>793.51666073605293</v>
      </c>
      <c r="AO118" s="123">
        <v>592.58799734704894</v>
      </c>
      <c r="AP118" s="123">
        <v>717.25680399651571</v>
      </c>
      <c r="AQ118" s="123">
        <v>705.2241146996605</v>
      </c>
      <c r="AR118" s="123">
        <v>734.91541890295457</v>
      </c>
      <c r="AS118" s="123">
        <v>681.10578031741898</v>
      </c>
      <c r="AT118" s="123">
        <v>716.88635348755975</v>
      </c>
      <c r="AU118" s="123">
        <v>674.89445525534336</v>
      </c>
      <c r="AV118" s="123">
        <v>549.05301537937305</v>
      </c>
      <c r="AW118" s="123">
        <v>548.4757692162832</v>
      </c>
      <c r="AX118" s="123">
        <v>573.61492430907219</v>
      </c>
      <c r="AY118" s="123">
        <v>672.60264802545817</v>
      </c>
    </row>
    <row r="119" spans="1:52" x14ac:dyDescent="0.2">
      <c r="A119" s="126"/>
      <c r="B119" s="146">
        <v>11</v>
      </c>
      <c r="C119" s="123">
        <v>0</v>
      </c>
      <c r="D119" s="123">
        <v>0</v>
      </c>
      <c r="E119" s="123">
        <v>0</v>
      </c>
      <c r="F119" s="123">
        <v>0</v>
      </c>
      <c r="G119" s="123">
        <v>0</v>
      </c>
      <c r="H119" s="123">
        <v>0</v>
      </c>
      <c r="I119" s="123">
        <v>0</v>
      </c>
      <c r="J119" s="123">
        <v>0</v>
      </c>
      <c r="K119" s="123">
        <v>0</v>
      </c>
      <c r="L119" s="123">
        <v>0</v>
      </c>
      <c r="M119" s="123">
        <v>0</v>
      </c>
      <c r="N119" s="123">
        <v>0</v>
      </c>
      <c r="O119" s="123">
        <v>0</v>
      </c>
      <c r="P119" s="123">
        <v>0</v>
      </c>
      <c r="Q119" s="123">
        <v>0</v>
      </c>
      <c r="R119" s="123">
        <v>0</v>
      </c>
      <c r="S119" s="123">
        <v>0</v>
      </c>
      <c r="T119" s="123">
        <v>0</v>
      </c>
      <c r="U119" s="123">
        <v>0</v>
      </c>
      <c r="V119" s="123">
        <v>0</v>
      </c>
      <c r="W119" s="123">
        <v>0</v>
      </c>
      <c r="X119" s="123">
        <v>0</v>
      </c>
      <c r="Y119" s="123">
        <v>0</v>
      </c>
      <c r="Z119" s="123">
        <v>0</v>
      </c>
      <c r="AA119" s="123">
        <v>0</v>
      </c>
      <c r="AB119" s="123">
        <v>0</v>
      </c>
      <c r="AC119" s="123">
        <v>0</v>
      </c>
      <c r="AD119" s="123">
        <v>0</v>
      </c>
      <c r="AE119" s="123">
        <v>0</v>
      </c>
      <c r="AF119" s="123">
        <v>0</v>
      </c>
      <c r="AG119" s="123">
        <v>0</v>
      </c>
      <c r="AH119" s="123">
        <v>0</v>
      </c>
      <c r="AI119" s="123">
        <v>0</v>
      </c>
      <c r="AJ119" s="123">
        <v>0</v>
      </c>
      <c r="AK119" s="123">
        <v>46.435637785626056</v>
      </c>
      <c r="AL119" s="123">
        <v>238.7316834841663</v>
      </c>
      <c r="AM119" s="123">
        <v>434.77362128591233</v>
      </c>
      <c r="AN119" s="123">
        <v>691.62316105498508</v>
      </c>
      <c r="AO119" s="123">
        <v>793.51666073605293</v>
      </c>
      <c r="AP119" s="123">
        <v>592.58799734704894</v>
      </c>
      <c r="AQ119" s="123">
        <v>717.25680399651571</v>
      </c>
      <c r="AR119" s="123">
        <v>705.2241146996605</v>
      </c>
      <c r="AS119" s="123">
        <v>734.91541890295457</v>
      </c>
      <c r="AT119" s="123">
        <v>681.10578031741898</v>
      </c>
      <c r="AU119" s="123">
        <v>716.88635348755975</v>
      </c>
      <c r="AV119" s="123">
        <v>674.89445525534336</v>
      </c>
      <c r="AW119" s="123">
        <v>549.05301537937305</v>
      </c>
      <c r="AX119" s="123">
        <v>548.4757692162832</v>
      </c>
      <c r="AY119" s="123">
        <v>573.61492430907219</v>
      </c>
    </row>
    <row r="120" spans="1:52" x14ac:dyDescent="0.2">
      <c r="A120" s="126"/>
      <c r="B120" s="146">
        <v>12</v>
      </c>
      <c r="C120" s="123">
        <v>0</v>
      </c>
      <c r="D120" s="123">
        <v>0</v>
      </c>
      <c r="E120" s="123">
        <v>0</v>
      </c>
      <c r="F120" s="123">
        <v>0</v>
      </c>
      <c r="G120" s="123">
        <v>0</v>
      </c>
      <c r="H120" s="123">
        <v>0</v>
      </c>
      <c r="I120" s="123">
        <v>0</v>
      </c>
      <c r="J120" s="123">
        <v>0</v>
      </c>
      <c r="K120" s="123">
        <v>0</v>
      </c>
      <c r="L120" s="123">
        <v>0</v>
      </c>
      <c r="M120" s="123">
        <v>0</v>
      </c>
      <c r="N120" s="123">
        <v>0</v>
      </c>
      <c r="O120" s="123">
        <v>0</v>
      </c>
      <c r="P120" s="123">
        <v>0</v>
      </c>
      <c r="Q120" s="123">
        <v>0</v>
      </c>
      <c r="R120" s="123">
        <v>0</v>
      </c>
      <c r="S120" s="123">
        <v>0</v>
      </c>
      <c r="T120" s="123">
        <v>0</v>
      </c>
      <c r="U120" s="123">
        <v>0</v>
      </c>
      <c r="V120" s="123">
        <v>0</v>
      </c>
      <c r="W120" s="123">
        <v>0</v>
      </c>
      <c r="X120" s="123">
        <v>0</v>
      </c>
      <c r="Y120" s="123">
        <v>0</v>
      </c>
      <c r="Z120" s="123">
        <v>0</v>
      </c>
      <c r="AA120" s="123">
        <v>0</v>
      </c>
      <c r="AB120" s="123">
        <v>0</v>
      </c>
      <c r="AC120" s="123">
        <v>0</v>
      </c>
      <c r="AD120" s="123">
        <v>0</v>
      </c>
      <c r="AE120" s="123">
        <v>0</v>
      </c>
      <c r="AF120" s="123">
        <v>0</v>
      </c>
      <c r="AG120" s="123">
        <v>0</v>
      </c>
      <c r="AH120" s="123">
        <v>0</v>
      </c>
      <c r="AI120" s="123">
        <v>0</v>
      </c>
      <c r="AJ120" s="123">
        <v>0</v>
      </c>
      <c r="AK120" s="123">
        <v>0</v>
      </c>
      <c r="AL120" s="123">
        <v>0</v>
      </c>
      <c r="AM120" s="123">
        <v>0</v>
      </c>
      <c r="AN120" s="123">
        <v>0</v>
      </c>
      <c r="AO120" s="123">
        <v>228.39430348122693</v>
      </c>
      <c r="AP120" s="123">
        <v>593.9109642172798</v>
      </c>
      <c r="AQ120" s="123">
        <v>592.58799734704894</v>
      </c>
      <c r="AR120" s="123">
        <v>717.25680399651571</v>
      </c>
      <c r="AS120" s="123">
        <v>705.2241146996605</v>
      </c>
      <c r="AT120" s="123">
        <v>734.91541890295457</v>
      </c>
      <c r="AU120" s="123">
        <v>681.10578031741898</v>
      </c>
      <c r="AV120" s="123">
        <v>716.88635348755975</v>
      </c>
      <c r="AW120" s="123">
        <v>674.89445525534336</v>
      </c>
      <c r="AX120" s="123">
        <v>549.05301537937305</v>
      </c>
      <c r="AY120" s="123">
        <v>548.4757692162832</v>
      </c>
    </row>
    <row r="121" spans="1:52" x14ac:dyDescent="0.2">
      <c r="A121" s="144"/>
      <c r="B121" s="148" t="s">
        <v>296</v>
      </c>
      <c r="C121" s="130">
        <v>0</v>
      </c>
      <c r="D121" s="141">
        <v>0</v>
      </c>
      <c r="E121" s="141">
        <v>0</v>
      </c>
      <c r="F121" s="141">
        <v>0</v>
      </c>
      <c r="G121" s="141">
        <v>0</v>
      </c>
      <c r="H121" s="141">
        <v>0</v>
      </c>
      <c r="I121" s="141">
        <v>0</v>
      </c>
      <c r="J121" s="141">
        <v>0</v>
      </c>
      <c r="K121" s="141">
        <v>0</v>
      </c>
      <c r="L121" s="141">
        <v>0</v>
      </c>
      <c r="M121" s="141">
        <v>0</v>
      </c>
      <c r="N121" s="141">
        <v>0</v>
      </c>
      <c r="O121" s="141">
        <v>0</v>
      </c>
      <c r="P121" s="141">
        <v>0</v>
      </c>
      <c r="Q121" s="141">
        <v>0</v>
      </c>
      <c r="R121" s="141">
        <v>0</v>
      </c>
      <c r="S121" s="141">
        <v>0</v>
      </c>
      <c r="T121" s="141">
        <v>0</v>
      </c>
      <c r="U121" s="141">
        <v>0</v>
      </c>
      <c r="V121" s="141">
        <v>0</v>
      </c>
      <c r="W121" s="141">
        <v>0</v>
      </c>
      <c r="X121" s="141">
        <v>0</v>
      </c>
      <c r="Y121" s="141">
        <v>0</v>
      </c>
      <c r="Z121" s="141">
        <v>0</v>
      </c>
      <c r="AA121" s="141">
        <v>0</v>
      </c>
      <c r="AB121" s="141">
        <v>0</v>
      </c>
      <c r="AC121" s="141">
        <v>0</v>
      </c>
      <c r="AD121" s="141">
        <v>0</v>
      </c>
      <c r="AE121" s="141">
        <v>0</v>
      </c>
      <c r="AF121" s="141">
        <v>0</v>
      </c>
      <c r="AG121" s="141">
        <v>0</v>
      </c>
      <c r="AH121" s="141">
        <v>0</v>
      </c>
      <c r="AI121" s="141">
        <v>0</v>
      </c>
      <c r="AJ121" s="141">
        <v>0</v>
      </c>
      <c r="AK121" s="141">
        <v>0</v>
      </c>
      <c r="AL121" s="141">
        <v>0</v>
      </c>
      <c r="AM121" s="141">
        <v>0</v>
      </c>
      <c r="AN121" s="141">
        <v>0</v>
      </c>
      <c r="AO121" s="141">
        <v>0</v>
      </c>
      <c r="AP121" s="141">
        <v>0</v>
      </c>
      <c r="AQ121" s="141">
        <v>191.78103082475621</v>
      </c>
      <c r="AR121" s="141">
        <v>38.381035321732497</v>
      </c>
      <c r="AS121" s="141">
        <v>253.96762489203809</v>
      </c>
      <c r="AT121" s="141">
        <v>172.58342406242309</v>
      </c>
      <c r="AU121" s="141">
        <v>209.12285384719246</v>
      </c>
      <c r="AV121" s="141">
        <v>136.72352225290285</v>
      </c>
      <c r="AW121" s="141">
        <v>222.70619434855331</v>
      </c>
      <c r="AX121" s="141">
        <v>185.02256383677945</v>
      </c>
      <c r="AY121" s="141">
        <v>34.989341573771753</v>
      </c>
      <c r="AZ121" s="124">
        <f>SUM($D121:$AY121)</f>
        <v>1445.2775909601496</v>
      </c>
    </row>
    <row r="122" spans="1:52" x14ac:dyDescent="0.2">
      <c r="A122" s="147" t="s">
        <v>123</v>
      </c>
      <c r="B122" s="135">
        <v>1</v>
      </c>
      <c r="C122" s="123">
        <v>726.24251609767805</v>
      </c>
      <c r="D122" s="123">
        <v>620.87923391506524</v>
      </c>
      <c r="E122" s="123">
        <v>1046.5533674272524</v>
      </c>
      <c r="F122" s="123">
        <v>1214.4198273028987</v>
      </c>
      <c r="G122" s="123">
        <v>1064.4198273028987</v>
      </c>
      <c r="H122" s="123">
        <v>1214.4198273028987</v>
      </c>
      <c r="I122" s="123">
        <v>960.91982730289863</v>
      </c>
      <c r="J122" s="123">
        <v>1214.4198273028987</v>
      </c>
      <c r="K122" s="123">
        <v>1214.4198273028987</v>
      </c>
      <c r="L122" s="123">
        <v>1214.4198273028987</v>
      </c>
      <c r="M122" s="123">
        <v>770.87923391506524</v>
      </c>
      <c r="N122" s="123">
        <v>1214.4198273028987</v>
      </c>
      <c r="O122" s="123">
        <v>1110.9198273028987</v>
      </c>
      <c r="P122" s="123">
        <v>1209.9198273028987</v>
      </c>
      <c r="Q122" s="123">
        <v>1110.9198273028987</v>
      </c>
      <c r="R122" s="123">
        <v>1214.4198273028987</v>
      </c>
      <c r="S122" s="123">
        <v>1110.9198273028987</v>
      </c>
      <c r="T122" s="123">
        <v>1209.9198273028987</v>
      </c>
      <c r="U122" s="123">
        <v>1110.9198273028987</v>
      </c>
      <c r="V122" s="123">
        <v>1214.4198273028987</v>
      </c>
      <c r="W122" s="123">
        <v>724.37923391506524</v>
      </c>
      <c r="X122" s="123">
        <v>1204.3792339150652</v>
      </c>
      <c r="Y122" s="123">
        <v>960.91982730289874</v>
      </c>
      <c r="Z122" s="123">
        <v>1214.4198273028987</v>
      </c>
      <c r="AA122" s="123">
        <v>874.37923391506524</v>
      </c>
      <c r="AB122" s="123">
        <v>1214.4198273028987</v>
      </c>
      <c r="AC122" s="123">
        <v>960.91982730289874</v>
      </c>
      <c r="AD122" s="123">
        <v>1214.4198273028987</v>
      </c>
      <c r="AE122" s="123">
        <v>724.37923391506524</v>
      </c>
      <c r="AF122" s="123">
        <v>1209.9198273028987</v>
      </c>
      <c r="AG122" s="123">
        <v>1110.9198273028987</v>
      </c>
      <c r="AH122" s="123">
        <v>1209.9198273028987</v>
      </c>
      <c r="AI122" s="123">
        <v>1110.9198273028987</v>
      </c>
      <c r="AJ122" s="123">
        <v>1209.9198273028987</v>
      </c>
      <c r="AK122" s="123">
        <v>1214.4198273028987</v>
      </c>
      <c r="AL122" s="123">
        <v>874.37923391506524</v>
      </c>
      <c r="AM122" s="123">
        <v>1204.3792339150652</v>
      </c>
      <c r="AN122" s="123">
        <v>1209.9198273028987</v>
      </c>
      <c r="AO122" s="123">
        <v>1110.9198273028987</v>
      </c>
      <c r="AP122" s="123">
        <v>874.37923391506524</v>
      </c>
      <c r="AQ122" s="123">
        <v>1214.4198273028987</v>
      </c>
      <c r="AR122" s="123">
        <v>869.87923391506524</v>
      </c>
      <c r="AS122" s="123">
        <v>1404.4604206907325</v>
      </c>
      <c r="AT122" s="123">
        <v>874.37923391506524</v>
      </c>
      <c r="AU122" s="123">
        <v>1404.4604206907325</v>
      </c>
      <c r="AV122" s="123">
        <v>1209.9198273028987</v>
      </c>
      <c r="AW122" s="123">
        <v>1214.4198273028987</v>
      </c>
      <c r="AX122" s="123">
        <v>770.87923391506524</v>
      </c>
      <c r="AY122" s="123">
        <v>1059.9198273028987</v>
      </c>
    </row>
    <row r="123" spans="1:52" x14ac:dyDescent="0.2">
      <c r="A123" s="126"/>
      <c r="B123" s="135">
        <v>2</v>
      </c>
      <c r="C123" s="123">
        <v>0</v>
      </c>
      <c r="D123" s="123">
        <v>0</v>
      </c>
      <c r="E123" s="123">
        <v>0</v>
      </c>
      <c r="F123" s="123">
        <v>363.09625073586432</v>
      </c>
      <c r="G123" s="123">
        <v>617.31855644706491</v>
      </c>
      <c r="H123" s="123">
        <v>801.28528833708799</v>
      </c>
      <c r="I123" s="123">
        <v>800.56509305167992</v>
      </c>
      <c r="J123" s="123">
        <v>864.01372037108661</v>
      </c>
      <c r="K123" s="123">
        <v>846.97371115273461</v>
      </c>
      <c r="L123" s="123">
        <v>846.97371115273461</v>
      </c>
      <c r="M123" s="123">
        <v>846.97371115273461</v>
      </c>
      <c r="N123" s="123">
        <v>981.17546307674138</v>
      </c>
      <c r="O123" s="123">
        <v>846.97371115273461</v>
      </c>
      <c r="P123" s="123">
        <v>774.78963021674076</v>
      </c>
      <c r="Q123" s="123">
        <v>848.33527285116963</v>
      </c>
      <c r="R123" s="123">
        <v>774.78963021674076</v>
      </c>
      <c r="S123" s="123">
        <v>846.97371115273461</v>
      </c>
      <c r="T123" s="123">
        <v>878.28963021674076</v>
      </c>
      <c r="U123" s="123">
        <v>848.33527285116963</v>
      </c>
      <c r="V123" s="123">
        <v>878.28963021674076</v>
      </c>
      <c r="W123" s="123">
        <v>846.97371115273461</v>
      </c>
      <c r="X123" s="123">
        <v>655.20434057273667</v>
      </c>
      <c r="Y123" s="123">
        <v>1190.0522795153315</v>
      </c>
      <c r="Z123" s="123">
        <v>670.17502016457593</v>
      </c>
      <c r="AA123" s="123">
        <v>846.97371115273461</v>
      </c>
      <c r="AB123" s="123">
        <v>609.8189506249015</v>
      </c>
      <c r="AC123" s="123">
        <v>846.97371115273461</v>
      </c>
      <c r="AD123" s="123">
        <v>923.67502016457593</v>
      </c>
      <c r="AE123" s="123">
        <v>846.97371115273461</v>
      </c>
      <c r="AF123" s="123">
        <v>845.24493396057017</v>
      </c>
      <c r="AG123" s="123">
        <v>848.33527285116963</v>
      </c>
      <c r="AH123" s="123">
        <v>878.28963021674076</v>
      </c>
      <c r="AI123" s="123">
        <v>848.33527285116963</v>
      </c>
      <c r="AJ123" s="123">
        <v>878.28963021674076</v>
      </c>
      <c r="AK123" s="123">
        <v>843.83527285116963</v>
      </c>
      <c r="AL123" s="123">
        <v>846.97371115273461</v>
      </c>
      <c r="AM123" s="123">
        <v>608.34872715353526</v>
      </c>
      <c r="AN123" s="123">
        <v>685.89375379127603</v>
      </c>
      <c r="AO123" s="123">
        <v>761.96979921134448</v>
      </c>
      <c r="AP123" s="123">
        <v>878.28963021674076</v>
      </c>
      <c r="AQ123" s="123">
        <v>609.8189506249015</v>
      </c>
      <c r="AR123" s="123">
        <v>695.80611294880373</v>
      </c>
      <c r="AS123" s="123">
        <v>606.68051232333653</v>
      </c>
      <c r="AT123" s="123">
        <v>1027.4428927459403</v>
      </c>
      <c r="AU123" s="123">
        <v>609.8189506249015</v>
      </c>
      <c r="AV123" s="123">
        <v>928.27107049089568</v>
      </c>
      <c r="AW123" s="123">
        <v>843.83527285116963</v>
      </c>
      <c r="AX123" s="123">
        <v>846.97371115273461</v>
      </c>
      <c r="AY123" s="123">
        <v>537.63486968890777</v>
      </c>
    </row>
    <row r="124" spans="1:52" x14ac:dyDescent="0.2">
      <c r="A124" s="126"/>
      <c r="B124" s="135">
        <v>3</v>
      </c>
      <c r="C124" s="123">
        <v>0</v>
      </c>
      <c r="D124" s="123">
        <v>0</v>
      </c>
      <c r="E124" s="123">
        <v>0</v>
      </c>
      <c r="F124" s="123">
        <v>0</v>
      </c>
      <c r="G124" s="123">
        <v>0</v>
      </c>
      <c r="H124" s="123">
        <v>0</v>
      </c>
      <c r="I124" s="123">
        <v>0</v>
      </c>
      <c r="J124" s="123">
        <v>0</v>
      </c>
      <c r="K124" s="123">
        <v>6.947307920070898</v>
      </c>
      <c r="L124" s="123">
        <v>9.2927731469370656</v>
      </c>
      <c r="M124" s="123">
        <v>113.90358939868253</v>
      </c>
      <c r="N124" s="123">
        <v>129.14536070108898</v>
      </c>
      <c r="O124" s="123">
        <v>239.98866013720453</v>
      </c>
      <c r="P124" s="123">
        <v>212.08096409248969</v>
      </c>
      <c r="Q124" s="123">
        <v>297.37393157372946</v>
      </c>
      <c r="R124" s="123">
        <v>203.87701484890209</v>
      </c>
      <c r="S124" s="123">
        <v>299.68173185613216</v>
      </c>
      <c r="T124" s="123">
        <v>382.98496911932216</v>
      </c>
      <c r="U124" s="123">
        <v>332.65166918828487</v>
      </c>
      <c r="V124" s="123">
        <v>342.6048995935397</v>
      </c>
      <c r="W124" s="123">
        <v>357.444455482742</v>
      </c>
      <c r="X124" s="123">
        <v>364.74824561542493</v>
      </c>
      <c r="Y124" s="123">
        <v>258.26489700350521</v>
      </c>
      <c r="Z124" s="123">
        <v>616.10091102247054</v>
      </c>
      <c r="AA124" s="123">
        <v>556.44069167790508</v>
      </c>
      <c r="AB124" s="123">
        <v>552.98869139326644</v>
      </c>
      <c r="AC124" s="123">
        <v>621.98966407433727</v>
      </c>
      <c r="AD124" s="123">
        <v>484.50020453528072</v>
      </c>
      <c r="AE124" s="123">
        <v>387.16718011396785</v>
      </c>
      <c r="AF124" s="123">
        <v>315.38930301001363</v>
      </c>
      <c r="AG124" s="123">
        <v>371.53058498677274</v>
      </c>
      <c r="AH124" s="123">
        <v>340.70682946494611</v>
      </c>
      <c r="AI124" s="123">
        <v>291.81880633962703</v>
      </c>
      <c r="AJ124" s="123">
        <v>281.12025732317193</v>
      </c>
      <c r="AK124" s="123">
        <v>172.29020098045265</v>
      </c>
      <c r="AL124" s="123">
        <v>93.282830928974704</v>
      </c>
      <c r="AM124" s="123">
        <v>0</v>
      </c>
      <c r="AN124" s="123">
        <v>0</v>
      </c>
      <c r="AO124" s="123">
        <v>350.08118677566711</v>
      </c>
      <c r="AP124" s="123">
        <v>134.07853504771134</v>
      </c>
      <c r="AQ124" s="123">
        <v>122.92673886325156</v>
      </c>
      <c r="AR124" s="123">
        <v>340.04059338783355</v>
      </c>
      <c r="AS124" s="123">
        <v>174.14214927703352</v>
      </c>
      <c r="AT124" s="123">
        <v>4.5</v>
      </c>
      <c r="AU124" s="123">
        <v>158.91612374903502</v>
      </c>
      <c r="AV124" s="123">
        <v>0</v>
      </c>
      <c r="AW124" s="123">
        <v>59.224614608398383</v>
      </c>
      <c r="AX124" s="123">
        <v>55.449828450333598</v>
      </c>
      <c r="AY124" s="123">
        <v>88.314237510861119</v>
      </c>
    </row>
    <row r="125" spans="1:52" x14ac:dyDescent="0.2">
      <c r="A125" s="126"/>
      <c r="B125" s="135">
        <v>4</v>
      </c>
      <c r="C125" s="123">
        <v>0</v>
      </c>
      <c r="D125" s="123">
        <v>0</v>
      </c>
      <c r="E125" s="123">
        <v>0</v>
      </c>
      <c r="F125" s="123">
        <v>0</v>
      </c>
      <c r="G125" s="123">
        <v>0</v>
      </c>
      <c r="H125" s="123">
        <v>0</v>
      </c>
      <c r="I125" s="123">
        <v>0</v>
      </c>
      <c r="J125" s="123">
        <v>0</v>
      </c>
      <c r="K125" s="123">
        <v>0</v>
      </c>
      <c r="L125" s="123">
        <v>0</v>
      </c>
      <c r="M125" s="123">
        <v>0</v>
      </c>
      <c r="N125" s="123">
        <v>0</v>
      </c>
      <c r="O125" s="123">
        <v>0</v>
      </c>
      <c r="P125" s="123">
        <v>0</v>
      </c>
      <c r="Q125" s="123">
        <v>0</v>
      </c>
      <c r="R125" s="123">
        <v>0</v>
      </c>
      <c r="S125" s="123">
        <v>0</v>
      </c>
      <c r="T125" s="123">
        <v>0</v>
      </c>
      <c r="U125" s="123">
        <v>0</v>
      </c>
      <c r="V125" s="123">
        <v>0</v>
      </c>
      <c r="W125" s="123">
        <v>0</v>
      </c>
      <c r="X125" s="123">
        <v>0</v>
      </c>
      <c r="Y125" s="123">
        <v>0</v>
      </c>
      <c r="Z125" s="123">
        <v>0</v>
      </c>
      <c r="AA125" s="123">
        <v>0</v>
      </c>
      <c r="AB125" s="123">
        <v>0</v>
      </c>
      <c r="AC125" s="123">
        <v>0</v>
      </c>
      <c r="AD125" s="123">
        <v>0</v>
      </c>
      <c r="AE125" s="123">
        <v>0</v>
      </c>
      <c r="AF125" s="123">
        <v>0</v>
      </c>
      <c r="AG125" s="123">
        <v>0</v>
      </c>
      <c r="AH125" s="123">
        <v>0</v>
      </c>
      <c r="AI125" s="123">
        <v>0</v>
      </c>
      <c r="AJ125" s="123">
        <v>0</v>
      </c>
      <c r="AK125" s="123">
        <v>0</v>
      </c>
      <c r="AL125" s="123">
        <v>0</v>
      </c>
      <c r="AM125" s="123">
        <v>0</v>
      </c>
      <c r="AN125" s="123">
        <v>0</v>
      </c>
      <c r="AO125" s="123">
        <v>0</v>
      </c>
      <c r="AP125" s="123">
        <v>0</v>
      </c>
      <c r="AQ125" s="123">
        <v>0</v>
      </c>
      <c r="AR125" s="123">
        <v>0</v>
      </c>
      <c r="AS125" s="123">
        <v>0</v>
      </c>
      <c r="AT125" s="123">
        <v>0</v>
      </c>
      <c r="AU125" s="123">
        <v>0</v>
      </c>
      <c r="AV125" s="123">
        <v>0</v>
      </c>
      <c r="AW125" s="123">
        <v>0</v>
      </c>
      <c r="AX125" s="123">
        <v>0</v>
      </c>
      <c r="AY125" s="123">
        <v>0</v>
      </c>
    </row>
    <row r="126" spans="1:52" x14ac:dyDescent="0.2">
      <c r="A126" s="126"/>
      <c r="B126" s="135">
        <v>5</v>
      </c>
      <c r="C126" s="123">
        <v>0</v>
      </c>
      <c r="D126" s="123">
        <v>0</v>
      </c>
      <c r="E126" s="123">
        <v>0</v>
      </c>
      <c r="F126" s="123">
        <v>0</v>
      </c>
      <c r="G126" s="123">
        <v>0</v>
      </c>
      <c r="H126" s="123">
        <v>0</v>
      </c>
      <c r="I126" s="123">
        <v>0</v>
      </c>
      <c r="J126" s="123">
        <v>0</v>
      </c>
      <c r="K126" s="123">
        <v>0</v>
      </c>
      <c r="L126" s="123">
        <v>0</v>
      </c>
      <c r="M126" s="123">
        <v>0</v>
      </c>
      <c r="N126" s="123">
        <v>0</v>
      </c>
      <c r="O126" s="123">
        <v>0</v>
      </c>
      <c r="P126" s="123">
        <v>0</v>
      </c>
      <c r="Q126" s="123">
        <v>0</v>
      </c>
      <c r="R126" s="123">
        <v>0</v>
      </c>
      <c r="S126" s="123">
        <v>0</v>
      </c>
      <c r="T126" s="123">
        <v>0</v>
      </c>
      <c r="U126" s="123">
        <v>0</v>
      </c>
      <c r="V126" s="123">
        <v>0</v>
      </c>
      <c r="W126" s="123">
        <v>0</v>
      </c>
      <c r="X126" s="123">
        <v>0</v>
      </c>
      <c r="Y126" s="123">
        <v>0</v>
      </c>
      <c r="Z126" s="123">
        <v>0</v>
      </c>
      <c r="AA126" s="123">
        <v>0</v>
      </c>
      <c r="AB126" s="123">
        <v>0</v>
      </c>
      <c r="AC126" s="123">
        <v>0</v>
      </c>
      <c r="AD126" s="123">
        <v>0</v>
      </c>
      <c r="AE126" s="123">
        <v>0</v>
      </c>
      <c r="AF126" s="123">
        <v>0</v>
      </c>
      <c r="AG126" s="123">
        <v>0</v>
      </c>
      <c r="AH126" s="123">
        <v>0</v>
      </c>
      <c r="AI126" s="123">
        <v>0</v>
      </c>
      <c r="AJ126" s="123">
        <v>0</v>
      </c>
      <c r="AK126" s="123">
        <v>0</v>
      </c>
      <c r="AL126" s="123">
        <v>0</v>
      </c>
      <c r="AM126" s="123">
        <v>0</v>
      </c>
      <c r="AN126" s="123">
        <v>0</v>
      </c>
      <c r="AO126" s="123">
        <v>0</v>
      </c>
      <c r="AP126" s="123">
        <v>0</v>
      </c>
      <c r="AQ126" s="123">
        <v>0</v>
      </c>
      <c r="AR126" s="123">
        <v>0</v>
      </c>
      <c r="AS126" s="123">
        <v>0</v>
      </c>
      <c r="AT126" s="123">
        <v>0</v>
      </c>
      <c r="AU126" s="123">
        <v>0</v>
      </c>
      <c r="AV126" s="123">
        <v>0</v>
      </c>
      <c r="AW126" s="123">
        <v>0</v>
      </c>
      <c r="AX126" s="123">
        <v>0</v>
      </c>
      <c r="AY126" s="123">
        <v>0</v>
      </c>
    </row>
    <row r="127" spans="1:52" x14ac:dyDescent="0.2">
      <c r="A127" s="126"/>
      <c r="B127" s="135">
        <v>6</v>
      </c>
      <c r="C127" s="123">
        <v>0</v>
      </c>
      <c r="D127" s="123">
        <v>0</v>
      </c>
      <c r="E127" s="123">
        <v>0</v>
      </c>
      <c r="F127" s="123">
        <v>0</v>
      </c>
      <c r="G127" s="123">
        <v>0</v>
      </c>
      <c r="H127" s="123">
        <v>0</v>
      </c>
      <c r="I127" s="123">
        <v>0</v>
      </c>
      <c r="J127" s="123">
        <v>0</v>
      </c>
      <c r="K127" s="123">
        <v>0</v>
      </c>
      <c r="L127" s="123">
        <v>0</v>
      </c>
      <c r="M127" s="123">
        <v>0</v>
      </c>
      <c r="N127" s="123">
        <v>0</v>
      </c>
      <c r="O127" s="123">
        <v>0</v>
      </c>
      <c r="P127" s="123">
        <v>0</v>
      </c>
      <c r="Q127" s="123">
        <v>0</v>
      </c>
      <c r="R127" s="123">
        <v>0</v>
      </c>
      <c r="S127" s="123">
        <v>0</v>
      </c>
      <c r="T127" s="123">
        <v>0</v>
      </c>
      <c r="U127" s="123">
        <v>0</v>
      </c>
      <c r="V127" s="123">
        <v>0</v>
      </c>
      <c r="W127" s="123">
        <v>0</v>
      </c>
      <c r="X127" s="123">
        <v>0</v>
      </c>
      <c r="Y127" s="123">
        <v>0</v>
      </c>
      <c r="Z127" s="123">
        <v>0</v>
      </c>
      <c r="AA127" s="123">
        <v>0</v>
      </c>
      <c r="AB127" s="123">
        <v>0</v>
      </c>
      <c r="AC127" s="123">
        <v>0</v>
      </c>
      <c r="AD127" s="123">
        <v>0</v>
      </c>
      <c r="AE127" s="123">
        <v>0</v>
      </c>
      <c r="AF127" s="123">
        <v>0</v>
      </c>
      <c r="AG127" s="123">
        <v>0</v>
      </c>
      <c r="AH127" s="123">
        <v>0</v>
      </c>
      <c r="AI127" s="123">
        <v>0</v>
      </c>
      <c r="AJ127" s="123">
        <v>0</v>
      </c>
      <c r="AK127" s="123">
        <v>0</v>
      </c>
      <c r="AL127" s="123">
        <v>0</v>
      </c>
      <c r="AM127" s="123">
        <v>0</v>
      </c>
      <c r="AN127" s="123">
        <v>0</v>
      </c>
      <c r="AO127" s="123">
        <v>0</v>
      </c>
      <c r="AP127" s="123">
        <v>0</v>
      </c>
      <c r="AQ127" s="123">
        <v>0</v>
      </c>
      <c r="AR127" s="123">
        <v>0</v>
      </c>
      <c r="AS127" s="123">
        <v>0</v>
      </c>
      <c r="AT127" s="123">
        <v>0</v>
      </c>
      <c r="AU127" s="123">
        <v>0</v>
      </c>
      <c r="AV127" s="123">
        <v>0</v>
      </c>
      <c r="AW127" s="123">
        <v>0</v>
      </c>
      <c r="AX127" s="123">
        <v>0</v>
      </c>
      <c r="AY127" s="123">
        <v>0</v>
      </c>
    </row>
    <row r="128" spans="1:52" x14ac:dyDescent="0.2">
      <c r="A128" s="126"/>
      <c r="B128" s="135">
        <v>7</v>
      </c>
      <c r="C128" s="123">
        <v>0</v>
      </c>
      <c r="D128" s="123">
        <v>0</v>
      </c>
      <c r="E128" s="123">
        <v>0</v>
      </c>
      <c r="F128" s="123">
        <v>0</v>
      </c>
      <c r="G128" s="123">
        <v>0</v>
      </c>
      <c r="H128" s="123">
        <v>0</v>
      </c>
      <c r="I128" s="123">
        <v>0</v>
      </c>
      <c r="J128" s="123">
        <v>0</v>
      </c>
      <c r="K128" s="123">
        <v>0</v>
      </c>
      <c r="L128" s="123">
        <v>0</v>
      </c>
      <c r="M128" s="123">
        <v>0</v>
      </c>
      <c r="N128" s="123">
        <v>0</v>
      </c>
      <c r="O128" s="123">
        <v>0</v>
      </c>
      <c r="P128" s="123">
        <v>0</v>
      </c>
      <c r="Q128" s="123">
        <v>0</v>
      </c>
      <c r="R128" s="123">
        <v>0</v>
      </c>
      <c r="S128" s="123">
        <v>0</v>
      </c>
      <c r="T128" s="123">
        <v>0</v>
      </c>
      <c r="U128" s="123">
        <v>0</v>
      </c>
      <c r="V128" s="123">
        <v>0</v>
      </c>
      <c r="W128" s="123">
        <v>0</v>
      </c>
      <c r="X128" s="123">
        <v>0</v>
      </c>
      <c r="Y128" s="123">
        <v>0</v>
      </c>
      <c r="Z128" s="123">
        <v>0</v>
      </c>
      <c r="AA128" s="123">
        <v>0</v>
      </c>
      <c r="AB128" s="123">
        <v>0</v>
      </c>
      <c r="AC128" s="123">
        <v>0</v>
      </c>
      <c r="AD128" s="123">
        <v>0</v>
      </c>
      <c r="AE128" s="123">
        <v>0</v>
      </c>
      <c r="AF128" s="123">
        <v>0</v>
      </c>
      <c r="AG128" s="123">
        <v>0</v>
      </c>
      <c r="AH128" s="123">
        <v>0</v>
      </c>
      <c r="AI128" s="123">
        <v>0</v>
      </c>
      <c r="AJ128" s="123">
        <v>0</v>
      </c>
      <c r="AK128" s="123">
        <v>0</v>
      </c>
      <c r="AL128" s="123">
        <v>0</v>
      </c>
      <c r="AM128" s="123">
        <v>0</v>
      </c>
      <c r="AN128" s="123">
        <v>0</v>
      </c>
      <c r="AO128" s="123">
        <v>0</v>
      </c>
      <c r="AP128" s="123">
        <v>0</v>
      </c>
      <c r="AQ128" s="123">
        <v>0</v>
      </c>
      <c r="AR128" s="123">
        <v>0</v>
      </c>
      <c r="AS128" s="123">
        <v>0</v>
      </c>
      <c r="AT128" s="123">
        <v>0</v>
      </c>
      <c r="AU128" s="123">
        <v>0</v>
      </c>
      <c r="AV128" s="123">
        <v>0</v>
      </c>
      <c r="AW128" s="123">
        <v>0</v>
      </c>
      <c r="AX128" s="123">
        <v>0</v>
      </c>
      <c r="AY128" s="123">
        <v>0</v>
      </c>
    </row>
    <row r="129" spans="1:51" x14ac:dyDescent="0.2">
      <c r="A129" s="126"/>
      <c r="B129" s="135">
        <v>8</v>
      </c>
      <c r="C129" s="123">
        <v>0</v>
      </c>
      <c r="D129" s="123">
        <v>0</v>
      </c>
      <c r="E129" s="123">
        <v>0</v>
      </c>
      <c r="F129" s="123">
        <v>0</v>
      </c>
      <c r="G129" s="123">
        <v>0</v>
      </c>
      <c r="H129" s="123">
        <v>0</v>
      </c>
      <c r="I129" s="123">
        <v>0</v>
      </c>
      <c r="J129" s="123">
        <v>0</v>
      </c>
      <c r="K129" s="123">
        <v>0</v>
      </c>
      <c r="L129" s="123">
        <v>0</v>
      </c>
      <c r="M129" s="123">
        <v>0</v>
      </c>
      <c r="N129" s="123">
        <v>0</v>
      </c>
      <c r="O129" s="123">
        <v>0</v>
      </c>
      <c r="P129" s="123">
        <v>0</v>
      </c>
      <c r="Q129" s="123">
        <v>0</v>
      </c>
      <c r="R129" s="123">
        <v>0</v>
      </c>
      <c r="S129" s="123">
        <v>0</v>
      </c>
      <c r="T129" s="123">
        <v>0</v>
      </c>
      <c r="U129" s="123">
        <v>0</v>
      </c>
      <c r="V129" s="123">
        <v>0</v>
      </c>
      <c r="W129" s="123">
        <v>0</v>
      </c>
      <c r="X129" s="123">
        <v>0</v>
      </c>
      <c r="Y129" s="123">
        <v>0</v>
      </c>
      <c r="Z129" s="123">
        <v>0</v>
      </c>
      <c r="AA129" s="123">
        <v>0</v>
      </c>
      <c r="AB129" s="123">
        <v>0</v>
      </c>
      <c r="AC129" s="123">
        <v>0</v>
      </c>
      <c r="AD129" s="123">
        <v>0</v>
      </c>
      <c r="AE129" s="123">
        <v>0</v>
      </c>
      <c r="AF129" s="123">
        <v>0</v>
      </c>
      <c r="AG129" s="123">
        <v>0</v>
      </c>
      <c r="AH129" s="123">
        <v>0</v>
      </c>
      <c r="AI129" s="123">
        <v>0</v>
      </c>
      <c r="AJ129" s="123">
        <v>0</v>
      </c>
      <c r="AK129" s="123">
        <v>0</v>
      </c>
      <c r="AL129" s="123">
        <v>0</v>
      </c>
      <c r="AM129" s="123">
        <v>0</v>
      </c>
      <c r="AN129" s="123">
        <v>0</v>
      </c>
      <c r="AO129" s="123">
        <v>0</v>
      </c>
      <c r="AP129" s="123">
        <v>0</v>
      </c>
      <c r="AQ129" s="123">
        <v>0</v>
      </c>
      <c r="AR129" s="123">
        <v>0</v>
      </c>
      <c r="AS129" s="123">
        <v>0</v>
      </c>
      <c r="AT129" s="123">
        <v>0</v>
      </c>
      <c r="AU129" s="123">
        <v>0</v>
      </c>
      <c r="AV129" s="123">
        <v>0</v>
      </c>
      <c r="AW129" s="123">
        <v>0</v>
      </c>
      <c r="AX129" s="123">
        <v>0</v>
      </c>
      <c r="AY129" s="123">
        <v>0</v>
      </c>
    </row>
    <row r="130" spans="1:51" x14ac:dyDescent="0.2">
      <c r="A130" s="126"/>
      <c r="B130" s="135">
        <v>9</v>
      </c>
      <c r="C130" s="123">
        <v>0</v>
      </c>
      <c r="D130" s="123">
        <v>0</v>
      </c>
      <c r="E130" s="123">
        <v>0</v>
      </c>
      <c r="F130" s="123">
        <v>0</v>
      </c>
      <c r="G130" s="123">
        <v>0</v>
      </c>
      <c r="H130" s="123">
        <v>0</v>
      </c>
      <c r="I130" s="123">
        <v>0</v>
      </c>
      <c r="J130" s="123">
        <v>0</v>
      </c>
      <c r="K130" s="123">
        <v>0</v>
      </c>
      <c r="L130" s="123">
        <v>0</v>
      </c>
      <c r="M130" s="123">
        <v>0</v>
      </c>
      <c r="N130" s="123">
        <v>0</v>
      </c>
      <c r="O130" s="123">
        <v>0</v>
      </c>
      <c r="P130" s="123">
        <v>0</v>
      </c>
      <c r="Q130" s="123">
        <v>0</v>
      </c>
      <c r="R130" s="123">
        <v>0</v>
      </c>
      <c r="S130" s="123">
        <v>0</v>
      </c>
      <c r="T130" s="123">
        <v>0</v>
      </c>
      <c r="U130" s="123">
        <v>0</v>
      </c>
      <c r="V130" s="123">
        <v>0</v>
      </c>
      <c r="W130" s="123">
        <v>0</v>
      </c>
      <c r="X130" s="123">
        <v>0</v>
      </c>
      <c r="Y130" s="123">
        <v>0</v>
      </c>
      <c r="Z130" s="123">
        <v>0</v>
      </c>
      <c r="AA130" s="123">
        <v>0</v>
      </c>
      <c r="AB130" s="123">
        <v>0</v>
      </c>
      <c r="AC130" s="123">
        <v>0</v>
      </c>
      <c r="AD130" s="123">
        <v>0</v>
      </c>
      <c r="AE130" s="123">
        <v>0</v>
      </c>
      <c r="AF130" s="123">
        <v>0</v>
      </c>
      <c r="AG130" s="123">
        <v>0</v>
      </c>
      <c r="AH130" s="123">
        <v>0</v>
      </c>
      <c r="AI130" s="123">
        <v>0</v>
      </c>
      <c r="AJ130" s="123">
        <v>0</v>
      </c>
      <c r="AK130" s="123">
        <v>0</v>
      </c>
      <c r="AL130" s="123">
        <v>0</v>
      </c>
      <c r="AM130" s="123">
        <v>0</v>
      </c>
      <c r="AN130" s="123">
        <v>0</v>
      </c>
      <c r="AO130" s="123">
        <v>0</v>
      </c>
      <c r="AP130" s="123">
        <v>0</v>
      </c>
      <c r="AQ130" s="123">
        <v>0</v>
      </c>
      <c r="AR130" s="123">
        <v>0</v>
      </c>
      <c r="AS130" s="123">
        <v>0</v>
      </c>
      <c r="AT130" s="123">
        <v>0</v>
      </c>
      <c r="AU130" s="123">
        <v>0</v>
      </c>
      <c r="AV130" s="123">
        <v>0</v>
      </c>
      <c r="AW130" s="123">
        <v>0</v>
      </c>
      <c r="AX130" s="123">
        <v>0</v>
      </c>
      <c r="AY130" s="123">
        <v>0</v>
      </c>
    </row>
    <row r="131" spans="1:51" x14ac:dyDescent="0.2">
      <c r="A131" s="126"/>
      <c r="B131" s="135">
        <v>10</v>
      </c>
      <c r="C131" s="123">
        <v>0</v>
      </c>
      <c r="D131" s="123">
        <v>0</v>
      </c>
      <c r="E131" s="123">
        <v>0</v>
      </c>
      <c r="F131" s="123">
        <v>0</v>
      </c>
      <c r="G131" s="123">
        <v>0</v>
      </c>
      <c r="H131" s="123">
        <v>0</v>
      </c>
      <c r="I131" s="123">
        <v>0</v>
      </c>
      <c r="J131" s="123">
        <v>0</v>
      </c>
      <c r="K131" s="123">
        <v>0</v>
      </c>
      <c r="L131" s="123">
        <v>0</v>
      </c>
      <c r="M131" s="123">
        <v>0</v>
      </c>
      <c r="N131" s="123">
        <v>0</v>
      </c>
      <c r="O131" s="123">
        <v>0</v>
      </c>
      <c r="P131" s="123">
        <v>0</v>
      </c>
      <c r="Q131" s="123">
        <v>0</v>
      </c>
      <c r="R131" s="123">
        <v>0</v>
      </c>
      <c r="S131" s="123">
        <v>0</v>
      </c>
      <c r="T131" s="123">
        <v>0</v>
      </c>
      <c r="U131" s="123">
        <v>0</v>
      </c>
      <c r="V131" s="123">
        <v>0</v>
      </c>
      <c r="W131" s="123">
        <v>0</v>
      </c>
      <c r="X131" s="123">
        <v>0</v>
      </c>
      <c r="Y131" s="123">
        <v>0</v>
      </c>
      <c r="Z131" s="123">
        <v>0</v>
      </c>
      <c r="AA131" s="123">
        <v>0</v>
      </c>
      <c r="AB131" s="123">
        <v>0</v>
      </c>
      <c r="AC131" s="123">
        <v>0</v>
      </c>
      <c r="AD131" s="123">
        <v>0</v>
      </c>
      <c r="AE131" s="123">
        <v>0</v>
      </c>
      <c r="AF131" s="123">
        <v>0</v>
      </c>
      <c r="AG131" s="123">
        <v>0</v>
      </c>
      <c r="AH131" s="123">
        <v>0</v>
      </c>
      <c r="AI131" s="123">
        <v>0</v>
      </c>
      <c r="AJ131" s="123">
        <v>0</v>
      </c>
      <c r="AK131" s="123">
        <v>0</v>
      </c>
      <c r="AL131" s="123">
        <v>0</v>
      </c>
      <c r="AM131" s="123">
        <v>0</v>
      </c>
      <c r="AN131" s="123">
        <v>0</v>
      </c>
      <c r="AO131" s="123">
        <v>0</v>
      </c>
      <c r="AP131" s="123">
        <v>0</v>
      </c>
      <c r="AQ131" s="123">
        <v>0</v>
      </c>
      <c r="AR131" s="123">
        <v>0</v>
      </c>
      <c r="AS131" s="123">
        <v>0</v>
      </c>
      <c r="AT131" s="123">
        <v>0</v>
      </c>
      <c r="AU131" s="123">
        <v>0</v>
      </c>
      <c r="AV131" s="123">
        <v>0</v>
      </c>
      <c r="AW131" s="123">
        <v>0</v>
      </c>
      <c r="AX131" s="123">
        <v>0</v>
      </c>
      <c r="AY131" s="123">
        <v>0</v>
      </c>
    </row>
    <row r="132" spans="1:51" x14ac:dyDescent="0.2">
      <c r="A132" s="126"/>
      <c r="B132" s="135">
        <v>11</v>
      </c>
      <c r="C132" s="123">
        <v>0</v>
      </c>
      <c r="D132" s="123">
        <v>0</v>
      </c>
      <c r="E132" s="123">
        <v>0</v>
      </c>
      <c r="F132" s="123">
        <v>0</v>
      </c>
      <c r="G132" s="123">
        <v>0</v>
      </c>
      <c r="H132" s="123">
        <v>0</v>
      </c>
      <c r="I132" s="123">
        <v>0</v>
      </c>
      <c r="J132" s="123">
        <v>0</v>
      </c>
      <c r="K132" s="123">
        <v>0</v>
      </c>
      <c r="L132" s="123">
        <v>0</v>
      </c>
      <c r="M132" s="123">
        <v>0</v>
      </c>
      <c r="N132" s="123">
        <v>0</v>
      </c>
      <c r="O132" s="123">
        <v>0</v>
      </c>
      <c r="P132" s="123">
        <v>0</v>
      </c>
      <c r="Q132" s="123">
        <v>0</v>
      </c>
      <c r="R132" s="123">
        <v>0</v>
      </c>
      <c r="S132" s="123">
        <v>0</v>
      </c>
      <c r="T132" s="123">
        <v>0</v>
      </c>
      <c r="U132" s="123">
        <v>0</v>
      </c>
      <c r="V132" s="123">
        <v>0</v>
      </c>
      <c r="W132" s="123">
        <v>0</v>
      </c>
      <c r="X132" s="123">
        <v>0</v>
      </c>
      <c r="Y132" s="123">
        <v>0</v>
      </c>
      <c r="Z132" s="123">
        <v>0</v>
      </c>
      <c r="AA132" s="123">
        <v>0</v>
      </c>
      <c r="AB132" s="123">
        <v>0</v>
      </c>
      <c r="AC132" s="123">
        <v>0</v>
      </c>
      <c r="AD132" s="123">
        <v>0</v>
      </c>
      <c r="AE132" s="123">
        <v>0</v>
      </c>
      <c r="AF132" s="123">
        <v>0</v>
      </c>
      <c r="AG132" s="123">
        <v>0</v>
      </c>
      <c r="AH132" s="123">
        <v>0</v>
      </c>
      <c r="AI132" s="123">
        <v>0</v>
      </c>
      <c r="AJ132" s="123">
        <v>0</v>
      </c>
      <c r="AK132" s="123">
        <v>0</v>
      </c>
      <c r="AL132" s="123">
        <v>0</v>
      </c>
      <c r="AM132" s="123">
        <v>0</v>
      </c>
      <c r="AN132" s="123">
        <v>0</v>
      </c>
      <c r="AO132" s="123">
        <v>0</v>
      </c>
      <c r="AP132" s="123">
        <v>0</v>
      </c>
      <c r="AQ132" s="123">
        <v>0</v>
      </c>
      <c r="AR132" s="123">
        <v>0</v>
      </c>
      <c r="AS132" s="123">
        <v>0</v>
      </c>
      <c r="AT132" s="123">
        <v>0</v>
      </c>
      <c r="AU132" s="123">
        <v>0</v>
      </c>
      <c r="AV132" s="123">
        <v>0</v>
      </c>
      <c r="AW132" s="123">
        <v>0</v>
      </c>
      <c r="AX132" s="123">
        <v>0</v>
      </c>
      <c r="AY132" s="123">
        <v>0</v>
      </c>
    </row>
    <row r="133" spans="1:51" x14ac:dyDescent="0.2">
      <c r="A133" s="126"/>
      <c r="B133" s="135">
        <v>12</v>
      </c>
      <c r="C133" s="123">
        <v>0</v>
      </c>
      <c r="D133" s="123">
        <v>0</v>
      </c>
      <c r="E133" s="123">
        <v>0</v>
      </c>
      <c r="F133" s="123">
        <v>0</v>
      </c>
      <c r="G133" s="123">
        <v>0</v>
      </c>
      <c r="H133" s="123">
        <v>0</v>
      </c>
      <c r="I133" s="123">
        <v>0</v>
      </c>
      <c r="J133" s="123">
        <v>0</v>
      </c>
      <c r="K133" s="123">
        <v>0</v>
      </c>
      <c r="L133" s="123">
        <v>0</v>
      </c>
      <c r="M133" s="123">
        <v>0</v>
      </c>
      <c r="N133" s="123">
        <v>0</v>
      </c>
      <c r="O133" s="123">
        <v>0</v>
      </c>
      <c r="P133" s="123">
        <v>0</v>
      </c>
      <c r="Q133" s="123">
        <v>0</v>
      </c>
      <c r="R133" s="123">
        <v>0</v>
      </c>
      <c r="S133" s="123">
        <v>0</v>
      </c>
      <c r="T133" s="123">
        <v>0</v>
      </c>
      <c r="U133" s="123">
        <v>0</v>
      </c>
      <c r="V133" s="123">
        <v>0</v>
      </c>
      <c r="W133" s="123">
        <v>0</v>
      </c>
      <c r="X133" s="123">
        <v>0</v>
      </c>
      <c r="Y133" s="123">
        <v>0</v>
      </c>
      <c r="Z133" s="123">
        <v>0</v>
      </c>
      <c r="AA133" s="123">
        <v>0</v>
      </c>
      <c r="AB133" s="123">
        <v>0</v>
      </c>
      <c r="AC133" s="123">
        <v>0</v>
      </c>
      <c r="AD133" s="123">
        <v>0</v>
      </c>
      <c r="AE133" s="123">
        <v>0</v>
      </c>
      <c r="AF133" s="123">
        <v>0</v>
      </c>
      <c r="AG133" s="123">
        <v>0</v>
      </c>
      <c r="AH133" s="123">
        <v>0</v>
      </c>
      <c r="AI133" s="123">
        <v>0</v>
      </c>
      <c r="AJ133" s="123">
        <v>0</v>
      </c>
      <c r="AK133" s="123">
        <v>0</v>
      </c>
      <c r="AL133" s="123">
        <v>0</v>
      </c>
      <c r="AM133" s="123">
        <v>0</v>
      </c>
      <c r="AN133" s="123">
        <v>0</v>
      </c>
      <c r="AO133" s="123">
        <v>0</v>
      </c>
      <c r="AP133" s="123">
        <v>0</v>
      </c>
      <c r="AQ133" s="123">
        <v>0</v>
      </c>
      <c r="AR133" s="123">
        <v>0</v>
      </c>
      <c r="AS133" s="123">
        <v>0</v>
      </c>
      <c r="AT133" s="123">
        <v>0</v>
      </c>
      <c r="AU133" s="123">
        <v>0</v>
      </c>
      <c r="AV133" s="123">
        <v>0</v>
      </c>
      <c r="AW133" s="123">
        <v>0</v>
      </c>
      <c r="AX133" s="123">
        <v>0</v>
      </c>
      <c r="AY133" s="123">
        <v>0</v>
      </c>
    </row>
    <row r="134" spans="1:51" x14ac:dyDescent="0.2">
      <c r="A134" s="126"/>
      <c r="B134" s="136">
        <v>13</v>
      </c>
      <c r="C134" s="123">
        <v>0</v>
      </c>
      <c r="D134" s="123">
        <v>0</v>
      </c>
      <c r="E134" s="123">
        <v>0</v>
      </c>
      <c r="F134" s="123">
        <v>0</v>
      </c>
      <c r="G134" s="123">
        <v>0</v>
      </c>
      <c r="H134" s="123">
        <v>0</v>
      </c>
      <c r="I134" s="123">
        <v>0</v>
      </c>
      <c r="J134" s="123">
        <v>0</v>
      </c>
      <c r="K134" s="123">
        <v>0</v>
      </c>
      <c r="L134" s="123">
        <v>0</v>
      </c>
      <c r="M134" s="123">
        <v>0</v>
      </c>
      <c r="N134" s="123">
        <v>0</v>
      </c>
      <c r="O134" s="123">
        <v>0</v>
      </c>
      <c r="P134" s="123">
        <v>0</v>
      </c>
      <c r="Q134" s="123">
        <v>0</v>
      </c>
      <c r="R134" s="123">
        <v>0</v>
      </c>
      <c r="S134" s="123">
        <v>0</v>
      </c>
      <c r="T134" s="123">
        <v>0</v>
      </c>
      <c r="U134" s="123">
        <v>0</v>
      </c>
      <c r="V134" s="123">
        <v>0</v>
      </c>
      <c r="W134" s="123">
        <v>0</v>
      </c>
      <c r="X134" s="123">
        <v>0</v>
      </c>
      <c r="Y134" s="123">
        <v>0</v>
      </c>
      <c r="Z134" s="123">
        <v>0</v>
      </c>
      <c r="AA134" s="123">
        <v>0</v>
      </c>
      <c r="AB134" s="123">
        <v>0</v>
      </c>
      <c r="AC134" s="123">
        <v>0</v>
      </c>
      <c r="AD134" s="123">
        <v>0</v>
      </c>
      <c r="AE134" s="123">
        <v>0</v>
      </c>
      <c r="AF134" s="123">
        <v>0</v>
      </c>
      <c r="AG134" s="123">
        <v>0</v>
      </c>
      <c r="AH134" s="123">
        <v>0</v>
      </c>
      <c r="AI134" s="123">
        <v>0</v>
      </c>
      <c r="AJ134" s="123">
        <v>0</v>
      </c>
      <c r="AK134" s="123">
        <v>0</v>
      </c>
      <c r="AL134" s="123">
        <v>0</v>
      </c>
      <c r="AM134" s="123">
        <v>0</v>
      </c>
      <c r="AN134" s="123">
        <v>0</v>
      </c>
      <c r="AO134" s="123">
        <v>0</v>
      </c>
      <c r="AP134" s="123">
        <v>0</v>
      </c>
      <c r="AQ134" s="123">
        <v>0</v>
      </c>
      <c r="AR134" s="123">
        <v>0</v>
      </c>
      <c r="AS134" s="123">
        <v>0</v>
      </c>
      <c r="AT134" s="123">
        <v>0</v>
      </c>
      <c r="AU134" s="123">
        <v>0</v>
      </c>
      <c r="AV134" s="123">
        <v>0</v>
      </c>
      <c r="AW134" s="123">
        <v>0</v>
      </c>
      <c r="AX134" s="123">
        <v>0</v>
      </c>
      <c r="AY134" s="123">
        <v>0</v>
      </c>
    </row>
    <row r="135" spans="1:51" x14ac:dyDescent="0.2">
      <c r="A135" s="126"/>
      <c r="B135" s="136">
        <v>14</v>
      </c>
      <c r="C135" s="123">
        <v>0</v>
      </c>
      <c r="D135" s="123">
        <v>0</v>
      </c>
      <c r="E135" s="123">
        <v>0</v>
      </c>
      <c r="F135" s="123">
        <v>0</v>
      </c>
      <c r="G135" s="123">
        <v>0</v>
      </c>
      <c r="H135" s="123">
        <v>0</v>
      </c>
      <c r="I135" s="123">
        <v>0</v>
      </c>
      <c r="J135" s="123">
        <v>0</v>
      </c>
      <c r="K135" s="123">
        <v>0</v>
      </c>
      <c r="L135" s="123">
        <v>0</v>
      </c>
      <c r="M135" s="123">
        <v>0</v>
      </c>
      <c r="N135" s="123">
        <v>0</v>
      </c>
      <c r="O135" s="123">
        <v>0</v>
      </c>
      <c r="P135" s="123">
        <v>0</v>
      </c>
      <c r="Q135" s="123">
        <v>0</v>
      </c>
      <c r="R135" s="123">
        <v>0</v>
      </c>
      <c r="S135" s="123">
        <v>0</v>
      </c>
      <c r="T135" s="123">
        <v>0</v>
      </c>
      <c r="U135" s="123">
        <v>0</v>
      </c>
      <c r="V135" s="123">
        <v>0</v>
      </c>
      <c r="W135" s="123">
        <v>0</v>
      </c>
      <c r="X135" s="123">
        <v>0</v>
      </c>
      <c r="Y135" s="123">
        <v>0</v>
      </c>
      <c r="Z135" s="123">
        <v>0</v>
      </c>
      <c r="AA135" s="123">
        <v>0</v>
      </c>
      <c r="AB135" s="123">
        <v>0</v>
      </c>
      <c r="AC135" s="123">
        <v>0</v>
      </c>
      <c r="AD135" s="123">
        <v>0</v>
      </c>
      <c r="AE135" s="123">
        <v>0</v>
      </c>
      <c r="AF135" s="123">
        <v>0</v>
      </c>
      <c r="AG135" s="123">
        <v>0</v>
      </c>
      <c r="AH135" s="123">
        <v>0</v>
      </c>
      <c r="AI135" s="123">
        <v>0</v>
      </c>
      <c r="AJ135" s="123">
        <v>0</v>
      </c>
      <c r="AK135" s="123">
        <v>0</v>
      </c>
      <c r="AL135" s="123">
        <v>0</v>
      </c>
      <c r="AM135" s="123">
        <v>0</v>
      </c>
      <c r="AN135" s="123">
        <v>0</v>
      </c>
      <c r="AO135" s="123">
        <v>0</v>
      </c>
      <c r="AP135" s="123">
        <v>0</v>
      </c>
      <c r="AQ135" s="123">
        <v>0</v>
      </c>
      <c r="AR135" s="123">
        <v>0</v>
      </c>
      <c r="AS135" s="123">
        <v>0</v>
      </c>
      <c r="AT135" s="123">
        <v>0</v>
      </c>
      <c r="AU135" s="123">
        <v>0</v>
      </c>
      <c r="AV135" s="123">
        <v>0</v>
      </c>
      <c r="AW135" s="123">
        <v>0</v>
      </c>
      <c r="AX135" s="123">
        <v>0</v>
      </c>
      <c r="AY135" s="123">
        <v>0</v>
      </c>
    </row>
    <row r="136" spans="1:51" x14ac:dyDescent="0.2">
      <c r="A136" s="126"/>
      <c r="B136" s="136">
        <v>15</v>
      </c>
      <c r="C136" s="123">
        <v>0</v>
      </c>
      <c r="D136" s="123">
        <v>0</v>
      </c>
      <c r="E136" s="123">
        <v>0</v>
      </c>
      <c r="F136" s="123">
        <v>0</v>
      </c>
      <c r="G136" s="123">
        <v>0</v>
      </c>
      <c r="H136" s="123">
        <v>0</v>
      </c>
      <c r="I136" s="123">
        <v>0</v>
      </c>
      <c r="J136" s="123">
        <v>0</v>
      </c>
      <c r="K136" s="123">
        <v>0</v>
      </c>
      <c r="L136" s="123">
        <v>0</v>
      </c>
      <c r="M136" s="123">
        <v>0</v>
      </c>
      <c r="N136" s="123">
        <v>0</v>
      </c>
      <c r="O136" s="123">
        <v>0</v>
      </c>
      <c r="P136" s="123">
        <v>0</v>
      </c>
      <c r="Q136" s="123">
        <v>0</v>
      </c>
      <c r="R136" s="123">
        <v>0</v>
      </c>
      <c r="S136" s="123">
        <v>0</v>
      </c>
      <c r="T136" s="123">
        <v>0</v>
      </c>
      <c r="U136" s="123">
        <v>0</v>
      </c>
      <c r="V136" s="123">
        <v>0</v>
      </c>
      <c r="W136" s="123">
        <v>0</v>
      </c>
      <c r="X136" s="123">
        <v>0</v>
      </c>
      <c r="Y136" s="123">
        <v>0</v>
      </c>
      <c r="Z136" s="123">
        <v>0</v>
      </c>
      <c r="AA136" s="123">
        <v>0</v>
      </c>
      <c r="AB136" s="123">
        <v>0</v>
      </c>
      <c r="AC136" s="123">
        <v>0</v>
      </c>
      <c r="AD136" s="123">
        <v>0</v>
      </c>
      <c r="AE136" s="123">
        <v>0</v>
      </c>
      <c r="AF136" s="123">
        <v>0</v>
      </c>
      <c r="AG136" s="123">
        <v>0</v>
      </c>
      <c r="AH136" s="123">
        <v>0</v>
      </c>
      <c r="AI136" s="123">
        <v>0</v>
      </c>
      <c r="AJ136" s="123">
        <v>0</v>
      </c>
      <c r="AK136" s="123">
        <v>0</v>
      </c>
      <c r="AL136" s="123">
        <v>0</v>
      </c>
      <c r="AM136" s="123">
        <v>0</v>
      </c>
      <c r="AN136" s="123">
        <v>0</v>
      </c>
      <c r="AO136" s="123">
        <v>0</v>
      </c>
      <c r="AP136" s="123">
        <v>0</v>
      </c>
      <c r="AQ136" s="123">
        <v>0</v>
      </c>
      <c r="AR136" s="123">
        <v>0</v>
      </c>
      <c r="AS136" s="123">
        <v>0</v>
      </c>
      <c r="AT136" s="123">
        <v>0</v>
      </c>
      <c r="AU136" s="123">
        <v>0</v>
      </c>
      <c r="AV136" s="123">
        <v>0</v>
      </c>
      <c r="AW136" s="123">
        <v>0</v>
      </c>
      <c r="AX136" s="123">
        <v>0</v>
      </c>
      <c r="AY136" s="123">
        <v>0</v>
      </c>
    </row>
    <row r="137" spans="1:51" x14ac:dyDescent="0.2">
      <c r="A137" s="126"/>
      <c r="B137" s="136">
        <v>16</v>
      </c>
      <c r="C137" s="123">
        <v>0</v>
      </c>
      <c r="D137" s="123">
        <v>0</v>
      </c>
      <c r="E137" s="123">
        <v>0</v>
      </c>
      <c r="F137" s="123">
        <v>0</v>
      </c>
      <c r="G137" s="123">
        <v>0</v>
      </c>
      <c r="H137" s="123">
        <v>0</v>
      </c>
      <c r="I137" s="123">
        <v>0</v>
      </c>
      <c r="J137" s="123">
        <v>0</v>
      </c>
      <c r="K137" s="123">
        <v>0</v>
      </c>
      <c r="L137" s="123">
        <v>0</v>
      </c>
      <c r="M137" s="123">
        <v>0</v>
      </c>
      <c r="N137" s="123">
        <v>0</v>
      </c>
      <c r="O137" s="123">
        <v>0</v>
      </c>
      <c r="P137" s="123">
        <v>0</v>
      </c>
      <c r="Q137" s="123">
        <v>0</v>
      </c>
      <c r="R137" s="123">
        <v>0</v>
      </c>
      <c r="S137" s="123">
        <v>0</v>
      </c>
      <c r="T137" s="123">
        <v>0</v>
      </c>
      <c r="U137" s="123">
        <v>0</v>
      </c>
      <c r="V137" s="123">
        <v>0</v>
      </c>
      <c r="W137" s="123">
        <v>0</v>
      </c>
      <c r="X137" s="123">
        <v>0</v>
      </c>
      <c r="Y137" s="123">
        <v>0</v>
      </c>
      <c r="Z137" s="123">
        <v>0</v>
      </c>
      <c r="AA137" s="123">
        <v>0</v>
      </c>
      <c r="AB137" s="123">
        <v>0</v>
      </c>
      <c r="AC137" s="123">
        <v>0</v>
      </c>
      <c r="AD137" s="123">
        <v>0</v>
      </c>
      <c r="AE137" s="123">
        <v>0</v>
      </c>
      <c r="AF137" s="123">
        <v>0</v>
      </c>
      <c r="AG137" s="123">
        <v>0</v>
      </c>
      <c r="AH137" s="123">
        <v>0</v>
      </c>
      <c r="AI137" s="123">
        <v>0</v>
      </c>
      <c r="AJ137" s="123">
        <v>0</v>
      </c>
      <c r="AK137" s="123">
        <v>0</v>
      </c>
      <c r="AL137" s="123">
        <v>0</v>
      </c>
      <c r="AM137" s="123">
        <v>0</v>
      </c>
      <c r="AN137" s="123">
        <v>0</v>
      </c>
      <c r="AO137" s="123">
        <v>0</v>
      </c>
      <c r="AP137" s="123">
        <v>0</v>
      </c>
      <c r="AQ137" s="123">
        <v>0</v>
      </c>
      <c r="AR137" s="123">
        <v>0</v>
      </c>
      <c r="AS137" s="123">
        <v>0</v>
      </c>
      <c r="AT137" s="123">
        <v>0</v>
      </c>
      <c r="AU137" s="123">
        <v>0</v>
      </c>
      <c r="AV137" s="123">
        <v>0</v>
      </c>
      <c r="AW137" s="123">
        <v>0</v>
      </c>
      <c r="AX137" s="123">
        <v>0</v>
      </c>
      <c r="AY137" s="123">
        <v>0</v>
      </c>
    </row>
    <row r="138" spans="1:51" x14ac:dyDescent="0.2">
      <c r="A138" s="126"/>
      <c r="B138" s="136">
        <v>17</v>
      </c>
      <c r="C138" s="123">
        <v>0</v>
      </c>
      <c r="D138" s="123">
        <v>0</v>
      </c>
      <c r="E138" s="123">
        <v>0</v>
      </c>
      <c r="F138" s="123">
        <v>0</v>
      </c>
      <c r="G138" s="123">
        <v>0</v>
      </c>
      <c r="H138" s="123">
        <v>0</v>
      </c>
      <c r="I138" s="123">
        <v>0</v>
      </c>
      <c r="J138" s="123">
        <v>0</v>
      </c>
      <c r="K138" s="123">
        <v>0</v>
      </c>
      <c r="L138" s="123">
        <v>0</v>
      </c>
      <c r="M138" s="123">
        <v>0</v>
      </c>
      <c r="N138" s="123">
        <v>0</v>
      </c>
      <c r="O138" s="123">
        <v>0</v>
      </c>
      <c r="P138" s="123">
        <v>0</v>
      </c>
      <c r="Q138" s="123">
        <v>0</v>
      </c>
      <c r="R138" s="123">
        <v>0</v>
      </c>
      <c r="S138" s="123">
        <v>0</v>
      </c>
      <c r="T138" s="123">
        <v>0</v>
      </c>
      <c r="U138" s="123">
        <v>0</v>
      </c>
      <c r="V138" s="123">
        <v>0</v>
      </c>
      <c r="W138" s="123">
        <v>0</v>
      </c>
      <c r="X138" s="123">
        <v>0</v>
      </c>
      <c r="Y138" s="123">
        <v>0</v>
      </c>
      <c r="Z138" s="123">
        <v>0</v>
      </c>
      <c r="AA138" s="123">
        <v>0</v>
      </c>
      <c r="AB138" s="123">
        <v>0</v>
      </c>
      <c r="AC138" s="123">
        <v>0</v>
      </c>
      <c r="AD138" s="123">
        <v>0</v>
      </c>
      <c r="AE138" s="123">
        <v>0</v>
      </c>
      <c r="AF138" s="123">
        <v>0</v>
      </c>
      <c r="AG138" s="123">
        <v>0</v>
      </c>
      <c r="AH138" s="123">
        <v>0</v>
      </c>
      <c r="AI138" s="123">
        <v>0</v>
      </c>
      <c r="AJ138" s="123">
        <v>0</v>
      </c>
      <c r="AK138" s="123">
        <v>0</v>
      </c>
      <c r="AL138" s="123">
        <v>0</v>
      </c>
      <c r="AM138" s="123">
        <v>0</v>
      </c>
      <c r="AN138" s="123">
        <v>0</v>
      </c>
      <c r="AO138" s="123">
        <v>0</v>
      </c>
      <c r="AP138" s="123">
        <v>0</v>
      </c>
      <c r="AQ138" s="123">
        <v>0</v>
      </c>
      <c r="AR138" s="123">
        <v>0</v>
      </c>
      <c r="AS138" s="123">
        <v>0</v>
      </c>
      <c r="AT138" s="123">
        <v>0</v>
      </c>
      <c r="AU138" s="123">
        <v>0</v>
      </c>
      <c r="AV138" s="123">
        <v>0</v>
      </c>
      <c r="AW138" s="123">
        <v>0</v>
      </c>
      <c r="AX138" s="123">
        <v>0</v>
      </c>
      <c r="AY138" s="123">
        <v>0</v>
      </c>
    </row>
    <row r="139" spans="1:51" x14ac:dyDescent="0.2">
      <c r="A139" s="126"/>
      <c r="B139" s="136">
        <v>18</v>
      </c>
      <c r="C139" s="123">
        <v>0</v>
      </c>
      <c r="D139" s="123">
        <v>0</v>
      </c>
      <c r="E139" s="123">
        <v>0</v>
      </c>
      <c r="F139" s="123">
        <v>0</v>
      </c>
      <c r="G139" s="123">
        <v>0</v>
      </c>
      <c r="H139" s="123">
        <v>0</v>
      </c>
      <c r="I139" s="123">
        <v>0</v>
      </c>
      <c r="J139" s="123">
        <v>0</v>
      </c>
      <c r="K139" s="123">
        <v>0</v>
      </c>
      <c r="L139" s="123">
        <v>0</v>
      </c>
      <c r="M139" s="123">
        <v>0</v>
      </c>
      <c r="N139" s="123">
        <v>0</v>
      </c>
      <c r="O139" s="123">
        <v>0</v>
      </c>
      <c r="P139" s="123">
        <v>0</v>
      </c>
      <c r="Q139" s="123">
        <v>0</v>
      </c>
      <c r="R139" s="123">
        <v>0</v>
      </c>
      <c r="S139" s="123">
        <v>0</v>
      </c>
      <c r="T139" s="123">
        <v>0</v>
      </c>
      <c r="U139" s="123">
        <v>0</v>
      </c>
      <c r="V139" s="123">
        <v>0</v>
      </c>
      <c r="W139" s="123">
        <v>0</v>
      </c>
      <c r="X139" s="123">
        <v>0</v>
      </c>
      <c r="Y139" s="123">
        <v>0</v>
      </c>
      <c r="Z139" s="123">
        <v>0</v>
      </c>
      <c r="AA139" s="123">
        <v>0</v>
      </c>
      <c r="AB139" s="123">
        <v>0</v>
      </c>
      <c r="AC139" s="123">
        <v>0</v>
      </c>
      <c r="AD139" s="123">
        <v>0</v>
      </c>
      <c r="AE139" s="123">
        <v>0</v>
      </c>
      <c r="AF139" s="123">
        <v>0</v>
      </c>
      <c r="AG139" s="123">
        <v>0</v>
      </c>
      <c r="AH139" s="123">
        <v>0</v>
      </c>
      <c r="AI139" s="123">
        <v>0</v>
      </c>
      <c r="AJ139" s="123">
        <v>0</v>
      </c>
      <c r="AK139" s="123">
        <v>0</v>
      </c>
      <c r="AL139" s="123">
        <v>0</v>
      </c>
      <c r="AM139" s="123">
        <v>0</v>
      </c>
      <c r="AN139" s="123">
        <v>0</v>
      </c>
      <c r="AO139" s="123">
        <v>0</v>
      </c>
      <c r="AP139" s="123">
        <v>0</v>
      </c>
      <c r="AQ139" s="123">
        <v>0</v>
      </c>
      <c r="AR139" s="123">
        <v>0</v>
      </c>
      <c r="AS139" s="123">
        <v>0</v>
      </c>
      <c r="AT139" s="123">
        <v>0</v>
      </c>
      <c r="AU139" s="123">
        <v>0</v>
      </c>
      <c r="AV139" s="123">
        <v>0</v>
      </c>
      <c r="AW139" s="123">
        <v>0</v>
      </c>
      <c r="AX139" s="123">
        <v>0</v>
      </c>
      <c r="AY139" s="123">
        <v>0</v>
      </c>
    </row>
    <row r="140" spans="1:51" x14ac:dyDescent="0.2">
      <c r="A140" s="126"/>
      <c r="B140" s="136">
        <v>19</v>
      </c>
      <c r="C140" s="123">
        <v>0</v>
      </c>
      <c r="D140" s="123">
        <v>0</v>
      </c>
      <c r="E140" s="123">
        <v>0</v>
      </c>
      <c r="F140" s="123">
        <v>0</v>
      </c>
      <c r="G140" s="123">
        <v>0</v>
      </c>
      <c r="H140" s="123">
        <v>0</v>
      </c>
      <c r="I140" s="123">
        <v>0</v>
      </c>
      <c r="J140" s="123">
        <v>0</v>
      </c>
      <c r="K140" s="123">
        <v>0</v>
      </c>
      <c r="L140" s="123">
        <v>0</v>
      </c>
      <c r="M140" s="123">
        <v>0</v>
      </c>
      <c r="N140" s="123">
        <v>0</v>
      </c>
      <c r="O140" s="123">
        <v>0</v>
      </c>
      <c r="P140" s="123">
        <v>0</v>
      </c>
      <c r="Q140" s="123">
        <v>0</v>
      </c>
      <c r="R140" s="123">
        <v>0</v>
      </c>
      <c r="S140" s="123">
        <v>0</v>
      </c>
      <c r="T140" s="123">
        <v>0</v>
      </c>
      <c r="U140" s="123">
        <v>0</v>
      </c>
      <c r="V140" s="123">
        <v>0</v>
      </c>
      <c r="W140" s="123">
        <v>0</v>
      </c>
      <c r="X140" s="123">
        <v>0</v>
      </c>
      <c r="Y140" s="123">
        <v>0</v>
      </c>
      <c r="Z140" s="123">
        <v>0</v>
      </c>
      <c r="AA140" s="123">
        <v>0</v>
      </c>
      <c r="AB140" s="123">
        <v>0</v>
      </c>
      <c r="AC140" s="123">
        <v>0</v>
      </c>
      <c r="AD140" s="123">
        <v>0</v>
      </c>
      <c r="AE140" s="123">
        <v>0</v>
      </c>
      <c r="AF140" s="123">
        <v>0</v>
      </c>
      <c r="AG140" s="123">
        <v>0</v>
      </c>
      <c r="AH140" s="123">
        <v>0</v>
      </c>
      <c r="AI140" s="123">
        <v>0</v>
      </c>
      <c r="AJ140" s="123">
        <v>0</v>
      </c>
      <c r="AK140" s="123">
        <v>0</v>
      </c>
      <c r="AL140" s="123">
        <v>0</v>
      </c>
      <c r="AM140" s="123">
        <v>0</v>
      </c>
      <c r="AN140" s="123">
        <v>0</v>
      </c>
      <c r="AO140" s="123">
        <v>0</v>
      </c>
      <c r="AP140" s="123">
        <v>0</v>
      </c>
      <c r="AQ140" s="123">
        <v>0</v>
      </c>
      <c r="AR140" s="123">
        <v>0</v>
      </c>
      <c r="AS140" s="123">
        <v>0</v>
      </c>
      <c r="AT140" s="123">
        <v>0</v>
      </c>
      <c r="AU140" s="123">
        <v>0</v>
      </c>
      <c r="AV140" s="123">
        <v>0</v>
      </c>
      <c r="AW140" s="123">
        <v>0</v>
      </c>
      <c r="AX140" s="123">
        <v>0</v>
      </c>
      <c r="AY140" s="123">
        <v>0</v>
      </c>
    </row>
    <row r="141" spans="1:51" x14ac:dyDescent="0.2">
      <c r="A141" s="126"/>
      <c r="B141" s="136">
        <v>20</v>
      </c>
      <c r="C141" s="123">
        <v>0</v>
      </c>
      <c r="D141" s="123">
        <v>0</v>
      </c>
      <c r="E141" s="123">
        <v>0</v>
      </c>
      <c r="F141" s="123">
        <v>0</v>
      </c>
      <c r="G141" s="123">
        <v>0</v>
      </c>
      <c r="H141" s="123">
        <v>0</v>
      </c>
      <c r="I141" s="123">
        <v>0</v>
      </c>
      <c r="J141" s="123">
        <v>0</v>
      </c>
      <c r="K141" s="123">
        <v>0</v>
      </c>
      <c r="L141" s="123">
        <v>0</v>
      </c>
      <c r="M141" s="123">
        <v>0</v>
      </c>
      <c r="N141" s="123">
        <v>0</v>
      </c>
      <c r="O141" s="123">
        <v>0</v>
      </c>
      <c r="P141" s="123">
        <v>0</v>
      </c>
      <c r="Q141" s="123">
        <v>0</v>
      </c>
      <c r="R141" s="123">
        <v>0</v>
      </c>
      <c r="S141" s="123">
        <v>0</v>
      </c>
      <c r="T141" s="123">
        <v>0</v>
      </c>
      <c r="U141" s="123">
        <v>0</v>
      </c>
      <c r="V141" s="123">
        <v>0</v>
      </c>
      <c r="W141" s="123">
        <v>0</v>
      </c>
      <c r="X141" s="123">
        <v>0</v>
      </c>
      <c r="Y141" s="123">
        <v>0</v>
      </c>
      <c r="Z141" s="123">
        <v>0</v>
      </c>
      <c r="AA141" s="123">
        <v>0</v>
      </c>
      <c r="AB141" s="123">
        <v>0</v>
      </c>
      <c r="AC141" s="123">
        <v>0</v>
      </c>
      <c r="AD141" s="123">
        <v>0</v>
      </c>
      <c r="AE141" s="123">
        <v>0</v>
      </c>
      <c r="AF141" s="123">
        <v>0</v>
      </c>
      <c r="AG141" s="123">
        <v>0</v>
      </c>
      <c r="AH141" s="123">
        <v>0</v>
      </c>
      <c r="AI141" s="123">
        <v>0</v>
      </c>
      <c r="AJ141" s="123">
        <v>0</v>
      </c>
      <c r="AK141" s="123">
        <v>0</v>
      </c>
      <c r="AL141" s="123">
        <v>0</v>
      </c>
      <c r="AM141" s="123">
        <v>0</v>
      </c>
      <c r="AN141" s="123">
        <v>0</v>
      </c>
      <c r="AO141" s="123">
        <v>0</v>
      </c>
      <c r="AP141" s="123">
        <v>0</v>
      </c>
      <c r="AQ141" s="123">
        <v>0</v>
      </c>
      <c r="AR141" s="123">
        <v>0</v>
      </c>
      <c r="AS141" s="123">
        <v>0</v>
      </c>
      <c r="AT141" s="123">
        <v>0</v>
      </c>
      <c r="AU141" s="123">
        <v>0</v>
      </c>
      <c r="AV141" s="123">
        <v>0</v>
      </c>
      <c r="AW141" s="123">
        <v>0</v>
      </c>
      <c r="AX141" s="123">
        <v>0</v>
      </c>
      <c r="AY141" s="123">
        <v>0</v>
      </c>
    </row>
    <row r="142" spans="1:51" x14ac:dyDescent="0.2">
      <c r="A142" s="126"/>
      <c r="B142" s="136">
        <v>21</v>
      </c>
      <c r="C142" s="123">
        <v>0</v>
      </c>
      <c r="D142" s="123">
        <v>0</v>
      </c>
      <c r="E142" s="123">
        <v>0</v>
      </c>
      <c r="F142" s="123">
        <v>0</v>
      </c>
      <c r="G142" s="123">
        <v>0</v>
      </c>
      <c r="H142" s="123">
        <v>0</v>
      </c>
      <c r="I142" s="123">
        <v>0</v>
      </c>
      <c r="J142" s="123">
        <v>0</v>
      </c>
      <c r="K142" s="123">
        <v>0</v>
      </c>
      <c r="L142" s="123">
        <v>0</v>
      </c>
      <c r="M142" s="123">
        <v>0</v>
      </c>
      <c r="N142" s="123">
        <v>0</v>
      </c>
      <c r="O142" s="123">
        <v>0</v>
      </c>
      <c r="P142" s="123">
        <v>0</v>
      </c>
      <c r="Q142" s="123">
        <v>0</v>
      </c>
      <c r="R142" s="123">
        <v>0</v>
      </c>
      <c r="S142" s="123">
        <v>0</v>
      </c>
      <c r="T142" s="123">
        <v>0</v>
      </c>
      <c r="U142" s="123">
        <v>0</v>
      </c>
      <c r="V142" s="123">
        <v>0</v>
      </c>
      <c r="W142" s="123">
        <v>0</v>
      </c>
      <c r="X142" s="123">
        <v>0</v>
      </c>
      <c r="Y142" s="123">
        <v>0</v>
      </c>
      <c r="Z142" s="123">
        <v>0</v>
      </c>
      <c r="AA142" s="123">
        <v>0</v>
      </c>
      <c r="AB142" s="123">
        <v>0</v>
      </c>
      <c r="AC142" s="123">
        <v>0</v>
      </c>
      <c r="AD142" s="123">
        <v>0</v>
      </c>
      <c r="AE142" s="123">
        <v>0</v>
      </c>
      <c r="AF142" s="123">
        <v>0</v>
      </c>
      <c r="AG142" s="123">
        <v>0</v>
      </c>
      <c r="AH142" s="123">
        <v>0</v>
      </c>
      <c r="AI142" s="123">
        <v>0</v>
      </c>
      <c r="AJ142" s="123">
        <v>0</v>
      </c>
      <c r="AK142" s="123">
        <v>0</v>
      </c>
      <c r="AL142" s="123">
        <v>0</v>
      </c>
      <c r="AM142" s="123">
        <v>0</v>
      </c>
      <c r="AN142" s="123">
        <v>0</v>
      </c>
      <c r="AO142" s="123">
        <v>0</v>
      </c>
      <c r="AP142" s="123">
        <v>0</v>
      </c>
      <c r="AQ142" s="123">
        <v>0</v>
      </c>
      <c r="AR142" s="123">
        <v>0</v>
      </c>
      <c r="AS142" s="123">
        <v>0</v>
      </c>
      <c r="AT142" s="123">
        <v>0</v>
      </c>
      <c r="AU142" s="123">
        <v>0</v>
      </c>
      <c r="AV142" s="123">
        <v>0</v>
      </c>
      <c r="AW142" s="123">
        <v>0</v>
      </c>
      <c r="AX142" s="123">
        <v>0</v>
      </c>
      <c r="AY142" s="123">
        <v>0</v>
      </c>
    </row>
    <row r="143" spans="1:51" x14ac:dyDescent="0.2">
      <c r="A143" s="126"/>
      <c r="B143" s="136">
        <v>22</v>
      </c>
      <c r="C143" s="123">
        <v>0</v>
      </c>
      <c r="D143" s="123">
        <v>0</v>
      </c>
      <c r="E143" s="123">
        <v>0</v>
      </c>
      <c r="F143" s="123">
        <v>0</v>
      </c>
      <c r="G143" s="123">
        <v>0</v>
      </c>
      <c r="H143" s="123">
        <v>0</v>
      </c>
      <c r="I143" s="123">
        <v>0</v>
      </c>
      <c r="J143" s="123">
        <v>0</v>
      </c>
      <c r="K143" s="123">
        <v>0</v>
      </c>
      <c r="L143" s="123">
        <v>0</v>
      </c>
      <c r="M143" s="123">
        <v>0</v>
      </c>
      <c r="N143" s="123">
        <v>0</v>
      </c>
      <c r="O143" s="123">
        <v>0</v>
      </c>
      <c r="P143" s="123">
        <v>0</v>
      </c>
      <c r="Q143" s="123">
        <v>0</v>
      </c>
      <c r="R143" s="123">
        <v>0</v>
      </c>
      <c r="S143" s="123">
        <v>0</v>
      </c>
      <c r="T143" s="123">
        <v>0</v>
      </c>
      <c r="U143" s="123">
        <v>0</v>
      </c>
      <c r="V143" s="123">
        <v>0</v>
      </c>
      <c r="W143" s="123">
        <v>0</v>
      </c>
      <c r="X143" s="123">
        <v>0</v>
      </c>
      <c r="Y143" s="123">
        <v>0</v>
      </c>
      <c r="Z143" s="123">
        <v>0</v>
      </c>
      <c r="AA143" s="123">
        <v>0</v>
      </c>
      <c r="AB143" s="123">
        <v>0</v>
      </c>
      <c r="AC143" s="123">
        <v>0</v>
      </c>
      <c r="AD143" s="123">
        <v>0</v>
      </c>
      <c r="AE143" s="123">
        <v>0</v>
      </c>
      <c r="AF143" s="123">
        <v>0</v>
      </c>
      <c r="AG143" s="123">
        <v>0</v>
      </c>
      <c r="AH143" s="123">
        <v>0</v>
      </c>
      <c r="AI143" s="123">
        <v>0</v>
      </c>
      <c r="AJ143" s="123">
        <v>0</v>
      </c>
      <c r="AK143" s="123">
        <v>0</v>
      </c>
      <c r="AL143" s="123">
        <v>0</v>
      </c>
      <c r="AM143" s="123">
        <v>0</v>
      </c>
      <c r="AN143" s="123">
        <v>0</v>
      </c>
      <c r="AO143" s="123">
        <v>0</v>
      </c>
      <c r="AP143" s="123">
        <v>0</v>
      </c>
      <c r="AQ143" s="123">
        <v>0</v>
      </c>
      <c r="AR143" s="123">
        <v>0</v>
      </c>
      <c r="AS143" s="123">
        <v>0</v>
      </c>
      <c r="AT143" s="123">
        <v>0</v>
      </c>
      <c r="AU143" s="123">
        <v>0</v>
      </c>
      <c r="AV143" s="123">
        <v>0</v>
      </c>
      <c r="AW143" s="123">
        <v>0</v>
      </c>
      <c r="AX143" s="123">
        <v>0</v>
      </c>
      <c r="AY143" s="123">
        <v>0</v>
      </c>
    </row>
    <row r="144" spans="1:51" x14ac:dyDescent="0.2">
      <c r="A144" s="126"/>
      <c r="B144" s="136">
        <v>23</v>
      </c>
      <c r="C144" s="123">
        <v>0</v>
      </c>
      <c r="D144" s="123">
        <v>0</v>
      </c>
      <c r="E144" s="123">
        <v>0</v>
      </c>
      <c r="F144" s="123">
        <v>0</v>
      </c>
      <c r="G144" s="123">
        <v>0</v>
      </c>
      <c r="H144" s="123">
        <v>0</v>
      </c>
      <c r="I144" s="123">
        <v>0</v>
      </c>
      <c r="J144" s="123">
        <v>0</v>
      </c>
      <c r="K144" s="123">
        <v>0</v>
      </c>
      <c r="L144" s="123">
        <v>0</v>
      </c>
      <c r="M144" s="123">
        <v>0</v>
      </c>
      <c r="N144" s="123">
        <v>0</v>
      </c>
      <c r="O144" s="123">
        <v>0</v>
      </c>
      <c r="P144" s="123">
        <v>0</v>
      </c>
      <c r="Q144" s="123">
        <v>0</v>
      </c>
      <c r="R144" s="123">
        <v>0</v>
      </c>
      <c r="S144" s="123">
        <v>0</v>
      </c>
      <c r="T144" s="123">
        <v>0</v>
      </c>
      <c r="U144" s="123">
        <v>0</v>
      </c>
      <c r="V144" s="123">
        <v>0</v>
      </c>
      <c r="W144" s="123">
        <v>0</v>
      </c>
      <c r="X144" s="123">
        <v>0</v>
      </c>
      <c r="Y144" s="123">
        <v>0</v>
      </c>
      <c r="Z144" s="123">
        <v>0</v>
      </c>
      <c r="AA144" s="123">
        <v>0</v>
      </c>
      <c r="AB144" s="123">
        <v>0</v>
      </c>
      <c r="AC144" s="123">
        <v>0</v>
      </c>
      <c r="AD144" s="123">
        <v>0</v>
      </c>
      <c r="AE144" s="123">
        <v>0</v>
      </c>
      <c r="AF144" s="123">
        <v>0</v>
      </c>
      <c r="AG144" s="123">
        <v>0</v>
      </c>
      <c r="AH144" s="123">
        <v>0</v>
      </c>
      <c r="AI144" s="123">
        <v>0</v>
      </c>
      <c r="AJ144" s="123">
        <v>0</v>
      </c>
      <c r="AK144" s="123">
        <v>0</v>
      </c>
      <c r="AL144" s="123">
        <v>0</v>
      </c>
      <c r="AM144" s="123">
        <v>0</v>
      </c>
      <c r="AN144" s="123">
        <v>0</v>
      </c>
      <c r="AO144" s="123">
        <v>0</v>
      </c>
      <c r="AP144" s="123">
        <v>0</v>
      </c>
      <c r="AQ144" s="123">
        <v>0</v>
      </c>
      <c r="AR144" s="123">
        <v>0</v>
      </c>
      <c r="AS144" s="123">
        <v>0</v>
      </c>
      <c r="AT144" s="123">
        <v>0</v>
      </c>
      <c r="AU144" s="123">
        <v>0</v>
      </c>
      <c r="AV144" s="123">
        <v>0</v>
      </c>
      <c r="AW144" s="123">
        <v>0</v>
      </c>
      <c r="AX144" s="123">
        <v>0</v>
      </c>
      <c r="AY144" s="123">
        <v>0</v>
      </c>
    </row>
    <row r="145" spans="1:51" x14ac:dyDescent="0.2">
      <c r="A145" s="126"/>
      <c r="B145" s="136">
        <v>24</v>
      </c>
      <c r="C145" s="123">
        <v>0</v>
      </c>
      <c r="D145" s="123">
        <v>0</v>
      </c>
      <c r="E145" s="123">
        <v>0</v>
      </c>
      <c r="F145" s="123">
        <v>0</v>
      </c>
      <c r="G145" s="123">
        <v>0</v>
      </c>
      <c r="H145" s="123">
        <v>0</v>
      </c>
      <c r="I145" s="123">
        <v>0</v>
      </c>
      <c r="J145" s="123">
        <v>0</v>
      </c>
      <c r="K145" s="123">
        <v>0</v>
      </c>
      <c r="L145" s="123">
        <v>0</v>
      </c>
      <c r="M145" s="123">
        <v>0</v>
      </c>
      <c r="N145" s="123">
        <v>0</v>
      </c>
      <c r="O145" s="123">
        <v>0</v>
      </c>
      <c r="P145" s="123">
        <v>0</v>
      </c>
      <c r="Q145" s="123">
        <v>0</v>
      </c>
      <c r="R145" s="123">
        <v>0</v>
      </c>
      <c r="S145" s="123">
        <v>0</v>
      </c>
      <c r="T145" s="123">
        <v>0</v>
      </c>
      <c r="U145" s="123">
        <v>0</v>
      </c>
      <c r="V145" s="123">
        <v>0</v>
      </c>
      <c r="W145" s="123">
        <v>0</v>
      </c>
      <c r="X145" s="123">
        <v>0</v>
      </c>
      <c r="Y145" s="123">
        <v>0</v>
      </c>
      <c r="Z145" s="123">
        <v>0</v>
      </c>
      <c r="AA145" s="123">
        <v>0</v>
      </c>
      <c r="AB145" s="123">
        <v>0</v>
      </c>
      <c r="AC145" s="123">
        <v>0</v>
      </c>
      <c r="AD145" s="123">
        <v>0</v>
      </c>
      <c r="AE145" s="123">
        <v>0</v>
      </c>
      <c r="AF145" s="123">
        <v>0</v>
      </c>
      <c r="AG145" s="123">
        <v>0</v>
      </c>
      <c r="AH145" s="123">
        <v>0</v>
      </c>
      <c r="AI145" s="123">
        <v>0</v>
      </c>
      <c r="AJ145" s="123">
        <v>0</v>
      </c>
      <c r="AK145" s="123">
        <v>0</v>
      </c>
      <c r="AL145" s="123">
        <v>0</v>
      </c>
      <c r="AM145" s="123">
        <v>0</v>
      </c>
      <c r="AN145" s="123">
        <v>0</v>
      </c>
      <c r="AO145" s="123">
        <v>0</v>
      </c>
      <c r="AP145" s="123">
        <v>0</v>
      </c>
      <c r="AQ145" s="123">
        <v>0</v>
      </c>
      <c r="AR145" s="123">
        <v>0</v>
      </c>
      <c r="AS145" s="123">
        <v>0</v>
      </c>
      <c r="AT145" s="123">
        <v>0</v>
      </c>
      <c r="AU145" s="123">
        <v>0</v>
      </c>
      <c r="AV145" s="123">
        <v>0</v>
      </c>
      <c r="AW145" s="123">
        <v>0</v>
      </c>
      <c r="AX145" s="123">
        <v>0</v>
      </c>
      <c r="AY145" s="123">
        <v>0</v>
      </c>
    </row>
    <row r="146" spans="1:51" x14ac:dyDescent="0.2">
      <c r="A146" s="126"/>
      <c r="B146" s="143">
        <v>25</v>
      </c>
      <c r="C146" s="123">
        <v>0</v>
      </c>
      <c r="D146" s="123">
        <v>0</v>
      </c>
      <c r="E146" s="123">
        <v>0</v>
      </c>
      <c r="F146" s="123">
        <v>0</v>
      </c>
      <c r="G146" s="123">
        <v>0</v>
      </c>
      <c r="H146" s="123">
        <v>0</v>
      </c>
      <c r="I146" s="123">
        <v>0</v>
      </c>
      <c r="J146" s="123">
        <v>0</v>
      </c>
      <c r="K146" s="123">
        <v>0</v>
      </c>
      <c r="L146" s="123">
        <v>0</v>
      </c>
      <c r="M146" s="123">
        <v>0</v>
      </c>
      <c r="N146" s="123">
        <v>0</v>
      </c>
      <c r="O146" s="123">
        <v>0</v>
      </c>
      <c r="P146" s="123">
        <v>0</v>
      </c>
      <c r="Q146" s="123">
        <v>0</v>
      </c>
      <c r="R146" s="123">
        <v>0</v>
      </c>
      <c r="S146" s="123">
        <v>0</v>
      </c>
      <c r="T146" s="123">
        <v>0</v>
      </c>
      <c r="U146" s="123">
        <v>0</v>
      </c>
      <c r="V146" s="123">
        <v>0</v>
      </c>
      <c r="W146" s="123">
        <v>0</v>
      </c>
      <c r="X146" s="123">
        <v>0</v>
      </c>
      <c r="Y146" s="123">
        <v>0</v>
      </c>
      <c r="Z146" s="123">
        <v>0</v>
      </c>
      <c r="AA146" s="123">
        <v>0</v>
      </c>
      <c r="AB146" s="123">
        <v>0</v>
      </c>
      <c r="AC146" s="123">
        <v>0</v>
      </c>
      <c r="AD146" s="123">
        <v>0</v>
      </c>
      <c r="AE146" s="123">
        <v>0</v>
      </c>
      <c r="AF146" s="123">
        <v>0</v>
      </c>
      <c r="AG146" s="123">
        <v>0</v>
      </c>
      <c r="AH146" s="123">
        <v>0</v>
      </c>
      <c r="AI146" s="123">
        <v>0</v>
      </c>
      <c r="AJ146" s="123">
        <v>0</v>
      </c>
      <c r="AK146" s="123">
        <v>0</v>
      </c>
      <c r="AL146" s="123">
        <v>0</v>
      </c>
      <c r="AM146" s="123">
        <v>0</v>
      </c>
      <c r="AN146" s="123">
        <v>0</v>
      </c>
      <c r="AO146" s="123">
        <v>0</v>
      </c>
      <c r="AP146" s="123">
        <v>0</v>
      </c>
      <c r="AQ146" s="123">
        <v>0</v>
      </c>
      <c r="AR146" s="123">
        <v>0</v>
      </c>
      <c r="AS146" s="123">
        <v>0</v>
      </c>
      <c r="AT146" s="123">
        <v>0</v>
      </c>
      <c r="AU146" s="123">
        <v>0</v>
      </c>
      <c r="AV146" s="123">
        <v>0</v>
      </c>
      <c r="AW146" s="123">
        <v>0</v>
      </c>
      <c r="AX146" s="123">
        <v>0</v>
      </c>
      <c r="AY146" s="123">
        <v>0</v>
      </c>
    </row>
    <row r="147" spans="1:51" x14ac:dyDescent="0.2">
      <c r="A147" s="126"/>
      <c r="B147" s="143">
        <v>26</v>
      </c>
      <c r="C147" s="123">
        <v>0</v>
      </c>
      <c r="D147" s="123">
        <v>0</v>
      </c>
      <c r="E147" s="123">
        <v>0</v>
      </c>
      <c r="F147" s="123">
        <v>0</v>
      </c>
      <c r="G147" s="123">
        <v>0</v>
      </c>
      <c r="H147" s="123">
        <v>0</v>
      </c>
      <c r="I147" s="123">
        <v>0</v>
      </c>
      <c r="J147" s="123">
        <v>0</v>
      </c>
      <c r="K147" s="123">
        <v>0</v>
      </c>
      <c r="L147" s="123">
        <v>0</v>
      </c>
      <c r="M147" s="123">
        <v>0</v>
      </c>
      <c r="N147" s="123">
        <v>0</v>
      </c>
      <c r="O147" s="123">
        <v>0</v>
      </c>
      <c r="P147" s="123">
        <v>0</v>
      </c>
      <c r="Q147" s="123">
        <v>0</v>
      </c>
      <c r="R147" s="123">
        <v>0</v>
      </c>
      <c r="S147" s="123">
        <v>0</v>
      </c>
      <c r="T147" s="123">
        <v>0</v>
      </c>
      <c r="U147" s="123">
        <v>0</v>
      </c>
      <c r="V147" s="123">
        <v>0</v>
      </c>
      <c r="W147" s="123">
        <v>0</v>
      </c>
      <c r="X147" s="123">
        <v>0</v>
      </c>
      <c r="Y147" s="123">
        <v>0</v>
      </c>
      <c r="Z147" s="123">
        <v>0</v>
      </c>
      <c r="AA147" s="123">
        <v>0</v>
      </c>
      <c r="AB147" s="123">
        <v>0</v>
      </c>
      <c r="AC147" s="123">
        <v>0</v>
      </c>
      <c r="AD147" s="123">
        <v>0</v>
      </c>
      <c r="AE147" s="123">
        <v>0</v>
      </c>
      <c r="AF147" s="123">
        <v>0</v>
      </c>
      <c r="AG147" s="123">
        <v>0</v>
      </c>
      <c r="AH147" s="123">
        <v>0</v>
      </c>
      <c r="AI147" s="123">
        <v>0</v>
      </c>
      <c r="AJ147" s="123">
        <v>0</v>
      </c>
      <c r="AK147" s="123">
        <v>0</v>
      </c>
      <c r="AL147" s="123">
        <v>0</v>
      </c>
      <c r="AM147" s="123">
        <v>0</v>
      </c>
      <c r="AN147" s="123">
        <v>0</v>
      </c>
      <c r="AO147" s="123">
        <v>0</v>
      </c>
      <c r="AP147" s="123">
        <v>0</v>
      </c>
      <c r="AQ147" s="123">
        <v>0</v>
      </c>
      <c r="AR147" s="123">
        <v>0</v>
      </c>
      <c r="AS147" s="123">
        <v>0</v>
      </c>
      <c r="AT147" s="123">
        <v>0</v>
      </c>
      <c r="AU147" s="123">
        <v>0</v>
      </c>
      <c r="AV147" s="123">
        <v>0</v>
      </c>
      <c r="AW147" s="123">
        <v>0</v>
      </c>
      <c r="AX147" s="123">
        <v>0</v>
      </c>
      <c r="AY147" s="123">
        <v>0</v>
      </c>
    </row>
    <row r="148" spans="1:51" x14ac:dyDescent="0.2">
      <c r="A148" s="126"/>
      <c r="B148" s="143">
        <v>27</v>
      </c>
      <c r="C148" s="123">
        <v>0</v>
      </c>
      <c r="D148" s="123">
        <v>0</v>
      </c>
      <c r="E148" s="123">
        <v>0</v>
      </c>
      <c r="F148" s="123">
        <v>0</v>
      </c>
      <c r="G148" s="123">
        <v>0</v>
      </c>
      <c r="H148" s="123">
        <v>0</v>
      </c>
      <c r="I148" s="123">
        <v>0</v>
      </c>
      <c r="J148" s="123">
        <v>0</v>
      </c>
      <c r="K148" s="123">
        <v>0</v>
      </c>
      <c r="L148" s="123">
        <v>0</v>
      </c>
      <c r="M148" s="123">
        <v>0</v>
      </c>
      <c r="N148" s="123">
        <v>0</v>
      </c>
      <c r="O148" s="123">
        <v>0</v>
      </c>
      <c r="P148" s="123">
        <v>0</v>
      </c>
      <c r="Q148" s="123">
        <v>0</v>
      </c>
      <c r="R148" s="123">
        <v>0</v>
      </c>
      <c r="S148" s="123">
        <v>0</v>
      </c>
      <c r="T148" s="123">
        <v>0</v>
      </c>
      <c r="U148" s="123">
        <v>0</v>
      </c>
      <c r="V148" s="123">
        <v>0</v>
      </c>
      <c r="W148" s="123">
        <v>0</v>
      </c>
      <c r="X148" s="123">
        <v>0</v>
      </c>
      <c r="Y148" s="123">
        <v>0</v>
      </c>
      <c r="Z148" s="123">
        <v>0</v>
      </c>
      <c r="AA148" s="123">
        <v>0</v>
      </c>
      <c r="AB148" s="123">
        <v>0</v>
      </c>
      <c r="AC148" s="123">
        <v>0</v>
      </c>
      <c r="AD148" s="123">
        <v>0</v>
      </c>
      <c r="AE148" s="123">
        <v>0</v>
      </c>
      <c r="AF148" s="123">
        <v>0</v>
      </c>
      <c r="AG148" s="123">
        <v>0</v>
      </c>
      <c r="AH148" s="123">
        <v>0</v>
      </c>
      <c r="AI148" s="123">
        <v>0</v>
      </c>
      <c r="AJ148" s="123">
        <v>0</v>
      </c>
      <c r="AK148" s="123">
        <v>0</v>
      </c>
      <c r="AL148" s="123">
        <v>0</v>
      </c>
      <c r="AM148" s="123">
        <v>0</v>
      </c>
      <c r="AN148" s="123">
        <v>0</v>
      </c>
      <c r="AO148" s="123">
        <v>0</v>
      </c>
      <c r="AP148" s="123">
        <v>0</v>
      </c>
      <c r="AQ148" s="123">
        <v>0</v>
      </c>
      <c r="AR148" s="123">
        <v>0</v>
      </c>
      <c r="AS148" s="123">
        <v>0</v>
      </c>
      <c r="AT148" s="123">
        <v>0</v>
      </c>
      <c r="AU148" s="123">
        <v>0</v>
      </c>
      <c r="AV148" s="123">
        <v>0</v>
      </c>
      <c r="AW148" s="123">
        <v>0</v>
      </c>
      <c r="AX148" s="123">
        <v>0</v>
      </c>
      <c r="AY148" s="123">
        <v>0</v>
      </c>
    </row>
    <row r="149" spans="1:51" x14ac:dyDescent="0.2">
      <c r="A149" s="126"/>
      <c r="B149" s="143">
        <v>28</v>
      </c>
      <c r="C149" s="123">
        <v>0</v>
      </c>
      <c r="D149" s="123">
        <v>0</v>
      </c>
      <c r="E149" s="123">
        <v>0</v>
      </c>
      <c r="F149" s="123">
        <v>0</v>
      </c>
      <c r="G149" s="123">
        <v>0</v>
      </c>
      <c r="H149" s="123">
        <v>0</v>
      </c>
      <c r="I149" s="123">
        <v>0</v>
      </c>
      <c r="J149" s="123">
        <v>0</v>
      </c>
      <c r="K149" s="123">
        <v>0</v>
      </c>
      <c r="L149" s="123">
        <v>0</v>
      </c>
      <c r="M149" s="123">
        <v>0</v>
      </c>
      <c r="N149" s="123">
        <v>0</v>
      </c>
      <c r="O149" s="123">
        <v>0</v>
      </c>
      <c r="P149" s="123">
        <v>0</v>
      </c>
      <c r="Q149" s="123">
        <v>0</v>
      </c>
      <c r="R149" s="123">
        <v>0</v>
      </c>
      <c r="S149" s="123">
        <v>0</v>
      </c>
      <c r="T149" s="123">
        <v>0</v>
      </c>
      <c r="U149" s="123">
        <v>0</v>
      </c>
      <c r="V149" s="123">
        <v>0</v>
      </c>
      <c r="W149" s="123">
        <v>0</v>
      </c>
      <c r="X149" s="123">
        <v>0</v>
      </c>
      <c r="Y149" s="123">
        <v>0</v>
      </c>
      <c r="Z149" s="123">
        <v>0</v>
      </c>
      <c r="AA149" s="123">
        <v>0</v>
      </c>
      <c r="AB149" s="123">
        <v>0</v>
      </c>
      <c r="AC149" s="123">
        <v>0</v>
      </c>
      <c r="AD149" s="123">
        <v>0</v>
      </c>
      <c r="AE149" s="123">
        <v>0</v>
      </c>
      <c r="AF149" s="123">
        <v>0</v>
      </c>
      <c r="AG149" s="123">
        <v>0</v>
      </c>
      <c r="AH149" s="123">
        <v>0</v>
      </c>
      <c r="AI149" s="123">
        <v>0</v>
      </c>
      <c r="AJ149" s="123">
        <v>0</v>
      </c>
      <c r="AK149" s="123">
        <v>0</v>
      </c>
      <c r="AL149" s="123">
        <v>0</v>
      </c>
      <c r="AM149" s="123">
        <v>0</v>
      </c>
      <c r="AN149" s="123">
        <v>0</v>
      </c>
      <c r="AO149" s="123">
        <v>0</v>
      </c>
      <c r="AP149" s="123">
        <v>0</v>
      </c>
      <c r="AQ149" s="123">
        <v>0</v>
      </c>
      <c r="AR149" s="123">
        <v>0</v>
      </c>
      <c r="AS149" s="123">
        <v>0</v>
      </c>
      <c r="AT149" s="123">
        <v>0</v>
      </c>
      <c r="AU149" s="123">
        <v>0</v>
      </c>
      <c r="AV149" s="123">
        <v>0</v>
      </c>
      <c r="AW149" s="123">
        <v>0</v>
      </c>
      <c r="AX149" s="123">
        <v>0</v>
      </c>
      <c r="AY149" s="123">
        <v>0</v>
      </c>
    </row>
    <row r="150" spans="1:51" x14ac:dyDescent="0.2">
      <c r="A150" s="126"/>
      <c r="B150" s="143">
        <v>29</v>
      </c>
      <c r="C150" s="123">
        <v>0</v>
      </c>
      <c r="D150" s="123">
        <v>0</v>
      </c>
      <c r="E150" s="123">
        <v>0</v>
      </c>
      <c r="F150" s="123">
        <v>0</v>
      </c>
      <c r="G150" s="123">
        <v>0</v>
      </c>
      <c r="H150" s="123">
        <v>0</v>
      </c>
      <c r="I150" s="123">
        <v>0</v>
      </c>
      <c r="J150" s="123">
        <v>0</v>
      </c>
      <c r="K150" s="123">
        <v>0</v>
      </c>
      <c r="L150" s="123">
        <v>0</v>
      </c>
      <c r="M150" s="123">
        <v>0</v>
      </c>
      <c r="N150" s="123">
        <v>0</v>
      </c>
      <c r="O150" s="123">
        <v>0</v>
      </c>
      <c r="P150" s="123">
        <v>0</v>
      </c>
      <c r="Q150" s="123">
        <v>0</v>
      </c>
      <c r="R150" s="123">
        <v>0</v>
      </c>
      <c r="S150" s="123">
        <v>0</v>
      </c>
      <c r="T150" s="123">
        <v>0</v>
      </c>
      <c r="U150" s="123">
        <v>0</v>
      </c>
      <c r="V150" s="123">
        <v>0</v>
      </c>
      <c r="W150" s="123">
        <v>0</v>
      </c>
      <c r="X150" s="123">
        <v>0</v>
      </c>
      <c r="Y150" s="123">
        <v>0</v>
      </c>
      <c r="Z150" s="123">
        <v>0</v>
      </c>
      <c r="AA150" s="123">
        <v>0</v>
      </c>
      <c r="AB150" s="123">
        <v>0</v>
      </c>
      <c r="AC150" s="123">
        <v>0</v>
      </c>
      <c r="AD150" s="123">
        <v>0</v>
      </c>
      <c r="AE150" s="123">
        <v>0</v>
      </c>
      <c r="AF150" s="123">
        <v>0</v>
      </c>
      <c r="AG150" s="123">
        <v>0</v>
      </c>
      <c r="AH150" s="123">
        <v>0</v>
      </c>
      <c r="AI150" s="123">
        <v>0</v>
      </c>
      <c r="AJ150" s="123">
        <v>0</v>
      </c>
      <c r="AK150" s="123">
        <v>0</v>
      </c>
      <c r="AL150" s="123">
        <v>0</v>
      </c>
      <c r="AM150" s="123">
        <v>0</v>
      </c>
      <c r="AN150" s="123">
        <v>0</v>
      </c>
      <c r="AO150" s="123">
        <v>0</v>
      </c>
      <c r="AP150" s="123">
        <v>0</v>
      </c>
      <c r="AQ150" s="123">
        <v>0</v>
      </c>
      <c r="AR150" s="123">
        <v>0</v>
      </c>
      <c r="AS150" s="123">
        <v>0</v>
      </c>
      <c r="AT150" s="123">
        <v>0</v>
      </c>
      <c r="AU150" s="123">
        <v>0</v>
      </c>
      <c r="AV150" s="123">
        <v>0</v>
      </c>
      <c r="AW150" s="123">
        <v>0</v>
      </c>
      <c r="AX150" s="123">
        <v>0</v>
      </c>
      <c r="AY150" s="123">
        <v>0</v>
      </c>
    </row>
    <row r="151" spans="1:51" x14ac:dyDescent="0.2">
      <c r="A151" s="126"/>
      <c r="B151" s="143">
        <v>30</v>
      </c>
      <c r="C151" s="123">
        <v>0</v>
      </c>
      <c r="D151" s="123">
        <v>0</v>
      </c>
      <c r="E151" s="123">
        <v>0</v>
      </c>
      <c r="F151" s="123">
        <v>0</v>
      </c>
      <c r="G151" s="123">
        <v>0</v>
      </c>
      <c r="H151" s="123">
        <v>0</v>
      </c>
      <c r="I151" s="123">
        <v>0</v>
      </c>
      <c r="J151" s="123">
        <v>0</v>
      </c>
      <c r="K151" s="123">
        <v>0</v>
      </c>
      <c r="L151" s="123">
        <v>0</v>
      </c>
      <c r="M151" s="123">
        <v>0</v>
      </c>
      <c r="N151" s="123">
        <v>0</v>
      </c>
      <c r="O151" s="123">
        <v>0</v>
      </c>
      <c r="P151" s="123">
        <v>0</v>
      </c>
      <c r="Q151" s="123">
        <v>0</v>
      </c>
      <c r="R151" s="123">
        <v>0</v>
      </c>
      <c r="S151" s="123">
        <v>0</v>
      </c>
      <c r="T151" s="123">
        <v>0</v>
      </c>
      <c r="U151" s="123">
        <v>0</v>
      </c>
      <c r="V151" s="123">
        <v>0</v>
      </c>
      <c r="W151" s="123">
        <v>0</v>
      </c>
      <c r="X151" s="123">
        <v>0</v>
      </c>
      <c r="Y151" s="123">
        <v>0</v>
      </c>
      <c r="Z151" s="123">
        <v>0</v>
      </c>
      <c r="AA151" s="123">
        <v>0</v>
      </c>
      <c r="AB151" s="123">
        <v>0</v>
      </c>
      <c r="AC151" s="123">
        <v>0</v>
      </c>
      <c r="AD151" s="123">
        <v>0</v>
      </c>
      <c r="AE151" s="123">
        <v>0</v>
      </c>
      <c r="AF151" s="123">
        <v>0</v>
      </c>
      <c r="AG151" s="123">
        <v>0</v>
      </c>
      <c r="AH151" s="123">
        <v>0</v>
      </c>
      <c r="AI151" s="123">
        <v>0</v>
      </c>
      <c r="AJ151" s="123">
        <v>0</v>
      </c>
      <c r="AK151" s="123">
        <v>0</v>
      </c>
      <c r="AL151" s="123">
        <v>0</v>
      </c>
      <c r="AM151" s="123">
        <v>0</v>
      </c>
      <c r="AN151" s="123">
        <v>0</v>
      </c>
      <c r="AO151" s="123">
        <v>0</v>
      </c>
      <c r="AP151" s="123">
        <v>0</v>
      </c>
      <c r="AQ151" s="123">
        <v>0</v>
      </c>
      <c r="AR151" s="123">
        <v>0</v>
      </c>
      <c r="AS151" s="123">
        <v>0</v>
      </c>
      <c r="AT151" s="123">
        <v>0</v>
      </c>
      <c r="AU151" s="123">
        <v>0</v>
      </c>
      <c r="AV151" s="123">
        <v>0</v>
      </c>
      <c r="AW151" s="123">
        <v>0</v>
      </c>
      <c r="AX151" s="123">
        <v>0</v>
      </c>
      <c r="AY151" s="123">
        <v>0</v>
      </c>
    </row>
    <row r="152" spans="1:51" x14ac:dyDescent="0.2">
      <c r="A152" s="126"/>
      <c r="B152" s="143">
        <v>31</v>
      </c>
      <c r="C152" s="123">
        <v>0</v>
      </c>
      <c r="D152" s="123">
        <v>0</v>
      </c>
      <c r="E152" s="123">
        <v>0</v>
      </c>
      <c r="F152" s="123">
        <v>0</v>
      </c>
      <c r="G152" s="123">
        <v>0</v>
      </c>
      <c r="H152" s="123">
        <v>0</v>
      </c>
      <c r="I152" s="123">
        <v>0</v>
      </c>
      <c r="J152" s="123">
        <v>0</v>
      </c>
      <c r="K152" s="123">
        <v>0</v>
      </c>
      <c r="L152" s="123">
        <v>0</v>
      </c>
      <c r="M152" s="123">
        <v>0</v>
      </c>
      <c r="N152" s="123">
        <v>0</v>
      </c>
      <c r="O152" s="123">
        <v>0</v>
      </c>
      <c r="P152" s="123">
        <v>0</v>
      </c>
      <c r="Q152" s="123">
        <v>0</v>
      </c>
      <c r="R152" s="123">
        <v>0</v>
      </c>
      <c r="S152" s="123">
        <v>0</v>
      </c>
      <c r="T152" s="123">
        <v>0</v>
      </c>
      <c r="U152" s="123">
        <v>0</v>
      </c>
      <c r="V152" s="123">
        <v>0</v>
      </c>
      <c r="W152" s="123">
        <v>0</v>
      </c>
      <c r="X152" s="123">
        <v>0</v>
      </c>
      <c r="Y152" s="123">
        <v>0</v>
      </c>
      <c r="Z152" s="123">
        <v>0</v>
      </c>
      <c r="AA152" s="123">
        <v>0</v>
      </c>
      <c r="AB152" s="123">
        <v>0</v>
      </c>
      <c r="AC152" s="123">
        <v>0</v>
      </c>
      <c r="AD152" s="123">
        <v>0</v>
      </c>
      <c r="AE152" s="123">
        <v>0</v>
      </c>
      <c r="AF152" s="123">
        <v>0</v>
      </c>
      <c r="AG152" s="123">
        <v>0</v>
      </c>
      <c r="AH152" s="123">
        <v>0</v>
      </c>
      <c r="AI152" s="123">
        <v>0</v>
      </c>
      <c r="AJ152" s="123">
        <v>0</v>
      </c>
      <c r="AK152" s="123">
        <v>0</v>
      </c>
      <c r="AL152" s="123">
        <v>0</v>
      </c>
      <c r="AM152" s="123">
        <v>0</v>
      </c>
      <c r="AN152" s="123">
        <v>0</v>
      </c>
      <c r="AO152" s="123">
        <v>0</v>
      </c>
      <c r="AP152" s="123">
        <v>0</v>
      </c>
      <c r="AQ152" s="123">
        <v>0</v>
      </c>
      <c r="AR152" s="123">
        <v>0</v>
      </c>
      <c r="AS152" s="123">
        <v>0</v>
      </c>
      <c r="AT152" s="123">
        <v>0</v>
      </c>
      <c r="AU152" s="123">
        <v>0</v>
      </c>
      <c r="AV152" s="123">
        <v>0</v>
      </c>
      <c r="AW152" s="123">
        <v>0</v>
      </c>
      <c r="AX152" s="123">
        <v>0</v>
      </c>
      <c r="AY152" s="123">
        <v>0</v>
      </c>
    </row>
    <row r="153" spans="1:51" x14ac:dyDescent="0.2">
      <c r="A153" s="126"/>
      <c r="B153" s="143">
        <v>32</v>
      </c>
      <c r="C153" s="123">
        <v>0</v>
      </c>
      <c r="D153" s="123">
        <v>0</v>
      </c>
      <c r="E153" s="123">
        <v>0</v>
      </c>
      <c r="F153" s="123">
        <v>0</v>
      </c>
      <c r="G153" s="123">
        <v>0</v>
      </c>
      <c r="H153" s="123">
        <v>0</v>
      </c>
      <c r="I153" s="123">
        <v>0</v>
      </c>
      <c r="J153" s="123">
        <v>0</v>
      </c>
      <c r="K153" s="123">
        <v>0</v>
      </c>
      <c r="L153" s="123">
        <v>0</v>
      </c>
      <c r="M153" s="123">
        <v>0</v>
      </c>
      <c r="N153" s="123">
        <v>0</v>
      </c>
      <c r="O153" s="123">
        <v>0</v>
      </c>
      <c r="P153" s="123">
        <v>0</v>
      </c>
      <c r="Q153" s="123">
        <v>0</v>
      </c>
      <c r="R153" s="123">
        <v>0</v>
      </c>
      <c r="S153" s="123">
        <v>0</v>
      </c>
      <c r="T153" s="123">
        <v>0</v>
      </c>
      <c r="U153" s="123">
        <v>0</v>
      </c>
      <c r="V153" s="123">
        <v>0</v>
      </c>
      <c r="W153" s="123">
        <v>0</v>
      </c>
      <c r="X153" s="123">
        <v>0</v>
      </c>
      <c r="Y153" s="123">
        <v>0</v>
      </c>
      <c r="Z153" s="123">
        <v>0</v>
      </c>
      <c r="AA153" s="123">
        <v>0</v>
      </c>
      <c r="AB153" s="123">
        <v>0</v>
      </c>
      <c r="AC153" s="123">
        <v>0</v>
      </c>
      <c r="AD153" s="123">
        <v>0</v>
      </c>
      <c r="AE153" s="123">
        <v>0</v>
      </c>
      <c r="AF153" s="123">
        <v>0</v>
      </c>
      <c r="AG153" s="123">
        <v>0</v>
      </c>
      <c r="AH153" s="123">
        <v>0</v>
      </c>
      <c r="AI153" s="123">
        <v>0</v>
      </c>
      <c r="AJ153" s="123">
        <v>0</v>
      </c>
      <c r="AK153" s="123">
        <v>0</v>
      </c>
      <c r="AL153" s="123">
        <v>0</v>
      </c>
      <c r="AM153" s="123">
        <v>0</v>
      </c>
      <c r="AN153" s="123">
        <v>0</v>
      </c>
      <c r="AO153" s="123">
        <v>0</v>
      </c>
      <c r="AP153" s="123">
        <v>0</v>
      </c>
      <c r="AQ153" s="123">
        <v>0</v>
      </c>
      <c r="AR153" s="123">
        <v>0</v>
      </c>
      <c r="AS153" s="123">
        <v>0</v>
      </c>
      <c r="AT153" s="123">
        <v>0</v>
      </c>
      <c r="AU153" s="123">
        <v>0</v>
      </c>
      <c r="AV153" s="123">
        <v>0</v>
      </c>
      <c r="AW153" s="123">
        <v>0</v>
      </c>
      <c r="AX153" s="123">
        <v>0</v>
      </c>
      <c r="AY153" s="123">
        <v>0</v>
      </c>
    </row>
    <row r="154" spans="1:51" x14ac:dyDescent="0.2">
      <c r="A154" s="126"/>
      <c r="B154" s="143">
        <v>33</v>
      </c>
      <c r="C154" s="123">
        <v>0</v>
      </c>
      <c r="D154" s="123">
        <v>0</v>
      </c>
      <c r="E154" s="123">
        <v>0</v>
      </c>
      <c r="F154" s="123">
        <v>0</v>
      </c>
      <c r="G154" s="123">
        <v>0</v>
      </c>
      <c r="H154" s="123">
        <v>0</v>
      </c>
      <c r="I154" s="123">
        <v>0</v>
      </c>
      <c r="J154" s="123">
        <v>0</v>
      </c>
      <c r="K154" s="123">
        <v>0</v>
      </c>
      <c r="L154" s="123">
        <v>0</v>
      </c>
      <c r="M154" s="123">
        <v>0</v>
      </c>
      <c r="N154" s="123">
        <v>0</v>
      </c>
      <c r="O154" s="123">
        <v>0</v>
      </c>
      <c r="P154" s="123">
        <v>0</v>
      </c>
      <c r="Q154" s="123">
        <v>0</v>
      </c>
      <c r="R154" s="123">
        <v>0</v>
      </c>
      <c r="S154" s="123">
        <v>0</v>
      </c>
      <c r="T154" s="123">
        <v>0</v>
      </c>
      <c r="U154" s="123">
        <v>0</v>
      </c>
      <c r="V154" s="123">
        <v>0</v>
      </c>
      <c r="W154" s="123">
        <v>0</v>
      </c>
      <c r="X154" s="123">
        <v>0</v>
      </c>
      <c r="Y154" s="123">
        <v>0</v>
      </c>
      <c r="Z154" s="123">
        <v>0</v>
      </c>
      <c r="AA154" s="123">
        <v>0</v>
      </c>
      <c r="AB154" s="123">
        <v>0</v>
      </c>
      <c r="AC154" s="123">
        <v>0</v>
      </c>
      <c r="AD154" s="123">
        <v>0</v>
      </c>
      <c r="AE154" s="123">
        <v>0</v>
      </c>
      <c r="AF154" s="123">
        <v>0</v>
      </c>
      <c r="AG154" s="123">
        <v>0</v>
      </c>
      <c r="AH154" s="123">
        <v>0</v>
      </c>
      <c r="AI154" s="123">
        <v>0</v>
      </c>
      <c r="AJ154" s="123">
        <v>0</v>
      </c>
      <c r="AK154" s="123">
        <v>0</v>
      </c>
      <c r="AL154" s="123">
        <v>0</v>
      </c>
      <c r="AM154" s="123">
        <v>0</v>
      </c>
      <c r="AN154" s="123">
        <v>0</v>
      </c>
      <c r="AO154" s="123">
        <v>0</v>
      </c>
      <c r="AP154" s="123">
        <v>0</v>
      </c>
      <c r="AQ154" s="123">
        <v>0</v>
      </c>
      <c r="AR154" s="123">
        <v>0</v>
      </c>
      <c r="AS154" s="123">
        <v>0</v>
      </c>
      <c r="AT154" s="123">
        <v>0</v>
      </c>
      <c r="AU154" s="123">
        <v>0</v>
      </c>
      <c r="AV154" s="123">
        <v>0</v>
      </c>
      <c r="AW154" s="123">
        <v>0</v>
      </c>
      <c r="AX154" s="123">
        <v>0</v>
      </c>
      <c r="AY154" s="123">
        <v>0</v>
      </c>
    </row>
    <row r="155" spans="1:51" x14ac:dyDescent="0.2">
      <c r="A155" s="126"/>
      <c r="B155" s="143">
        <v>34</v>
      </c>
      <c r="C155" s="123">
        <v>0</v>
      </c>
      <c r="D155" s="123">
        <v>0</v>
      </c>
      <c r="E155" s="123">
        <v>0</v>
      </c>
      <c r="F155" s="123">
        <v>0</v>
      </c>
      <c r="G155" s="123">
        <v>0</v>
      </c>
      <c r="H155" s="123">
        <v>0</v>
      </c>
      <c r="I155" s="123">
        <v>0</v>
      </c>
      <c r="J155" s="123">
        <v>0</v>
      </c>
      <c r="K155" s="123">
        <v>0</v>
      </c>
      <c r="L155" s="123">
        <v>0</v>
      </c>
      <c r="M155" s="123">
        <v>0</v>
      </c>
      <c r="N155" s="123">
        <v>0</v>
      </c>
      <c r="O155" s="123">
        <v>0</v>
      </c>
      <c r="P155" s="123">
        <v>0</v>
      </c>
      <c r="Q155" s="123">
        <v>0</v>
      </c>
      <c r="R155" s="123">
        <v>0</v>
      </c>
      <c r="S155" s="123">
        <v>0</v>
      </c>
      <c r="T155" s="123">
        <v>0</v>
      </c>
      <c r="U155" s="123">
        <v>0</v>
      </c>
      <c r="V155" s="123">
        <v>0</v>
      </c>
      <c r="W155" s="123">
        <v>0</v>
      </c>
      <c r="X155" s="123">
        <v>0</v>
      </c>
      <c r="Y155" s="123">
        <v>0</v>
      </c>
      <c r="Z155" s="123">
        <v>0</v>
      </c>
      <c r="AA155" s="123">
        <v>0</v>
      </c>
      <c r="AB155" s="123">
        <v>0</v>
      </c>
      <c r="AC155" s="123">
        <v>0</v>
      </c>
      <c r="AD155" s="123">
        <v>0</v>
      </c>
      <c r="AE155" s="123">
        <v>0</v>
      </c>
      <c r="AF155" s="123">
        <v>0</v>
      </c>
      <c r="AG155" s="123">
        <v>0</v>
      </c>
      <c r="AH155" s="123">
        <v>0</v>
      </c>
      <c r="AI155" s="123">
        <v>0</v>
      </c>
      <c r="AJ155" s="123">
        <v>0</v>
      </c>
      <c r="AK155" s="123">
        <v>0</v>
      </c>
      <c r="AL155" s="123">
        <v>0</v>
      </c>
      <c r="AM155" s="123">
        <v>0</v>
      </c>
      <c r="AN155" s="123">
        <v>0</v>
      </c>
      <c r="AO155" s="123">
        <v>0</v>
      </c>
      <c r="AP155" s="123">
        <v>0</v>
      </c>
      <c r="AQ155" s="123">
        <v>0</v>
      </c>
      <c r="AR155" s="123">
        <v>0</v>
      </c>
      <c r="AS155" s="123">
        <v>0</v>
      </c>
      <c r="AT155" s="123">
        <v>0</v>
      </c>
      <c r="AU155" s="123">
        <v>0</v>
      </c>
      <c r="AV155" s="123">
        <v>0</v>
      </c>
      <c r="AW155" s="123">
        <v>0</v>
      </c>
      <c r="AX155" s="123">
        <v>0</v>
      </c>
      <c r="AY155" s="123">
        <v>0</v>
      </c>
    </row>
    <row r="156" spans="1:51" x14ac:dyDescent="0.2">
      <c r="A156" s="126"/>
      <c r="B156" s="143">
        <v>35</v>
      </c>
      <c r="C156" s="123">
        <v>0</v>
      </c>
      <c r="D156" s="123">
        <v>0</v>
      </c>
      <c r="E156" s="123">
        <v>0</v>
      </c>
      <c r="F156" s="123">
        <v>0</v>
      </c>
      <c r="G156" s="123">
        <v>0</v>
      </c>
      <c r="H156" s="123">
        <v>0</v>
      </c>
      <c r="I156" s="123">
        <v>0</v>
      </c>
      <c r="J156" s="123">
        <v>0</v>
      </c>
      <c r="K156" s="123">
        <v>0</v>
      </c>
      <c r="L156" s="123">
        <v>0</v>
      </c>
      <c r="M156" s="123">
        <v>0</v>
      </c>
      <c r="N156" s="123">
        <v>0</v>
      </c>
      <c r="O156" s="123">
        <v>0</v>
      </c>
      <c r="P156" s="123">
        <v>0</v>
      </c>
      <c r="Q156" s="123">
        <v>0</v>
      </c>
      <c r="R156" s="123">
        <v>0</v>
      </c>
      <c r="S156" s="123">
        <v>0</v>
      </c>
      <c r="T156" s="123">
        <v>0</v>
      </c>
      <c r="U156" s="123">
        <v>0</v>
      </c>
      <c r="V156" s="123">
        <v>0</v>
      </c>
      <c r="W156" s="123">
        <v>0</v>
      </c>
      <c r="X156" s="123">
        <v>0</v>
      </c>
      <c r="Y156" s="123">
        <v>0</v>
      </c>
      <c r="Z156" s="123">
        <v>0</v>
      </c>
      <c r="AA156" s="123">
        <v>0</v>
      </c>
      <c r="AB156" s="123">
        <v>0</v>
      </c>
      <c r="AC156" s="123">
        <v>0</v>
      </c>
      <c r="AD156" s="123">
        <v>0</v>
      </c>
      <c r="AE156" s="123">
        <v>0</v>
      </c>
      <c r="AF156" s="123">
        <v>0</v>
      </c>
      <c r="AG156" s="123">
        <v>0</v>
      </c>
      <c r="AH156" s="123">
        <v>0</v>
      </c>
      <c r="AI156" s="123">
        <v>0</v>
      </c>
      <c r="AJ156" s="123">
        <v>0</v>
      </c>
      <c r="AK156" s="123">
        <v>0</v>
      </c>
      <c r="AL156" s="123">
        <v>0</v>
      </c>
      <c r="AM156" s="123">
        <v>0</v>
      </c>
      <c r="AN156" s="123">
        <v>0</v>
      </c>
      <c r="AO156" s="123">
        <v>0</v>
      </c>
      <c r="AP156" s="123">
        <v>0</v>
      </c>
      <c r="AQ156" s="123">
        <v>0</v>
      </c>
      <c r="AR156" s="123">
        <v>0</v>
      </c>
      <c r="AS156" s="123">
        <v>0</v>
      </c>
      <c r="AT156" s="123">
        <v>0</v>
      </c>
      <c r="AU156" s="123">
        <v>0</v>
      </c>
      <c r="AV156" s="123">
        <v>0</v>
      </c>
      <c r="AW156" s="123">
        <v>0</v>
      </c>
      <c r="AX156" s="123">
        <v>0</v>
      </c>
      <c r="AY156" s="123">
        <v>0</v>
      </c>
    </row>
    <row r="157" spans="1:51" x14ac:dyDescent="0.2">
      <c r="A157" s="126"/>
      <c r="B157" s="143">
        <v>36</v>
      </c>
      <c r="C157" s="123">
        <v>0</v>
      </c>
      <c r="D157" s="123">
        <v>0</v>
      </c>
      <c r="E157" s="123">
        <v>0</v>
      </c>
      <c r="F157" s="123">
        <v>0</v>
      </c>
      <c r="G157" s="123">
        <v>0</v>
      </c>
      <c r="H157" s="123">
        <v>0</v>
      </c>
      <c r="I157" s="123">
        <v>0</v>
      </c>
      <c r="J157" s="123">
        <v>0</v>
      </c>
      <c r="K157" s="123">
        <v>0</v>
      </c>
      <c r="L157" s="123">
        <v>0</v>
      </c>
      <c r="M157" s="123">
        <v>0</v>
      </c>
      <c r="N157" s="123">
        <v>0</v>
      </c>
      <c r="O157" s="123">
        <v>0</v>
      </c>
      <c r="P157" s="123">
        <v>0</v>
      </c>
      <c r="Q157" s="123">
        <v>0</v>
      </c>
      <c r="R157" s="123">
        <v>0</v>
      </c>
      <c r="S157" s="123">
        <v>0</v>
      </c>
      <c r="T157" s="123">
        <v>0</v>
      </c>
      <c r="U157" s="123">
        <v>0</v>
      </c>
      <c r="V157" s="123">
        <v>0</v>
      </c>
      <c r="W157" s="123">
        <v>0</v>
      </c>
      <c r="X157" s="123">
        <v>0</v>
      </c>
      <c r="Y157" s="123">
        <v>0</v>
      </c>
      <c r="Z157" s="123">
        <v>0</v>
      </c>
      <c r="AA157" s="123">
        <v>0</v>
      </c>
      <c r="AB157" s="123">
        <v>0</v>
      </c>
      <c r="AC157" s="123">
        <v>0</v>
      </c>
      <c r="AD157" s="123">
        <v>0</v>
      </c>
      <c r="AE157" s="123">
        <v>0</v>
      </c>
      <c r="AF157" s="123">
        <v>0</v>
      </c>
      <c r="AG157" s="123">
        <v>0</v>
      </c>
      <c r="AH157" s="123">
        <v>0</v>
      </c>
      <c r="AI157" s="123">
        <v>0</v>
      </c>
      <c r="AJ157" s="123">
        <v>0</v>
      </c>
      <c r="AK157" s="123">
        <v>0</v>
      </c>
      <c r="AL157" s="123">
        <v>0</v>
      </c>
      <c r="AM157" s="123">
        <v>0</v>
      </c>
      <c r="AN157" s="123">
        <v>0</v>
      </c>
      <c r="AO157" s="123">
        <v>0</v>
      </c>
      <c r="AP157" s="123">
        <v>0</v>
      </c>
      <c r="AQ157" s="123">
        <v>0</v>
      </c>
      <c r="AR157" s="123">
        <v>0</v>
      </c>
      <c r="AS157" s="123">
        <v>0</v>
      </c>
      <c r="AT157" s="123">
        <v>0</v>
      </c>
      <c r="AU157" s="123">
        <v>0</v>
      </c>
      <c r="AV157" s="123">
        <v>0</v>
      </c>
      <c r="AW157" s="123">
        <v>0</v>
      </c>
      <c r="AX157" s="123">
        <v>0</v>
      </c>
      <c r="AY157" s="123">
        <v>0</v>
      </c>
    </row>
    <row r="158" spans="1:51" x14ac:dyDescent="0.2">
      <c r="A158" s="126"/>
      <c r="B158" s="146">
        <v>37</v>
      </c>
      <c r="C158" s="123">
        <v>0</v>
      </c>
      <c r="D158" s="123">
        <v>0</v>
      </c>
      <c r="E158" s="123">
        <v>0</v>
      </c>
      <c r="F158" s="123">
        <v>0</v>
      </c>
      <c r="G158" s="123">
        <v>0</v>
      </c>
      <c r="H158" s="123">
        <v>0</v>
      </c>
      <c r="I158" s="123">
        <v>0</v>
      </c>
      <c r="J158" s="123">
        <v>0</v>
      </c>
      <c r="K158" s="123">
        <v>0</v>
      </c>
      <c r="L158" s="123">
        <v>0</v>
      </c>
      <c r="M158" s="123">
        <v>0</v>
      </c>
      <c r="N158" s="123">
        <v>0</v>
      </c>
      <c r="O158" s="123">
        <v>0</v>
      </c>
      <c r="P158" s="123">
        <v>0</v>
      </c>
      <c r="Q158" s="123">
        <v>0</v>
      </c>
      <c r="R158" s="123">
        <v>0</v>
      </c>
      <c r="S158" s="123">
        <v>0</v>
      </c>
      <c r="T158" s="123">
        <v>0</v>
      </c>
      <c r="U158" s="123">
        <v>0</v>
      </c>
      <c r="V158" s="123">
        <v>0</v>
      </c>
      <c r="W158" s="123">
        <v>0</v>
      </c>
      <c r="X158" s="123">
        <v>0</v>
      </c>
      <c r="Y158" s="123">
        <v>0</v>
      </c>
      <c r="Z158" s="123">
        <v>0</v>
      </c>
      <c r="AA158" s="123">
        <v>0</v>
      </c>
      <c r="AB158" s="123">
        <v>0</v>
      </c>
      <c r="AC158" s="123">
        <v>0</v>
      </c>
      <c r="AD158" s="123">
        <v>0</v>
      </c>
      <c r="AE158" s="123">
        <v>0</v>
      </c>
      <c r="AF158" s="123">
        <v>0</v>
      </c>
      <c r="AG158" s="123">
        <v>0</v>
      </c>
      <c r="AH158" s="123">
        <v>0</v>
      </c>
      <c r="AI158" s="123">
        <v>0</v>
      </c>
      <c r="AJ158" s="123">
        <v>0</v>
      </c>
      <c r="AK158" s="123">
        <v>0</v>
      </c>
      <c r="AL158" s="123">
        <v>0</v>
      </c>
      <c r="AM158" s="123">
        <v>0</v>
      </c>
      <c r="AN158" s="123">
        <v>0</v>
      </c>
      <c r="AO158" s="123">
        <v>0</v>
      </c>
      <c r="AP158" s="123">
        <v>0</v>
      </c>
      <c r="AQ158" s="123">
        <v>0</v>
      </c>
      <c r="AR158" s="123">
        <v>0</v>
      </c>
      <c r="AS158" s="123">
        <v>0</v>
      </c>
      <c r="AT158" s="123">
        <v>0</v>
      </c>
      <c r="AU158" s="123">
        <v>0</v>
      </c>
      <c r="AV158" s="123">
        <v>0</v>
      </c>
      <c r="AW158" s="123">
        <v>0</v>
      </c>
      <c r="AX158" s="123">
        <v>0</v>
      </c>
      <c r="AY158" s="123">
        <v>0</v>
      </c>
    </row>
    <row r="159" spans="1:51" x14ac:dyDescent="0.2">
      <c r="A159" s="126"/>
      <c r="B159" s="146">
        <v>38</v>
      </c>
      <c r="C159" s="123">
        <v>0</v>
      </c>
      <c r="D159" s="123">
        <v>0</v>
      </c>
      <c r="E159" s="123">
        <v>0</v>
      </c>
      <c r="F159" s="123">
        <v>0</v>
      </c>
      <c r="G159" s="123">
        <v>0</v>
      </c>
      <c r="H159" s="123">
        <v>0</v>
      </c>
      <c r="I159" s="123">
        <v>0</v>
      </c>
      <c r="J159" s="123">
        <v>0</v>
      </c>
      <c r="K159" s="123">
        <v>0</v>
      </c>
      <c r="L159" s="123">
        <v>0</v>
      </c>
      <c r="M159" s="123">
        <v>0</v>
      </c>
      <c r="N159" s="123">
        <v>0</v>
      </c>
      <c r="O159" s="123">
        <v>0</v>
      </c>
      <c r="P159" s="123">
        <v>0</v>
      </c>
      <c r="Q159" s="123">
        <v>0</v>
      </c>
      <c r="R159" s="123">
        <v>0</v>
      </c>
      <c r="S159" s="123">
        <v>0</v>
      </c>
      <c r="T159" s="123">
        <v>0</v>
      </c>
      <c r="U159" s="123">
        <v>0</v>
      </c>
      <c r="V159" s="123">
        <v>0</v>
      </c>
      <c r="W159" s="123">
        <v>0</v>
      </c>
      <c r="X159" s="123">
        <v>0</v>
      </c>
      <c r="Y159" s="123">
        <v>0</v>
      </c>
      <c r="Z159" s="123">
        <v>0</v>
      </c>
      <c r="AA159" s="123">
        <v>0</v>
      </c>
      <c r="AB159" s="123">
        <v>0</v>
      </c>
      <c r="AC159" s="123">
        <v>0</v>
      </c>
      <c r="AD159" s="123">
        <v>0</v>
      </c>
      <c r="AE159" s="123">
        <v>0</v>
      </c>
      <c r="AF159" s="123">
        <v>0</v>
      </c>
      <c r="AG159" s="123">
        <v>0</v>
      </c>
      <c r="AH159" s="123">
        <v>0</v>
      </c>
      <c r="AI159" s="123">
        <v>0</v>
      </c>
      <c r="AJ159" s="123">
        <v>0</v>
      </c>
      <c r="AK159" s="123">
        <v>0</v>
      </c>
      <c r="AL159" s="123">
        <v>0</v>
      </c>
      <c r="AM159" s="123">
        <v>0</v>
      </c>
      <c r="AN159" s="123">
        <v>0</v>
      </c>
      <c r="AO159" s="123">
        <v>0</v>
      </c>
      <c r="AP159" s="123">
        <v>0</v>
      </c>
      <c r="AQ159" s="123">
        <v>0</v>
      </c>
      <c r="AR159" s="123">
        <v>0</v>
      </c>
      <c r="AS159" s="123">
        <v>0</v>
      </c>
      <c r="AT159" s="123">
        <v>0</v>
      </c>
      <c r="AU159" s="123">
        <v>0</v>
      </c>
      <c r="AV159" s="123">
        <v>0</v>
      </c>
      <c r="AW159" s="123">
        <v>0</v>
      </c>
      <c r="AX159" s="123">
        <v>0</v>
      </c>
      <c r="AY159" s="123">
        <v>0</v>
      </c>
    </row>
    <row r="160" spans="1:51" x14ac:dyDescent="0.2">
      <c r="A160" s="126"/>
      <c r="B160" s="146">
        <v>39</v>
      </c>
      <c r="C160" s="123">
        <v>0</v>
      </c>
      <c r="D160" s="123">
        <v>0</v>
      </c>
      <c r="E160" s="123">
        <v>0</v>
      </c>
      <c r="F160" s="123">
        <v>0</v>
      </c>
      <c r="G160" s="123">
        <v>0</v>
      </c>
      <c r="H160" s="123">
        <v>0</v>
      </c>
      <c r="I160" s="123">
        <v>0</v>
      </c>
      <c r="J160" s="123">
        <v>0</v>
      </c>
      <c r="K160" s="123">
        <v>0</v>
      </c>
      <c r="L160" s="123">
        <v>0</v>
      </c>
      <c r="M160" s="123">
        <v>0</v>
      </c>
      <c r="N160" s="123">
        <v>0</v>
      </c>
      <c r="O160" s="123">
        <v>0</v>
      </c>
      <c r="P160" s="123">
        <v>0</v>
      </c>
      <c r="Q160" s="123">
        <v>0</v>
      </c>
      <c r="R160" s="123">
        <v>0</v>
      </c>
      <c r="S160" s="123">
        <v>0</v>
      </c>
      <c r="T160" s="123">
        <v>0</v>
      </c>
      <c r="U160" s="123">
        <v>0</v>
      </c>
      <c r="V160" s="123">
        <v>0</v>
      </c>
      <c r="W160" s="123">
        <v>0</v>
      </c>
      <c r="X160" s="123">
        <v>0</v>
      </c>
      <c r="Y160" s="123">
        <v>0</v>
      </c>
      <c r="Z160" s="123">
        <v>0</v>
      </c>
      <c r="AA160" s="123">
        <v>0</v>
      </c>
      <c r="AB160" s="123">
        <v>0</v>
      </c>
      <c r="AC160" s="123">
        <v>0</v>
      </c>
      <c r="AD160" s="123">
        <v>0</v>
      </c>
      <c r="AE160" s="123">
        <v>0</v>
      </c>
      <c r="AF160" s="123">
        <v>0</v>
      </c>
      <c r="AG160" s="123">
        <v>0</v>
      </c>
      <c r="AH160" s="123">
        <v>0</v>
      </c>
      <c r="AI160" s="123">
        <v>0</v>
      </c>
      <c r="AJ160" s="123">
        <v>0</v>
      </c>
      <c r="AK160" s="123">
        <v>0</v>
      </c>
      <c r="AL160" s="123">
        <v>0</v>
      </c>
      <c r="AM160" s="123">
        <v>0</v>
      </c>
      <c r="AN160" s="123">
        <v>0</v>
      </c>
      <c r="AO160" s="123">
        <v>0</v>
      </c>
      <c r="AP160" s="123">
        <v>0</v>
      </c>
      <c r="AQ160" s="123">
        <v>0</v>
      </c>
      <c r="AR160" s="123">
        <v>0</v>
      </c>
      <c r="AS160" s="123">
        <v>0</v>
      </c>
      <c r="AT160" s="123">
        <v>0</v>
      </c>
      <c r="AU160" s="123">
        <v>0</v>
      </c>
      <c r="AV160" s="123">
        <v>0</v>
      </c>
      <c r="AW160" s="123">
        <v>0</v>
      </c>
      <c r="AX160" s="123">
        <v>0</v>
      </c>
      <c r="AY160" s="123">
        <v>0</v>
      </c>
    </row>
    <row r="161" spans="1:52" x14ac:dyDescent="0.2">
      <c r="A161" s="126"/>
      <c r="B161" s="146">
        <v>40</v>
      </c>
      <c r="C161" s="123">
        <v>0</v>
      </c>
      <c r="D161" s="123">
        <v>0</v>
      </c>
      <c r="E161" s="123">
        <v>0</v>
      </c>
      <c r="F161" s="123">
        <v>0</v>
      </c>
      <c r="G161" s="123">
        <v>0</v>
      </c>
      <c r="H161" s="123">
        <v>0</v>
      </c>
      <c r="I161" s="123">
        <v>0</v>
      </c>
      <c r="J161" s="123">
        <v>0</v>
      </c>
      <c r="K161" s="123">
        <v>0</v>
      </c>
      <c r="L161" s="123">
        <v>0</v>
      </c>
      <c r="M161" s="123">
        <v>0</v>
      </c>
      <c r="N161" s="123">
        <v>0</v>
      </c>
      <c r="O161" s="123">
        <v>0</v>
      </c>
      <c r="P161" s="123">
        <v>0</v>
      </c>
      <c r="Q161" s="123">
        <v>0</v>
      </c>
      <c r="R161" s="123">
        <v>0</v>
      </c>
      <c r="S161" s="123">
        <v>0</v>
      </c>
      <c r="T161" s="123">
        <v>0</v>
      </c>
      <c r="U161" s="123">
        <v>0</v>
      </c>
      <c r="V161" s="123">
        <v>0</v>
      </c>
      <c r="W161" s="123">
        <v>0</v>
      </c>
      <c r="X161" s="123">
        <v>0</v>
      </c>
      <c r="Y161" s="123">
        <v>0</v>
      </c>
      <c r="Z161" s="123">
        <v>0</v>
      </c>
      <c r="AA161" s="123">
        <v>0</v>
      </c>
      <c r="AB161" s="123">
        <v>0</v>
      </c>
      <c r="AC161" s="123">
        <v>0</v>
      </c>
      <c r="AD161" s="123">
        <v>0</v>
      </c>
      <c r="AE161" s="123">
        <v>0</v>
      </c>
      <c r="AF161" s="123">
        <v>0</v>
      </c>
      <c r="AG161" s="123">
        <v>0</v>
      </c>
      <c r="AH161" s="123">
        <v>0</v>
      </c>
      <c r="AI161" s="123">
        <v>0</v>
      </c>
      <c r="AJ161" s="123">
        <v>0</v>
      </c>
      <c r="AK161" s="123">
        <v>0</v>
      </c>
      <c r="AL161" s="123">
        <v>0</v>
      </c>
      <c r="AM161" s="123">
        <v>0</v>
      </c>
      <c r="AN161" s="123">
        <v>0</v>
      </c>
      <c r="AO161" s="123">
        <v>0</v>
      </c>
      <c r="AP161" s="123">
        <v>0</v>
      </c>
      <c r="AQ161" s="123">
        <v>0</v>
      </c>
      <c r="AR161" s="123">
        <v>0</v>
      </c>
      <c r="AS161" s="123">
        <v>0</v>
      </c>
      <c r="AT161" s="123">
        <v>0</v>
      </c>
      <c r="AU161" s="123">
        <v>0</v>
      </c>
      <c r="AV161" s="123">
        <v>0</v>
      </c>
      <c r="AW161" s="123">
        <v>0</v>
      </c>
      <c r="AX161" s="123">
        <v>0</v>
      </c>
      <c r="AY161" s="123">
        <v>0</v>
      </c>
    </row>
    <row r="162" spans="1:52" x14ac:dyDescent="0.2">
      <c r="A162" s="126"/>
      <c r="B162" s="146">
        <v>41</v>
      </c>
      <c r="C162" s="123">
        <v>0</v>
      </c>
      <c r="D162" s="123">
        <v>0</v>
      </c>
      <c r="E162" s="123">
        <v>0</v>
      </c>
      <c r="F162" s="123">
        <v>0</v>
      </c>
      <c r="G162" s="123">
        <v>0</v>
      </c>
      <c r="H162" s="123">
        <v>0</v>
      </c>
      <c r="I162" s="123">
        <v>0</v>
      </c>
      <c r="J162" s="123">
        <v>0</v>
      </c>
      <c r="K162" s="123">
        <v>0</v>
      </c>
      <c r="L162" s="123">
        <v>0</v>
      </c>
      <c r="M162" s="123">
        <v>0</v>
      </c>
      <c r="N162" s="123">
        <v>0</v>
      </c>
      <c r="O162" s="123">
        <v>0</v>
      </c>
      <c r="P162" s="123">
        <v>0</v>
      </c>
      <c r="Q162" s="123">
        <v>0</v>
      </c>
      <c r="R162" s="123">
        <v>0</v>
      </c>
      <c r="S162" s="123">
        <v>0</v>
      </c>
      <c r="T162" s="123">
        <v>0</v>
      </c>
      <c r="U162" s="123">
        <v>0</v>
      </c>
      <c r="V162" s="123">
        <v>0</v>
      </c>
      <c r="W162" s="123">
        <v>0</v>
      </c>
      <c r="X162" s="123">
        <v>0</v>
      </c>
      <c r="Y162" s="123">
        <v>0</v>
      </c>
      <c r="Z162" s="123">
        <v>0</v>
      </c>
      <c r="AA162" s="123">
        <v>0</v>
      </c>
      <c r="AB162" s="123">
        <v>0</v>
      </c>
      <c r="AC162" s="123">
        <v>0</v>
      </c>
      <c r="AD162" s="123">
        <v>0</v>
      </c>
      <c r="AE162" s="123">
        <v>0</v>
      </c>
      <c r="AF162" s="123">
        <v>0</v>
      </c>
      <c r="AG162" s="123">
        <v>0</v>
      </c>
      <c r="AH162" s="123">
        <v>0</v>
      </c>
      <c r="AI162" s="123">
        <v>0</v>
      </c>
      <c r="AJ162" s="123">
        <v>0</v>
      </c>
      <c r="AK162" s="123">
        <v>0</v>
      </c>
      <c r="AL162" s="123">
        <v>0</v>
      </c>
      <c r="AM162" s="123">
        <v>0</v>
      </c>
      <c r="AN162" s="123">
        <v>0</v>
      </c>
      <c r="AO162" s="123">
        <v>0</v>
      </c>
      <c r="AP162" s="123">
        <v>0</v>
      </c>
      <c r="AQ162" s="123">
        <v>0</v>
      </c>
      <c r="AR162" s="123">
        <v>0</v>
      </c>
      <c r="AS162" s="123">
        <v>0</v>
      </c>
      <c r="AT162" s="123">
        <v>0</v>
      </c>
      <c r="AU162" s="123">
        <v>0</v>
      </c>
      <c r="AV162" s="123">
        <v>0</v>
      </c>
      <c r="AW162" s="123">
        <v>0</v>
      </c>
      <c r="AX162" s="123">
        <v>0</v>
      </c>
      <c r="AY162" s="123">
        <v>0</v>
      </c>
    </row>
    <row r="163" spans="1:52" x14ac:dyDescent="0.2">
      <c r="A163" s="126"/>
      <c r="B163" s="146">
        <v>42</v>
      </c>
      <c r="C163" s="123">
        <v>0</v>
      </c>
      <c r="D163" s="123">
        <v>0</v>
      </c>
      <c r="E163" s="123">
        <v>0</v>
      </c>
      <c r="F163" s="123">
        <v>0</v>
      </c>
      <c r="G163" s="123">
        <v>0</v>
      </c>
      <c r="H163" s="123">
        <v>0</v>
      </c>
      <c r="I163" s="123">
        <v>0</v>
      </c>
      <c r="J163" s="123">
        <v>0</v>
      </c>
      <c r="K163" s="123">
        <v>0</v>
      </c>
      <c r="L163" s="123">
        <v>0</v>
      </c>
      <c r="M163" s="123">
        <v>0</v>
      </c>
      <c r="N163" s="123">
        <v>0</v>
      </c>
      <c r="O163" s="123">
        <v>0</v>
      </c>
      <c r="P163" s="123">
        <v>0</v>
      </c>
      <c r="Q163" s="123">
        <v>0</v>
      </c>
      <c r="R163" s="123">
        <v>0</v>
      </c>
      <c r="S163" s="123">
        <v>0</v>
      </c>
      <c r="T163" s="123">
        <v>0</v>
      </c>
      <c r="U163" s="123">
        <v>0</v>
      </c>
      <c r="V163" s="123">
        <v>0</v>
      </c>
      <c r="W163" s="123">
        <v>0</v>
      </c>
      <c r="X163" s="123">
        <v>0</v>
      </c>
      <c r="Y163" s="123">
        <v>0</v>
      </c>
      <c r="Z163" s="123">
        <v>0</v>
      </c>
      <c r="AA163" s="123">
        <v>0</v>
      </c>
      <c r="AB163" s="123">
        <v>0</v>
      </c>
      <c r="AC163" s="123">
        <v>0</v>
      </c>
      <c r="AD163" s="123">
        <v>0</v>
      </c>
      <c r="AE163" s="123">
        <v>0</v>
      </c>
      <c r="AF163" s="123">
        <v>0</v>
      </c>
      <c r="AG163" s="123">
        <v>0</v>
      </c>
      <c r="AH163" s="123">
        <v>0</v>
      </c>
      <c r="AI163" s="123">
        <v>0</v>
      </c>
      <c r="AJ163" s="123">
        <v>0</v>
      </c>
      <c r="AK163" s="123">
        <v>0</v>
      </c>
      <c r="AL163" s="123">
        <v>0</v>
      </c>
      <c r="AM163" s="123">
        <v>0</v>
      </c>
      <c r="AN163" s="123">
        <v>0</v>
      </c>
      <c r="AO163" s="123">
        <v>0</v>
      </c>
      <c r="AP163" s="123">
        <v>0</v>
      </c>
      <c r="AQ163" s="123">
        <v>0</v>
      </c>
      <c r="AR163" s="123">
        <v>0</v>
      </c>
      <c r="AS163" s="123">
        <v>0</v>
      </c>
      <c r="AT163" s="123">
        <v>0</v>
      </c>
      <c r="AU163" s="123">
        <v>0</v>
      </c>
      <c r="AV163" s="123">
        <v>0</v>
      </c>
      <c r="AW163" s="123">
        <v>0</v>
      </c>
      <c r="AX163" s="123">
        <v>0</v>
      </c>
      <c r="AY163" s="123">
        <v>0</v>
      </c>
    </row>
    <row r="164" spans="1:52" x14ac:dyDescent="0.2">
      <c r="A164" s="126"/>
      <c r="B164" s="146">
        <v>43</v>
      </c>
      <c r="C164" s="123">
        <v>0</v>
      </c>
      <c r="D164" s="123">
        <v>0</v>
      </c>
      <c r="E164" s="123">
        <v>0</v>
      </c>
      <c r="F164" s="123">
        <v>0</v>
      </c>
      <c r="G164" s="123">
        <v>0</v>
      </c>
      <c r="H164" s="123">
        <v>0</v>
      </c>
      <c r="I164" s="123">
        <v>0</v>
      </c>
      <c r="J164" s="123">
        <v>0</v>
      </c>
      <c r="K164" s="123">
        <v>0</v>
      </c>
      <c r="L164" s="123">
        <v>0</v>
      </c>
      <c r="M164" s="123">
        <v>0</v>
      </c>
      <c r="N164" s="123">
        <v>0</v>
      </c>
      <c r="O164" s="123">
        <v>0</v>
      </c>
      <c r="P164" s="123">
        <v>0</v>
      </c>
      <c r="Q164" s="123">
        <v>0</v>
      </c>
      <c r="R164" s="123">
        <v>0</v>
      </c>
      <c r="S164" s="123">
        <v>0</v>
      </c>
      <c r="T164" s="123">
        <v>0</v>
      </c>
      <c r="U164" s="123">
        <v>0</v>
      </c>
      <c r="V164" s="123">
        <v>0</v>
      </c>
      <c r="W164" s="123">
        <v>0</v>
      </c>
      <c r="X164" s="123">
        <v>0</v>
      </c>
      <c r="Y164" s="123">
        <v>0</v>
      </c>
      <c r="Z164" s="123">
        <v>0</v>
      </c>
      <c r="AA164" s="123">
        <v>0</v>
      </c>
      <c r="AB164" s="123">
        <v>0</v>
      </c>
      <c r="AC164" s="123">
        <v>0</v>
      </c>
      <c r="AD164" s="123">
        <v>0</v>
      </c>
      <c r="AE164" s="123">
        <v>0</v>
      </c>
      <c r="AF164" s="123">
        <v>0</v>
      </c>
      <c r="AG164" s="123">
        <v>0</v>
      </c>
      <c r="AH164" s="123">
        <v>0</v>
      </c>
      <c r="AI164" s="123">
        <v>0</v>
      </c>
      <c r="AJ164" s="123">
        <v>0</v>
      </c>
      <c r="AK164" s="123">
        <v>0</v>
      </c>
      <c r="AL164" s="123">
        <v>0</v>
      </c>
      <c r="AM164" s="123">
        <v>0</v>
      </c>
      <c r="AN164" s="123">
        <v>0</v>
      </c>
      <c r="AO164" s="123">
        <v>0</v>
      </c>
      <c r="AP164" s="123">
        <v>0</v>
      </c>
      <c r="AQ164" s="123">
        <v>0</v>
      </c>
      <c r="AR164" s="123">
        <v>0</v>
      </c>
      <c r="AS164" s="123">
        <v>0</v>
      </c>
      <c r="AT164" s="123">
        <v>0</v>
      </c>
      <c r="AU164" s="123">
        <v>0</v>
      </c>
      <c r="AV164" s="123">
        <v>0</v>
      </c>
      <c r="AW164" s="123">
        <v>0</v>
      </c>
      <c r="AX164" s="123">
        <v>0</v>
      </c>
      <c r="AY164" s="123">
        <v>0</v>
      </c>
    </row>
    <row r="165" spans="1:52" x14ac:dyDescent="0.2">
      <c r="A165" s="126"/>
      <c r="B165" s="146">
        <v>44</v>
      </c>
      <c r="C165" s="123">
        <v>0</v>
      </c>
      <c r="D165" s="123">
        <v>0</v>
      </c>
      <c r="E165" s="123">
        <v>0</v>
      </c>
      <c r="F165" s="123">
        <v>0</v>
      </c>
      <c r="G165" s="123">
        <v>0</v>
      </c>
      <c r="H165" s="123">
        <v>0</v>
      </c>
      <c r="I165" s="123">
        <v>0</v>
      </c>
      <c r="J165" s="123">
        <v>0</v>
      </c>
      <c r="K165" s="123">
        <v>0</v>
      </c>
      <c r="L165" s="123">
        <v>0</v>
      </c>
      <c r="M165" s="123">
        <v>0</v>
      </c>
      <c r="N165" s="123">
        <v>0</v>
      </c>
      <c r="O165" s="123">
        <v>0</v>
      </c>
      <c r="P165" s="123">
        <v>0</v>
      </c>
      <c r="Q165" s="123">
        <v>0</v>
      </c>
      <c r="R165" s="123">
        <v>0</v>
      </c>
      <c r="S165" s="123">
        <v>0</v>
      </c>
      <c r="T165" s="123">
        <v>0</v>
      </c>
      <c r="U165" s="123">
        <v>0</v>
      </c>
      <c r="V165" s="123">
        <v>0</v>
      </c>
      <c r="W165" s="123">
        <v>0</v>
      </c>
      <c r="X165" s="123">
        <v>0</v>
      </c>
      <c r="Y165" s="123">
        <v>0</v>
      </c>
      <c r="Z165" s="123">
        <v>0</v>
      </c>
      <c r="AA165" s="123">
        <v>0</v>
      </c>
      <c r="AB165" s="123">
        <v>0</v>
      </c>
      <c r="AC165" s="123">
        <v>0</v>
      </c>
      <c r="AD165" s="123">
        <v>0</v>
      </c>
      <c r="AE165" s="123">
        <v>0</v>
      </c>
      <c r="AF165" s="123">
        <v>0</v>
      </c>
      <c r="AG165" s="123">
        <v>0</v>
      </c>
      <c r="AH165" s="123">
        <v>0</v>
      </c>
      <c r="AI165" s="123">
        <v>0</v>
      </c>
      <c r="AJ165" s="123">
        <v>0</v>
      </c>
      <c r="AK165" s="123">
        <v>0</v>
      </c>
      <c r="AL165" s="123">
        <v>0</v>
      </c>
      <c r="AM165" s="123">
        <v>0</v>
      </c>
      <c r="AN165" s="123">
        <v>0</v>
      </c>
      <c r="AO165" s="123">
        <v>0</v>
      </c>
      <c r="AP165" s="123">
        <v>0</v>
      </c>
      <c r="AQ165" s="123">
        <v>0</v>
      </c>
      <c r="AR165" s="123">
        <v>0</v>
      </c>
      <c r="AS165" s="123">
        <v>0</v>
      </c>
      <c r="AT165" s="123">
        <v>0</v>
      </c>
      <c r="AU165" s="123">
        <v>0</v>
      </c>
      <c r="AV165" s="123">
        <v>0</v>
      </c>
      <c r="AW165" s="123">
        <v>0</v>
      </c>
      <c r="AX165" s="123">
        <v>0</v>
      </c>
      <c r="AY165" s="123">
        <v>0</v>
      </c>
    </row>
    <row r="166" spans="1:52" x14ac:dyDescent="0.2">
      <c r="A166" s="126"/>
      <c r="B166" s="146">
        <v>45</v>
      </c>
      <c r="C166" s="123">
        <v>0</v>
      </c>
      <c r="D166" s="123">
        <v>0</v>
      </c>
      <c r="E166" s="123">
        <v>0</v>
      </c>
      <c r="F166" s="123">
        <v>0</v>
      </c>
      <c r="G166" s="123">
        <v>0</v>
      </c>
      <c r="H166" s="123">
        <v>0</v>
      </c>
      <c r="I166" s="123">
        <v>0</v>
      </c>
      <c r="J166" s="123">
        <v>0</v>
      </c>
      <c r="K166" s="123">
        <v>0</v>
      </c>
      <c r="L166" s="123">
        <v>0</v>
      </c>
      <c r="M166" s="123">
        <v>0</v>
      </c>
      <c r="N166" s="123">
        <v>0</v>
      </c>
      <c r="O166" s="123">
        <v>0</v>
      </c>
      <c r="P166" s="123">
        <v>0</v>
      </c>
      <c r="Q166" s="123">
        <v>0</v>
      </c>
      <c r="R166" s="123">
        <v>0</v>
      </c>
      <c r="S166" s="123">
        <v>0</v>
      </c>
      <c r="T166" s="123">
        <v>0</v>
      </c>
      <c r="U166" s="123">
        <v>0</v>
      </c>
      <c r="V166" s="123">
        <v>0</v>
      </c>
      <c r="W166" s="123">
        <v>0</v>
      </c>
      <c r="X166" s="123">
        <v>0</v>
      </c>
      <c r="Y166" s="123">
        <v>0</v>
      </c>
      <c r="Z166" s="123">
        <v>0</v>
      </c>
      <c r="AA166" s="123">
        <v>0</v>
      </c>
      <c r="AB166" s="123">
        <v>0</v>
      </c>
      <c r="AC166" s="123">
        <v>0</v>
      </c>
      <c r="AD166" s="123">
        <v>0</v>
      </c>
      <c r="AE166" s="123">
        <v>0</v>
      </c>
      <c r="AF166" s="123">
        <v>0</v>
      </c>
      <c r="AG166" s="123">
        <v>0</v>
      </c>
      <c r="AH166" s="123">
        <v>0</v>
      </c>
      <c r="AI166" s="123">
        <v>0</v>
      </c>
      <c r="AJ166" s="123">
        <v>0</v>
      </c>
      <c r="AK166" s="123">
        <v>0</v>
      </c>
      <c r="AL166" s="123">
        <v>0</v>
      </c>
      <c r="AM166" s="123">
        <v>0</v>
      </c>
      <c r="AN166" s="123">
        <v>0</v>
      </c>
      <c r="AO166" s="123">
        <v>0</v>
      </c>
      <c r="AP166" s="123">
        <v>0</v>
      </c>
      <c r="AQ166" s="123">
        <v>0</v>
      </c>
      <c r="AR166" s="123">
        <v>0</v>
      </c>
      <c r="AS166" s="123">
        <v>0</v>
      </c>
      <c r="AT166" s="123">
        <v>0</v>
      </c>
      <c r="AU166" s="123">
        <v>0</v>
      </c>
      <c r="AV166" s="123">
        <v>0</v>
      </c>
      <c r="AW166" s="123">
        <v>0</v>
      </c>
      <c r="AX166" s="123">
        <v>0</v>
      </c>
      <c r="AY166" s="123">
        <v>0</v>
      </c>
    </row>
    <row r="167" spans="1:52" x14ac:dyDescent="0.2">
      <c r="A167" s="126"/>
      <c r="B167" s="146">
        <v>46</v>
      </c>
      <c r="C167" s="123">
        <v>0</v>
      </c>
      <c r="D167" s="123">
        <v>0</v>
      </c>
      <c r="E167" s="123">
        <v>0</v>
      </c>
      <c r="F167" s="123">
        <v>0</v>
      </c>
      <c r="G167" s="123">
        <v>0</v>
      </c>
      <c r="H167" s="123">
        <v>0</v>
      </c>
      <c r="I167" s="123">
        <v>0</v>
      </c>
      <c r="J167" s="123">
        <v>0</v>
      </c>
      <c r="K167" s="123">
        <v>0</v>
      </c>
      <c r="L167" s="123">
        <v>0</v>
      </c>
      <c r="M167" s="123">
        <v>0</v>
      </c>
      <c r="N167" s="123">
        <v>0</v>
      </c>
      <c r="O167" s="123">
        <v>0</v>
      </c>
      <c r="P167" s="123">
        <v>0</v>
      </c>
      <c r="Q167" s="123">
        <v>0</v>
      </c>
      <c r="R167" s="123">
        <v>0</v>
      </c>
      <c r="S167" s="123">
        <v>0</v>
      </c>
      <c r="T167" s="123">
        <v>0</v>
      </c>
      <c r="U167" s="123">
        <v>0</v>
      </c>
      <c r="V167" s="123">
        <v>0</v>
      </c>
      <c r="W167" s="123">
        <v>0</v>
      </c>
      <c r="X167" s="123">
        <v>0</v>
      </c>
      <c r="Y167" s="123">
        <v>0</v>
      </c>
      <c r="Z167" s="123">
        <v>0</v>
      </c>
      <c r="AA167" s="123">
        <v>0</v>
      </c>
      <c r="AB167" s="123">
        <v>0</v>
      </c>
      <c r="AC167" s="123">
        <v>0</v>
      </c>
      <c r="AD167" s="123">
        <v>0</v>
      </c>
      <c r="AE167" s="123">
        <v>0</v>
      </c>
      <c r="AF167" s="123">
        <v>0</v>
      </c>
      <c r="AG167" s="123">
        <v>0</v>
      </c>
      <c r="AH167" s="123">
        <v>0</v>
      </c>
      <c r="AI167" s="123">
        <v>0</v>
      </c>
      <c r="AJ167" s="123">
        <v>0</v>
      </c>
      <c r="AK167" s="123">
        <v>0</v>
      </c>
      <c r="AL167" s="123">
        <v>0</v>
      </c>
      <c r="AM167" s="123">
        <v>0</v>
      </c>
      <c r="AN167" s="123">
        <v>0</v>
      </c>
      <c r="AO167" s="123">
        <v>0</v>
      </c>
      <c r="AP167" s="123">
        <v>0</v>
      </c>
      <c r="AQ167" s="123">
        <v>0</v>
      </c>
      <c r="AR167" s="123">
        <v>0</v>
      </c>
      <c r="AS167" s="123">
        <v>0</v>
      </c>
      <c r="AT167" s="123">
        <v>0</v>
      </c>
      <c r="AU167" s="123">
        <v>0</v>
      </c>
      <c r="AV167" s="123">
        <v>0</v>
      </c>
      <c r="AW167" s="123">
        <v>0</v>
      </c>
      <c r="AX167" s="123">
        <v>0</v>
      </c>
      <c r="AY167" s="123">
        <v>0</v>
      </c>
    </row>
    <row r="168" spans="1:52" x14ac:dyDescent="0.2">
      <c r="A168" s="126"/>
      <c r="B168" s="146">
        <v>47</v>
      </c>
      <c r="C168" s="123">
        <v>0</v>
      </c>
      <c r="D168" s="123">
        <v>0</v>
      </c>
      <c r="E168" s="123">
        <v>0</v>
      </c>
      <c r="F168" s="123">
        <v>0</v>
      </c>
      <c r="G168" s="123">
        <v>0</v>
      </c>
      <c r="H168" s="123">
        <v>0</v>
      </c>
      <c r="I168" s="123">
        <v>0</v>
      </c>
      <c r="J168" s="123">
        <v>0</v>
      </c>
      <c r="K168" s="123">
        <v>0</v>
      </c>
      <c r="L168" s="123">
        <v>0</v>
      </c>
      <c r="M168" s="123">
        <v>0</v>
      </c>
      <c r="N168" s="123">
        <v>0</v>
      </c>
      <c r="O168" s="123">
        <v>0</v>
      </c>
      <c r="P168" s="123">
        <v>0</v>
      </c>
      <c r="Q168" s="123">
        <v>0</v>
      </c>
      <c r="R168" s="123">
        <v>0</v>
      </c>
      <c r="S168" s="123">
        <v>0</v>
      </c>
      <c r="T168" s="123">
        <v>0</v>
      </c>
      <c r="U168" s="123">
        <v>0</v>
      </c>
      <c r="V168" s="123">
        <v>0</v>
      </c>
      <c r="W168" s="123">
        <v>0</v>
      </c>
      <c r="X168" s="123">
        <v>0</v>
      </c>
      <c r="Y168" s="123">
        <v>0</v>
      </c>
      <c r="Z168" s="123">
        <v>0</v>
      </c>
      <c r="AA168" s="123">
        <v>0</v>
      </c>
      <c r="AB168" s="123">
        <v>0</v>
      </c>
      <c r="AC168" s="123">
        <v>0</v>
      </c>
      <c r="AD168" s="123">
        <v>0</v>
      </c>
      <c r="AE168" s="123">
        <v>0</v>
      </c>
      <c r="AF168" s="123">
        <v>0</v>
      </c>
      <c r="AG168" s="123">
        <v>0</v>
      </c>
      <c r="AH168" s="123">
        <v>0</v>
      </c>
      <c r="AI168" s="123">
        <v>0</v>
      </c>
      <c r="AJ168" s="123">
        <v>0</v>
      </c>
      <c r="AK168" s="123">
        <v>0</v>
      </c>
      <c r="AL168" s="123">
        <v>0</v>
      </c>
      <c r="AM168" s="123">
        <v>0</v>
      </c>
      <c r="AN168" s="123">
        <v>0</v>
      </c>
      <c r="AO168" s="123">
        <v>0</v>
      </c>
      <c r="AP168" s="123">
        <v>0</v>
      </c>
      <c r="AQ168" s="123">
        <v>0</v>
      </c>
      <c r="AR168" s="123">
        <v>0</v>
      </c>
      <c r="AS168" s="123">
        <v>0</v>
      </c>
      <c r="AT168" s="123">
        <v>0</v>
      </c>
      <c r="AU168" s="123">
        <v>0</v>
      </c>
      <c r="AV168" s="123">
        <v>0</v>
      </c>
      <c r="AW168" s="123">
        <v>0</v>
      </c>
      <c r="AX168" s="123">
        <v>0</v>
      </c>
      <c r="AY168" s="123">
        <v>0</v>
      </c>
    </row>
    <row r="169" spans="1:52" x14ac:dyDescent="0.2">
      <c r="A169" s="126"/>
      <c r="B169" s="146">
        <v>48</v>
      </c>
      <c r="C169" s="123">
        <v>0</v>
      </c>
      <c r="D169" s="123">
        <v>0</v>
      </c>
      <c r="E169" s="123">
        <v>0</v>
      </c>
      <c r="F169" s="123">
        <v>0</v>
      </c>
      <c r="G169" s="123">
        <v>0</v>
      </c>
      <c r="H169" s="123">
        <v>0</v>
      </c>
      <c r="I169" s="123">
        <v>0</v>
      </c>
      <c r="J169" s="123">
        <v>0</v>
      </c>
      <c r="K169" s="123">
        <v>0</v>
      </c>
      <c r="L169" s="123">
        <v>0</v>
      </c>
      <c r="M169" s="123">
        <v>0</v>
      </c>
      <c r="N169" s="123">
        <v>0</v>
      </c>
      <c r="O169" s="123">
        <v>0</v>
      </c>
      <c r="P169" s="123">
        <v>0</v>
      </c>
      <c r="Q169" s="123">
        <v>0</v>
      </c>
      <c r="R169" s="123">
        <v>0</v>
      </c>
      <c r="S169" s="123">
        <v>0</v>
      </c>
      <c r="T169" s="123">
        <v>0</v>
      </c>
      <c r="U169" s="123">
        <v>0</v>
      </c>
      <c r="V169" s="123">
        <v>0</v>
      </c>
      <c r="W169" s="123">
        <v>0</v>
      </c>
      <c r="X169" s="123">
        <v>0</v>
      </c>
      <c r="Y169" s="123">
        <v>0</v>
      </c>
      <c r="Z169" s="123">
        <v>0</v>
      </c>
      <c r="AA169" s="123">
        <v>0</v>
      </c>
      <c r="AB169" s="123">
        <v>0</v>
      </c>
      <c r="AC169" s="123">
        <v>0</v>
      </c>
      <c r="AD169" s="123">
        <v>0</v>
      </c>
      <c r="AE169" s="123">
        <v>0</v>
      </c>
      <c r="AF169" s="123">
        <v>0</v>
      </c>
      <c r="AG169" s="123">
        <v>0</v>
      </c>
      <c r="AH169" s="123">
        <v>0</v>
      </c>
      <c r="AI169" s="123">
        <v>0</v>
      </c>
      <c r="AJ169" s="123">
        <v>0</v>
      </c>
      <c r="AK169" s="123">
        <v>0</v>
      </c>
      <c r="AL169" s="123">
        <v>0</v>
      </c>
      <c r="AM169" s="123">
        <v>0</v>
      </c>
      <c r="AN169" s="123">
        <v>0</v>
      </c>
      <c r="AO169" s="123">
        <v>0</v>
      </c>
      <c r="AP169" s="123">
        <v>0</v>
      </c>
      <c r="AQ169" s="123">
        <v>0</v>
      </c>
      <c r="AR169" s="123">
        <v>0</v>
      </c>
      <c r="AS169" s="123">
        <v>0</v>
      </c>
      <c r="AT169" s="123">
        <v>0</v>
      </c>
      <c r="AU169" s="123">
        <v>0</v>
      </c>
      <c r="AV169" s="123">
        <v>0</v>
      </c>
      <c r="AW169" s="123">
        <v>0</v>
      </c>
      <c r="AX169" s="123">
        <v>0</v>
      </c>
      <c r="AY169" s="123">
        <v>0</v>
      </c>
    </row>
    <row r="170" spans="1:52" x14ac:dyDescent="0.2">
      <c r="A170" s="144"/>
      <c r="B170" s="148" t="s">
        <v>296</v>
      </c>
      <c r="C170" s="130">
        <v>0</v>
      </c>
      <c r="D170" s="141">
        <v>0</v>
      </c>
      <c r="E170" s="141">
        <v>0</v>
      </c>
      <c r="F170" s="141">
        <v>0</v>
      </c>
      <c r="G170" s="141">
        <v>0</v>
      </c>
      <c r="H170" s="141">
        <v>0</v>
      </c>
      <c r="I170" s="141">
        <v>0</v>
      </c>
      <c r="J170" s="141">
        <v>0</v>
      </c>
      <c r="K170" s="141">
        <v>0</v>
      </c>
      <c r="L170" s="141">
        <v>0</v>
      </c>
      <c r="M170" s="141">
        <v>0</v>
      </c>
      <c r="N170" s="141">
        <v>0</v>
      </c>
      <c r="O170" s="141">
        <v>0</v>
      </c>
      <c r="P170" s="141">
        <v>0</v>
      </c>
      <c r="Q170" s="141">
        <v>0</v>
      </c>
      <c r="R170" s="141">
        <v>0</v>
      </c>
      <c r="S170" s="141">
        <v>0</v>
      </c>
      <c r="T170" s="141">
        <v>0</v>
      </c>
      <c r="U170" s="141">
        <v>0</v>
      </c>
      <c r="V170" s="141">
        <v>0</v>
      </c>
      <c r="W170" s="141">
        <v>0</v>
      </c>
      <c r="X170" s="141">
        <v>0</v>
      </c>
      <c r="Y170" s="141">
        <v>0</v>
      </c>
      <c r="Z170" s="141">
        <v>0</v>
      </c>
      <c r="AA170" s="141">
        <v>0</v>
      </c>
      <c r="AB170" s="141">
        <v>0</v>
      </c>
      <c r="AC170" s="141">
        <v>0</v>
      </c>
      <c r="AD170" s="141">
        <v>0</v>
      </c>
      <c r="AE170" s="141">
        <v>0</v>
      </c>
      <c r="AF170" s="141">
        <v>0</v>
      </c>
      <c r="AG170" s="141">
        <v>0</v>
      </c>
      <c r="AH170" s="141">
        <v>0</v>
      </c>
      <c r="AI170" s="141">
        <v>0</v>
      </c>
      <c r="AJ170" s="141">
        <v>0</v>
      </c>
      <c r="AK170" s="141">
        <v>0</v>
      </c>
      <c r="AL170" s="141">
        <v>0</v>
      </c>
      <c r="AM170" s="141">
        <v>0</v>
      </c>
      <c r="AN170" s="141">
        <v>0</v>
      </c>
      <c r="AO170" s="141">
        <v>0</v>
      </c>
      <c r="AP170" s="141">
        <v>0</v>
      </c>
      <c r="AQ170" s="141">
        <v>0</v>
      </c>
      <c r="AR170" s="141">
        <v>0</v>
      </c>
      <c r="AS170" s="141">
        <v>0</v>
      </c>
      <c r="AT170" s="141">
        <v>0</v>
      </c>
      <c r="AU170" s="141">
        <v>0</v>
      </c>
      <c r="AV170" s="141">
        <v>0</v>
      </c>
      <c r="AW170" s="141">
        <v>0</v>
      </c>
      <c r="AX170" s="141">
        <v>0</v>
      </c>
      <c r="AY170" s="141">
        <v>0</v>
      </c>
      <c r="AZ170" s="124">
        <f>SUM($D170:$AY170)</f>
        <v>0</v>
      </c>
    </row>
    <row r="172" spans="1:52" x14ac:dyDescent="0.2">
      <c r="A172" s="1" t="s">
        <v>124</v>
      </c>
      <c r="B172" s="149" t="s">
        <v>297</v>
      </c>
      <c r="C172" s="150">
        <v>0.3619709496895922</v>
      </c>
      <c r="D172" s="150">
        <v>0.30256926631890069</v>
      </c>
      <c r="E172" s="150">
        <v>0.30256926631890069</v>
      </c>
      <c r="F172" s="150">
        <v>0.30256926631890069</v>
      </c>
      <c r="G172" s="150">
        <v>0.30256926631890069</v>
      </c>
      <c r="H172" s="150">
        <v>0.30256926631890069</v>
      </c>
      <c r="I172" s="150">
        <v>0.30256926631890069</v>
      </c>
      <c r="J172" s="150">
        <v>0.30256926631890069</v>
      </c>
      <c r="K172" s="150">
        <v>0.30256926631890069</v>
      </c>
      <c r="L172" s="150">
        <v>0.30256926631890069</v>
      </c>
      <c r="M172" s="150">
        <v>0.30256926631890069</v>
      </c>
      <c r="N172" s="150">
        <v>0.30256926631890069</v>
      </c>
      <c r="O172" s="150">
        <v>0.30256926631890069</v>
      </c>
      <c r="P172" s="150">
        <v>0.30256926631890069</v>
      </c>
      <c r="Q172" s="150">
        <v>0.30256926631890069</v>
      </c>
      <c r="R172" s="150">
        <v>0.30256926631890069</v>
      </c>
      <c r="S172" s="150">
        <v>0.30256926631890069</v>
      </c>
      <c r="T172" s="150">
        <v>0.30256926631890069</v>
      </c>
      <c r="U172" s="150">
        <v>0.30256926631890069</v>
      </c>
      <c r="V172" s="150">
        <v>0.30256926631890069</v>
      </c>
      <c r="W172" s="150">
        <v>0.30256926631890069</v>
      </c>
      <c r="X172" s="150">
        <v>0.30256926631890069</v>
      </c>
      <c r="Y172" s="150">
        <v>0.30256926631890069</v>
      </c>
      <c r="Z172" s="150">
        <v>0.30256926631890069</v>
      </c>
      <c r="AA172" s="150">
        <v>0.30256926631890069</v>
      </c>
      <c r="AB172" s="150">
        <v>0.30256926631890069</v>
      </c>
      <c r="AC172" s="150">
        <v>0.30256926631890069</v>
      </c>
      <c r="AD172" s="150">
        <v>0.30256926631890069</v>
      </c>
      <c r="AE172" s="150">
        <v>0.30256926631890069</v>
      </c>
      <c r="AF172" s="150">
        <v>0.30256926631890069</v>
      </c>
      <c r="AG172" s="150">
        <v>0.30256926631890069</v>
      </c>
      <c r="AH172" s="150">
        <v>0.30256926631890069</v>
      </c>
      <c r="AI172" s="150">
        <v>0.30256926631890069</v>
      </c>
      <c r="AJ172" s="150">
        <v>0.30256926631890069</v>
      </c>
      <c r="AK172" s="150">
        <v>0.30256926631890069</v>
      </c>
      <c r="AL172" s="150">
        <v>0.30256926631890069</v>
      </c>
      <c r="AM172" s="150">
        <v>0.30256926631890069</v>
      </c>
      <c r="AN172" s="150">
        <v>0.30256926631890069</v>
      </c>
      <c r="AO172" s="150">
        <v>0.30256926631890069</v>
      </c>
      <c r="AP172" s="150">
        <v>0.30256926631890069</v>
      </c>
      <c r="AQ172" s="150">
        <v>0.30256926631890069</v>
      </c>
      <c r="AR172" s="150">
        <v>0.30256926631890069</v>
      </c>
      <c r="AS172" s="150">
        <v>0.30256926631890069</v>
      </c>
      <c r="AT172" s="150">
        <v>0.30256926631890069</v>
      </c>
      <c r="AU172" s="150">
        <v>0.30256926631890069</v>
      </c>
      <c r="AV172" s="150">
        <v>0.30256926631890069</v>
      </c>
      <c r="AW172" s="150">
        <v>0.30256926631890069</v>
      </c>
      <c r="AX172" s="150">
        <v>0.30256926631890069</v>
      </c>
      <c r="AY172" s="150">
        <v>0.30256926631890069</v>
      </c>
    </row>
    <row r="174" spans="1:52" x14ac:dyDescent="0.2">
      <c r="A174" s="1" t="s">
        <v>272</v>
      </c>
    </row>
    <row r="175" spans="1:52" x14ac:dyDescent="0.2">
      <c r="A175" s="151" t="s">
        <v>125</v>
      </c>
      <c r="B175" s="151" t="s">
        <v>298</v>
      </c>
      <c r="C175" s="140" t="s">
        <v>293</v>
      </c>
      <c r="D175" s="140">
        <f t="shared" ref="D175:AY175" si="1">SUM(D95:D98)</f>
        <v>8816.3165713406379</v>
      </c>
      <c r="E175" s="140">
        <f t="shared" si="1"/>
        <v>10465.07938100619</v>
      </c>
      <c r="F175" s="140">
        <f t="shared" si="1"/>
        <v>12113.842190671741</v>
      </c>
      <c r="G175" s="140">
        <f t="shared" si="1"/>
        <v>13762.605000337293</v>
      </c>
      <c r="H175" s="140">
        <f t="shared" si="1"/>
        <v>13762.605000337297</v>
      </c>
      <c r="I175" s="140">
        <f t="shared" si="1"/>
        <v>13762.605000337298</v>
      </c>
      <c r="J175" s="140">
        <f t="shared" si="1"/>
        <v>13762.6050003373</v>
      </c>
      <c r="K175" s="140">
        <f t="shared" si="1"/>
        <v>13762.605000337302</v>
      </c>
      <c r="L175" s="140">
        <f t="shared" si="1"/>
        <v>13762.605000337302</v>
      </c>
      <c r="M175" s="140">
        <f t="shared" si="1"/>
        <v>13762.605000337302</v>
      </c>
      <c r="N175" s="140">
        <f t="shared" si="1"/>
        <v>13762.605000337302</v>
      </c>
      <c r="O175" s="140">
        <f t="shared" si="1"/>
        <v>13762.605000337302</v>
      </c>
      <c r="P175" s="140">
        <f t="shared" si="1"/>
        <v>13762.605000337302</v>
      </c>
      <c r="Q175" s="140">
        <f t="shared" si="1"/>
        <v>13762.605000337302</v>
      </c>
      <c r="R175" s="140">
        <f t="shared" si="1"/>
        <v>13762.605000337302</v>
      </c>
      <c r="S175" s="140">
        <f t="shared" si="1"/>
        <v>13762.605000337302</v>
      </c>
      <c r="T175" s="140">
        <f t="shared" si="1"/>
        <v>13762.605000337302</v>
      </c>
      <c r="U175" s="140">
        <f t="shared" si="1"/>
        <v>13762.605000337302</v>
      </c>
      <c r="V175" s="140">
        <f t="shared" si="1"/>
        <v>13762.605000337302</v>
      </c>
      <c r="W175" s="140">
        <f t="shared" si="1"/>
        <v>13762.605000337302</v>
      </c>
      <c r="X175" s="140">
        <f t="shared" si="1"/>
        <v>13762.605000337302</v>
      </c>
      <c r="Y175" s="140">
        <f t="shared" si="1"/>
        <v>13762.605000337302</v>
      </c>
      <c r="Z175" s="140">
        <f t="shared" si="1"/>
        <v>13762.605000337302</v>
      </c>
      <c r="AA175" s="140">
        <f t="shared" si="1"/>
        <v>13762.605000337302</v>
      </c>
      <c r="AB175" s="140">
        <f t="shared" si="1"/>
        <v>13762.605000337302</v>
      </c>
      <c r="AC175" s="140">
        <f t="shared" si="1"/>
        <v>13762.605000337302</v>
      </c>
      <c r="AD175" s="140">
        <f t="shared" si="1"/>
        <v>13762.605000337302</v>
      </c>
      <c r="AE175" s="140">
        <f t="shared" si="1"/>
        <v>13762.605000337302</v>
      </c>
      <c r="AF175" s="140">
        <f t="shared" si="1"/>
        <v>13762.605000337302</v>
      </c>
      <c r="AG175" s="140">
        <f t="shared" si="1"/>
        <v>13762.605000337302</v>
      </c>
      <c r="AH175" s="140">
        <f t="shared" si="1"/>
        <v>13762.605000337302</v>
      </c>
      <c r="AI175" s="140">
        <f t="shared" si="1"/>
        <v>13762.605000337302</v>
      </c>
      <c r="AJ175" s="140">
        <f t="shared" si="1"/>
        <v>13762.605000337302</v>
      </c>
      <c r="AK175" s="140">
        <f t="shared" si="1"/>
        <v>13762.605000337302</v>
      </c>
      <c r="AL175" s="140">
        <f t="shared" si="1"/>
        <v>13762.605000337302</v>
      </c>
      <c r="AM175" s="140">
        <f t="shared" si="1"/>
        <v>13762.605000337302</v>
      </c>
      <c r="AN175" s="140">
        <f t="shared" si="1"/>
        <v>13762.605000337302</v>
      </c>
      <c r="AO175" s="140">
        <f t="shared" si="1"/>
        <v>13762.605000337302</v>
      </c>
      <c r="AP175" s="140">
        <f t="shared" si="1"/>
        <v>13762.605000337302</v>
      </c>
      <c r="AQ175" s="140">
        <f t="shared" si="1"/>
        <v>13762.605000337302</v>
      </c>
      <c r="AR175" s="140">
        <f t="shared" si="1"/>
        <v>13762.605000337302</v>
      </c>
      <c r="AS175" s="140">
        <f t="shared" si="1"/>
        <v>13762.605000337302</v>
      </c>
      <c r="AT175" s="140">
        <f t="shared" si="1"/>
        <v>13762.605000337302</v>
      </c>
      <c r="AU175" s="140">
        <f t="shared" si="1"/>
        <v>13762.605000337302</v>
      </c>
      <c r="AV175" s="140">
        <f t="shared" si="1"/>
        <v>13762.605000337302</v>
      </c>
      <c r="AW175" s="140">
        <f t="shared" si="1"/>
        <v>13762.605000337302</v>
      </c>
      <c r="AX175" s="140">
        <f t="shared" si="1"/>
        <v>13762.605000337302</v>
      </c>
      <c r="AY175" s="140">
        <f t="shared" si="1"/>
        <v>13762.605000337302</v>
      </c>
    </row>
    <row r="176" spans="1:52" x14ac:dyDescent="0.2">
      <c r="A176" s="141"/>
      <c r="B176" s="152" t="s">
        <v>299</v>
      </c>
      <c r="C176" s="141" t="s">
        <v>293</v>
      </c>
      <c r="D176" s="141">
        <v>371</v>
      </c>
      <c r="E176" s="141">
        <v>460</v>
      </c>
      <c r="F176" s="141">
        <v>355</v>
      </c>
      <c r="G176" s="141">
        <v>387</v>
      </c>
      <c r="H176" s="141">
        <v>428</v>
      </c>
      <c r="I176" s="141">
        <v>398</v>
      </c>
      <c r="J176" s="141">
        <v>416</v>
      </c>
      <c r="K176" s="141">
        <v>477</v>
      </c>
      <c r="L176" s="141">
        <v>438</v>
      </c>
      <c r="M176" s="141">
        <v>419</v>
      </c>
      <c r="N176" s="141">
        <v>344</v>
      </c>
      <c r="O176" s="141">
        <v>426</v>
      </c>
      <c r="P176" s="141">
        <v>356</v>
      </c>
      <c r="Q176" s="141">
        <v>437</v>
      </c>
      <c r="R176" s="141">
        <v>525</v>
      </c>
      <c r="S176" s="141">
        <v>456</v>
      </c>
      <c r="T176" s="141">
        <v>465</v>
      </c>
      <c r="U176" s="141">
        <v>448</v>
      </c>
      <c r="V176" s="141">
        <v>456</v>
      </c>
      <c r="W176" s="141">
        <v>505</v>
      </c>
      <c r="X176" s="141">
        <v>471</v>
      </c>
      <c r="Y176" s="141">
        <v>424</v>
      </c>
      <c r="Z176" s="141">
        <v>364</v>
      </c>
      <c r="AA176" s="141">
        <v>547</v>
      </c>
      <c r="AB176" s="141">
        <v>415</v>
      </c>
      <c r="AC176" s="141">
        <v>499</v>
      </c>
      <c r="AD176" s="141">
        <v>345</v>
      </c>
      <c r="AE176" s="141">
        <v>414</v>
      </c>
      <c r="AF176" s="141">
        <v>415</v>
      </c>
      <c r="AG176" s="141">
        <v>394</v>
      </c>
      <c r="AH176" s="141">
        <v>469</v>
      </c>
      <c r="AI176" s="141">
        <v>513</v>
      </c>
      <c r="AJ176" s="141">
        <v>444</v>
      </c>
      <c r="AK176" s="141">
        <v>421</v>
      </c>
      <c r="AL176" s="141">
        <v>411</v>
      </c>
      <c r="AM176" s="141">
        <v>442</v>
      </c>
      <c r="AN176" s="141">
        <v>448</v>
      </c>
      <c r="AO176" s="141">
        <v>477</v>
      </c>
      <c r="AP176" s="141">
        <v>447</v>
      </c>
      <c r="AQ176" s="141">
        <v>525</v>
      </c>
      <c r="AR176" s="141">
        <v>544</v>
      </c>
      <c r="AS176" s="141">
        <v>401</v>
      </c>
      <c r="AT176" s="141">
        <v>429</v>
      </c>
      <c r="AU176" s="141">
        <v>485</v>
      </c>
      <c r="AV176" s="141">
        <v>422</v>
      </c>
      <c r="AW176" s="141">
        <v>458</v>
      </c>
      <c r="AX176" s="141">
        <v>339</v>
      </c>
      <c r="AY176" s="141">
        <v>432</v>
      </c>
    </row>
    <row r="177" spans="1:51" x14ac:dyDescent="0.2">
      <c r="A177" s="151" t="s">
        <v>133</v>
      </c>
      <c r="B177" s="151" t="s">
        <v>298</v>
      </c>
      <c r="C177" s="140" t="s">
        <v>293</v>
      </c>
      <c r="D177" s="140">
        <f t="shared" ref="D177:AY177" si="2">SUM(D100:D107)</f>
        <v>240</v>
      </c>
      <c r="E177" s="140">
        <f t="shared" si="2"/>
        <v>634.73030863507029</v>
      </c>
      <c r="F177" s="140">
        <f t="shared" si="2"/>
        <v>554.73030863507029</v>
      </c>
      <c r="G177" s="140">
        <f t="shared" si="2"/>
        <v>287.23030863507017</v>
      </c>
      <c r="H177" s="140">
        <f t="shared" si="2"/>
        <v>241.5</v>
      </c>
      <c r="I177" s="140">
        <f t="shared" si="2"/>
        <v>0</v>
      </c>
      <c r="J177" s="140">
        <f t="shared" si="2"/>
        <v>482.99999999999994</v>
      </c>
      <c r="K177" s="140">
        <f t="shared" si="2"/>
        <v>241.49999999999997</v>
      </c>
      <c r="L177" s="140">
        <f t="shared" si="2"/>
        <v>241.49999999999997</v>
      </c>
      <c r="M177" s="140">
        <f t="shared" si="2"/>
        <v>0</v>
      </c>
      <c r="N177" s="140">
        <f t="shared" si="2"/>
        <v>482.99999999999994</v>
      </c>
      <c r="O177" s="140">
        <f t="shared" si="2"/>
        <v>0</v>
      </c>
      <c r="P177" s="140">
        <f t="shared" si="2"/>
        <v>230.99999999999997</v>
      </c>
      <c r="Q177" s="140">
        <f t="shared" si="2"/>
        <v>251.99999999999997</v>
      </c>
      <c r="R177" s="140">
        <f t="shared" si="2"/>
        <v>241.49999999999997</v>
      </c>
      <c r="S177" s="140">
        <f t="shared" si="2"/>
        <v>241.49999999999997</v>
      </c>
      <c r="T177" s="140">
        <f t="shared" si="2"/>
        <v>472.49999999999994</v>
      </c>
      <c r="U177" s="140">
        <f t="shared" si="2"/>
        <v>69.999999999999943</v>
      </c>
      <c r="V177" s="140">
        <f t="shared" si="2"/>
        <v>482.99999999999994</v>
      </c>
      <c r="W177" s="140">
        <f t="shared" si="2"/>
        <v>241.49999999999997</v>
      </c>
      <c r="X177" s="140">
        <f t="shared" si="2"/>
        <v>241.49999999999997</v>
      </c>
      <c r="Y177" s="140">
        <f t="shared" si="2"/>
        <v>0</v>
      </c>
      <c r="Z177" s="140">
        <f t="shared" si="2"/>
        <v>241.49999999999997</v>
      </c>
      <c r="AA177" s="140">
        <f t="shared" si="2"/>
        <v>482.99999999999994</v>
      </c>
      <c r="AB177" s="140">
        <f t="shared" si="2"/>
        <v>241.49999999999997</v>
      </c>
      <c r="AC177" s="140">
        <f t="shared" si="2"/>
        <v>0</v>
      </c>
      <c r="AD177" s="140">
        <f t="shared" si="2"/>
        <v>482.99999999999994</v>
      </c>
      <c r="AE177" s="140">
        <f t="shared" si="2"/>
        <v>241.49999999999997</v>
      </c>
      <c r="AF177" s="140">
        <f t="shared" si="2"/>
        <v>230.99999999999997</v>
      </c>
      <c r="AG177" s="140">
        <f t="shared" si="2"/>
        <v>10.5</v>
      </c>
      <c r="AH177" s="140">
        <f t="shared" si="2"/>
        <v>472.49999999999994</v>
      </c>
      <c r="AI177" s="140">
        <f t="shared" si="2"/>
        <v>10.5</v>
      </c>
      <c r="AJ177" s="140">
        <f t="shared" si="2"/>
        <v>472.49999999999994</v>
      </c>
      <c r="AK177" s="140">
        <f t="shared" si="2"/>
        <v>241.49999999999997</v>
      </c>
      <c r="AL177" s="140">
        <f t="shared" si="2"/>
        <v>251.99999999999997</v>
      </c>
      <c r="AM177" s="140">
        <f t="shared" si="2"/>
        <v>241.49999999999997</v>
      </c>
      <c r="AN177" s="140">
        <f t="shared" si="2"/>
        <v>230.99999999999997</v>
      </c>
      <c r="AO177" s="140">
        <f t="shared" si="2"/>
        <v>0</v>
      </c>
      <c r="AP177" s="140">
        <f t="shared" si="2"/>
        <v>493.49999999999994</v>
      </c>
      <c r="AQ177" s="140">
        <f t="shared" si="2"/>
        <v>241.49999999999997</v>
      </c>
      <c r="AR177" s="140">
        <f t="shared" si="2"/>
        <v>230.99999999999997</v>
      </c>
      <c r="AS177" s="140">
        <f t="shared" si="2"/>
        <v>241.49999999999997</v>
      </c>
      <c r="AT177" s="140">
        <f t="shared" si="2"/>
        <v>251.99999999999997</v>
      </c>
      <c r="AU177" s="140">
        <f t="shared" si="2"/>
        <v>241.49999999999997</v>
      </c>
      <c r="AV177" s="140">
        <f t="shared" si="2"/>
        <v>230.99999999999997</v>
      </c>
      <c r="AW177" s="140">
        <f t="shared" si="2"/>
        <v>241.49999999999997</v>
      </c>
      <c r="AX177" s="140">
        <f t="shared" si="2"/>
        <v>10.5</v>
      </c>
      <c r="AY177" s="140">
        <f t="shared" si="2"/>
        <v>230.99999999999997</v>
      </c>
    </row>
    <row r="178" spans="1:51" x14ac:dyDescent="0.2">
      <c r="A178" s="141"/>
      <c r="B178" s="152" t="s">
        <v>299</v>
      </c>
      <c r="C178" s="141" t="s">
        <v>293</v>
      </c>
      <c r="D178" s="141">
        <v>240</v>
      </c>
      <c r="E178" s="141">
        <v>563</v>
      </c>
      <c r="F178" s="141">
        <v>509</v>
      </c>
      <c r="G178" s="141">
        <v>287.23030863507017</v>
      </c>
      <c r="H178" s="141">
        <v>241.5</v>
      </c>
      <c r="I178" s="141">
        <v>0</v>
      </c>
      <c r="J178" s="141">
        <v>482.99999999999994</v>
      </c>
      <c r="K178" s="141">
        <v>241.49999999999997</v>
      </c>
      <c r="L178" s="141">
        <v>241.49999999999997</v>
      </c>
      <c r="M178" s="141">
        <v>0</v>
      </c>
      <c r="N178" s="141">
        <v>482.99999999999994</v>
      </c>
      <c r="O178" s="141">
        <v>0</v>
      </c>
      <c r="P178" s="141">
        <v>230.99999999999997</v>
      </c>
      <c r="Q178" s="141">
        <v>251.99999999999997</v>
      </c>
      <c r="R178" s="141">
        <v>241.49999999999997</v>
      </c>
      <c r="S178" s="141">
        <v>241.49999999999997</v>
      </c>
      <c r="T178" s="141">
        <v>413</v>
      </c>
      <c r="U178" s="141">
        <v>69.999999999999943</v>
      </c>
      <c r="V178" s="141">
        <v>482.99999999999994</v>
      </c>
      <c r="W178" s="141">
        <v>241.49999999999997</v>
      </c>
      <c r="X178" s="141">
        <v>241.49999999999997</v>
      </c>
      <c r="Y178" s="141">
        <v>0</v>
      </c>
      <c r="Z178" s="141">
        <v>241.49999999999997</v>
      </c>
      <c r="AA178" s="141">
        <v>482.99999999999994</v>
      </c>
      <c r="AB178" s="141">
        <v>241.49999999999997</v>
      </c>
      <c r="AC178" s="141">
        <v>0</v>
      </c>
      <c r="AD178" s="141">
        <v>482.99999999999994</v>
      </c>
      <c r="AE178" s="141">
        <v>241.49999999999997</v>
      </c>
      <c r="AF178" s="141">
        <v>230.99999999999997</v>
      </c>
      <c r="AG178" s="141">
        <v>10.5</v>
      </c>
      <c r="AH178" s="141">
        <v>472.49999999999994</v>
      </c>
      <c r="AI178" s="141">
        <v>10.5</v>
      </c>
      <c r="AJ178" s="141">
        <v>472.49999999999994</v>
      </c>
      <c r="AK178" s="141">
        <v>241.49999999999997</v>
      </c>
      <c r="AL178" s="141">
        <v>251.99999999999997</v>
      </c>
      <c r="AM178" s="141">
        <v>241.49999999999997</v>
      </c>
      <c r="AN178" s="141">
        <v>230.99999999999997</v>
      </c>
      <c r="AO178" s="141">
        <v>0</v>
      </c>
      <c r="AP178" s="141">
        <v>493.49999999999994</v>
      </c>
      <c r="AQ178" s="141">
        <v>241.49999999999997</v>
      </c>
      <c r="AR178" s="141">
        <v>230.99999999999997</v>
      </c>
      <c r="AS178" s="141">
        <v>241.49999999999997</v>
      </c>
      <c r="AT178" s="141">
        <v>251.99999999999997</v>
      </c>
      <c r="AU178" s="141">
        <v>241.49999999999997</v>
      </c>
      <c r="AV178" s="141">
        <v>230.99999999999997</v>
      </c>
      <c r="AW178" s="141">
        <v>241.49999999999997</v>
      </c>
      <c r="AX178" s="141">
        <v>10.5</v>
      </c>
      <c r="AY178" s="141">
        <v>230.99999999999997</v>
      </c>
    </row>
    <row r="179" spans="1:51" x14ac:dyDescent="0.2">
      <c r="A179" s="151" t="s">
        <v>134</v>
      </c>
      <c r="B179" s="151" t="s">
        <v>298</v>
      </c>
      <c r="C179" s="140" t="s">
        <v>293</v>
      </c>
      <c r="D179" s="140">
        <f t="shared" ref="D179:AY179" si="3">SUM(D109:D120)</f>
        <v>262.8786932568355</v>
      </c>
      <c r="E179" s="140">
        <f t="shared" si="3"/>
        <v>187.85897427832242</v>
      </c>
      <c r="F179" s="140">
        <f t="shared" si="3"/>
        <v>316.65488454603866</v>
      </c>
      <c r="G179" s="140">
        <f t="shared" si="3"/>
        <v>477.30788233845823</v>
      </c>
      <c r="H179" s="140">
        <f t="shared" si="3"/>
        <v>526.53948474870344</v>
      </c>
      <c r="I179" s="140">
        <f t="shared" si="3"/>
        <v>711.1802980692878</v>
      </c>
      <c r="J179" s="140">
        <f t="shared" si="3"/>
        <v>774.15149805277997</v>
      </c>
      <c r="K179" s="140">
        <f t="shared" si="3"/>
        <v>1059.3791966762153</v>
      </c>
      <c r="L179" s="140">
        <f t="shared" si="3"/>
        <v>1193.9375793708045</v>
      </c>
      <c r="M179" s="140">
        <f t="shared" si="3"/>
        <v>1453.1806444760118</v>
      </c>
      <c r="N179" s="140">
        <f t="shared" si="3"/>
        <v>1453.1569485524974</v>
      </c>
      <c r="O179" s="140">
        <f t="shared" si="3"/>
        <v>1785.168815120147</v>
      </c>
      <c r="P179" s="140">
        <f t="shared" si="3"/>
        <v>2023.1804194037543</v>
      </c>
      <c r="Q179" s="140">
        <f t="shared" si="3"/>
        <v>2194.4617344636654</v>
      </c>
      <c r="R179" s="140">
        <f t="shared" si="3"/>
        <v>2458.0725287691321</v>
      </c>
      <c r="S179" s="140">
        <f t="shared" si="3"/>
        <v>2566.2626292463688</v>
      </c>
      <c r="T179" s="140">
        <f t="shared" si="3"/>
        <v>2789.6077446665158</v>
      </c>
      <c r="U179" s="140">
        <f t="shared" si="3"/>
        <v>3014.3152292660229</v>
      </c>
      <c r="V179" s="140">
        <f t="shared" si="3"/>
        <v>3256.724089076426</v>
      </c>
      <c r="W179" s="140">
        <f t="shared" si="3"/>
        <v>3564.5304551739628</v>
      </c>
      <c r="X179" s="140">
        <f t="shared" si="3"/>
        <v>3731.8752695363432</v>
      </c>
      <c r="Y179" s="140">
        <f t="shared" si="3"/>
        <v>3914.808332893123</v>
      </c>
      <c r="Z179" s="140">
        <f t="shared" si="3"/>
        <v>4194.7694055278107</v>
      </c>
      <c r="AA179" s="140">
        <f t="shared" si="3"/>
        <v>4497.2554117346854</v>
      </c>
      <c r="AB179" s="140">
        <f t="shared" si="3"/>
        <v>4750.650115999164</v>
      </c>
      <c r="AC179" s="140">
        <f t="shared" si="3"/>
        <v>5034.8973710485616</v>
      </c>
      <c r="AD179" s="140">
        <f t="shared" si="3"/>
        <v>5313.1053488786747</v>
      </c>
      <c r="AE179" s="140">
        <f t="shared" si="3"/>
        <v>5665.6845096147281</v>
      </c>
      <c r="AF179" s="140">
        <f t="shared" si="3"/>
        <v>5840.9340227098082</v>
      </c>
      <c r="AG179" s="140">
        <f t="shared" si="3"/>
        <v>6080.2594242673003</v>
      </c>
      <c r="AH179" s="140">
        <f t="shared" si="3"/>
        <v>6267.4184282074675</v>
      </c>
      <c r="AI179" s="140">
        <f t="shared" si="3"/>
        <v>6625.9870582195872</v>
      </c>
      <c r="AJ179" s="140">
        <f t="shared" si="3"/>
        <v>6858.0345999006422</v>
      </c>
      <c r="AK179" s="140">
        <f t="shared" si="3"/>
        <v>7131.6030658645723</v>
      </c>
      <c r="AL179" s="140">
        <f t="shared" si="3"/>
        <v>7309.6032173224485</v>
      </c>
      <c r="AM179" s="140">
        <f t="shared" si="3"/>
        <v>7335.4221992379553</v>
      </c>
      <c r="AN179" s="140">
        <f t="shared" si="3"/>
        <v>7405.5395303931955</v>
      </c>
      <c r="AO179" s="140">
        <f t="shared" si="3"/>
        <v>7515.9255971285111</v>
      </c>
      <c r="AP179" s="140">
        <f t="shared" si="3"/>
        <v>7760.5282451539688</v>
      </c>
      <c r="AQ179" s="140">
        <f t="shared" si="3"/>
        <v>7737.4890572355289</v>
      </c>
      <c r="AR179" s="140">
        <f t="shared" si="3"/>
        <v>7734.0535017054117</v>
      </c>
      <c r="AS179" s="140">
        <f t="shared" si="3"/>
        <v>7593.4107972557504</v>
      </c>
      <c r="AT179" s="140">
        <f t="shared" si="3"/>
        <v>7549.386181464015</v>
      </c>
      <c r="AU179" s="140">
        <f t="shared" si="3"/>
        <v>7391.2652497923682</v>
      </c>
      <c r="AV179" s="140">
        <f t="shared" si="3"/>
        <v>7367.7016359842046</v>
      </c>
      <c r="AW179" s="140">
        <f t="shared" si="3"/>
        <v>7297.7661336918654</v>
      </c>
      <c r="AX179" s="140">
        <f t="shared" si="3"/>
        <v>7263.5559621773573</v>
      </c>
      <c r="AY179" s="140">
        <f t="shared" si="3"/>
        <v>7220.7929393107479</v>
      </c>
    </row>
    <row r="180" spans="1:51" x14ac:dyDescent="0.2">
      <c r="A180" s="141"/>
      <c r="B180" s="152" t="s">
        <v>299</v>
      </c>
      <c r="C180" s="141" t="s">
        <v>293</v>
      </c>
      <c r="D180" s="141">
        <v>262.8786932568355</v>
      </c>
      <c r="E180" s="141">
        <v>187.85897427832242</v>
      </c>
      <c r="F180" s="141">
        <v>316.65488454603866</v>
      </c>
      <c r="G180" s="141">
        <v>459.61074650131525</v>
      </c>
      <c r="H180" s="141">
        <v>425.24960463386117</v>
      </c>
      <c r="I180" s="141">
        <v>470</v>
      </c>
      <c r="J180" s="141">
        <v>343.64241498887219</v>
      </c>
      <c r="K180" s="141">
        <v>491.25798969072162</v>
      </c>
      <c r="L180" s="141">
        <v>367.28297297297297</v>
      </c>
      <c r="M180" s="141">
        <v>524</v>
      </c>
      <c r="N180" s="141">
        <v>371.38320661157024</v>
      </c>
      <c r="O180" s="141">
        <v>427</v>
      </c>
      <c r="P180" s="141">
        <v>493.39995106365961</v>
      </c>
      <c r="Q180" s="141">
        <v>419.17579617834394</v>
      </c>
      <c r="R180" s="141">
        <v>555.37046444121916</v>
      </c>
      <c r="S180" s="141">
        <v>459.72777777777776</v>
      </c>
      <c r="T180" s="141">
        <v>523</v>
      </c>
      <c r="U180" s="141">
        <v>451.05168986083498</v>
      </c>
      <c r="V180" s="141">
        <v>429.04491219008264</v>
      </c>
      <c r="W180" s="141">
        <v>416.25</v>
      </c>
      <c r="X180" s="141">
        <v>490.08138350163898</v>
      </c>
      <c r="Y180" s="141">
        <v>449</v>
      </c>
      <c r="Z180" s="141">
        <v>454.14767472621605</v>
      </c>
      <c r="AA180" s="141">
        <v>435.79564523152851</v>
      </c>
      <c r="AB180" s="141">
        <v>435.0287162162162</v>
      </c>
      <c r="AC180" s="141">
        <v>457</v>
      </c>
      <c r="AD180" s="141">
        <v>440.9375</v>
      </c>
      <c r="AE180" s="141">
        <v>417.33848425196851</v>
      </c>
      <c r="AF180" s="141">
        <v>477.9314024390244</v>
      </c>
      <c r="AG180" s="141">
        <v>518.06511075949368</v>
      </c>
      <c r="AH180" s="141">
        <v>376.34678889083443</v>
      </c>
      <c r="AI180" s="141">
        <v>449.05823863636363</v>
      </c>
      <c r="AJ180" s="141">
        <v>443.31788752362951</v>
      </c>
      <c r="AK180" s="141">
        <v>496.89430379746835</v>
      </c>
      <c r="AL180" s="141">
        <v>523.23403346386613</v>
      </c>
      <c r="AM180" s="141">
        <v>478.35843806104128</v>
      </c>
      <c r="AN180" s="141">
        <v>463.22885757375815</v>
      </c>
      <c r="AO180" s="141">
        <v>428</v>
      </c>
      <c r="AP180" s="141">
        <v>402.12993339252358</v>
      </c>
      <c r="AQ180" s="141">
        <v>554.20696202531644</v>
      </c>
      <c r="AR180" s="141">
        <v>463.28917910447763</v>
      </c>
      <c r="AS180" s="141">
        <v>532.64069063723741</v>
      </c>
      <c r="AT180" s="141">
        <v>525.79256505576211</v>
      </c>
      <c r="AU180" s="141">
        <v>544.38225806451612</v>
      </c>
      <c r="AV180" s="141">
        <v>494.18015913900643</v>
      </c>
      <c r="AW180" s="141">
        <v>489.87189141856391</v>
      </c>
      <c r="AX180" s="141">
        <v>514.0636738056013</v>
      </c>
      <c r="AY180" s="141">
        <v>475.19408284023672</v>
      </c>
    </row>
    <row r="181" spans="1:51" x14ac:dyDescent="0.2">
      <c r="A181" s="151" t="s">
        <v>123</v>
      </c>
      <c r="B181" s="151" t="s">
        <v>298</v>
      </c>
      <c r="C181" s="140" t="s">
        <v>293</v>
      </c>
      <c r="D181" s="140">
        <f t="shared" ref="D181:AY181" si="4">(1-D172)*SUM(D122:D169)</f>
        <v>433.02025963674282</v>
      </c>
      <c r="E181" s="140">
        <f t="shared" si="4"/>
        <v>729.89848288121379</v>
      </c>
      <c r="F181" s="140">
        <f t="shared" si="4"/>
        <v>1100.2081957003047</v>
      </c>
      <c r="G181" s="140">
        <f t="shared" si="4"/>
        <v>1172.8960348384035</v>
      </c>
      <c r="H181" s="140">
        <f t="shared" si="4"/>
        <v>1405.814697685541</v>
      </c>
      <c r="I181" s="140">
        <f t="shared" si="4"/>
        <v>1228.5137203710865</v>
      </c>
      <c r="J181" s="140">
        <f t="shared" si="4"/>
        <v>1449.5634340616775</v>
      </c>
      <c r="K181" s="140">
        <f t="shared" si="4"/>
        <v>1442.5244739903933</v>
      </c>
      <c r="L181" s="140">
        <f t="shared" si="4"/>
        <v>1444.1602735243903</v>
      </c>
      <c r="M181" s="140">
        <f t="shared" si="4"/>
        <v>1207.7802303899966</v>
      </c>
      <c r="N181" s="140">
        <f t="shared" si="4"/>
        <v>1621.3455779015094</v>
      </c>
      <c r="O181" s="140">
        <f t="shared" si="4"/>
        <v>1532.8705943092307</v>
      </c>
      <c r="P181" s="140">
        <f t="shared" si="4"/>
        <v>1532.1091554885588</v>
      </c>
      <c r="Q181" s="140">
        <f t="shared" si="4"/>
        <v>1573.8424412439865</v>
      </c>
      <c r="R181" s="140">
        <f t="shared" si="4"/>
        <v>1529.5259074500859</v>
      </c>
      <c r="S181" s="140">
        <f t="shared" si="4"/>
        <v>1574.5023771138408</v>
      </c>
      <c r="T181" s="140">
        <f t="shared" si="4"/>
        <v>1723.4869420394548</v>
      </c>
      <c r="U181" s="140">
        <f t="shared" si="4"/>
        <v>1598.4462196711154</v>
      </c>
      <c r="V181" s="140">
        <f t="shared" si="4"/>
        <v>1698.4630788255595</v>
      </c>
      <c r="W181" s="140">
        <f t="shared" si="4"/>
        <v>1345.2025861881614</v>
      </c>
      <c r="X181" s="140">
        <f t="shared" si="4"/>
        <v>1551.3173732448083</v>
      </c>
      <c r="Y181" s="140">
        <f t="shared" si="4"/>
        <v>1680.2759311870464</v>
      </c>
      <c r="Z181" s="140">
        <f t="shared" si="4"/>
        <v>1744.0620775568555</v>
      </c>
      <c r="AA181" s="140">
        <f t="shared" si="4"/>
        <v>1588.6032872496965</v>
      </c>
      <c r="AB181" s="140">
        <f t="shared" si="4"/>
        <v>1657.9514980554545</v>
      </c>
      <c r="AC181" s="140">
        <f t="shared" si="4"/>
        <v>1694.6752246998567</v>
      </c>
      <c r="AD181" s="140">
        <f t="shared" si="4"/>
        <v>1829.0783912667025</v>
      </c>
      <c r="AE181" s="140">
        <f t="shared" si="4"/>
        <v>1365.9321278347186</v>
      </c>
      <c r="AF181" s="140">
        <f t="shared" si="4"/>
        <v>1653.2972602769667</v>
      </c>
      <c r="AG181" s="140">
        <f t="shared" si="4"/>
        <v>1625.5615704411805</v>
      </c>
      <c r="AH181" s="140">
        <f t="shared" si="4"/>
        <v>1694.0008680816313</v>
      </c>
      <c r="AI181" s="140">
        <f t="shared" si="4"/>
        <v>1569.9681261762762</v>
      </c>
      <c r="AJ181" s="140">
        <f t="shared" si="4"/>
        <v>1652.4433613552521</v>
      </c>
      <c r="AK181" s="140">
        <f t="shared" si="4"/>
        <v>1555.6508458791775</v>
      </c>
      <c r="AL181" s="140">
        <f t="shared" si="4"/>
        <v>1265.5827606174014</v>
      </c>
      <c r="AM181" s="140">
        <f t="shared" si="4"/>
        <v>1264.2521918523173</v>
      </c>
      <c r="AN181" s="140">
        <f t="shared" si="4"/>
        <v>1322.1986567851027</v>
      </c>
      <c r="AO181" s="140">
        <f t="shared" si="4"/>
        <v>1550.3681652644523</v>
      </c>
      <c r="AP181" s="140">
        <f t="shared" si="4"/>
        <v>1315.8756228806767</v>
      </c>
      <c r="AQ181" s="140">
        <f t="shared" si="4"/>
        <v>1358.0130749741202</v>
      </c>
      <c r="AR181" s="140">
        <f t="shared" si="4"/>
        <v>1329.1118407048477</v>
      </c>
      <c r="AS181" s="140">
        <f t="shared" si="4"/>
        <v>1524.0835833831779</v>
      </c>
      <c r="AT181" s="140">
        <f t="shared" si="4"/>
        <v>1329.5276394296986</v>
      </c>
      <c r="AU181" s="140">
        <f t="shared" si="4"/>
        <v>1515.6533285554117</v>
      </c>
      <c r="AV181" s="140">
        <f t="shared" si="4"/>
        <v>1491.2400465985747</v>
      </c>
      <c r="AW181" s="140">
        <f t="shared" si="4"/>
        <v>1476.7954310216321</v>
      </c>
      <c r="AX181" s="140">
        <f t="shared" si="4"/>
        <v>1167.01278100537</v>
      </c>
      <c r="AY181" s="140">
        <f t="shared" si="4"/>
        <v>1175.7768078803686</v>
      </c>
    </row>
    <row r="182" spans="1:51" x14ac:dyDescent="0.2">
      <c r="A182" s="141"/>
      <c r="B182" s="152" t="s">
        <v>299</v>
      </c>
      <c r="C182" s="141" t="s">
        <v>293</v>
      </c>
      <c r="D182" s="141">
        <v>433.02025963674282</v>
      </c>
      <c r="E182" s="141">
        <v>470.30223214534948</v>
      </c>
      <c r="F182" s="141">
        <v>482.88963925323998</v>
      </c>
      <c r="G182" s="141">
        <v>521.61074650131525</v>
      </c>
      <c r="H182" s="141">
        <v>605.24960463386117</v>
      </c>
      <c r="I182" s="141">
        <v>618</v>
      </c>
      <c r="J182" s="141">
        <v>595.64241498887225</v>
      </c>
      <c r="K182" s="141">
        <v>586.25798969072162</v>
      </c>
      <c r="L182" s="141">
        <v>483.28297297297297</v>
      </c>
      <c r="M182" s="141">
        <v>541</v>
      </c>
      <c r="N182" s="141">
        <v>534.38320661157024</v>
      </c>
      <c r="O182" s="141">
        <v>546</v>
      </c>
      <c r="P182" s="141">
        <v>494.39995106365961</v>
      </c>
      <c r="Q182" s="141">
        <v>595.17579617834394</v>
      </c>
      <c r="R182" s="141">
        <v>486.37046444121916</v>
      </c>
      <c r="S182" s="141">
        <v>416.72777777777776</v>
      </c>
      <c r="T182" s="141">
        <v>547</v>
      </c>
      <c r="U182" s="141">
        <v>481.05168986083498</v>
      </c>
      <c r="V182" s="141">
        <v>494.04491219008264</v>
      </c>
      <c r="W182" s="141">
        <v>475.25</v>
      </c>
      <c r="X182" s="141">
        <v>453.08138350163898</v>
      </c>
      <c r="Y182" s="141">
        <v>394</v>
      </c>
      <c r="Z182" s="141">
        <v>444.14767472621605</v>
      </c>
      <c r="AA182" s="141">
        <v>425.79564523152851</v>
      </c>
      <c r="AB182" s="141">
        <v>529.02871621621625</v>
      </c>
      <c r="AC182" s="141">
        <v>540</v>
      </c>
      <c r="AD182" s="141">
        <v>594.9375</v>
      </c>
      <c r="AE182" s="141">
        <v>545.33848425196845</v>
      </c>
      <c r="AF182" s="141">
        <v>587.9314024390244</v>
      </c>
      <c r="AG182" s="141">
        <v>510.06511075949368</v>
      </c>
      <c r="AH182" s="141">
        <v>558.34678889083443</v>
      </c>
      <c r="AI182" s="141">
        <v>514.05823863636363</v>
      </c>
      <c r="AJ182" s="141">
        <v>636.31788752362945</v>
      </c>
      <c r="AK182" s="141">
        <v>619.8943037974683</v>
      </c>
      <c r="AL182" s="141">
        <v>657.23403346386613</v>
      </c>
      <c r="AM182" s="141">
        <v>578.35843806104128</v>
      </c>
      <c r="AN182" s="141">
        <v>560.22885757375809</v>
      </c>
      <c r="AO182" s="141">
        <v>646</v>
      </c>
      <c r="AP182" s="141">
        <v>583.12993339252364</v>
      </c>
      <c r="AQ182" s="141">
        <v>662.20696202531644</v>
      </c>
      <c r="AR182" s="141">
        <v>548.28917910447763</v>
      </c>
      <c r="AS182" s="141">
        <v>646.64069063723741</v>
      </c>
      <c r="AT182" s="141">
        <v>560.79256505576211</v>
      </c>
      <c r="AU182" s="141">
        <v>587.38225806451612</v>
      </c>
      <c r="AV182" s="141">
        <v>588.18015913900649</v>
      </c>
      <c r="AW182" s="141">
        <v>578.87189141856391</v>
      </c>
      <c r="AX182" s="141">
        <v>541.0636738056013</v>
      </c>
      <c r="AY182" s="141">
        <v>621.19408284023666</v>
      </c>
    </row>
    <row r="184" spans="1:51" x14ac:dyDescent="0.2">
      <c r="A184" s="1" t="s">
        <v>300</v>
      </c>
    </row>
    <row r="185" spans="1:51" x14ac:dyDescent="0.2">
      <c r="A185" s="142" t="s">
        <v>125</v>
      </c>
      <c r="B185" s="139">
        <v>1</v>
      </c>
      <c r="C185" s="140">
        <v>0</v>
      </c>
      <c r="D185" s="140">
        <v>0</v>
      </c>
      <c r="E185" s="140">
        <v>0</v>
      </c>
      <c r="F185" s="140">
        <v>0</v>
      </c>
      <c r="G185" s="140">
        <v>0</v>
      </c>
      <c r="H185" s="140">
        <v>0</v>
      </c>
      <c r="I185" s="140">
        <v>0</v>
      </c>
      <c r="J185" s="140">
        <v>0</v>
      </c>
      <c r="K185" s="140">
        <v>0</v>
      </c>
      <c r="L185" s="140">
        <v>0</v>
      </c>
      <c r="M185" s="140">
        <v>0</v>
      </c>
      <c r="N185" s="140">
        <v>0</v>
      </c>
      <c r="O185" s="140">
        <v>0</v>
      </c>
      <c r="P185" s="140">
        <v>0</v>
      </c>
      <c r="Q185" s="140">
        <v>0</v>
      </c>
      <c r="R185" s="140">
        <v>0</v>
      </c>
      <c r="S185" s="140">
        <v>0</v>
      </c>
      <c r="T185" s="140">
        <v>0</v>
      </c>
      <c r="U185" s="140">
        <v>0</v>
      </c>
      <c r="V185" s="140">
        <v>0</v>
      </c>
      <c r="W185" s="140">
        <v>0</v>
      </c>
      <c r="X185" s="140">
        <v>0</v>
      </c>
      <c r="Y185" s="140">
        <v>0</v>
      </c>
      <c r="Z185" s="140">
        <v>0</v>
      </c>
      <c r="AA185" s="140">
        <v>0</v>
      </c>
      <c r="AB185" s="140">
        <v>0</v>
      </c>
      <c r="AC185" s="140">
        <v>0</v>
      </c>
      <c r="AD185" s="140">
        <v>0</v>
      </c>
      <c r="AE185" s="140">
        <v>0</v>
      </c>
      <c r="AF185" s="140">
        <v>0</v>
      </c>
      <c r="AG185" s="140">
        <v>0</v>
      </c>
      <c r="AH185" s="140">
        <v>0</v>
      </c>
      <c r="AI185" s="140">
        <v>0</v>
      </c>
      <c r="AJ185" s="140">
        <v>0</v>
      </c>
      <c r="AK185" s="140">
        <v>0</v>
      </c>
      <c r="AL185" s="140">
        <v>0</v>
      </c>
      <c r="AM185" s="140">
        <v>0</v>
      </c>
      <c r="AN185" s="140">
        <v>0</v>
      </c>
      <c r="AO185" s="140">
        <v>0</v>
      </c>
      <c r="AP185" s="140">
        <v>0</v>
      </c>
      <c r="AQ185" s="140">
        <v>0</v>
      </c>
      <c r="AR185" s="140">
        <v>0</v>
      </c>
      <c r="AS185" s="140">
        <v>0</v>
      </c>
      <c r="AT185" s="140">
        <v>0</v>
      </c>
      <c r="AU185" s="140">
        <v>0</v>
      </c>
      <c r="AV185" s="140">
        <v>0</v>
      </c>
      <c r="AW185" s="140">
        <v>0</v>
      </c>
      <c r="AX185" s="140">
        <v>0</v>
      </c>
      <c r="AY185" s="140">
        <v>0</v>
      </c>
    </row>
    <row r="186" spans="1:51" x14ac:dyDescent="0.2">
      <c r="A186" s="126"/>
      <c r="B186" s="136">
        <v>2</v>
      </c>
      <c r="C186" s="123">
        <v>0</v>
      </c>
      <c r="D186" s="123">
        <v>0</v>
      </c>
      <c r="E186" s="123">
        <v>0</v>
      </c>
      <c r="F186" s="123">
        <v>0</v>
      </c>
      <c r="G186" s="123">
        <v>0</v>
      </c>
      <c r="H186" s="123">
        <v>0</v>
      </c>
      <c r="I186" s="123">
        <v>0</v>
      </c>
      <c r="J186" s="123">
        <v>0</v>
      </c>
      <c r="K186" s="123">
        <v>0</v>
      </c>
      <c r="L186" s="123">
        <v>0</v>
      </c>
      <c r="M186" s="123">
        <v>0</v>
      </c>
      <c r="N186" s="123">
        <v>0</v>
      </c>
      <c r="O186" s="123">
        <v>0</v>
      </c>
      <c r="P186" s="123">
        <v>0</v>
      </c>
      <c r="Q186" s="123">
        <v>0</v>
      </c>
      <c r="R186" s="123">
        <v>0</v>
      </c>
      <c r="S186" s="123">
        <v>0</v>
      </c>
      <c r="T186" s="123">
        <v>0</v>
      </c>
      <c r="U186" s="123">
        <v>0</v>
      </c>
      <c r="V186" s="123">
        <v>0</v>
      </c>
      <c r="W186" s="123">
        <v>0</v>
      </c>
      <c r="X186" s="123">
        <v>0</v>
      </c>
      <c r="Y186" s="123">
        <v>0</v>
      </c>
      <c r="Z186" s="123">
        <v>0</v>
      </c>
      <c r="AA186" s="123">
        <v>0</v>
      </c>
      <c r="AB186" s="123">
        <v>0</v>
      </c>
      <c r="AC186" s="123">
        <v>0</v>
      </c>
      <c r="AD186" s="123">
        <v>0</v>
      </c>
      <c r="AE186" s="123">
        <v>0</v>
      </c>
      <c r="AF186" s="123">
        <v>0</v>
      </c>
      <c r="AG186" s="123">
        <v>0</v>
      </c>
      <c r="AH186" s="123">
        <v>0</v>
      </c>
      <c r="AI186" s="123">
        <v>0</v>
      </c>
      <c r="AJ186" s="123">
        <v>0</v>
      </c>
      <c r="AK186" s="123">
        <v>0</v>
      </c>
      <c r="AL186" s="123">
        <v>0</v>
      </c>
      <c r="AM186" s="123">
        <v>0</v>
      </c>
      <c r="AN186" s="123">
        <v>0</v>
      </c>
      <c r="AO186" s="123">
        <v>0</v>
      </c>
      <c r="AP186" s="123">
        <v>0</v>
      </c>
      <c r="AQ186" s="123">
        <v>0</v>
      </c>
      <c r="AR186" s="123">
        <v>0</v>
      </c>
      <c r="AS186" s="123">
        <v>0</v>
      </c>
      <c r="AT186" s="123">
        <v>0</v>
      </c>
      <c r="AU186" s="123">
        <v>0</v>
      </c>
      <c r="AV186" s="123">
        <v>0</v>
      </c>
      <c r="AW186" s="123">
        <v>0</v>
      </c>
      <c r="AX186" s="123">
        <v>0</v>
      </c>
      <c r="AY186" s="123">
        <v>0</v>
      </c>
    </row>
    <row r="187" spans="1:51" x14ac:dyDescent="0.2">
      <c r="A187" s="126"/>
      <c r="B187" s="143">
        <v>3</v>
      </c>
      <c r="C187" s="123">
        <v>0</v>
      </c>
      <c r="D187" s="123">
        <v>0</v>
      </c>
      <c r="E187" s="123">
        <v>0</v>
      </c>
      <c r="F187" s="123">
        <v>0</v>
      </c>
      <c r="G187" s="123">
        <v>0</v>
      </c>
      <c r="H187" s="123">
        <v>0</v>
      </c>
      <c r="I187" s="123">
        <v>0</v>
      </c>
      <c r="J187" s="123">
        <v>0</v>
      </c>
      <c r="K187" s="123">
        <v>0</v>
      </c>
      <c r="L187" s="123">
        <v>0</v>
      </c>
      <c r="M187" s="123">
        <v>0</v>
      </c>
      <c r="N187" s="123">
        <v>0</v>
      </c>
      <c r="O187" s="123">
        <v>0</v>
      </c>
      <c r="P187" s="123">
        <v>0</v>
      </c>
      <c r="Q187" s="123">
        <v>0</v>
      </c>
      <c r="R187" s="123">
        <v>0</v>
      </c>
      <c r="S187" s="123">
        <v>0</v>
      </c>
      <c r="T187" s="123">
        <v>0</v>
      </c>
      <c r="U187" s="123">
        <v>0</v>
      </c>
      <c r="V187" s="123">
        <v>0</v>
      </c>
      <c r="W187" s="123">
        <v>0</v>
      </c>
      <c r="X187" s="123">
        <v>0</v>
      </c>
      <c r="Y187" s="123">
        <v>0</v>
      </c>
      <c r="Z187" s="123">
        <v>0</v>
      </c>
      <c r="AA187" s="123">
        <v>0</v>
      </c>
      <c r="AB187" s="123">
        <v>0</v>
      </c>
      <c r="AC187" s="123">
        <v>0</v>
      </c>
      <c r="AD187" s="123">
        <v>0</v>
      </c>
      <c r="AE187" s="123">
        <v>0</v>
      </c>
      <c r="AF187" s="123">
        <v>0</v>
      </c>
      <c r="AG187" s="123">
        <v>0</v>
      </c>
      <c r="AH187" s="123">
        <v>0</v>
      </c>
      <c r="AI187" s="123">
        <v>0</v>
      </c>
      <c r="AJ187" s="123">
        <v>0</v>
      </c>
      <c r="AK187" s="123">
        <v>0</v>
      </c>
      <c r="AL187" s="123">
        <v>0</v>
      </c>
      <c r="AM187" s="123">
        <v>0</v>
      </c>
      <c r="AN187" s="123">
        <v>0</v>
      </c>
      <c r="AO187" s="123">
        <v>0</v>
      </c>
      <c r="AP187" s="123">
        <v>0</v>
      </c>
      <c r="AQ187" s="123">
        <v>0</v>
      </c>
      <c r="AR187" s="123">
        <v>0</v>
      </c>
      <c r="AS187" s="123">
        <v>0</v>
      </c>
      <c r="AT187" s="123">
        <v>0</v>
      </c>
      <c r="AU187" s="123">
        <v>0</v>
      </c>
      <c r="AV187" s="123">
        <v>0</v>
      </c>
      <c r="AW187" s="123">
        <v>0</v>
      </c>
      <c r="AX187" s="123">
        <v>0</v>
      </c>
      <c r="AY187" s="123">
        <v>0</v>
      </c>
    </row>
    <row r="188" spans="1:51" x14ac:dyDescent="0.2">
      <c r="A188" s="144"/>
      <c r="B188" s="145">
        <v>4</v>
      </c>
      <c r="C188" s="123">
        <v>269</v>
      </c>
      <c r="D188" s="123">
        <v>371</v>
      </c>
      <c r="E188" s="123">
        <v>460</v>
      </c>
      <c r="F188" s="123">
        <v>355</v>
      </c>
      <c r="G188" s="123">
        <v>387</v>
      </c>
      <c r="H188" s="123">
        <v>428</v>
      </c>
      <c r="I188" s="123">
        <v>398</v>
      </c>
      <c r="J188" s="123">
        <v>416</v>
      </c>
      <c r="K188" s="123">
        <v>477</v>
      </c>
      <c r="L188" s="123">
        <v>438</v>
      </c>
      <c r="M188" s="123">
        <v>419</v>
      </c>
      <c r="N188" s="123">
        <v>344</v>
      </c>
      <c r="O188" s="123">
        <v>426</v>
      </c>
      <c r="P188" s="123">
        <v>356</v>
      </c>
      <c r="Q188" s="123">
        <v>437</v>
      </c>
      <c r="R188" s="123">
        <v>525</v>
      </c>
      <c r="S188" s="123">
        <v>456</v>
      </c>
      <c r="T188" s="123">
        <v>465</v>
      </c>
      <c r="U188" s="123">
        <v>448</v>
      </c>
      <c r="V188" s="123">
        <v>456</v>
      </c>
      <c r="W188" s="123">
        <v>505</v>
      </c>
      <c r="X188" s="123">
        <v>471</v>
      </c>
      <c r="Y188" s="123">
        <v>424</v>
      </c>
      <c r="Z188" s="123">
        <v>364</v>
      </c>
      <c r="AA188" s="123">
        <v>547</v>
      </c>
      <c r="AB188" s="123">
        <v>415</v>
      </c>
      <c r="AC188" s="123">
        <v>499</v>
      </c>
      <c r="AD188" s="123">
        <v>345</v>
      </c>
      <c r="AE188" s="123">
        <v>414</v>
      </c>
      <c r="AF188" s="123">
        <v>415</v>
      </c>
      <c r="AG188" s="123">
        <v>394</v>
      </c>
      <c r="AH188" s="123">
        <v>469</v>
      </c>
      <c r="AI188" s="123">
        <v>513</v>
      </c>
      <c r="AJ188" s="123">
        <v>444</v>
      </c>
      <c r="AK188" s="123">
        <v>421</v>
      </c>
      <c r="AL188" s="123">
        <v>411</v>
      </c>
      <c r="AM188" s="123">
        <v>442</v>
      </c>
      <c r="AN188" s="123">
        <v>448</v>
      </c>
      <c r="AO188" s="123">
        <v>477</v>
      </c>
      <c r="AP188" s="123">
        <v>447</v>
      </c>
      <c r="AQ188" s="123">
        <v>525</v>
      </c>
      <c r="AR188" s="123">
        <v>544</v>
      </c>
      <c r="AS188" s="123">
        <v>401</v>
      </c>
      <c r="AT188" s="123">
        <v>429</v>
      </c>
      <c r="AU188" s="123">
        <v>485</v>
      </c>
      <c r="AV188" s="123">
        <v>422</v>
      </c>
      <c r="AW188" s="123">
        <v>458</v>
      </c>
      <c r="AX188" s="123">
        <v>339</v>
      </c>
      <c r="AY188" s="123">
        <v>432</v>
      </c>
    </row>
    <row r="189" spans="1:51" x14ac:dyDescent="0.2">
      <c r="A189" s="142" t="s">
        <v>133</v>
      </c>
      <c r="B189" s="139">
        <v>1</v>
      </c>
      <c r="C189" s="140">
        <v>0</v>
      </c>
      <c r="D189" s="140">
        <v>240</v>
      </c>
      <c r="E189" s="140">
        <v>0</v>
      </c>
      <c r="F189" s="140">
        <v>195.76969136492974</v>
      </c>
      <c r="G189" s="140">
        <v>241.49999999999994</v>
      </c>
      <c r="H189" s="140">
        <v>241.49999999999997</v>
      </c>
      <c r="I189" s="140">
        <v>0</v>
      </c>
      <c r="J189" s="140">
        <v>241.49999999999997</v>
      </c>
      <c r="K189" s="140">
        <v>241.49999999999997</v>
      </c>
      <c r="L189" s="140">
        <v>241.49999999999997</v>
      </c>
      <c r="M189" s="140">
        <v>0</v>
      </c>
      <c r="N189" s="140">
        <v>241.49999999999997</v>
      </c>
      <c r="O189" s="140">
        <v>0</v>
      </c>
      <c r="P189" s="140">
        <v>230.99999999999997</v>
      </c>
      <c r="Q189" s="140">
        <v>0</v>
      </c>
      <c r="R189" s="140">
        <v>241.49999999999997</v>
      </c>
      <c r="S189" s="140">
        <v>0</v>
      </c>
      <c r="T189" s="140">
        <v>171.50000000000003</v>
      </c>
      <c r="U189" s="140">
        <v>0</v>
      </c>
      <c r="V189" s="140">
        <v>241.49999999999997</v>
      </c>
      <c r="W189" s="140">
        <v>241.49999999999997</v>
      </c>
      <c r="X189" s="140">
        <v>241.49999999999997</v>
      </c>
      <c r="Y189" s="140">
        <v>0</v>
      </c>
      <c r="Z189" s="140">
        <v>241.49999999999997</v>
      </c>
      <c r="AA189" s="140">
        <v>241.49999999999997</v>
      </c>
      <c r="AB189" s="140">
        <v>241.49999999999997</v>
      </c>
      <c r="AC189" s="140">
        <v>0</v>
      </c>
      <c r="AD189" s="140">
        <v>241.49999999999997</v>
      </c>
      <c r="AE189" s="140">
        <v>241.49999999999997</v>
      </c>
      <c r="AF189" s="140">
        <v>230.99999999999997</v>
      </c>
      <c r="AG189" s="140">
        <v>0</v>
      </c>
      <c r="AH189" s="140">
        <v>230.99999999999997</v>
      </c>
      <c r="AI189" s="140">
        <v>0</v>
      </c>
      <c r="AJ189" s="140">
        <v>230.99999999999997</v>
      </c>
      <c r="AK189" s="140">
        <v>241.49999999999997</v>
      </c>
      <c r="AL189" s="140">
        <v>241.49999999999997</v>
      </c>
      <c r="AM189" s="140">
        <v>241.49999999999997</v>
      </c>
      <c r="AN189" s="140">
        <v>230.99999999999997</v>
      </c>
      <c r="AO189" s="140">
        <v>0</v>
      </c>
      <c r="AP189" s="140">
        <v>241.49999999999997</v>
      </c>
      <c r="AQ189" s="140">
        <v>241.49999999999997</v>
      </c>
      <c r="AR189" s="140">
        <v>230.99999999999997</v>
      </c>
      <c r="AS189" s="140">
        <v>241.49999999999997</v>
      </c>
      <c r="AT189" s="140">
        <v>241.49999999999997</v>
      </c>
      <c r="AU189" s="140">
        <v>241.49999999999997</v>
      </c>
      <c r="AV189" s="140">
        <v>230.99999999999997</v>
      </c>
      <c r="AW189" s="140">
        <v>241.49999999999997</v>
      </c>
      <c r="AX189" s="140">
        <v>0</v>
      </c>
      <c r="AY189" s="140">
        <v>230.99999999999997</v>
      </c>
    </row>
    <row r="190" spans="1:51" x14ac:dyDescent="0.2">
      <c r="A190" s="126"/>
      <c r="B190" s="135">
        <v>2</v>
      </c>
      <c r="C190" s="123">
        <v>0</v>
      </c>
      <c r="D190" s="123">
        <v>0</v>
      </c>
      <c r="E190" s="123">
        <v>563</v>
      </c>
      <c r="F190" s="123">
        <v>241.49999999999997</v>
      </c>
      <c r="G190" s="123">
        <v>45.73030863507023</v>
      </c>
      <c r="H190" s="123">
        <v>2.8421709430404007E-14</v>
      </c>
      <c r="I190" s="123">
        <v>0</v>
      </c>
      <c r="J190" s="123">
        <v>241.49999999999997</v>
      </c>
      <c r="K190" s="123">
        <v>0</v>
      </c>
      <c r="L190" s="123">
        <v>0</v>
      </c>
      <c r="M190" s="123">
        <v>0</v>
      </c>
      <c r="N190" s="123">
        <v>241.49999999999997</v>
      </c>
      <c r="O190" s="123">
        <v>0</v>
      </c>
      <c r="P190" s="123">
        <v>0</v>
      </c>
      <c r="Q190" s="123">
        <v>10.5</v>
      </c>
      <c r="R190" s="123">
        <v>0</v>
      </c>
      <c r="S190" s="123">
        <v>0</v>
      </c>
      <c r="T190" s="123">
        <v>241.49999999999997</v>
      </c>
      <c r="U190" s="123">
        <v>69.999999999999943</v>
      </c>
      <c r="V190" s="123">
        <v>241.49999999999997</v>
      </c>
      <c r="W190" s="123">
        <v>0</v>
      </c>
      <c r="X190" s="123">
        <v>0</v>
      </c>
      <c r="Y190" s="123">
        <v>0</v>
      </c>
      <c r="Z190" s="123">
        <v>0</v>
      </c>
      <c r="AA190" s="123">
        <v>0</v>
      </c>
      <c r="AB190" s="123">
        <v>0</v>
      </c>
      <c r="AC190" s="123">
        <v>0</v>
      </c>
      <c r="AD190" s="123">
        <v>241.49999999999997</v>
      </c>
      <c r="AE190" s="123">
        <v>0</v>
      </c>
      <c r="AF190" s="123">
        <v>0</v>
      </c>
      <c r="AG190" s="123">
        <v>10.5</v>
      </c>
      <c r="AH190" s="123">
        <v>241.49999999999997</v>
      </c>
      <c r="AI190" s="123">
        <v>10.5</v>
      </c>
      <c r="AJ190" s="123">
        <v>241.49999999999997</v>
      </c>
      <c r="AK190" s="123">
        <v>0</v>
      </c>
      <c r="AL190" s="123">
        <v>0</v>
      </c>
      <c r="AM190" s="123">
        <v>0</v>
      </c>
      <c r="AN190" s="123">
        <v>0</v>
      </c>
      <c r="AO190" s="123">
        <v>0</v>
      </c>
      <c r="AP190" s="123">
        <v>241.49999999999997</v>
      </c>
      <c r="AQ190" s="123">
        <v>0</v>
      </c>
      <c r="AR190" s="123">
        <v>0</v>
      </c>
      <c r="AS190" s="123">
        <v>0</v>
      </c>
      <c r="AT190" s="123">
        <v>0</v>
      </c>
      <c r="AU190" s="123">
        <v>0</v>
      </c>
      <c r="AV190" s="123">
        <v>0</v>
      </c>
      <c r="AW190" s="123">
        <v>0</v>
      </c>
      <c r="AX190" s="123">
        <v>0</v>
      </c>
      <c r="AY190" s="123">
        <v>0</v>
      </c>
    </row>
    <row r="191" spans="1:51" x14ac:dyDescent="0.2">
      <c r="A191" s="126"/>
      <c r="B191" s="136">
        <v>3</v>
      </c>
      <c r="C191" s="123">
        <v>0</v>
      </c>
      <c r="D191" s="123">
        <v>0</v>
      </c>
      <c r="E191" s="123">
        <v>0</v>
      </c>
      <c r="F191" s="123">
        <v>71.730308635070287</v>
      </c>
      <c r="G191" s="123">
        <v>0</v>
      </c>
      <c r="H191" s="123">
        <v>0</v>
      </c>
      <c r="I191" s="123">
        <v>0</v>
      </c>
      <c r="J191" s="123">
        <v>0</v>
      </c>
      <c r="K191" s="123">
        <v>0</v>
      </c>
      <c r="L191" s="123">
        <v>0</v>
      </c>
      <c r="M191" s="123">
        <v>0</v>
      </c>
      <c r="N191" s="123">
        <v>0</v>
      </c>
      <c r="O191" s="123">
        <v>0</v>
      </c>
      <c r="P191" s="123">
        <v>0</v>
      </c>
      <c r="Q191" s="123">
        <v>241.49999999999997</v>
      </c>
      <c r="R191" s="123">
        <v>0</v>
      </c>
      <c r="S191" s="123">
        <v>241.49999999999997</v>
      </c>
      <c r="T191" s="123">
        <v>0</v>
      </c>
      <c r="U191" s="123">
        <v>0</v>
      </c>
      <c r="V191" s="123">
        <v>0</v>
      </c>
      <c r="W191" s="123">
        <v>0</v>
      </c>
      <c r="X191" s="123">
        <v>0</v>
      </c>
      <c r="Y191" s="123">
        <v>0</v>
      </c>
      <c r="Z191" s="123">
        <v>0</v>
      </c>
      <c r="AA191" s="123">
        <v>241.49999999999997</v>
      </c>
      <c r="AB191" s="123">
        <v>0</v>
      </c>
      <c r="AC191" s="123">
        <v>0</v>
      </c>
      <c r="AD191" s="123">
        <v>0</v>
      </c>
      <c r="AE191" s="123">
        <v>0</v>
      </c>
      <c r="AF191" s="123">
        <v>0</v>
      </c>
      <c r="AG191" s="123">
        <v>0</v>
      </c>
      <c r="AH191" s="123">
        <v>0</v>
      </c>
      <c r="AI191" s="123">
        <v>0</v>
      </c>
      <c r="AJ191" s="123">
        <v>0</v>
      </c>
      <c r="AK191" s="123">
        <v>0</v>
      </c>
      <c r="AL191" s="123">
        <v>10.5</v>
      </c>
      <c r="AM191" s="123">
        <v>0</v>
      </c>
      <c r="AN191" s="123">
        <v>0</v>
      </c>
      <c r="AO191" s="123">
        <v>0</v>
      </c>
      <c r="AP191" s="123">
        <v>10.5</v>
      </c>
      <c r="AQ191" s="123">
        <v>0</v>
      </c>
      <c r="AR191" s="123">
        <v>0</v>
      </c>
      <c r="AS191" s="123">
        <v>0</v>
      </c>
      <c r="AT191" s="123">
        <v>10.5</v>
      </c>
      <c r="AU191" s="123">
        <v>0</v>
      </c>
      <c r="AV191" s="123">
        <v>0</v>
      </c>
      <c r="AW191" s="123">
        <v>0</v>
      </c>
      <c r="AX191" s="123">
        <v>10.5</v>
      </c>
      <c r="AY191" s="123">
        <v>0</v>
      </c>
    </row>
    <row r="192" spans="1:51" x14ac:dyDescent="0.2">
      <c r="A192" s="126"/>
      <c r="B192" s="136">
        <v>4</v>
      </c>
      <c r="C192" s="123">
        <v>0</v>
      </c>
      <c r="D192" s="123">
        <v>0</v>
      </c>
      <c r="E192" s="123">
        <v>0</v>
      </c>
      <c r="F192" s="123">
        <v>0</v>
      </c>
      <c r="G192" s="123">
        <v>0</v>
      </c>
      <c r="H192" s="123">
        <v>0</v>
      </c>
      <c r="I192" s="123">
        <v>0</v>
      </c>
      <c r="J192" s="123">
        <v>0</v>
      </c>
      <c r="K192" s="123">
        <v>0</v>
      </c>
      <c r="L192" s="123">
        <v>0</v>
      </c>
      <c r="M192" s="123">
        <v>0</v>
      </c>
      <c r="N192" s="123">
        <v>0</v>
      </c>
      <c r="O192" s="123">
        <v>0</v>
      </c>
      <c r="P192" s="123">
        <v>0</v>
      </c>
      <c r="Q192" s="123">
        <v>0</v>
      </c>
      <c r="R192" s="123">
        <v>0</v>
      </c>
      <c r="S192" s="123">
        <v>0</v>
      </c>
      <c r="T192" s="123">
        <v>0</v>
      </c>
      <c r="U192" s="123">
        <v>0</v>
      </c>
      <c r="V192" s="123">
        <v>0</v>
      </c>
      <c r="W192" s="123">
        <v>0</v>
      </c>
      <c r="X192" s="123">
        <v>0</v>
      </c>
      <c r="Y192" s="123">
        <v>0</v>
      </c>
      <c r="Z192" s="123">
        <v>0</v>
      </c>
      <c r="AA192" s="123">
        <v>0</v>
      </c>
      <c r="AB192" s="123">
        <v>0</v>
      </c>
      <c r="AC192" s="123">
        <v>0</v>
      </c>
      <c r="AD192" s="123">
        <v>0</v>
      </c>
      <c r="AE192" s="123">
        <v>0</v>
      </c>
      <c r="AF192" s="123">
        <v>0</v>
      </c>
      <c r="AG192" s="123">
        <v>0</v>
      </c>
      <c r="AH192" s="123">
        <v>0</v>
      </c>
      <c r="AI192" s="123">
        <v>0</v>
      </c>
      <c r="AJ192" s="123">
        <v>0</v>
      </c>
      <c r="AK192" s="123">
        <v>0</v>
      </c>
      <c r="AL192" s="123">
        <v>0</v>
      </c>
      <c r="AM192" s="123">
        <v>0</v>
      </c>
      <c r="AN192" s="123">
        <v>0</v>
      </c>
      <c r="AO192" s="123">
        <v>0</v>
      </c>
      <c r="AP192" s="123">
        <v>0</v>
      </c>
      <c r="AQ192" s="123">
        <v>0</v>
      </c>
      <c r="AR192" s="123">
        <v>0</v>
      </c>
      <c r="AS192" s="123">
        <v>0</v>
      </c>
      <c r="AT192" s="123">
        <v>0</v>
      </c>
      <c r="AU192" s="123">
        <v>0</v>
      </c>
      <c r="AV192" s="123">
        <v>0</v>
      </c>
      <c r="AW192" s="123">
        <v>0</v>
      </c>
      <c r="AX192" s="123">
        <v>0</v>
      </c>
      <c r="AY192" s="123">
        <v>0</v>
      </c>
    </row>
    <row r="193" spans="1:51" x14ac:dyDescent="0.2">
      <c r="A193" s="126"/>
      <c r="B193" s="143">
        <v>5</v>
      </c>
      <c r="C193" s="123">
        <v>0</v>
      </c>
      <c r="D193" s="123">
        <v>0</v>
      </c>
      <c r="E193" s="123">
        <v>0</v>
      </c>
      <c r="F193" s="123">
        <v>0</v>
      </c>
      <c r="G193" s="123">
        <v>0</v>
      </c>
      <c r="H193" s="123">
        <v>0</v>
      </c>
      <c r="I193" s="123">
        <v>0</v>
      </c>
      <c r="J193" s="123">
        <v>0</v>
      </c>
      <c r="K193" s="123">
        <v>0</v>
      </c>
      <c r="L193" s="123">
        <v>0</v>
      </c>
      <c r="M193" s="123">
        <v>0</v>
      </c>
      <c r="N193" s="123">
        <v>0</v>
      </c>
      <c r="O193" s="123">
        <v>0</v>
      </c>
      <c r="P193" s="123">
        <v>0</v>
      </c>
      <c r="Q193" s="123">
        <v>0</v>
      </c>
      <c r="R193" s="123">
        <v>0</v>
      </c>
      <c r="S193" s="123">
        <v>0</v>
      </c>
      <c r="T193" s="123">
        <v>0</v>
      </c>
      <c r="U193" s="123">
        <v>0</v>
      </c>
      <c r="V193" s="123">
        <v>0</v>
      </c>
      <c r="W193" s="123">
        <v>0</v>
      </c>
      <c r="X193" s="123">
        <v>0</v>
      </c>
      <c r="Y193" s="123">
        <v>0</v>
      </c>
      <c r="Z193" s="123">
        <v>0</v>
      </c>
      <c r="AA193" s="123">
        <v>0</v>
      </c>
      <c r="AB193" s="123">
        <v>0</v>
      </c>
      <c r="AC193" s="123">
        <v>0</v>
      </c>
      <c r="AD193" s="123">
        <v>0</v>
      </c>
      <c r="AE193" s="123">
        <v>0</v>
      </c>
      <c r="AF193" s="123">
        <v>0</v>
      </c>
      <c r="AG193" s="123">
        <v>0</v>
      </c>
      <c r="AH193" s="123">
        <v>0</v>
      </c>
      <c r="AI193" s="123">
        <v>0</v>
      </c>
      <c r="AJ193" s="123">
        <v>0</v>
      </c>
      <c r="AK193" s="123">
        <v>0</v>
      </c>
      <c r="AL193" s="123">
        <v>0</v>
      </c>
      <c r="AM193" s="123">
        <v>0</v>
      </c>
      <c r="AN193" s="123">
        <v>0</v>
      </c>
      <c r="AO193" s="123">
        <v>0</v>
      </c>
      <c r="AP193" s="123">
        <v>0</v>
      </c>
      <c r="AQ193" s="123">
        <v>0</v>
      </c>
      <c r="AR193" s="123">
        <v>0</v>
      </c>
      <c r="AS193" s="123">
        <v>0</v>
      </c>
      <c r="AT193" s="123">
        <v>0</v>
      </c>
      <c r="AU193" s="123">
        <v>0</v>
      </c>
      <c r="AV193" s="123">
        <v>0</v>
      </c>
      <c r="AW193" s="123">
        <v>0</v>
      </c>
      <c r="AX193" s="123">
        <v>0</v>
      </c>
      <c r="AY193" s="123">
        <v>0</v>
      </c>
    </row>
    <row r="194" spans="1:51" x14ac:dyDescent="0.2">
      <c r="A194" s="126"/>
      <c r="B194" s="143">
        <v>6</v>
      </c>
      <c r="C194" s="123">
        <v>0</v>
      </c>
      <c r="D194" s="123">
        <v>0</v>
      </c>
      <c r="E194" s="123">
        <v>0</v>
      </c>
      <c r="F194" s="123">
        <v>0</v>
      </c>
      <c r="G194" s="123">
        <v>0</v>
      </c>
      <c r="H194" s="123">
        <v>0</v>
      </c>
      <c r="I194" s="123">
        <v>0</v>
      </c>
      <c r="J194" s="123">
        <v>0</v>
      </c>
      <c r="K194" s="123">
        <v>0</v>
      </c>
      <c r="L194" s="123">
        <v>0</v>
      </c>
      <c r="M194" s="123">
        <v>0</v>
      </c>
      <c r="N194" s="123">
        <v>0</v>
      </c>
      <c r="O194" s="123">
        <v>0</v>
      </c>
      <c r="P194" s="123">
        <v>0</v>
      </c>
      <c r="Q194" s="123">
        <v>0</v>
      </c>
      <c r="R194" s="123">
        <v>0</v>
      </c>
      <c r="S194" s="123">
        <v>0</v>
      </c>
      <c r="T194" s="123">
        <v>0</v>
      </c>
      <c r="U194" s="123">
        <v>0</v>
      </c>
      <c r="V194" s="123">
        <v>0</v>
      </c>
      <c r="W194" s="123">
        <v>0</v>
      </c>
      <c r="X194" s="123">
        <v>0</v>
      </c>
      <c r="Y194" s="123">
        <v>0</v>
      </c>
      <c r="Z194" s="123">
        <v>0</v>
      </c>
      <c r="AA194" s="123">
        <v>0</v>
      </c>
      <c r="AB194" s="123">
        <v>0</v>
      </c>
      <c r="AC194" s="123">
        <v>0</v>
      </c>
      <c r="AD194" s="123">
        <v>0</v>
      </c>
      <c r="AE194" s="123">
        <v>0</v>
      </c>
      <c r="AF194" s="123">
        <v>0</v>
      </c>
      <c r="AG194" s="123">
        <v>0</v>
      </c>
      <c r="AH194" s="123">
        <v>0</v>
      </c>
      <c r="AI194" s="123">
        <v>0</v>
      </c>
      <c r="AJ194" s="123">
        <v>0</v>
      </c>
      <c r="AK194" s="123">
        <v>0</v>
      </c>
      <c r="AL194" s="123">
        <v>0</v>
      </c>
      <c r="AM194" s="123">
        <v>0</v>
      </c>
      <c r="AN194" s="123">
        <v>0</v>
      </c>
      <c r="AO194" s="123">
        <v>0</v>
      </c>
      <c r="AP194" s="123">
        <v>0</v>
      </c>
      <c r="AQ194" s="123">
        <v>0</v>
      </c>
      <c r="AR194" s="123">
        <v>0</v>
      </c>
      <c r="AS194" s="123">
        <v>0</v>
      </c>
      <c r="AT194" s="123">
        <v>0</v>
      </c>
      <c r="AU194" s="123">
        <v>0</v>
      </c>
      <c r="AV194" s="123">
        <v>0</v>
      </c>
      <c r="AW194" s="123">
        <v>0</v>
      </c>
      <c r="AX194" s="123">
        <v>0</v>
      </c>
      <c r="AY194" s="123">
        <v>0</v>
      </c>
    </row>
    <row r="195" spans="1:51" x14ac:dyDescent="0.2">
      <c r="A195" s="126"/>
      <c r="B195" s="146">
        <v>7</v>
      </c>
      <c r="C195" s="123">
        <v>0</v>
      </c>
      <c r="D195" s="123">
        <v>0</v>
      </c>
      <c r="E195" s="123">
        <v>0</v>
      </c>
      <c r="F195" s="123">
        <v>0</v>
      </c>
      <c r="G195" s="123">
        <v>0</v>
      </c>
      <c r="H195" s="123">
        <v>0</v>
      </c>
      <c r="I195" s="123">
        <v>0</v>
      </c>
      <c r="J195" s="123">
        <v>0</v>
      </c>
      <c r="K195" s="123">
        <v>0</v>
      </c>
      <c r="L195" s="123">
        <v>0</v>
      </c>
      <c r="M195" s="123">
        <v>0</v>
      </c>
      <c r="N195" s="123">
        <v>0</v>
      </c>
      <c r="O195" s="123">
        <v>0</v>
      </c>
      <c r="P195" s="123">
        <v>0</v>
      </c>
      <c r="Q195" s="123">
        <v>0</v>
      </c>
      <c r="R195" s="123">
        <v>0</v>
      </c>
      <c r="S195" s="123">
        <v>0</v>
      </c>
      <c r="T195" s="123">
        <v>0</v>
      </c>
      <c r="U195" s="123">
        <v>0</v>
      </c>
      <c r="V195" s="123">
        <v>0</v>
      </c>
      <c r="W195" s="123">
        <v>0</v>
      </c>
      <c r="X195" s="123">
        <v>0</v>
      </c>
      <c r="Y195" s="123">
        <v>0</v>
      </c>
      <c r="Z195" s="123">
        <v>0</v>
      </c>
      <c r="AA195" s="123">
        <v>0</v>
      </c>
      <c r="AB195" s="123">
        <v>0</v>
      </c>
      <c r="AC195" s="123">
        <v>0</v>
      </c>
      <c r="AD195" s="123">
        <v>0</v>
      </c>
      <c r="AE195" s="123">
        <v>0</v>
      </c>
      <c r="AF195" s="123">
        <v>0</v>
      </c>
      <c r="AG195" s="123">
        <v>0</v>
      </c>
      <c r="AH195" s="123">
        <v>0</v>
      </c>
      <c r="AI195" s="123">
        <v>0</v>
      </c>
      <c r="AJ195" s="123">
        <v>0</v>
      </c>
      <c r="AK195" s="123">
        <v>0</v>
      </c>
      <c r="AL195" s="123">
        <v>0</v>
      </c>
      <c r="AM195" s="123">
        <v>0</v>
      </c>
      <c r="AN195" s="123">
        <v>0</v>
      </c>
      <c r="AO195" s="123">
        <v>0</v>
      </c>
      <c r="AP195" s="123">
        <v>0</v>
      </c>
      <c r="AQ195" s="123">
        <v>0</v>
      </c>
      <c r="AR195" s="123">
        <v>0</v>
      </c>
      <c r="AS195" s="123">
        <v>0</v>
      </c>
      <c r="AT195" s="123">
        <v>0</v>
      </c>
      <c r="AU195" s="123">
        <v>0</v>
      </c>
      <c r="AV195" s="123">
        <v>0</v>
      </c>
      <c r="AW195" s="123">
        <v>0</v>
      </c>
      <c r="AX195" s="123">
        <v>0</v>
      </c>
      <c r="AY195" s="123">
        <v>0</v>
      </c>
    </row>
    <row r="196" spans="1:51" x14ac:dyDescent="0.2">
      <c r="A196" s="144"/>
      <c r="B196" s="145">
        <v>8</v>
      </c>
      <c r="C196" s="130">
        <v>0</v>
      </c>
      <c r="D196" s="130">
        <v>0</v>
      </c>
      <c r="E196" s="130">
        <v>0</v>
      </c>
      <c r="F196" s="130">
        <v>0</v>
      </c>
      <c r="G196" s="130">
        <v>0</v>
      </c>
      <c r="H196" s="130">
        <v>0</v>
      </c>
      <c r="I196" s="130">
        <v>0</v>
      </c>
      <c r="J196" s="130">
        <v>0</v>
      </c>
      <c r="K196" s="130">
        <v>0</v>
      </c>
      <c r="L196" s="130">
        <v>0</v>
      </c>
      <c r="M196" s="130">
        <v>0</v>
      </c>
      <c r="N196" s="130">
        <v>0</v>
      </c>
      <c r="O196" s="130">
        <v>0</v>
      </c>
      <c r="P196" s="130">
        <v>0</v>
      </c>
      <c r="Q196" s="130">
        <v>0</v>
      </c>
      <c r="R196" s="130">
        <v>0</v>
      </c>
      <c r="S196" s="130">
        <v>0</v>
      </c>
      <c r="T196" s="130">
        <v>0</v>
      </c>
      <c r="U196" s="130">
        <v>0</v>
      </c>
      <c r="V196" s="130">
        <v>0</v>
      </c>
      <c r="W196" s="130">
        <v>0</v>
      </c>
      <c r="X196" s="130">
        <v>0</v>
      </c>
      <c r="Y196" s="130">
        <v>0</v>
      </c>
      <c r="Z196" s="130">
        <v>0</v>
      </c>
      <c r="AA196" s="130">
        <v>0</v>
      </c>
      <c r="AB196" s="130">
        <v>0</v>
      </c>
      <c r="AC196" s="130">
        <v>0</v>
      </c>
      <c r="AD196" s="130">
        <v>0</v>
      </c>
      <c r="AE196" s="130">
        <v>0</v>
      </c>
      <c r="AF196" s="130">
        <v>0</v>
      </c>
      <c r="AG196" s="130">
        <v>0</v>
      </c>
      <c r="AH196" s="130">
        <v>0</v>
      </c>
      <c r="AI196" s="130">
        <v>0</v>
      </c>
      <c r="AJ196" s="130">
        <v>0</v>
      </c>
      <c r="AK196" s="130">
        <v>0</v>
      </c>
      <c r="AL196" s="130">
        <v>0</v>
      </c>
      <c r="AM196" s="130">
        <v>0</v>
      </c>
      <c r="AN196" s="130">
        <v>0</v>
      </c>
      <c r="AO196" s="130">
        <v>0</v>
      </c>
      <c r="AP196" s="130">
        <v>0</v>
      </c>
      <c r="AQ196" s="130">
        <v>0</v>
      </c>
      <c r="AR196" s="130">
        <v>0</v>
      </c>
      <c r="AS196" s="130">
        <v>0</v>
      </c>
      <c r="AT196" s="130">
        <v>0</v>
      </c>
      <c r="AU196" s="130">
        <v>0</v>
      </c>
      <c r="AV196" s="130">
        <v>0</v>
      </c>
      <c r="AW196" s="130">
        <v>0</v>
      </c>
      <c r="AX196" s="130">
        <v>0</v>
      </c>
      <c r="AY196" s="130">
        <v>0</v>
      </c>
    </row>
    <row r="197" spans="1:51" x14ac:dyDescent="0.2">
      <c r="A197" s="147" t="s">
        <v>134</v>
      </c>
      <c r="B197" s="135">
        <v>1</v>
      </c>
      <c r="C197" s="123">
        <v>262.8786932568355</v>
      </c>
      <c r="D197" s="123">
        <v>262.8786932568355</v>
      </c>
      <c r="E197" s="123">
        <v>187.85897427832242</v>
      </c>
      <c r="F197" s="123">
        <v>316.65488454603866</v>
      </c>
      <c r="G197" s="123">
        <v>459.61074650131525</v>
      </c>
      <c r="H197" s="123">
        <v>407.55246879671819</v>
      </c>
      <c r="I197" s="123">
        <v>368.71011988515778</v>
      </c>
      <c r="J197" s="123">
        <v>102.46211691958433</v>
      </c>
      <c r="K197" s="123">
        <v>60.748906626813891</v>
      </c>
      <c r="L197" s="123">
        <v>0</v>
      </c>
      <c r="M197" s="123">
        <v>0</v>
      </c>
      <c r="N197" s="123">
        <v>0</v>
      </c>
      <c r="O197" s="123">
        <v>0</v>
      </c>
      <c r="P197" s="123">
        <v>0</v>
      </c>
      <c r="Q197" s="123">
        <v>0</v>
      </c>
      <c r="R197" s="123">
        <v>0</v>
      </c>
      <c r="S197" s="123">
        <v>0</v>
      </c>
      <c r="T197" s="123">
        <v>0</v>
      </c>
      <c r="U197" s="123">
        <v>0</v>
      </c>
      <c r="V197" s="123">
        <v>0</v>
      </c>
      <c r="W197" s="123">
        <v>0</v>
      </c>
      <c r="X197" s="123">
        <v>0</v>
      </c>
      <c r="Y197" s="123">
        <v>0</v>
      </c>
      <c r="Z197" s="123">
        <v>0</v>
      </c>
      <c r="AA197" s="123">
        <v>0</v>
      </c>
      <c r="AB197" s="123">
        <v>0</v>
      </c>
      <c r="AC197" s="123">
        <v>0</v>
      </c>
      <c r="AD197" s="123">
        <v>0</v>
      </c>
      <c r="AE197" s="123">
        <v>0</v>
      </c>
      <c r="AF197" s="123">
        <v>0</v>
      </c>
      <c r="AG197" s="123">
        <v>0</v>
      </c>
      <c r="AH197" s="123">
        <v>0</v>
      </c>
      <c r="AI197" s="123">
        <v>0</v>
      </c>
      <c r="AJ197" s="123">
        <v>0</v>
      </c>
      <c r="AK197" s="123">
        <v>0</v>
      </c>
      <c r="AL197" s="123">
        <v>0</v>
      </c>
      <c r="AM197" s="123">
        <v>0</v>
      </c>
      <c r="AN197" s="123">
        <v>0</v>
      </c>
      <c r="AO197" s="123">
        <v>0</v>
      </c>
      <c r="AP197" s="123">
        <v>0</v>
      </c>
      <c r="AQ197" s="123">
        <v>0</v>
      </c>
      <c r="AR197" s="123">
        <v>0</v>
      </c>
      <c r="AS197" s="123">
        <v>0</v>
      </c>
      <c r="AT197" s="123">
        <v>0</v>
      </c>
      <c r="AU197" s="123">
        <v>0</v>
      </c>
      <c r="AV197" s="123">
        <v>0</v>
      </c>
      <c r="AW197" s="123">
        <v>0</v>
      </c>
      <c r="AX197" s="123">
        <v>0</v>
      </c>
      <c r="AY197" s="123">
        <v>0</v>
      </c>
    </row>
    <row r="198" spans="1:51" x14ac:dyDescent="0.2">
      <c r="A198" s="126"/>
      <c r="B198" s="135">
        <v>2</v>
      </c>
      <c r="C198" s="123">
        <v>0</v>
      </c>
      <c r="D198" s="123">
        <v>0</v>
      </c>
      <c r="E198" s="123">
        <v>0</v>
      </c>
      <c r="F198" s="123">
        <v>0</v>
      </c>
      <c r="G198" s="123">
        <v>0</v>
      </c>
      <c r="H198" s="123">
        <v>17.69713583714298</v>
      </c>
      <c r="I198" s="123">
        <v>101.28988011484222</v>
      </c>
      <c r="J198" s="123">
        <v>241.18029806928786</v>
      </c>
      <c r="K198" s="123">
        <v>430.50908306390772</v>
      </c>
      <c r="L198" s="123">
        <v>367.28297297297297</v>
      </c>
      <c r="M198" s="123">
        <v>323.16176598747927</v>
      </c>
      <c r="N198" s="123">
        <v>68.728600213738673</v>
      </c>
      <c r="O198" s="123">
        <v>0</v>
      </c>
      <c r="P198" s="123">
        <v>0</v>
      </c>
      <c r="Q198" s="123">
        <v>0</v>
      </c>
      <c r="R198" s="123">
        <v>0</v>
      </c>
      <c r="S198" s="123">
        <v>0</v>
      </c>
      <c r="T198" s="123">
        <v>0</v>
      </c>
      <c r="U198" s="123">
        <v>0</v>
      </c>
      <c r="V198" s="123">
        <v>0</v>
      </c>
      <c r="W198" s="123">
        <v>0</v>
      </c>
      <c r="X198" s="123">
        <v>0</v>
      </c>
      <c r="Y198" s="123">
        <v>0</v>
      </c>
      <c r="Z198" s="123">
        <v>0</v>
      </c>
      <c r="AA198" s="123">
        <v>0</v>
      </c>
      <c r="AB198" s="123">
        <v>0</v>
      </c>
      <c r="AC198" s="123">
        <v>0</v>
      </c>
      <c r="AD198" s="123">
        <v>0</v>
      </c>
      <c r="AE198" s="123">
        <v>0</v>
      </c>
      <c r="AF198" s="123">
        <v>0</v>
      </c>
      <c r="AG198" s="123">
        <v>0</v>
      </c>
      <c r="AH198" s="123">
        <v>0</v>
      </c>
      <c r="AI198" s="123">
        <v>0</v>
      </c>
      <c r="AJ198" s="123">
        <v>0</v>
      </c>
      <c r="AK198" s="123">
        <v>0</v>
      </c>
      <c r="AL198" s="123">
        <v>0</v>
      </c>
      <c r="AM198" s="123">
        <v>0</v>
      </c>
      <c r="AN198" s="123">
        <v>0</v>
      </c>
      <c r="AO198" s="123">
        <v>0</v>
      </c>
      <c r="AP198" s="123">
        <v>0</v>
      </c>
      <c r="AQ198" s="123">
        <v>0</v>
      </c>
      <c r="AR198" s="123">
        <v>0</v>
      </c>
      <c r="AS198" s="123">
        <v>0</v>
      </c>
      <c r="AT198" s="123">
        <v>0</v>
      </c>
      <c r="AU198" s="123">
        <v>0</v>
      </c>
      <c r="AV198" s="123">
        <v>0</v>
      </c>
      <c r="AW198" s="123">
        <v>0</v>
      </c>
      <c r="AX198" s="123">
        <v>0</v>
      </c>
      <c r="AY198" s="123">
        <v>0</v>
      </c>
    </row>
    <row r="199" spans="1:51" x14ac:dyDescent="0.2">
      <c r="A199" s="126"/>
      <c r="B199" s="135">
        <v>3</v>
      </c>
      <c r="C199" s="123">
        <v>0</v>
      </c>
      <c r="D199" s="123">
        <v>0</v>
      </c>
      <c r="E199" s="123">
        <v>0</v>
      </c>
      <c r="F199" s="123">
        <v>0</v>
      </c>
      <c r="G199" s="123">
        <v>0</v>
      </c>
      <c r="H199" s="123">
        <v>0</v>
      </c>
      <c r="I199" s="123">
        <v>0</v>
      </c>
      <c r="J199" s="123">
        <v>0</v>
      </c>
      <c r="K199" s="123">
        <v>0</v>
      </c>
      <c r="L199" s="123">
        <v>0</v>
      </c>
      <c r="M199" s="123">
        <v>200.83823401252073</v>
      </c>
      <c r="N199" s="123">
        <v>302.65460639783157</v>
      </c>
      <c r="O199" s="123">
        <v>427</v>
      </c>
      <c r="P199" s="123">
        <v>362.60251319921792</v>
      </c>
      <c r="Q199" s="123">
        <v>257.80200530107629</v>
      </c>
      <c r="R199" s="123">
        <v>109.77739656307574</v>
      </c>
      <c r="S199" s="123">
        <v>0</v>
      </c>
      <c r="T199" s="123">
        <v>0</v>
      </c>
      <c r="U199" s="123">
        <v>0</v>
      </c>
      <c r="V199" s="123">
        <v>0</v>
      </c>
      <c r="W199" s="123">
        <v>0</v>
      </c>
      <c r="X199" s="123">
        <v>0</v>
      </c>
      <c r="Y199" s="123">
        <v>0</v>
      </c>
      <c r="Z199" s="123">
        <v>0</v>
      </c>
      <c r="AA199" s="123">
        <v>0</v>
      </c>
      <c r="AB199" s="123">
        <v>0</v>
      </c>
      <c r="AC199" s="123">
        <v>0</v>
      </c>
      <c r="AD199" s="123">
        <v>0</v>
      </c>
      <c r="AE199" s="123">
        <v>0</v>
      </c>
      <c r="AF199" s="123">
        <v>0</v>
      </c>
      <c r="AG199" s="123">
        <v>0</v>
      </c>
      <c r="AH199" s="123">
        <v>0</v>
      </c>
      <c r="AI199" s="123">
        <v>0</v>
      </c>
      <c r="AJ199" s="123">
        <v>0</v>
      </c>
      <c r="AK199" s="123">
        <v>0</v>
      </c>
      <c r="AL199" s="123">
        <v>0</v>
      </c>
      <c r="AM199" s="123">
        <v>0</v>
      </c>
      <c r="AN199" s="123">
        <v>0</v>
      </c>
      <c r="AO199" s="123">
        <v>0</v>
      </c>
      <c r="AP199" s="123">
        <v>0</v>
      </c>
      <c r="AQ199" s="123">
        <v>0</v>
      </c>
      <c r="AR199" s="123">
        <v>0</v>
      </c>
      <c r="AS199" s="123">
        <v>0</v>
      </c>
      <c r="AT199" s="123">
        <v>0</v>
      </c>
      <c r="AU199" s="123">
        <v>0</v>
      </c>
      <c r="AV199" s="123">
        <v>0</v>
      </c>
      <c r="AW199" s="123">
        <v>0</v>
      </c>
      <c r="AX199" s="123">
        <v>0</v>
      </c>
      <c r="AY199" s="123">
        <v>0</v>
      </c>
    </row>
    <row r="200" spans="1:51" x14ac:dyDescent="0.2">
      <c r="A200" s="126"/>
      <c r="B200" s="136">
        <v>4</v>
      </c>
      <c r="C200" s="123">
        <v>0</v>
      </c>
      <c r="D200" s="123">
        <v>0</v>
      </c>
      <c r="E200" s="123">
        <v>0</v>
      </c>
      <c r="F200" s="123">
        <v>0</v>
      </c>
      <c r="G200" s="123">
        <v>0</v>
      </c>
      <c r="H200" s="123">
        <v>0</v>
      </c>
      <c r="I200" s="123">
        <v>0</v>
      </c>
      <c r="J200" s="123">
        <v>0</v>
      </c>
      <c r="K200" s="123">
        <v>0</v>
      </c>
      <c r="L200" s="123">
        <v>0</v>
      </c>
      <c r="M200" s="123">
        <v>0</v>
      </c>
      <c r="N200" s="123">
        <v>0</v>
      </c>
      <c r="O200" s="123">
        <v>0</v>
      </c>
      <c r="P200" s="123">
        <v>130.79743786444169</v>
      </c>
      <c r="Q200" s="123">
        <v>161.37379087726765</v>
      </c>
      <c r="R200" s="123">
        <v>445.59306787814342</v>
      </c>
      <c r="S200" s="123">
        <v>459.72777777777776</v>
      </c>
      <c r="T200" s="123">
        <v>427.49357005724619</v>
      </c>
      <c r="U200" s="123">
        <v>213.86399379451069</v>
      </c>
      <c r="V200" s="123">
        <v>0</v>
      </c>
      <c r="W200" s="123">
        <v>0</v>
      </c>
      <c r="X200" s="123">
        <v>0</v>
      </c>
      <c r="Y200" s="123">
        <v>0</v>
      </c>
      <c r="Z200" s="123">
        <v>0</v>
      </c>
      <c r="AA200" s="123">
        <v>0</v>
      </c>
      <c r="AB200" s="123">
        <v>0</v>
      </c>
      <c r="AC200" s="123">
        <v>0</v>
      </c>
      <c r="AD200" s="123">
        <v>0</v>
      </c>
      <c r="AE200" s="123">
        <v>0</v>
      </c>
      <c r="AF200" s="123">
        <v>0</v>
      </c>
      <c r="AG200" s="123">
        <v>0</v>
      </c>
      <c r="AH200" s="123">
        <v>0</v>
      </c>
      <c r="AI200" s="123">
        <v>0</v>
      </c>
      <c r="AJ200" s="123">
        <v>0</v>
      </c>
      <c r="AK200" s="123">
        <v>0</v>
      </c>
      <c r="AL200" s="123">
        <v>0</v>
      </c>
      <c r="AM200" s="123">
        <v>0</v>
      </c>
      <c r="AN200" s="123">
        <v>0</v>
      </c>
      <c r="AO200" s="123">
        <v>0</v>
      </c>
      <c r="AP200" s="123">
        <v>0</v>
      </c>
      <c r="AQ200" s="123">
        <v>0</v>
      </c>
      <c r="AR200" s="123">
        <v>0</v>
      </c>
      <c r="AS200" s="123">
        <v>0</v>
      </c>
      <c r="AT200" s="123">
        <v>0</v>
      </c>
      <c r="AU200" s="123">
        <v>0</v>
      </c>
      <c r="AV200" s="123">
        <v>0</v>
      </c>
      <c r="AW200" s="123">
        <v>0</v>
      </c>
      <c r="AX200" s="123">
        <v>0</v>
      </c>
      <c r="AY200" s="123">
        <v>0</v>
      </c>
    </row>
    <row r="201" spans="1:51" x14ac:dyDescent="0.2">
      <c r="A201" s="126"/>
      <c r="B201" s="136">
        <v>5</v>
      </c>
      <c r="C201" s="123">
        <v>0</v>
      </c>
      <c r="D201" s="123">
        <v>0</v>
      </c>
      <c r="E201" s="123">
        <v>0</v>
      </c>
      <c r="F201" s="123">
        <v>0</v>
      </c>
      <c r="G201" s="123">
        <v>0</v>
      </c>
      <c r="H201" s="123">
        <v>0</v>
      </c>
      <c r="I201" s="123">
        <v>0</v>
      </c>
      <c r="J201" s="123">
        <v>0</v>
      </c>
      <c r="K201" s="123">
        <v>0</v>
      </c>
      <c r="L201" s="123">
        <v>0</v>
      </c>
      <c r="M201" s="123">
        <v>0</v>
      </c>
      <c r="N201" s="123">
        <v>0</v>
      </c>
      <c r="O201" s="123">
        <v>0</v>
      </c>
      <c r="P201" s="123">
        <v>0</v>
      </c>
      <c r="Q201" s="123">
        <v>0</v>
      </c>
      <c r="R201" s="123">
        <v>0</v>
      </c>
      <c r="S201" s="123">
        <v>0</v>
      </c>
      <c r="T201" s="123">
        <v>95.506429942753812</v>
      </c>
      <c r="U201" s="123">
        <v>237.18769606632429</v>
      </c>
      <c r="V201" s="123">
        <v>429.04491219008264</v>
      </c>
      <c r="W201" s="123">
        <v>376.37231550078235</v>
      </c>
      <c r="X201" s="123">
        <v>202.89313408396561</v>
      </c>
      <c r="Y201" s="123">
        <v>0</v>
      </c>
      <c r="Z201" s="123">
        <v>0</v>
      </c>
      <c r="AA201" s="123">
        <v>0</v>
      </c>
      <c r="AB201" s="123">
        <v>0</v>
      </c>
      <c r="AC201" s="123">
        <v>0</v>
      </c>
      <c r="AD201" s="123">
        <v>0</v>
      </c>
      <c r="AE201" s="123">
        <v>0</v>
      </c>
      <c r="AF201" s="123">
        <v>0</v>
      </c>
      <c r="AG201" s="123">
        <v>0</v>
      </c>
      <c r="AH201" s="123">
        <v>0</v>
      </c>
      <c r="AI201" s="123">
        <v>0</v>
      </c>
      <c r="AJ201" s="123">
        <v>0</v>
      </c>
      <c r="AK201" s="123">
        <v>0</v>
      </c>
      <c r="AL201" s="123">
        <v>0</v>
      </c>
      <c r="AM201" s="123">
        <v>0</v>
      </c>
      <c r="AN201" s="123">
        <v>0</v>
      </c>
      <c r="AO201" s="123">
        <v>0</v>
      </c>
      <c r="AP201" s="123">
        <v>0</v>
      </c>
      <c r="AQ201" s="123">
        <v>0</v>
      </c>
      <c r="AR201" s="123">
        <v>0</v>
      </c>
      <c r="AS201" s="123">
        <v>0</v>
      </c>
      <c r="AT201" s="123">
        <v>0</v>
      </c>
      <c r="AU201" s="123">
        <v>0</v>
      </c>
      <c r="AV201" s="123">
        <v>0</v>
      </c>
      <c r="AW201" s="123">
        <v>0</v>
      </c>
      <c r="AX201" s="123">
        <v>0</v>
      </c>
      <c r="AY201" s="123">
        <v>0</v>
      </c>
    </row>
    <row r="202" spans="1:51" x14ac:dyDescent="0.2">
      <c r="A202" s="126"/>
      <c r="B202" s="136">
        <v>6</v>
      </c>
      <c r="C202" s="123">
        <v>0</v>
      </c>
      <c r="D202" s="123">
        <v>0</v>
      </c>
      <c r="E202" s="123">
        <v>0</v>
      </c>
      <c r="F202" s="123">
        <v>0</v>
      </c>
      <c r="G202" s="123">
        <v>0</v>
      </c>
      <c r="H202" s="123">
        <v>0</v>
      </c>
      <c r="I202" s="123">
        <v>0</v>
      </c>
      <c r="J202" s="123">
        <v>0</v>
      </c>
      <c r="K202" s="123">
        <v>0</v>
      </c>
      <c r="L202" s="123">
        <v>0</v>
      </c>
      <c r="M202" s="123">
        <v>0</v>
      </c>
      <c r="N202" s="123">
        <v>0</v>
      </c>
      <c r="O202" s="123">
        <v>0</v>
      </c>
      <c r="P202" s="123">
        <v>0</v>
      </c>
      <c r="Q202" s="123">
        <v>0</v>
      </c>
      <c r="R202" s="123">
        <v>0</v>
      </c>
      <c r="S202" s="123">
        <v>0</v>
      </c>
      <c r="T202" s="123">
        <v>0</v>
      </c>
      <c r="U202" s="123">
        <v>0</v>
      </c>
      <c r="V202" s="123">
        <v>0</v>
      </c>
      <c r="W202" s="123">
        <v>39.877684499217651</v>
      </c>
      <c r="X202" s="123">
        <v>287.18824941767338</v>
      </c>
      <c r="Y202" s="123">
        <v>449</v>
      </c>
      <c r="Z202" s="123">
        <v>422.96791561225683</v>
      </c>
      <c r="AA202" s="123">
        <v>111.05607624427824</v>
      </c>
      <c r="AB202" s="123">
        <v>0</v>
      </c>
      <c r="AC202" s="123">
        <v>0</v>
      </c>
      <c r="AD202" s="123">
        <v>0</v>
      </c>
      <c r="AE202" s="123">
        <v>0</v>
      </c>
      <c r="AF202" s="123">
        <v>0</v>
      </c>
      <c r="AG202" s="123">
        <v>0</v>
      </c>
      <c r="AH202" s="123">
        <v>0</v>
      </c>
      <c r="AI202" s="123">
        <v>0</v>
      </c>
      <c r="AJ202" s="123">
        <v>0</v>
      </c>
      <c r="AK202" s="123">
        <v>0</v>
      </c>
      <c r="AL202" s="123">
        <v>0</v>
      </c>
      <c r="AM202" s="123">
        <v>0</v>
      </c>
      <c r="AN202" s="123">
        <v>0</v>
      </c>
      <c r="AO202" s="123">
        <v>0</v>
      </c>
      <c r="AP202" s="123">
        <v>0</v>
      </c>
      <c r="AQ202" s="123">
        <v>0</v>
      </c>
      <c r="AR202" s="123">
        <v>0</v>
      </c>
      <c r="AS202" s="123">
        <v>0</v>
      </c>
      <c r="AT202" s="123">
        <v>0</v>
      </c>
      <c r="AU202" s="123">
        <v>0</v>
      </c>
      <c r="AV202" s="123">
        <v>0</v>
      </c>
      <c r="AW202" s="123">
        <v>0</v>
      </c>
      <c r="AX202" s="123">
        <v>0</v>
      </c>
      <c r="AY202" s="123">
        <v>0</v>
      </c>
    </row>
    <row r="203" spans="1:51" x14ac:dyDescent="0.2">
      <c r="A203" s="126"/>
      <c r="B203" s="143">
        <v>7</v>
      </c>
      <c r="C203" s="123">
        <v>0</v>
      </c>
      <c r="D203" s="123">
        <v>0</v>
      </c>
      <c r="E203" s="123">
        <v>0</v>
      </c>
      <c r="F203" s="123">
        <v>0</v>
      </c>
      <c r="G203" s="123">
        <v>0</v>
      </c>
      <c r="H203" s="123">
        <v>0</v>
      </c>
      <c r="I203" s="123">
        <v>0</v>
      </c>
      <c r="J203" s="123">
        <v>0</v>
      </c>
      <c r="K203" s="123">
        <v>0</v>
      </c>
      <c r="L203" s="123">
        <v>0</v>
      </c>
      <c r="M203" s="123">
        <v>0</v>
      </c>
      <c r="N203" s="123">
        <v>0</v>
      </c>
      <c r="O203" s="123">
        <v>0</v>
      </c>
      <c r="P203" s="123">
        <v>0</v>
      </c>
      <c r="Q203" s="123">
        <v>0</v>
      </c>
      <c r="R203" s="123">
        <v>0</v>
      </c>
      <c r="S203" s="123">
        <v>0</v>
      </c>
      <c r="T203" s="123">
        <v>0</v>
      </c>
      <c r="U203" s="123">
        <v>0</v>
      </c>
      <c r="V203" s="123">
        <v>0</v>
      </c>
      <c r="W203" s="123">
        <v>0</v>
      </c>
      <c r="X203" s="123">
        <v>0</v>
      </c>
      <c r="Y203" s="123">
        <v>0</v>
      </c>
      <c r="Z203" s="123">
        <v>31.179759113959221</v>
      </c>
      <c r="AA203" s="123">
        <v>324.73956898725027</v>
      </c>
      <c r="AB203" s="123">
        <v>435.0287162162162</v>
      </c>
      <c r="AC203" s="123">
        <v>309.62424278925681</v>
      </c>
      <c r="AD203" s="123">
        <v>13.71046450163675</v>
      </c>
      <c r="AE203" s="123">
        <v>0</v>
      </c>
      <c r="AF203" s="123">
        <v>0</v>
      </c>
      <c r="AG203" s="123">
        <v>0</v>
      </c>
      <c r="AH203" s="123">
        <v>0</v>
      </c>
      <c r="AI203" s="123">
        <v>0</v>
      </c>
      <c r="AJ203" s="123">
        <v>0</v>
      </c>
      <c r="AK203" s="123">
        <v>0</v>
      </c>
      <c r="AL203" s="123">
        <v>0</v>
      </c>
      <c r="AM203" s="123">
        <v>0</v>
      </c>
      <c r="AN203" s="123">
        <v>0</v>
      </c>
      <c r="AO203" s="123">
        <v>0</v>
      </c>
      <c r="AP203" s="123">
        <v>0</v>
      </c>
      <c r="AQ203" s="123">
        <v>0</v>
      </c>
      <c r="AR203" s="123">
        <v>0</v>
      </c>
      <c r="AS203" s="123">
        <v>0</v>
      </c>
      <c r="AT203" s="123">
        <v>0</v>
      </c>
      <c r="AU203" s="123">
        <v>0</v>
      </c>
      <c r="AV203" s="123">
        <v>0</v>
      </c>
      <c r="AW203" s="123">
        <v>0</v>
      </c>
      <c r="AX203" s="123">
        <v>0</v>
      </c>
      <c r="AY203" s="123">
        <v>0</v>
      </c>
    </row>
    <row r="204" spans="1:51" x14ac:dyDescent="0.2">
      <c r="A204" s="126"/>
      <c r="B204" s="143">
        <v>8</v>
      </c>
      <c r="C204" s="123">
        <v>0</v>
      </c>
      <c r="D204" s="123">
        <v>0</v>
      </c>
      <c r="E204" s="123">
        <v>0</v>
      </c>
      <c r="F204" s="123">
        <v>0</v>
      </c>
      <c r="G204" s="123">
        <v>0</v>
      </c>
      <c r="H204" s="123">
        <v>0</v>
      </c>
      <c r="I204" s="123">
        <v>0</v>
      </c>
      <c r="J204" s="123">
        <v>0</v>
      </c>
      <c r="K204" s="123">
        <v>0</v>
      </c>
      <c r="L204" s="123">
        <v>0</v>
      </c>
      <c r="M204" s="123">
        <v>0</v>
      </c>
      <c r="N204" s="123">
        <v>0</v>
      </c>
      <c r="O204" s="123">
        <v>0</v>
      </c>
      <c r="P204" s="123">
        <v>0</v>
      </c>
      <c r="Q204" s="123">
        <v>0</v>
      </c>
      <c r="R204" s="123">
        <v>0</v>
      </c>
      <c r="S204" s="123">
        <v>0</v>
      </c>
      <c r="T204" s="123">
        <v>0</v>
      </c>
      <c r="U204" s="123">
        <v>0</v>
      </c>
      <c r="V204" s="123">
        <v>0</v>
      </c>
      <c r="W204" s="123">
        <v>0</v>
      </c>
      <c r="X204" s="123">
        <v>0</v>
      </c>
      <c r="Y204" s="123">
        <v>0</v>
      </c>
      <c r="Z204" s="123">
        <v>0</v>
      </c>
      <c r="AA204" s="123">
        <v>0</v>
      </c>
      <c r="AB204" s="123">
        <v>0</v>
      </c>
      <c r="AC204" s="123">
        <v>147.37575721074319</v>
      </c>
      <c r="AD204" s="123">
        <v>427.22703549836325</v>
      </c>
      <c r="AE204" s="123">
        <v>417.33848425196851</v>
      </c>
      <c r="AF204" s="123">
        <v>325.38553683024946</v>
      </c>
      <c r="AG204" s="123">
        <v>170.43620073132485</v>
      </c>
      <c r="AH204" s="123">
        <v>0</v>
      </c>
      <c r="AI204" s="123">
        <v>0</v>
      </c>
      <c r="AJ204" s="123">
        <v>0</v>
      </c>
      <c r="AK204" s="123">
        <v>0</v>
      </c>
      <c r="AL204" s="123">
        <v>0</v>
      </c>
      <c r="AM204" s="123">
        <v>0</v>
      </c>
      <c r="AN204" s="123">
        <v>0</v>
      </c>
      <c r="AO204" s="123">
        <v>0</v>
      </c>
      <c r="AP204" s="123">
        <v>0</v>
      </c>
      <c r="AQ204" s="123">
        <v>0</v>
      </c>
      <c r="AR204" s="123">
        <v>0</v>
      </c>
      <c r="AS204" s="123">
        <v>0</v>
      </c>
      <c r="AT204" s="123">
        <v>0</v>
      </c>
      <c r="AU204" s="123">
        <v>0</v>
      </c>
      <c r="AV204" s="123">
        <v>0</v>
      </c>
      <c r="AW204" s="123">
        <v>0</v>
      </c>
      <c r="AX204" s="123">
        <v>0</v>
      </c>
      <c r="AY204" s="123">
        <v>0</v>
      </c>
    </row>
    <row r="205" spans="1:51" x14ac:dyDescent="0.2">
      <c r="A205" s="126"/>
      <c r="B205" s="143">
        <v>9</v>
      </c>
      <c r="C205" s="123">
        <v>0</v>
      </c>
      <c r="D205" s="123">
        <v>0</v>
      </c>
      <c r="E205" s="123">
        <v>0</v>
      </c>
      <c r="F205" s="123">
        <v>0</v>
      </c>
      <c r="G205" s="123">
        <v>0</v>
      </c>
      <c r="H205" s="123">
        <v>0</v>
      </c>
      <c r="I205" s="123">
        <v>0</v>
      </c>
      <c r="J205" s="123">
        <v>0</v>
      </c>
      <c r="K205" s="123">
        <v>0</v>
      </c>
      <c r="L205" s="123">
        <v>0</v>
      </c>
      <c r="M205" s="123">
        <v>0</v>
      </c>
      <c r="N205" s="123">
        <v>0</v>
      </c>
      <c r="O205" s="123">
        <v>0</v>
      </c>
      <c r="P205" s="123">
        <v>0</v>
      </c>
      <c r="Q205" s="123">
        <v>0</v>
      </c>
      <c r="R205" s="123">
        <v>0</v>
      </c>
      <c r="S205" s="123">
        <v>0</v>
      </c>
      <c r="T205" s="123">
        <v>0</v>
      </c>
      <c r="U205" s="123">
        <v>0</v>
      </c>
      <c r="V205" s="123">
        <v>0</v>
      </c>
      <c r="W205" s="123">
        <v>0</v>
      </c>
      <c r="X205" s="123">
        <v>0</v>
      </c>
      <c r="Y205" s="123">
        <v>0</v>
      </c>
      <c r="Z205" s="123">
        <v>0</v>
      </c>
      <c r="AA205" s="123">
        <v>0</v>
      </c>
      <c r="AB205" s="123">
        <v>0</v>
      </c>
      <c r="AC205" s="123">
        <v>0</v>
      </c>
      <c r="AD205" s="123">
        <v>0</v>
      </c>
      <c r="AE205" s="123">
        <v>0</v>
      </c>
      <c r="AF205" s="123">
        <v>152.54586560877493</v>
      </c>
      <c r="AG205" s="123">
        <v>347.62891002816883</v>
      </c>
      <c r="AH205" s="123">
        <v>376.34678889083443</v>
      </c>
      <c r="AI205" s="123">
        <v>266.88015562383396</v>
      </c>
      <c r="AJ205" s="123">
        <v>0</v>
      </c>
      <c r="AK205" s="123">
        <v>0</v>
      </c>
      <c r="AL205" s="123">
        <v>0</v>
      </c>
      <c r="AM205" s="123">
        <v>0</v>
      </c>
      <c r="AN205" s="123">
        <v>0</v>
      </c>
      <c r="AO205" s="123">
        <v>0</v>
      </c>
      <c r="AP205" s="123">
        <v>0</v>
      </c>
      <c r="AQ205" s="123">
        <v>0</v>
      </c>
      <c r="AR205" s="123">
        <v>0</v>
      </c>
      <c r="AS205" s="123">
        <v>0</v>
      </c>
      <c r="AT205" s="123">
        <v>0</v>
      </c>
      <c r="AU205" s="123">
        <v>0</v>
      </c>
      <c r="AV205" s="123">
        <v>0</v>
      </c>
      <c r="AW205" s="123">
        <v>0</v>
      </c>
      <c r="AX205" s="123">
        <v>0</v>
      </c>
      <c r="AY205" s="123">
        <v>0</v>
      </c>
    </row>
    <row r="206" spans="1:51" x14ac:dyDescent="0.2">
      <c r="A206" s="126"/>
      <c r="B206" s="146">
        <v>10</v>
      </c>
      <c r="C206" s="123">
        <v>0</v>
      </c>
      <c r="D206" s="123">
        <v>0</v>
      </c>
      <c r="E206" s="123">
        <v>0</v>
      </c>
      <c r="F206" s="123">
        <v>0</v>
      </c>
      <c r="G206" s="123">
        <v>0</v>
      </c>
      <c r="H206" s="123">
        <v>0</v>
      </c>
      <c r="I206" s="123">
        <v>0</v>
      </c>
      <c r="J206" s="123">
        <v>0</v>
      </c>
      <c r="K206" s="123">
        <v>0</v>
      </c>
      <c r="L206" s="123">
        <v>0</v>
      </c>
      <c r="M206" s="123">
        <v>0</v>
      </c>
      <c r="N206" s="123">
        <v>0</v>
      </c>
      <c r="O206" s="123">
        <v>0</v>
      </c>
      <c r="P206" s="123">
        <v>0</v>
      </c>
      <c r="Q206" s="123">
        <v>0</v>
      </c>
      <c r="R206" s="123">
        <v>0</v>
      </c>
      <c r="S206" s="123">
        <v>0</v>
      </c>
      <c r="T206" s="123">
        <v>0</v>
      </c>
      <c r="U206" s="123">
        <v>0</v>
      </c>
      <c r="V206" s="123">
        <v>0</v>
      </c>
      <c r="W206" s="123">
        <v>0</v>
      </c>
      <c r="X206" s="123">
        <v>0</v>
      </c>
      <c r="Y206" s="123">
        <v>0</v>
      </c>
      <c r="Z206" s="123">
        <v>0</v>
      </c>
      <c r="AA206" s="123">
        <v>0</v>
      </c>
      <c r="AB206" s="123">
        <v>0</v>
      </c>
      <c r="AC206" s="123">
        <v>0</v>
      </c>
      <c r="AD206" s="123">
        <v>0</v>
      </c>
      <c r="AE206" s="123">
        <v>0</v>
      </c>
      <c r="AF206" s="123">
        <v>0</v>
      </c>
      <c r="AG206" s="123">
        <v>0</v>
      </c>
      <c r="AH206" s="123">
        <v>0</v>
      </c>
      <c r="AI206" s="123">
        <v>182.17808301252967</v>
      </c>
      <c r="AJ206" s="123">
        <v>443.31788752362951</v>
      </c>
      <c r="AK206" s="123">
        <v>450.4586660118423</v>
      </c>
      <c r="AL206" s="123">
        <v>284.50234997969983</v>
      </c>
      <c r="AM206" s="123">
        <v>43.584816775128957</v>
      </c>
      <c r="AN206" s="123">
        <v>0</v>
      </c>
      <c r="AO206" s="123">
        <v>0</v>
      </c>
      <c r="AP206" s="123">
        <v>0</v>
      </c>
      <c r="AQ206" s="123">
        <v>0</v>
      </c>
      <c r="AR206" s="123">
        <v>0</v>
      </c>
      <c r="AS206" s="123">
        <v>0</v>
      </c>
      <c r="AT206" s="123">
        <v>0</v>
      </c>
      <c r="AU206" s="123">
        <v>0</v>
      </c>
      <c r="AV206" s="123">
        <v>0</v>
      </c>
      <c r="AW206" s="123">
        <v>0</v>
      </c>
      <c r="AX206" s="123">
        <v>0</v>
      </c>
      <c r="AY206" s="123">
        <v>0</v>
      </c>
    </row>
    <row r="207" spans="1:51" x14ac:dyDescent="0.2">
      <c r="A207" s="126"/>
      <c r="B207" s="146">
        <v>11</v>
      </c>
      <c r="C207" s="123">
        <v>0</v>
      </c>
      <c r="D207" s="123">
        <v>0</v>
      </c>
      <c r="E207" s="123">
        <v>0</v>
      </c>
      <c r="F207" s="123">
        <v>0</v>
      </c>
      <c r="G207" s="123">
        <v>0</v>
      </c>
      <c r="H207" s="123">
        <v>0</v>
      </c>
      <c r="I207" s="123">
        <v>0</v>
      </c>
      <c r="J207" s="123">
        <v>0</v>
      </c>
      <c r="K207" s="123">
        <v>0</v>
      </c>
      <c r="L207" s="123">
        <v>0</v>
      </c>
      <c r="M207" s="123">
        <v>0</v>
      </c>
      <c r="N207" s="123">
        <v>0</v>
      </c>
      <c r="O207" s="123">
        <v>0</v>
      </c>
      <c r="P207" s="123">
        <v>0</v>
      </c>
      <c r="Q207" s="123">
        <v>0</v>
      </c>
      <c r="R207" s="123">
        <v>0</v>
      </c>
      <c r="S207" s="123">
        <v>0</v>
      </c>
      <c r="T207" s="123">
        <v>0</v>
      </c>
      <c r="U207" s="123">
        <v>0</v>
      </c>
      <c r="V207" s="123">
        <v>0</v>
      </c>
      <c r="W207" s="123">
        <v>0</v>
      </c>
      <c r="X207" s="123">
        <v>0</v>
      </c>
      <c r="Y207" s="123">
        <v>0</v>
      </c>
      <c r="Z207" s="123">
        <v>0</v>
      </c>
      <c r="AA207" s="123">
        <v>0</v>
      </c>
      <c r="AB207" s="123">
        <v>0</v>
      </c>
      <c r="AC207" s="123">
        <v>0</v>
      </c>
      <c r="AD207" s="123">
        <v>0</v>
      </c>
      <c r="AE207" s="123">
        <v>0</v>
      </c>
      <c r="AF207" s="123">
        <v>0</v>
      </c>
      <c r="AG207" s="123">
        <v>0</v>
      </c>
      <c r="AH207" s="123">
        <v>0</v>
      </c>
      <c r="AI207" s="123">
        <v>0</v>
      </c>
      <c r="AJ207" s="123">
        <v>0</v>
      </c>
      <c r="AK207" s="123">
        <v>46.435637785626056</v>
      </c>
      <c r="AL207" s="123">
        <v>238.7316834841663</v>
      </c>
      <c r="AM207" s="123">
        <v>434.77362128591233</v>
      </c>
      <c r="AN207" s="123">
        <v>463.22885757375815</v>
      </c>
      <c r="AO207" s="123">
        <v>199.60569651877307</v>
      </c>
      <c r="AP207" s="123">
        <v>0</v>
      </c>
      <c r="AQ207" s="123">
        <v>0</v>
      </c>
      <c r="AR207" s="123">
        <v>0</v>
      </c>
      <c r="AS207" s="123">
        <v>0</v>
      </c>
      <c r="AT207" s="123">
        <v>0</v>
      </c>
      <c r="AU207" s="123">
        <v>0</v>
      </c>
      <c r="AV207" s="123">
        <v>0</v>
      </c>
      <c r="AW207" s="123">
        <v>0</v>
      </c>
      <c r="AX207" s="123">
        <v>0</v>
      </c>
      <c r="AY207" s="123">
        <v>0</v>
      </c>
    </row>
    <row r="208" spans="1:51" x14ac:dyDescent="0.2">
      <c r="A208" s="126"/>
      <c r="B208" s="146">
        <v>12</v>
      </c>
      <c r="C208" s="123">
        <v>0</v>
      </c>
      <c r="D208" s="123">
        <v>0</v>
      </c>
      <c r="E208" s="123">
        <v>0</v>
      </c>
      <c r="F208" s="123">
        <v>0</v>
      </c>
      <c r="G208" s="123">
        <v>0</v>
      </c>
      <c r="H208" s="123">
        <v>0</v>
      </c>
      <c r="I208" s="123">
        <v>0</v>
      </c>
      <c r="J208" s="123">
        <v>0</v>
      </c>
      <c r="K208" s="123">
        <v>0</v>
      </c>
      <c r="L208" s="123">
        <v>0</v>
      </c>
      <c r="M208" s="123">
        <v>0</v>
      </c>
      <c r="N208" s="123">
        <v>0</v>
      </c>
      <c r="O208" s="123">
        <v>0</v>
      </c>
      <c r="P208" s="123">
        <v>0</v>
      </c>
      <c r="Q208" s="123">
        <v>0</v>
      </c>
      <c r="R208" s="123">
        <v>0</v>
      </c>
      <c r="S208" s="123">
        <v>0</v>
      </c>
      <c r="T208" s="123">
        <v>0</v>
      </c>
      <c r="U208" s="123">
        <v>0</v>
      </c>
      <c r="V208" s="123">
        <v>0</v>
      </c>
      <c r="W208" s="123">
        <v>0</v>
      </c>
      <c r="X208" s="123">
        <v>0</v>
      </c>
      <c r="Y208" s="123">
        <v>0</v>
      </c>
      <c r="Z208" s="123">
        <v>0</v>
      </c>
      <c r="AA208" s="123">
        <v>0</v>
      </c>
      <c r="AB208" s="123">
        <v>0</v>
      </c>
      <c r="AC208" s="123">
        <v>0</v>
      </c>
      <c r="AD208" s="123">
        <v>0</v>
      </c>
      <c r="AE208" s="123">
        <v>0</v>
      </c>
      <c r="AF208" s="123">
        <v>0</v>
      </c>
      <c r="AG208" s="123">
        <v>0</v>
      </c>
      <c r="AH208" s="123">
        <v>0</v>
      </c>
      <c r="AI208" s="123">
        <v>0</v>
      </c>
      <c r="AJ208" s="123">
        <v>0</v>
      </c>
      <c r="AK208" s="123">
        <v>0</v>
      </c>
      <c r="AL208" s="123">
        <v>0</v>
      </c>
      <c r="AM208" s="123">
        <v>0</v>
      </c>
      <c r="AN208" s="123">
        <v>0</v>
      </c>
      <c r="AO208" s="123">
        <v>228.39430348122693</v>
      </c>
      <c r="AP208" s="123">
        <v>402.12993339252358</v>
      </c>
      <c r="AQ208" s="123">
        <v>554.20696202531644</v>
      </c>
      <c r="AR208" s="123">
        <v>463.28917910447763</v>
      </c>
      <c r="AS208" s="123">
        <v>532.64069063723741</v>
      </c>
      <c r="AT208" s="123">
        <v>525.79256505576211</v>
      </c>
      <c r="AU208" s="123">
        <v>544.38225806451612</v>
      </c>
      <c r="AV208" s="123">
        <v>494.18015913900643</v>
      </c>
      <c r="AW208" s="123">
        <v>489.87189141856391</v>
      </c>
      <c r="AX208" s="123">
        <v>514.0636738056013</v>
      </c>
      <c r="AY208" s="123">
        <v>475.19408284023672</v>
      </c>
    </row>
    <row r="209" spans="1:51" x14ac:dyDescent="0.2">
      <c r="A209" s="142" t="s">
        <v>123</v>
      </c>
      <c r="B209" s="139">
        <v>1</v>
      </c>
      <c r="C209" s="140">
        <v>463.36382284084254</v>
      </c>
      <c r="D209" s="140">
        <v>433.02025963674282</v>
      </c>
      <c r="E209" s="140">
        <v>470.30223214534948</v>
      </c>
      <c r="F209" s="140">
        <v>229.65515470566973</v>
      </c>
      <c r="G209" s="140">
        <v>91.073812763481669</v>
      </c>
      <c r="H209" s="140">
        <v>46.408618101054685</v>
      </c>
      <c r="I209" s="140">
        <v>59.66129979348932</v>
      </c>
      <c r="J209" s="140">
        <v>0</v>
      </c>
      <c r="K209" s="140">
        <v>0</v>
      </c>
      <c r="L209" s="140">
        <v>0</v>
      </c>
      <c r="M209" s="140">
        <v>0</v>
      </c>
      <c r="N209" s="140">
        <v>0</v>
      </c>
      <c r="O209" s="140">
        <v>0</v>
      </c>
      <c r="P209" s="140">
        <v>0</v>
      </c>
      <c r="Q209" s="140">
        <v>0</v>
      </c>
      <c r="R209" s="140">
        <v>0</v>
      </c>
      <c r="S209" s="140">
        <v>0</v>
      </c>
      <c r="T209" s="140">
        <v>0</v>
      </c>
      <c r="U209" s="140">
        <v>0</v>
      </c>
      <c r="V209" s="140">
        <v>0</v>
      </c>
      <c r="W209" s="140">
        <v>0</v>
      </c>
      <c r="X209" s="140">
        <v>0</v>
      </c>
      <c r="Y209" s="140">
        <v>0</v>
      </c>
      <c r="Z209" s="140">
        <v>0</v>
      </c>
      <c r="AA209" s="140">
        <v>0</v>
      </c>
      <c r="AB209" s="140">
        <v>0</v>
      </c>
      <c r="AC209" s="140">
        <v>0</v>
      </c>
      <c r="AD209" s="140">
        <v>0</v>
      </c>
      <c r="AE209" s="140">
        <v>0</v>
      </c>
      <c r="AF209" s="140">
        <v>0</v>
      </c>
      <c r="AG209" s="140">
        <v>0</v>
      </c>
      <c r="AH209" s="140">
        <v>0</v>
      </c>
      <c r="AI209" s="140">
        <v>0</v>
      </c>
      <c r="AJ209" s="140">
        <v>0</v>
      </c>
      <c r="AK209" s="140">
        <v>0</v>
      </c>
      <c r="AL209" s="140">
        <v>1.4702234713662392</v>
      </c>
      <c r="AM209" s="140">
        <v>154.07733894838827</v>
      </c>
      <c r="AN209" s="140">
        <v>81.865473639825154</v>
      </c>
      <c r="AO209" s="140">
        <v>0</v>
      </c>
      <c r="AP209" s="140">
        <v>0</v>
      </c>
      <c r="AQ209" s="140">
        <v>151.16759820393094</v>
      </c>
      <c r="AR209" s="140">
        <v>0</v>
      </c>
      <c r="AS209" s="140">
        <v>102.07096888246258</v>
      </c>
      <c r="AT209" s="140">
        <v>0</v>
      </c>
      <c r="AU209" s="140">
        <v>51.24279113750714</v>
      </c>
      <c r="AV209" s="140">
        <v>0</v>
      </c>
      <c r="AW209" s="140">
        <v>0</v>
      </c>
      <c r="AX209" s="140">
        <v>0</v>
      </c>
      <c r="AY209" s="140">
        <v>184.63793775887279</v>
      </c>
    </row>
    <row r="210" spans="1:51" x14ac:dyDescent="0.2">
      <c r="A210" s="126"/>
      <c r="B210" s="135">
        <v>2</v>
      </c>
      <c r="C210" s="123">
        <v>0</v>
      </c>
      <c r="D210" s="127">
        <v>0</v>
      </c>
      <c r="E210" s="127">
        <v>0</v>
      </c>
      <c r="F210" s="127">
        <v>253.23448454757025</v>
      </c>
      <c r="G210" s="127">
        <v>430.53693373783358</v>
      </c>
      <c r="H210" s="127">
        <v>558.84098653280648</v>
      </c>
      <c r="I210" s="127">
        <v>558.33870020651068</v>
      </c>
      <c r="J210" s="127">
        <v>595.64241498887225</v>
      </c>
      <c r="K210" s="127">
        <v>581.41272363091809</v>
      </c>
      <c r="L210" s="127">
        <v>476.80190737917263</v>
      </c>
      <c r="M210" s="127">
        <v>461.56013607676618</v>
      </c>
      <c r="N210" s="127">
        <v>444.31326294629957</v>
      </c>
      <c r="O210" s="127">
        <v>378.62453268536547</v>
      </c>
      <c r="P210" s="127">
        <v>346.48816867683968</v>
      </c>
      <c r="Q210" s="127">
        <v>387.77807690324477</v>
      </c>
      <c r="R210" s="127">
        <v>344.18036839443698</v>
      </c>
      <c r="S210" s="127">
        <v>207.72052765853303</v>
      </c>
      <c r="T210" s="127">
        <v>279.89451199827801</v>
      </c>
      <c r="U210" s="127">
        <v>249.05019215860713</v>
      </c>
      <c r="V210" s="127">
        <v>255.10172570382088</v>
      </c>
      <c r="W210" s="127">
        <v>225.9572511624302</v>
      </c>
      <c r="X210" s="127">
        <v>198.69474695317936</v>
      </c>
      <c r="Y210" s="127">
        <v>213.87812339877181</v>
      </c>
      <c r="Z210" s="127">
        <v>14.459964330220714</v>
      </c>
      <c r="AA210" s="127">
        <v>37.716805384588781</v>
      </c>
      <c r="AB210" s="127">
        <v>143.35740746045946</v>
      </c>
      <c r="AC210" s="127">
        <v>106.20529224257444</v>
      </c>
      <c r="AD210" s="127">
        <v>257.03216688231652</v>
      </c>
      <c r="AE210" s="127">
        <v>275.31619376784153</v>
      </c>
      <c r="AF210" s="127">
        <v>367.96920944558008</v>
      </c>
      <c r="AG210" s="127">
        <v>250.94826228720075</v>
      </c>
      <c r="AH210" s="127">
        <v>320.72737484693585</v>
      </c>
      <c r="AI210" s="127">
        <v>310.53483442897493</v>
      </c>
      <c r="AJ210" s="127">
        <v>440.25598020611022</v>
      </c>
      <c r="AK210" s="127">
        <v>499.73382252160718</v>
      </c>
      <c r="AL210" s="127">
        <v>590.70549677785516</v>
      </c>
      <c r="AM210" s="127">
        <v>424.28109911265301</v>
      </c>
      <c r="AN210" s="127">
        <v>478.36338393393294</v>
      </c>
      <c r="AO210" s="127">
        <v>401.84262105909653</v>
      </c>
      <c r="AP210" s="127">
        <v>489.61944232331132</v>
      </c>
      <c r="AQ210" s="127">
        <v>425.30647814696312</v>
      </c>
      <c r="AR210" s="127">
        <v>311.13441857664452</v>
      </c>
      <c r="AS210" s="127">
        <v>423.11763481968978</v>
      </c>
      <c r="AT210" s="127">
        <v>557.65412675419714</v>
      </c>
      <c r="AU210" s="127">
        <v>425.30647814696312</v>
      </c>
      <c r="AV210" s="127">
        <v>588.18015913900649</v>
      </c>
      <c r="AW210" s="127">
        <v>537.56682500024829</v>
      </c>
      <c r="AX210" s="127">
        <v>502.39125926699404</v>
      </c>
      <c r="AY210" s="127">
        <v>374.96308161967715</v>
      </c>
    </row>
    <row r="211" spans="1:51" x14ac:dyDescent="0.2">
      <c r="A211" s="126"/>
      <c r="B211" s="135">
        <v>3</v>
      </c>
      <c r="C211" s="123">
        <v>0</v>
      </c>
      <c r="D211" s="127">
        <v>0</v>
      </c>
      <c r="E211" s="127">
        <v>0</v>
      </c>
      <c r="F211" s="127">
        <v>0</v>
      </c>
      <c r="G211" s="127">
        <v>0</v>
      </c>
      <c r="H211" s="127">
        <v>0</v>
      </c>
      <c r="I211" s="127">
        <v>0</v>
      </c>
      <c r="J211" s="127">
        <v>0</v>
      </c>
      <c r="K211" s="127">
        <v>4.8452660598035582</v>
      </c>
      <c r="L211" s="127">
        <v>6.4810655938003361</v>
      </c>
      <c r="M211" s="127">
        <v>79.439863923233844</v>
      </c>
      <c r="N211" s="127">
        <v>90.069943665270699</v>
      </c>
      <c r="O211" s="127">
        <v>167.37546731463456</v>
      </c>
      <c r="P211" s="127">
        <v>147.91178238681997</v>
      </c>
      <c r="Q211" s="127">
        <v>207.39771927509918</v>
      </c>
      <c r="R211" s="127">
        <v>142.19009604678217</v>
      </c>
      <c r="S211" s="127">
        <v>209.00725011924473</v>
      </c>
      <c r="T211" s="127">
        <v>267.10548800172199</v>
      </c>
      <c r="U211" s="127">
        <v>232.00149770222785</v>
      </c>
      <c r="V211" s="127">
        <v>238.94318648626177</v>
      </c>
      <c r="W211" s="127">
        <v>249.2927488375698</v>
      </c>
      <c r="X211" s="127">
        <v>254.38663654845962</v>
      </c>
      <c r="Y211" s="127">
        <v>180.12187660122819</v>
      </c>
      <c r="Z211" s="127">
        <v>429.68771039599534</v>
      </c>
      <c r="AA211" s="127">
        <v>388.07883984693973</v>
      </c>
      <c r="AB211" s="127">
        <v>385.6713087557568</v>
      </c>
      <c r="AC211" s="127">
        <v>433.79470775742556</v>
      </c>
      <c r="AD211" s="127">
        <v>337.90533311768348</v>
      </c>
      <c r="AE211" s="127">
        <v>270.02229048412693</v>
      </c>
      <c r="AF211" s="127">
        <v>219.96219299344435</v>
      </c>
      <c r="AG211" s="127">
        <v>259.11684847229293</v>
      </c>
      <c r="AH211" s="127">
        <v>237.61941404389856</v>
      </c>
      <c r="AI211" s="127">
        <v>203.52340420738872</v>
      </c>
      <c r="AJ211" s="127">
        <v>196.06190731751923</v>
      </c>
      <c r="AK211" s="127">
        <v>120.16048127586114</v>
      </c>
      <c r="AL211" s="127">
        <v>65.05831321464477</v>
      </c>
      <c r="AM211" s="127">
        <v>0</v>
      </c>
      <c r="AN211" s="127">
        <v>0</v>
      </c>
      <c r="AO211" s="127">
        <v>244.15737894090347</v>
      </c>
      <c r="AP211" s="127">
        <v>93.510491069212307</v>
      </c>
      <c r="AQ211" s="127">
        <v>85.732885674422434</v>
      </c>
      <c r="AR211" s="127">
        <v>237.15476052783313</v>
      </c>
      <c r="AS211" s="127">
        <v>121.45208693508501</v>
      </c>
      <c r="AT211" s="127">
        <v>3.1384383015649471</v>
      </c>
      <c r="AU211" s="127">
        <v>110.83298878004587</v>
      </c>
      <c r="AV211" s="127">
        <v>0</v>
      </c>
      <c r="AW211" s="127">
        <v>41.30506641831564</v>
      </c>
      <c r="AX211" s="127">
        <v>38.672414538607256</v>
      </c>
      <c r="AY211" s="127">
        <v>61.593063461686732</v>
      </c>
    </row>
    <row r="212" spans="1:51" x14ac:dyDescent="0.2">
      <c r="A212" s="126"/>
      <c r="B212" s="135">
        <v>4</v>
      </c>
      <c r="C212" s="123">
        <v>0</v>
      </c>
      <c r="D212" s="127">
        <v>0</v>
      </c>
      <c r="E212" s="127">
        <v>0</v>
      </c>
      <c r="F212" s="127">
        <v>0</v>
      </c>
      <c r="G212" s="127">
        <v>0</v>
      </c>
      <c r="H212" s="127">
        <v>0</v>
      </c>
      <c r="I212" s="127">
        <v>0</v>
      </c>
      <c r="J212" s="127">
        <v>0</v>
      </c>
      <c r="K212" s="127">
        <v>0</v>
      </c>
      <c r="L212" s="127">
        <v>0</v>
      </c>
      <c r="M212" s="127">
        <v>0</v>
      </c>
      <c r="N212" s="127">
        <v>0</v>
      </c>
      <c r="O212" s="127">
        <v>0</v>
      </c>
      <c r="P212" s="127">
        <v>0</v>
      </c>
      <c r="Q212" s="127">
        <v>0</v>
      </c>
      <c r="R212" s="127">
        <v>0</v>
      </c>
      <c r="S212" s="127">
        <v>0</v>
      </c>
      <c r="T212" s="127">
        <v>0</v>
      </c>
      <c r="U212" s="127">
        <v>0</v>
      </c>
      <c r="V212" s="127">
        <v>0</v>
      </c>
      <c r="W212" s="127">
        <v>0</v>
      </c>
      <c r="X212" s="127">
        <v>0</v>
      </c>
      <c r="Y212" s="127">
        <v>0</v>
      </c>
      <c r="Z212" s="127">
        <v>0</v>
      </c>
      <c r="AA212" s="127">
        <v>0</v>
      </c>
      <c r="AB212" s="127">
        <v>0</v>
      </c>
      <c r="AC212" s="127">
        <v>0</v>
      </c>
      <c r="AD212" s="127">
        <v>0</v>
      </c>
      <c r="AE212" s="127">
        <v>0</v>
      </c>
      <c r="AF212" s="127">
        <v>0</v>
      </c>
      <c r="AG212" s="127">
        <v>0</v>
      </c>
      <c r="AH212" s="127">
        <v>0</v>
      </c>
      <c r="AI212" s="127">
        <v>0</v>
      </c>
      <c r="AJ212" s="127">
        <v>0</v>
      </c>
      <c r="AK212" s="127">
        <v>0</v>
      </c>
      <c r="AL212" s="127">
        <v>0</v>
      </c>
      <c r="AM212" s="127">
        <v>0</v>
      </c>
      <c r="AN212" s="127">
        <v>0</v>
      </c>
      <c r="AO212" s="127">
        <v>0</v>
      </c>
      <c r="AP212" s="127">
        <v>0</v>
      </c>
      <c r="AQ212" s="127">
        <v>0</v>
      </c>
      <c r="AR212" s="127">
        <v>0</v>
      </c>
      <c r="AS212" s="127">
        <v>0</v>
      </c>
      <c r="AT212" s="127">
        <v>0</v>
      </c>
      <c r="AU212" s="127">
        <v>0</v>
      </c>
      <c r="AV212" s="127">
        <v>0</v>
      </c>
      <c r="AW212" s="127">
        <v>0</v>
      </c>
      <c r="AX212" s="127">
        <v>0</v>
      </c>
      <c r="AY212" s="127">
        <v>0</v>
      </c>
    </row>
    <row r="213" spans="1:51" x14ac:dyDescent="0.2">
      <c r="A213" s="126"/>
      <c r="B213" s="135">
        <v>5</v>
      </c>
      <c r="C213" s="123">
        <v>0</v>
      </c>
      <c r="D213" s="127">
        <v>0</v>
      </c>
      <c r="E213" s="127">
        <v>0</v>
      </c>
      <c r="F213" s="127">
        <v>0</v>
      </c>
      <c r="G213" s="127">
        <v>0</v>
      </c>
      <c r="H213" s="127">
        <v>0</v>
      </c>
      <c r="I213" s="127">
        <v>0</v>
      </c>
      <c r="J213" s="127">
        <v>0</v>
      </c>
      <c r="K213" s="127">
        <v>0</v>
      </c>
      <c r="L213" s="127">
        <v>0</v>
      </c>
      <c r="M213" s="127">
        <v>0</v>
      </c>
      <c r="N213" s="127">
        <v>0</v>
      </c>
      <c r="O213" s="127">
        <v>0</v>
      </c>
      <c r="P213" s="127">
        <v>0</v>
      </c>
      <c r="Q213" s="127">
        <v>0</v>
      </c>
      <c r="R213" s="127">
        <v>0</v>
      </c>
      <c r="S213" s="127">
        <v>0</v>
      </c>
      <c r="T213" s="127">
        <v>0</v>
      </c>
      <c r="U213" s="127">
        <v>0</v>
      </c>
      <c r="V213" s="127">
        <v>0</v>
      </c>
      <c r="W213" s="127">
        <v>0</v>
      </c>
      <c r="X213" s="127">
        <v>0</v>
      </c>
      <c r="Y213" s="127">
        <v>0</v>
      </c>
      <c r="Z213" s="127">
        <v>0</v>
      </c>
      <c r="AA213" s="127">
        <v>0</v>
      </c>
      <c r="AB213" s="127">
        <v>0</v>
      </c>
      <c r="AC213" s="127">
        <v>0</v>
      </c>
      <c r="AD213" s="127">
        <v>0</v>
      </c>
      <c r="AE213" s="127">
        <v>0</v>
      </c>
      <c r="AF213" s="127">
        <v>0</v>
      </c>
      <c r="AG213" s="127">
        <v>0</v>
      </c>
      <c r="AH213" s="127">
        <v>0</v>
      </c>
      <c r="AI213" s="127">
        <v>0</v>
      </c>
      <c r="AJ213" s="127">
        <v>0</v>
      </c>
      <c r="AK213" s="127">
        <v>0</v>
      </c>
      <c r="AL213" s="127">
        <v>0</v>
      </c>
      <c r="AM213" s="127">
        <v>0</v>
      </c>
      <c r="AN213" s="127">
        <v>0</v>
      </c>
      <c r="AO213" s="127">
        <v>0</v>
      </c>
      <c r="AP213" s="127">
        <v>0</v>
      </c>
      <c r="AQ213" s="127">
        <v>0</v>
      </c>
      <c r="AR213" s="127">
        <v>0</v>
      </c>
      <c r="AS213" s="127">
        <v>0</v>
      </c>
      <c r="AT213" s="127">
        <v>0</v>
      </c>
      <c r="AU213" s="127">
        <v>0</v>
      </c>
      <c r="AV213" s="127">
        <v>0</v>
      </c>
      <c r="AW213" s="127">
        <v>0</v>
      </c>
      <c r="AX213" s="127">
        <v>0</v>
      </c>
      <c r="AY213" s="127">
        <v>0</v>
      </c>
    </row>
    <row r="214" spans="1:51" x14ac:dyDescent="0.2">
      <c r="A214" s="126"/>
      <c r="B214" s="135">
        <v>6</v>
      </c>
      <c r="C214" s="123">
        <v>0</v>
      </c>
      <c r="D214" s="127">
        <v>0</v>
      </c>
      <c r="E214" s="127">
        <v>0</v>
      </c>
      <c r="F214" s="127">
        <v>0</v>
      </c>
      <c r="G214" s="127">
        <v>0</v>
      </c>
      <c r="H214" s="127">
        <v>0</v>
      </c>
      <c r="I214" s="127">
        <v>0</v>
      </c>
      <c r="J214" s="127">
        <v>0</v>
      </c>
      <c r="K214" s="127">
        <v>0</v>
      </c>
      <c r="L214" s="127">
        <v>0</v>
      </c>
      <c r="M214" s="127">
        <v>0</v>
      </c>
      <c r="N214" s="127">
        <v>0</v>
      </c>
      <c r="O214" s="127">
        <v>0</v>
      </c>
      <c r="P214" s="127">
        <v>0</v>
      </c>
      <c r="Q214" s="127">
        <v>0</v>
      </c>
      <c r="R214" s="127">
        <v>0</v>
      </c>
      <c r="S214" s="127">
        <v>0</v>
      </c>
      <c r="T214" s="127">
        <v>0</v>
      </c>
      <c r="U214" s="127">
        <v>0</v>
      </c>
      <c r="V214" s="127">
        <v>0</v>
      </c>
      <c r="W214" s="127">
        <v>0</v>
      </c>
      <c r="X214" s="127">
        <v>0</v>
      </c>
      <c r="Y214" s="127">
        <v>0</v>
      </c>
      <c r="Z214" s="127">
        <v>0</v>
      </c>
      <c r="AA214" s="127">
        <v>0</v>
      </c>
      <c r="AB214" s="127">
        <v>0</v>
      </c>
      <c r="AC214" s="127">
        <v>0</v>
      </c>
      <c r="AD214" s="127">
        <v>0</v>
      </c>
      <c r="AE214" s="127">
        <v>0</v>
      </c>
      <c r="AF214" s="127">
        <v>0</v>
      </c>
      <c r="AG214" s="127">
        <v>0</v>
      </c>
      <c r="AH214" s="127">
        <v>0</v>
      </c>
      <c r="AI214" s="127">
        <v>0</v>
      </c>
      <c r="AJ214" s="127">
        <v>0</v>
      </c>
      <c r="AK214" s="127">
        <v>0</v>
      </c>
      <c r="AL214" s="127">
        <v>0</v>
      </c>
      <c r="AM214" s="127">
        <v>0</v>
      </c>
      <c r="AN214" s="127">
        <v>0</v>
      </c>
      <c r="AO214" s="127">
        <v>0</v>
      </c>
      <c r="AP214" s="127">
        <v>0</v>
      </c>
      <c r="AQ214" s="127">
        <v>0</v>
      </c>
      <c r="AR214" s="127">
        <v>0</v>
      </c>
      <c r="AS214" s="127">
        <v>0</v>
      </c>
      <c r="AT214" s="127">
        <v>0</v>
      </c>
      <c r="AU214" s="127">
        <v>0</v>
      </c>
      <c r="AV214" s="127">
        <v>0</v>
      </c>
      <c r="AW214" s="127">
        <v>0</v>
      </c>
      <c r="AX214" s="127">
        <v>0</v>
      </c>
      <c r="AY214" s="127">
        <v>0</v>
      </c>
    </row>
    <row r="215" spans="1:51" x14ac:dyDescent="0.2">
      <c r="A215" s="126"/>
      <c r="B215" s="135">
        <v>7</v>
      </c>
      <c r="C215" s="123">
        <v>0</v>
      </c>
      <c r="D215" s="127">
        <v>0</v>
      </c>
      <c r="E215" s="127">
        <v>0</v>
      </c>
      <c r="F215" s="127">
        <v>0</v>
      </c>
      <c r="G215" s="127">
        <v>0</v>
      </c>
      <c r="H215" s="127">
        <v>0</v>
      </c>
      <c r="I215" s="127">
        <v>0</v>
      </c>
      <c r="J215" s="127">
        <v>0</v>
      </c>
      <c r="K215" s="127">
        <v>0</v>
      </c>
      <c r="L215" s="127">
        <v>0</v>
      </c>
      <c r="M215" s="127">
        <v>0</v>
      </c>
      <c r="N215" s="127">
        <v>0</v>
      </c>
      <c r="O215" s="127">
        <v>0</v>
      </c>
      <c r="P215" s="127">
        <v>0</v>
      </c>
      <c r="Q215" s="127">
        <v>0</v>
      </c>
      <c r="R215" s="127">
        <v>0</v>
      </c>
      <c r="S215" s="127">
        <v>0</v>
      </c>
      <c r="T215" s="127">
        <v>0</v>
      </c>
      <c r="U215" s="127">
        <v>0</v>
      </c>
      <c r="V215" s="127">
        <v>0</v>
      </c>
      <c r="W215" s="127">
        <v>0</v>
      </c>
      <c r="X215" s="127">
        <v>0</v>
      </c>
      <c r="Y215" s="127">
        <v>0</v>
      </c>
      <c r="Z215" s="127">
        <v>0</v>
      </c>
      <c r="AA215" s="127">
        <v>0</v>
      </c>
      <c r="AB215" s="127">
        <v>0</v>
      </c>
      <c r="AC215" s="127">
        <v>0</v>
      </c>
      <c r="AD215" s="127">
        <v>0</v>
      </c>
      <c r="AE215" s="127">
        <v>0</v>
      </c>
      <c r="AF215" s="127">
        <v>0</v>
      </c>
      <c r="AG215" s="127">
        <v>0</v>
      </c>
      <c r="AH215" s="127">
        <v>0</v>
      </c>
      <c r="AI215" s="127">
        <v>0</v>
      </c>
      <c r="AJ215" s="127">
        <v>0</v>
      </c>
      <c r="AK215" s="127">
        <v>0</v>
      </c>
      <c r="AL215" s="127">
        <v>0</v>
      </c>
      <c r="AM215" s="127">
        <v>0</v>
      </c>
      <c r="AN215" s="127">
        <v>0</v>
      </c>
      <c r="AO215" s="127">
        <v>0</v>
      </c>
      <c r="AP215" s="127">
        <v>0</v>
      </c>
      <c r="AQ215" s="127">
        <v>0</v>
      </c>
      <c r="AR215" s="127">
        <v>0</v>
      </c>
      <c r="AS215" s="127">
        <v>0</v>
      </c>
      <c r="AT215" s="127">
        <v>0</v>
      </c>
      <c r="AU215" s="127">
        <v>0</v>
      </c>
      <c r="AV215" s="127">
        <v>0</v>
      </c>
      <c r="AW215" s="127">
        <v>0</v>
      </c>
      <c r="AX215" s="127">
        <v>0</v>
      </c>
      <c r="AY215" s="127">
        <v>0</v>
      </c>
    </row>
    <row r="216" spans="1:51" x14ac:dyDescent="0.2">
      <c r="A216" s="126"/>
      <c r="B216" s="135">
        <v>8</v>
      </c>
      <c r="C216" s="123">
        <v>0</v>
      </c>
      <c r="D216" s="127">
        <v>0</v>
      </c>
      <c r="E216" s="127">
        <v>0</v>
      </c>
      <c r="F216" s="127">
        <v>0</v>
      </c>
      <c r="G216" s="127">
        <v>0</v>
      </c>
      <c r="H216" s="127">
        <v>0</v>
      </c>
      <c r="I216" s="127">
        <v>0</v>
      </c>
      <c r="J216" s="127">
        <v>0</v>
      </c>
      <c r="K216" s="127">
        <v>0</v>
      </c>
      <c r="L216" s="127">
        <v>0</v>
      </c>
      <c r="M216" s="127">
        <v>0</v>
      </c>
      <c r="N216" s="127">
        <v>0</v>
      </c>
      <c r="O216" s="127">
        <v>0</v>
      </c>
      <c r="P216" s="127">
        <v>0</v>
      </c>
      <c r="Q216" s="127">
        <v>0</v>
      </c>
      <c r="R216" s="127">
        <v>0</v>
      </c>
      <c r="S216" s="127">
        <v>0</v>
      </c>
      <c r="T216" s="127">
        <v>0</v>
      </c>
      <c r="U216" s="127">
        <v>0</v>
      </c>
      <c r="V216" s="127">
        <v>0</v>
      </c>
      <c r="W216" s="127">
        <v>0</v>
      </c>
      <c r="X216" s="127">
        <v>0</v>
      </c>
      <c r="Y216" s="127">
        <v>0</v>
      </c>
      <c r="Z216" s="127">
        <v>0</v>
      </c>
      <c r="AA216" s="127">
        <v>0</v>
      </c>
      <c r="AB216" s="127">
        <v>0</v>
      </c>
      <c r="AC216" s="127">
        <v>0</v>
      </c>
      <c r="AD216" s="127">
        <v>0</v>
      </c>
      <c r="AE216" s="127">
        <v>0</v>
      </c>
      <c r="AF216" s="127">
        <v>0</v>
      </c>
      <c r="AG216" s="127">
        <v>0</v>
      </c>
      <c r="AH216" s="127">
        <v>0</v>
      </c>
      <c r="AI216" s="127">
        <v>0</v>
      </c>
      <c r="AJ216" s="127">
        <v>0</v>
      </c>
      <c r="AK216" s="127">
        <v>0</v>
      </c>
      <c r="AL216" s="127">
        <v>0</v>
      </c>
      <c r="AM216" s="127">
        <v>0</v>
      </c>
      <c r="AN216" s="127">
        <v>0</v>
      </c>
      <c r="AO216" s="127">
        <v>0</v>
      </c>
      <c r="AP216" s="127">
        <v>0</v>
      </c>
      <c r="AQ216" s="127">
        <v>0</v>
      </c>
      <c r="AR216" s="127">
        <v>0</v>
      </c>
      <c r="AS216" s="127">
        <v>0</v>
      </c>
      <c r="AT216" s="127">
        <v>0</v>
      </c>
      <c r="AU216" s="127">
        <v>0</v>
      </c>
      <c r="AV216" s="127">
        <v>0</v>
      </c>
      <c r="AW216" s="127">
        <v>0</v>
      </c>
      <c r="AX216" s="127">
        <v>0</v>
      </c>
      <c r="AY216" s="127">
        <v>0</v>
      </c>
    </row>
    <row r="217" spans="1:51" x14ac:dyDescent="0.2">
      <c r="A217" s="126"/>
      <c r="B217" s="135">
        <v>9</v>
      </c>
      <c r="C217" s="123">
        <v>0</v>
      </c>
      <c r="D217" s="127">
        <v>0</v>
      </c>
      <c r="E217" s="127">
        <v>0</v>
      </c>
      <c r="F217" s="127">
        <v>0</v>
      </c>
      <c r="G217" s="127">
        <v>0</v>
      </c>
      <c r="H217" s="127">
        <v>0</v>
      </c>
      <c r="I217" s="127">
        <v>0</v>
      </c>
      <c r="J217" s="127">
        <v>0</v>
      </c>
      <c r="K217" s="127">
        <v>0</v>
      </c>
      <c r="L217" s="127">
        <v>0</v>
      </c>
      <c r="M217" s="127">
        <v>0</v>
      </c>
      <c r="N217" s="127">
        <v>0</v>
      </c>
      <c r="O217" s="127">
        <v>0</v>
      </c>
      <c r="P217" s="127">
        <v>0</v>
      </c>
      <c r="Q217" s="127">
        <v>0</v>
      </c>
      <c r="R217" s="127">
        <v>0</v>
      </c>
      <c r="S217" s="127">
        <v>0</v>
      </c>
      <c r="T217" s="127">
        <v>0</v>
      </c>
      <c r="U217" s="127">
        <v>0</v>
      </c>
      <c r="V217" s="127">
        <v>0</v>
      </c>
      <c r="W217" s="127">
        <v>0</v>
      </c>
      <c r="X217" s="127">
        <v>0</v>
      </c>
      <c r="Y217" s="127">
        <v>0</v>
      </c>
      <c r="Z217" s="127">
        <v>0</v>
      </c>
      <c r="AA217" s="127">
        <v>0</v>
      </c>
      <c r="AB217" s="127">
        <v>0</v>
      </c>
      <c r="AC217" s="127">
        <v>0</v>
      </c>
      <c r="AD217" s="127">
        <v>0</v>
      </c>
      <c r="AE217" s="127">
        <v>0</v>
      </c>
      <c r="AF217" s="127">
        <v>0</v>
      </c>
      <c r="AG217" s="127">
        <v>0</v>
      </c>
      <c r="AH217" s="127">
        <v>0</v>
      </c>
      <c r="AI217" s="127">
        <v>0</v>
      </c>
      <c r="AJ217" s="127">
        <v>0</v>
      </c>
      <c r="AK217" s="127">
        <v>0</v>
      </c>
      <c r="AL217" s="127">
        <v>0</v>
      </c>
      <c r="AM217" s="127">
        <v>0</v>
      </c>
      <c r="AN217" s="127">
        <v>0</v>
      </c>
      <c r="AO217" s="127">
        <v>0</v>
      </c>
      <c r="AP217" s="127">
        <v>0</v>
      </c>
      <c r="AQ217" s="127">
        <v>0</v>
      </c>
      <c r="AR217" s="127">
        <v>0</v>
      </c>
      <c r="AS217" s="127">
        <v>0</v>
      </c>
      <c r="AT217" s="127">
        <v>0</v>
      </c>
      <c r="AU217" s="127">
        <v>0</v>
      </c>
      <c r="AV217" s="127">
        <v>0</v>
      </c>
      <c r="AW217" s="127">
        <v>0</v>
      </c>
      <c r="AX217" s="127">
        <v>0</v>
      </c>
      <c r="AY217" s="127">
        <v>0</v>
      </c>
    </row>
    <row r="218" spans="1:51" x14ac:dyDescent="0.2">
      <c r="A218" s="126"/>
      <c r="B218" s="135">
        <v>10</v>
      </c>
      <c r="C218" s="123">
        <v>0</v>
      </c>
      <c r="D218" s="127">
        <v>0</v>
      </c>
      <c r="E218" s="127">
        <v>0</v>
      </c>
      <c r="F218" s="127">
        <v>0</v>
      </c>
      <c r="G218" s="127">
        <v>0</v>
      </c>
      <c r="H218" s="127">
        <v>0</v>
      </c>
      <c r="I218" s="127">
        <v>0</v>
      </c>
      <c r="J218" s="127">
        <v>0</v>
      </c>
      <c r="K218" s="127">
        <v>0</v>
      </c>
      <c r="L218" s="127">
        <v>0</v>
      </c>
      <c r="M218" s="127">
        <v>0</v>
      </c>
      <c r="N218" s="127">
        <v>0</v>
      </c>
      <c r="O218" s="127">
        <v>0</v>
      </c>
      <c r="P218" s="127">
        <v>0</v>
      </c>
      <c r="Q218" s="127">
        <v>0</v>
      </c>
      <c r="R218" s="127">
        <v>0</v>
      </c>
      <c r="S218" s="127">
        <v>0</v>
      </c>
      <c r="T218" s="127">
        <v>0</v>
      </c>
      <c r="U218" s="127">
        <v>0</v>
      </c>
      <c r="V218" s="127">
        <v>0</v>
      </c>
      <c r="W218" s="127">
        <v>0</v>
      </c>
      <c r="X218" s="127">
        <v>0</v>
      </c>
      <c r="Y218" s="127">
        <v>0</v>
      </c>
      <c r="Z218" s="127">
        <v>0</v>
      </c>
      <c r="AA218" s="127">
        <v>0</v>
      </c>
      <c r="AB218" s="127">
        <v>0</v>
      </c>
      <c r="AC218" s="127">
        <v>0</v>
      </c>
      <c r="AD218" s="127">
        <v>0</v>
      </c>
      <c r="AE218" s="127">
        <v>0</v>
      </c>
      <c r="AF218" s="127">
        <v>0</v>
      </c>
      <c r="AG218" s="127">
        <v>0</v>
      </c>
      <c r="AH218" s="127">
        <v>0</v>
      </c>
      <c r="AI218" s="127">
        <v>0</v>
      </c>
      <c r="AJ218" s="127">
        <v>0</v>
      </c>
      <c r="AK218" s="127">
        <v>0</v>
      </c>
      <c r="AL218" s="127">
        <v>0</v>
      </c>
      <c r="AM218" s="127">
        <v>0</v>
      </c>
      <c r="AN218" s="127">
        <v>0</v>
      </c>
      <c r="AO218" s="127">
        <v>0</v>
      </c>
      <c r="AP218" s="127">
        <v>0</v>
      </c>
      <c r="AQ218" s="127">
        <v>0</v>
      </c>
      <c r="AR218" s="127">
        <v>0</v>
      </c>
      <c r="AS218" s="127">
        <v>0</v>
      </c>
      <c r="AT218" s="127">
        <v>0</v>
      </c>
      <c r="AU218" s="127">
        <v>0</v>
      </c>
      <c r="AV218" s="127">
        <v>0</v>
      </c>
      <c r="AW218" s="127">
        <v>0</v>
      </c>
      <c r="AX218" s="127">
        <v>0</v>
      </c>
      <c r="AY218" s="127">
        <v>0</v>
      </c>
    </row>
    <row r="219" spans="1:51" x14ac:dyDescent="0.2">
      <c r="A219" s="126"/>
      <c r="B219" s="135">
        <v>11</v>
      </c>
      <c r="C219" s="123">
        <v>0</v>
      </c>
      <c r="D219" s="127">
        <v>0</v>
      </c>
      <c r="E219" s="127">
        <v>0</v>
      </c>
      <c r="F219" s="127">
        <v>0</v>
      </c>
      <c r="G219" s="127">
        <v>0</v>
      </c>
      <c r="H219" s="127">
        <v>0</v>
      </c>
      <c r="I219" s="127">
        <v>0</v>
      </c>
      <c r="J219" s="127">
        <v>0</v>
      </c>
      <c r="K219" s="127">
        <v>0</v>
      </c>
      <c r="L219" s="127">
        <v>0</v>
      </c>
      <c r="M219" s="127">
        <v>0</v>
      </c>
      <c r="N219" s="127">
        <v>0</v>
      </c>
      <c r="O219" s="127">
        <v>0</v>
      </c>
      <c r="P219" s="127">
        <v>0</v>
      </c>
      <c r="Q219" s="127">
        <v>0</v>
      </c>
      <c r="R219" s="127">
        <v>0</v>
      </c>
      <c r="S219" s="127">
        <v>0</v>
      </c>
      <c r="T219" s="127">
        <v>0</v>
      </c>
      <c r="U219" s="127">
        <v>0</v>
      </c>
      <c r="V219" s="127">
        <v>0</v>
      </c>
      <c r="W219" s="127">
        <v>0</v>
      </c>
      <c r="X219" s="127">
        <v>0</v>
      </c>
      <c r="Y219" s="127">
        <v>0</v>
      </c>
      <c r="Z219" s="127">
        <v>0</v>
      </c>
      <c r="AA219" s="127">
        <v>0</v>
      </c>
      <c r="AB219" s="127">
        <v>0</v>
      </c>
      <c r="AC219" s="127">
        <v>0</v>
      </c>
      <c r="AD219" s="127">
        <v>0</v>
      </c>
      <c r="AE219" s="127">
        <v>0</v>
      </c>
      <c r="AF219" s="127">
        <v>0</v>
      </c>
      <c r="AG219" s="127">
        <v>0</v>
      </c>
      <c r="AH219" s="127">
        <v>0</v>
      </c>
      <c r="AI219" s="127">
        <v>0</v>
      </c>
      <c r="AJ219" s="127">
        <v>0</v>
      </c>
      <c r="AK219" s="127">
        <v>0</v>
      </c>
      <c r="AL219" s="127">
        <v>0</v>
      </c>
      <c r="AM219" s="127">
        <v>0</v>
      </c>
      <c r="AN219" s="127">
        <v>0</v>
      </c>
      <c r="AO219" s="127">
        <v>0</v>
      </c>
      <c r="AP219" s="127">
        <v>0</v>
      </c>
      <c r="AQ219" s="127">
        <v>0</v>
      </c>
      <c r="AR219" s="127">
        <v>0</v>
      </c>
      <c r="AS219" s="127">
        <v>0</v>
      </c>
      <c r="AT219" s="127">
        <v>0</v>
      </c>
      <c r="AU219" s="127">
        <v>0</v>
      </c>
      <c r="AV219" s="127">
        <v>0</v>
      </c>
      <c r="AW219" s="127">
        <v>0</v>
      </c>
      <c r="AX219" s="127">
        <v>0</v>
      </c>
      <c r="AY219" s="127">
        <v>0</v>
      </c>
    </row>
    <row r="220" spans="1:51" x14ac:dyDescent="0.2">
      <c r="A220" s="126"/>
      <c r="B220" s="135">
        <v>12</v>
      </c>
      <c r="C220" s="123">
        <v>0</v>
      </c>
      <c r="D220" s="127">
        <v>0</v>
      </c>
      <c r="E220" s="127">
        <v>0</v>
      </c>
      <c r="F220" s="127">
        <v>0</v>
      </c>
      <c r="G220" s="127">
        <v>0</v>
      </c>
      <c r="H220" s="127">
        <v>0</v>
      </c>
      <c r="I220" s="127">
        <v>0</v>
      </c>
      <c r="J220" s="127">
        <v>0</v>
      </c>
      <c r="K220" s="127">
        <v>0</v>
      </c>
      <c r="L220" s="127">
        <v>0</v>
      </c>
      <c r="M220" s="127">
        <v>0</v>
      </c>
      <c r="N220" s="127">
        <v>0</v>
      </c>
      <c r="O220" s="127">
        <v>0</v>
      </c>
      <c r="P220" s="127">
        <v>0</v>
      </c>
      <c r="Q220" s="127">
        <v>0</v>
      </c>
      <c r="R220" s="127">
        <v>0</v>
      </c>
      <c r="S220" s="127">
        <v>0</v>
      </c>
      <c r="T220" s="127">
        <v>0</v>
      </c>
      <c r="U220" s="127">
        <v>0</v>
      </c>
      <c r="V220" s="127">
        <v>0</v>
      </c>
      <c r="W220" s="127">
        <v>0</v>
      </c>
      <c r="X220" s="127">
        <v>0</v>
      </c>
      <c r="Y220" s="127">
        <v>0</v>
      </c>
      <c r="Z220" s="127">
        <v>0</v>
      </c>
      <c r="AA220" s="127">
        <v>0</v>
      </c>
      <c r="AB220" s="127">
        <v>0</v>
      </c>
      <c r="AC220" s="127">
        <v>0</v>
      </c>
      <c r="AD220" s="127">
        <v>0</v>
      </c>
      <c r="AE220" s="127">
        <v>0</v>
      </c>
      <c r="AF220" s="127">
        <v>0</v>
      </c>
      <c r="AG220" s="127">
        <v>0</v>
      </c>
      <c r="AH220" s="127">
        <v>0</v>
      </c>
      <c r="AI220" s="127">
        <v>0</v>
      </c>
      <c r="AJ220" s="127">
        <v>0</v>
      </c>
      <c r="AK220" s="127">
        <v>0</v>
      </c>
      <c r="AL220" s="127">
        <v>0</v>
      </c>
      <c r="AM220" s="127">
        <v>0</v>
      </c>
      <c r="AN220" s="127">
        <v>0</v>
      </c>
      <c r="AO220" s="127">
        <v>0</v>
      </c>
      <c r="AP220" s="127">
        <v>0</v>
      </c>
      <c r="AQ220" s="127">
        <v>0</v>
      </c>
      <c r="AR220" s="127">
        <v>0</v>
      </c>
      <c r="AS220" s="127">
        <v>0</v>
      </c>
      <c r="AT220" s="127">
        <v>0</v>
      </c>
      <c r="AU220" s="127">
        <v>0</v>
      </c>
      <c r="AV220" s="127">
        <v>0</v>
      </c>
      <c r="AW220" s="127">
        <v>0</v>
      </c>
      <c r="AX220" s="127">
        <v>0</v>
      </c>
      <c r="AY220" s="127">
        <v>0</v>
      </c>
    </row>
    <row r="221" spans="1:51" x14ac:dyDescent="0.2">
      <c r="A221" s="126"/>
      <c r="B221" s="136">
        <v>13</v>
      </c>
      <c r="C221" s="123">
        <v>0</v>
      </c>
      <c r="D221" s="127">
        <v>0</v>
      </c>
      <c r="E221" s="127">
        <v>0</v>
      </c>
      <c r="F221" s="127">
        <v>0</v>
      </c>
      <c r="G221" s="127">
        <v>0</v>
      </c>
      <c r="H221" s="127">
        <v>0</v>
      </c>
      <c r="I221" s="127">
        <v>0</v>
      </c>
      <c r="J221" s="127">
        <v>0</v>
      </c>
      <c r="K221" s="127">
        <v>0</v>
      </c>
      <c r="L221" s="127">
        <v>0</v>
      </c>
      <c r="M221" s="127">
        <v>0</v>
      </c>
      <c r="N221" s="127">
        <v>0</v>
      </c>
      <c r="O221" s="127">
        <v>0</v>
      </c>
      <c r="P221" s="127">
        <v>0</v>
      </c>
      <c r="Q221" s="127">
        <v>0</v>
      </c>
      <c r="R221" s="127">
        <v>0</v>
      </c>
      <c r="S221" s="127">
        <v>0</v>
      </c>
      <c r="T221" s="127">
        <v>0</v>
      </c>
      <c r="U221" s="127">
        <v>0</v>
      </c>
      <c r="V221" s="127">
        <v>0</v>
      </c>
      <c r="W221" s="127">
        <v>0</v>
      </c>
      <c r="X221" s="127">
        <v>0</v>
      </c>
      <c r="Y221" s="127">
        <v>0</v>
      </c>
      <c r="Z221" s="127">
        <v>0</v>
      </c>
      <c r="AA221" s="127">
        <v>0</v>
      </c>
      <c r="AB221" s="127">
        <v>0</v>
      </c>
      <c r="AC221" s="127">
        <v>0</v>
      </c>
      <c r="AD221" s="127">
        <v>0</v>
      </c>
      <c r="AE221" s="127">
        <v>0</v>
      </c>
      <c r="AF221" s="127">
        <v>0</v>
      </c>
      <c r="AG221" s="127">
        <v>0</v>
      </c>
      <c r="AH221" s="127">
        <v>0</v>
      </c>
      <c r="AI221" s="127">
        <v>0</v>
      </c>
      <c r="AJ221" s="127">
        <v>0</v>
      </c>
      <c r="AK221" s="127">
        <v>0</v>
      </c>
      <c r="AL221" s="127">
        <v>0</v>
      </c>
      <c r="AM221" s="127">
        <v>0</v>
      </c>
      <c r="AN221" s="127">
        <v>0</v>
      </c>
      <c r="AO221" s="127">
        <v>0</v>
      </c>
      <c r="AP221" s="127">
        <v>0</v>
      </c>
      <c r="AQ221" s="127">
        <v>0</v>
      </c>
      <c r="AR221" s="127">
        <v>0</v>
      </c>
      <c r="AS221" s="127">
        <v>0</v>
      </c>
      <c r="AT221" s="127">
        <v>0</v>
      </c>
      <c r="AU221" s="127">
        <v>0</v>
      </c>
      <c r="AV221" s="127">
        <v>0</v>
      </c>
      <c r="AW221" s="127">
        <v>0</v>
      </c>
      <c r="AX221" s="127">
        <v>0</v>
      </c>
      <c r="AY221" s="127">
        <v>0</v>
      </c>
    </row>
    <row r="222" spans="1:51" x14ac:dyDescent="0.2">
      <c r="A222" s="126"/>
      <c r="B222" s="136">
        <v>14</v>
      </c>
      <c r="C222" s="123">
        <v>0</v>
      </c>
      <c r="D222" s="127">
        <v>0</v>
      </c>
      <c r="E222" s="127">
        <v>0</v>
      </c>
      <c r="F222" s="127">
        <v>0</v>
      </c>
      <c r="G222" s="127">
        <v>0</v>
      </c>
      <c r="H222" s="127">
        <v>0</v>
      </c>
      <c r="I222" s="127">
        <v>0</v>
      </c>
      <c r="J222" s="127">
        <v>0</v>
      </c>
      <c r="K222" s="127">
        <v>0</v>
      </c>
      <c r="L222" s="127">
        <v>0</v>
      </c>
      <c r="M222" s="127">
        <v>0</v>
      </c>
      <c r="N222" s="127">
        <v>0</v>
      </c>
      <c r="O222" s="127">
        <v>0</v>
      </c>
      <c r="P222" s="127">
        <v>0</v>
      </c>
      <c r="Q222" s="127">
        <v>0</v>
      </c>
      <c r="R222" s="127">
        <v>0</v>
      </c>
      <c r="S222" s="127">
        <v>0</v>
      </c>
      <c r="T222" s="127">
        <v>0</v>
      </c>
      <c r="U222" s="127">
        <v>0</v>
      </c>
      <c r="V222" s="127">
        <v>0</v>
      </c>
      <c r="W222" s="127">
        <v>0</v>
      </c>
      <c r="X222" s="127">
        <v>0</v>
      </c>
      <c r="Y222" s="127">
        <v>0</v>
      </c>
      <c r="Z222" s="127">
        <v>0</v>
      </c>
      <c r="AA222" s="127">
        <v>0</v>
      </c>
      <c r="AB222" s="127">
        <v>0</v>
      </c>
      <c r="AC222" s="127">
        <v>0</v>
      </c>
      <c r="AD222" s="127">
        <v>0</v>
      </c>
      <c r="AE222" s="127">
        <v>0</v>
      </c>
      <c r="AF222" s="127">
        <v>0</v>
      </c>
      <c r="AG222" s="127">
        <v>0</v>
      </c>
      <c r="AH222" s="127">
        <v>0</v>
      </c>
      <c r="AI222" s="127">
        <v>0</v>
      </c>
      <c r="AJ222" s="127">
        <v>0</v>
      </c>
      <c r="AK222" s="127">
        <v>0</v>
      </c>
      <c r="AL222" s="127">
        <v>0</v>
      </c>
      <c r="AM222" s="127">
        <v>0</v>
      </c>
      <c r="AN222" s="127">
        <v>0</v>
      </c>
      <c r="AO222" s="127">
        <v>0</v>
      </c>
      <c r="AP222" s="127">
        <v>0</v>
      </c>
      <c r="AQ222" s="127">
        <v>0</v>
      </c>
      <c r="AR222" s="127">
        <v>0</v>
      </c>
      <c r="AS222" s="127">
        <v>0</v>
      </c>
      <c r="AT222" s="127">
        <v>0</v>
      </c>
      <c r="AU222" s="127">
        <v>0</v>
      </c>
      <c r="AV222" s="127">
        <v>0</v>
      </c>
      <c r="AW222" s="127">
        <v>0</v>
      </c>
      <c r="AX222" s="127">
        <v>0</v>
      </c>
      <c r="AY222" s="127">
        <v>0</v>
      </c>
    </row>
    <row r="223" spans="1:51" x14ac:dyDescent="0.2">
      <c r="A223" s="126"/>
      <c r="B223" s="136">
        <v>15</v>
      </c>
      <c r="C223" s="123">
        <v>0</v>
      </c>
      <c r="D223" s="127">
        <v>0</v>
      </c>
      <c r="E223" s="127">
        <v>0</v>
      </c>
      <c r="F223" s="127">
        <v>0</v>
      </c>
      <c r="G223" s="127">
        <v>0</v>
      </c>
      <c r="H223" s="127">
        <v>0</v>
      </c>
      <c r="I223" s="127">
        <v>0</v>
      </c>
      <c r="J223" s="127">
        <v>0</v>
      </c>
      <c r="K223" s="127">
        <v>0</v>
      </c>
      <c r="L223" s="127">
        <v>0</v>
      </c>
      <c r="M223" s="127">
        <v>0</v>
      </c>
      <c r="N223" s="127">
        <v>0</v>
      </c>
      <c r="O223" s="127">
        <v>0</v>
      </c>
      <c r="P223" s="127">
        <v>0</v>
      </c>
      <c r="Q223" s="127">
        <v>0</v>
      </c>
      <c r="R223" s="127">
        <v>0</v>
      </c>
      <c r="S223" s="127">
        <v>0</v>
      </c>
      <c r="T223" s="127">
        <v>0</v>
      </c>
      <c r="U223" s="127">
        <v>0</v>
      </c>
      <c r="V223" s="127">
        <v>0</v>
      </c>
      <c r="W223" s="127">
        <v>0</v>
      </c>
      <c r="X223" s="127">
        <v>0</v>
      </c>
      <c r="Y223" s="127">
        <v>0</v>
      </c>
      <c r="Z223" s="127">
        <v>0</v>
      </c>
      <c r="AA223" s="127">
        <v>0</v>
      </c>
      <c r="AB223" s="127">
        <v>0</v>
      </c>
      <c r="AC223" s="127">
        <v>0</v>
      </c>
      <c r="AD223" s="127">
        <v>0</v>
      </c>
      <c r="AE223" s="127">
        <v>0</v>
      </c>
      <c r="AF223" s="127">
        <v>0</v>
      </c>
      <c r="AG223" s="127">
        <v>0</v>
      </c>
      <c r="AH223" s="127">
        <v>0</v>
      </c>
      <c r="AI223" s="127">
        <v>0</v>
      </c>
      <c r="AJ223" s="127">
        <v>0</v>
      </c>
      <c r="AK223" s="127">
        <v>0</v>
      </c>
      <c r="AL223" s="127">
        <v>0</v>
      </c>
      <c r="AM223" s="127">
        <v>0</v>
      </c>
      <c r="AN223" s="127">
        <v>0</v>
      </c>
      <c r="AO223" s="127">
        <v>0</v>
      </c>
      <c r="AP223" s="127">
        <v>0</v>
      </c>
      <c r="AQ223" s="127">
        <v>0</v>
      </c>
      <c r="AR223" s="127">
        <v>0</v>
      </c>
      <c r="AS223" s="127">
        <v>0</v>
      </c>
      <c r="AT223" s="127">
        <v>0</v>
      </c>
      <c r="AU223" s="127">
        <v>0</v>
      </c>
      <c r="AV223" s="127">
        <v>0</v>
      </c>
      <c r="AW223" s="127">
        <v>0</v>
      </c>
      <c r="AX223" s="127">
        <v>0</v>
      </c>
      <c r="AY223" s="127">
        <v>0</v>
      </c>
    </row>
    <row r="224" spans="1:51" x14ac:dyDescent="0.2">
      <c r="A224" s="126"/>
      <c r="B224" s="136">
        <v>16</v>
      </c>
      <c r="C224" s="123">
        <v>0</v>
      </c>
      <c r="D224" s="127">
        <v>0</v>
      </c>
      <c r="E224" s="127">
        <v>0</v>
      </c>
      <c r="F224" s="127">
        <v>0</v>
      </c>
      <c r="G224" s="127">
        <v>0</v>
      </c>
      <c r="H224" s="127">
        <v>0</v>
      </c>
      <c r="I224" s="127">
        <v>0</v>
      </c>
      <c r="J224" s="127">
        <v>0</v>
      </c>
      <c r="K224" s="127">
        <v>0</v>
      </c>
      <c r="L224" s="127">
        <v>0</v>
      </c>
      <c r="M224" s="127">
        <v>0</v>
      </c>
      <c r="N224" s="127">
        <v>0</v>
      </c>
      <c r="O224" s="127">
        <v>0</v>
      </c>
      <c r="P224" s="127">
        <v>0</v>
      </c>
      <c r="Q224" s="127">
        <v>0</v>
      </c>
      <c r="R224" s="127">
        <v>0</v>
      </c>
      <c r="S224" s="127">
        <v>0</v>
      </c>
      <c r="T224" s="127">
        <v>0</v>
      </c>
      <c r="U224" s="127">
        <v>0</v>
      </c>
      <c r="V224" s="127">
        <v>0</v>
      </c>
      <c r="W224" s="127">
        <v>0</v>
      </c>
      <c r="X224" s="127">
        <v>0</v>
      </c>
      <c r="Y224" s="127">
        <v>0</v>
      </c>
      <c r="Z224" s="127">
        <v>0</v>
      </c>
      <c r="AA224" s="127">
        <v>0</v>
      </c>
      <c r="AB224" s="127">
        <v>0</v>
      </c>
      <c r="AC224" s="127">
        <v>0</v>
      </c>
      <c r="AD224" s="127">
        <v>0</v>
      </c>
      <c r="AE224" s="127">
        <v>0</v>
      </c>
      <c r="AF224" s="127">
        <v>0</v>
      </c>
      <c r="AG224" s="127">
        <v>0</v>
      </c>
      <c r="AH224" s="127">
        <v>0</v>
      </c>
      <c r="AI224" s="127">
        <v>0</v>
      </c>
      <c r="AJ224" s="127">
        <v>0</v>
      </c>
      <c r="AK224" s="127">
        <v>0</v>
      </c>
      <c r="AL224" s="127">
        <v>0</v>
      </c>
      <c r="AM224" s="127">
        <v>0</v>
      </c>
      <c r="AN224" s="127">
        <v>0</v>
      </c>
      <c r="AO224" s="127">
        <v>0</v>
      </c>
      <c r="AP224" s="127">
        <v>0</v>
      </c>
      <c r="AQ224" s="127">
        <v>0</v>
      </c>
      <c r="AR224" s="127">
        <v>0</v>
      </c>
      <c r="AS224" s="127">
        <v>0</v>
      </c>
      <c r="AT224" s="127">
        <v>0</v>
      </c>
      <c r="AU224" s="127">
        <v>0</v>
      </c>
      <c r="AV224" s="127">
        <v>0</v>
      </c>
      <c r="AW224" s="127">
        <v>0</v>
      </c>
      <c r="AX224" s="127">
        <v>0</v>
      </c>
      <c r="AY224" s="127">
        <v>0</v>
      </c>
    </row>
    <row r="225" spans="1:51" x14ac:dyDescent="0.2">
      <c r="A225" s="126"/>
      <c r="B225" s="136">
        <v>17</v>
      </c>
      <c r="C225" s="123">
        <v>0</v>
      </c>
      <c r="D225" s="127">
        <v>0</v>
      </c>
      <c r="E225" s="127">
        <v>0</v>
      </c>
      <c r="F225" s="127">
        <v>0</v>
      </c>
      <c r="G225" s="127">
        <v>0</v>
      </c>
      <c r="H225" s="127">
        <v>0</v>
      </c>
      <c r="I225" s="127">
        <v>0</v>
      </c>
      <c r="J225" s="127">
        <v>0</v>
      </c>
      <c r="K225" s="127">
        <v>0</v>
      </c>
      <c r="L225" s="127">
        <v>0</v>
      </c>
      <c r="M225" s="127">
        <v>0</v>
      </c>
      <c r="N225" s="127">
        <v>0</v>
      </c>
      <c r="O225" s="127">
        <v>0</v>
      </c>
      <c r="P225" s="127">
        <v>0</v>
      </c>
      <c r="Q225" s="127">
        <v>0</v>
      </c>
      <c r="R225" s="127">
        <v>0</v>
      </c>
      <c r="S225" s="127">
        <v>0</v>
      </c>
      <c r="T225" s="127">
        <v>0</v>
      </c>
      <c r="U225" s="127">
        <v>0</v>
      </c>
      <c r="V225" s="127">
        <v>0</v>
      </c>
      <c r="W225" s="127">
        <v>0</v>
      </c>
      <c r="X225" s="127">
        <v>0</v>
      </c>
      <c r="Y225" s="127">
        <v>0</v>
      </c>
      <c r="Z225" s="127">
        <v>0</v>
      </c>
      <c r="AA225" s="127">
        <v>0</v>
      </c>
      <c r="AB225" s="127">
        <v>0</v>
      </c>
      <c r="AC225" s="127">
        <v>0</v>
      </c>
      <c r="AD225" s="127">
        <v>0</v>
      </c>
      <c r="AE225" s="127">
        <v>0</v>
      </c>
      <c r="AF225" s="127">
        <v>0</v>
      </c>
      <c r="AG225" s="127">
        <v>0</v>
      </c>
      <c r="AH225" s="127">
        <v>0</v>
      </c>
      <c r="AI225" s="127">
        <v>0</v>
      </c>
      <c r="AJ225" s="127">
        <v>0</v>
      </c>
      <c r="AK225" s="127">
        <v>0</v>
      </c>
      <c r="AL225" s="127">
        <v>0</v>
      </c>
      <c r="AM225" s="127">
        <v>0</v>
      </c>
      <c r="AN225" s="127">
        <v>0</v>
      </c>
      <c r="AO225" s="127">
        <v>0</v>
      </c>
      <c r="AP225" s="127">
        <v>0</v>
      </c>
      <c r="AQ225" s="127">
        <v>0</v>
      </c>
      <c r="AR225" s="127">
        <v>0</v>
      </c>
      <c r="AS225" s="127">
        <v>0</v>
      </c>
      <c r="AT225" s="127">
        <v>0</v>
      </c>
      <c r="AU225" s="127">
        <v>0</v>
      </c>
      <c r="AV225" s="127">
        <v>0</v>
      </c>
      <c r="AW225" s="127">
        <v>0</v>
      </c>
      <c r="AX225" s="127">
        <v>0</v>
      </c>
      <c r="AY225" s="127">
        <v>0</v>
      </c>
    </row>
    <row r="226" spans="1:51" x14ac:dyDescent="0.2">
      <c r="A226" s="126"/>
      <c r="B226" s="136">
        <v>18</v>
      </c>
      <c r="C226" s="123">
        <v>0</v>
      </c>
      <c r="D226" s="127">
        <v>0</v>
      </c>
      <c r="E226" s="127">
        <v>0</v>
      </c>
      <c r="F226" s="127">
        <v>0</v>
      </c>
      <c r="G226" s="127">
        <v>0</v>
      </c>
      <c r="H226" s="127">
        <v>0</v>
      </c>
      <c r="I226" s="127">
        <v>0</v>
      </c>
      <c r="J226" s="127">
        <v>0</v>
      </c>
      <c r="K226" s="127">
        <v>0</v>
      </c>
      <c r="L226" s="127">
        <v>0</v>
      </c>
      <c r="M226" s="127">
        <v>0</v>
      </c>
      <c r="N226" s="127">
        <v>0</v>
      </c>
      <c r="O226" s="127">
        <v>0</v>
      </c>
      <c r="P226" s="127">
        <v>0</v>
      </c>
      <c r="Q226" s="127">
        <v>0</v>
      </c>
      <c r="R226" s="127">
        <v>0</v>
      </c>
      <c r="S226" s="127">
        <v>0</v>
      </c>
      <c r="T226" s="127">
        <v>0</v>
      </c>
      <c r="U226" s="127">
        <v>0</v>
      </c>
      <c r="V226" s="127">
        <v>0</v>
      </c>
      <c r="W226" s="127">
        <v>0</v>
      </c>
      <c r="X226" s="127">
        <v>0</v>
      </c>
      <c r="Y226" s="127">
        <v>0</v>
      </c>
      <c r="Z226" s="127">
        <v>0</v>
      </c>
      <c r="AA226" s="127">
        <v>0</v>
      </c>
      <c r="AB226" s="127">
        <v>0</v>
      </c>
      <c r="AC226" s="127">
        <v>0</v>
      </c>
      <c r="AD226" s="127">
        <v>0</v>
      </c>
      <c r="AE226" s="127">
        <v>0</v>
      </c>
      <c r="AF226" s="127">
        <v>0</v>
      </c>
      <c r="AG226" s="127">
        <v>0</v>
      </c>
      <c r="AH226" s="127">
        <v>0</v>
      </c>
      <c r="AI226" s="127">
        <v>0</v>
      </c>
      <c r="AJ226" s="127">
        <v>0</v>
      </c>
      <c r="AK226" s="127">
        <v>0</v>
      </c>
      <c r="AL226" s="127">
        <v>0</v>
      </c>
      <c r="AM226" s="127">
        <v>0</v>
      </c>
      <c r="AN226" s="127">
        <v>0</v>
      </c>
      <c r="AO226" s="127">
        <v>0</v>
      </c>
      <c r="AP226" s="127">
        <v>0</v>
      </c>
      <c r="AQ226" s="127">
        <v>0</v>
      </c>
      <c r="AR226" s="127">
        <v>0</v>
      </c>
      <c r="AS226" s="127">
        <v>0</v>
      </c>
      <c r="AT226" s="127">
        <v>0</v>
      </c>
      <c r="AU226" s="127">
        <v>0</v>
      </c>
      <c r="AV226" s="127">
        <v>0</v>
      </c>
      <c r="AW226" s="127">
        <v>0</v>
      </c>
      <c r="AX226" s="127">
        <v>0</v>
      </c>
      <c r="AY226" s="127">
        <v>0</v>
      </c>
    </row>
    <row r="227" spans="1:51" x14ac:dyDescent="0.2">
      <c r="A227" s="126"/>
      <c r="B227" s="136">
        <v>19</v>
      </c>
      <c r="C227" s="123">
        <v>0</v>
      </c>
      <c r="D227" s="127">
        <v>0</v>
      </c>
      <c r="E227" s="127">
        <v>0</v>
      </c>
      <c r="F227" s="127">
        <v>0</v>
      </c>
      <c r="G227" s="127">
        <v>0</v>
      </c>
      <c r="H227" s="127">
        <v>0</v>
      </c>
      <c r="I227" s="127">
        <v>0</v>
      </c>
      <c r="J227" s="127">
        <v>0</v>
      </c>
      <c r="K227" s="127">
        <v>0</v>
      </c>
      <c r="L227" s="127">
        <v>0</v>
      </c>
      <c r="M227" s="127">
        <v>0</v>
      </c>
      <c r="N227" s="127">
        <v>0</v>
      </c>
      <c r="O227" s="127">
        <v>0</v>
      </c>
      <c r="P227" s="127">
        <v>0</v>
      </c>
      <c r="Q227" s="127">
        <v>0</v>
      </c>
      <c r="R227" s="127">
        <v>0</v>
      </c>
      <c r="S227" s="127">
        <v>0</v>
      </c>
      <c r="T227" s="127">
        <v>0</v>
      </c>
      <c r="U227" s="127">
        <v>0</v>
      </c>
      <c r="V227" s="127">
        <v>0</v>
      </c>
      <c r="W227" s="127">
        <v>0</v>
      </c>
      <c r="X227" s="127">
        <v>0</v>
      </c>
      <c r="Y227" s="127">
        <v>0</v>
      </c>
      <c r="Z227" s="127">
        <v>0</v>
      </c>
      <c r="AA227" s="127">
        <v>0</v>
      </c>
      <c r="AB227" s="127">
        <v>0</v>
      </c>
      <c r="AC227" s="127">
        <v>0</v>
      </c>
      <c r="AD227" s="127">
        <v>0</v>
      </c>
      <c r="AE227" s="127">
        <v>0</v>
      </c>
      <c r="AF227" s="127">
        <v>0</v>
      </c>
      <c r="AG227" s="127">
        <v>0</v>
      </c>
      <c r="AH227" s="127">
        <v>0</v>
      </c>
      <c r="AI227" s="127">
        <v>0</v>
      </c>
      <c r="AJ227" s="127">
        <v>0</v>
      </c>
      <c r="AK227" s="127">
        <v>0</v>
      </c>
      <c r="AL227" s="127">
        <v>0</v>
      </c>
      <c r="AM227" s="127">
        <v>0</v>
      </c>
      <c r="AN227" s="127">
        <v>0</v>
      </c>
      <c r="AO227" s="127">
        <v>0</v>
      </c>
      <c r="AP227" s="127">
        <v>0</v>
      </c>
      <c r="AQ227" s="127">
        <v>0</v>
      </c>
      <c r="AR227" s="127">
        <v>0</v>
      </c>
      <c r="AS227" s="127">
        <v>0</v>
      </c>
      <c r="AT227" s="127">
        <v>0</v>
      </c>
      <c r="AU227" s="127">
        <v>0</v>
      </c>
      <c r="AV227" s="127">
        <v>0</v>
      </c>
      <c r="AW227" s="127">
        <v>0</v>
      </c>
      <c r="AX227" s="127">
        <v>0</v>
      </c>
      <c r="AY227" s="127">
        <v>0</v>
      </c>
    </row>
    <row r="228" spans="1:51" x14ac:dyDescent="0.2">
      <c r="A228" s="126"/>
      <c r="B228" s="136">
        <v>20</v>
      </c>
      <c r="C228" s="123">
        <v>0</v>
      </c>
      <c r="D228" s="127">
        <v>0</v>
      </c>
      <c r="E228" s="127">
        <v>0</v>
      </c>
      <c r="F228" s="127">
        <v>0</v>
      </c>
      <c r="G228" s="127">
        <v>0</v>
      </c>
      <c r="H228" s="127">
        <v>0</v>
      </c>
      <c r="I228" s="127">
        <v>0</v>
      </c>
      <c r="J228" s="127">
        <v>0</v>
      </c>
      <c r="K228" s="127">
        <v>0</v>
      </c>
      <c r="L228" s="127">
        <v>0</v>
      </c>
      <c r="M228" s="127">
        <v>0</v>
      </c>
      <c r="N228" s="127">
        <v>0</v>
      </c>
      <c r="O228" s="127">
        <v>0</v>
      </c>
      <c r="P228" s="127">
        <v>0</v>
      </c>
      <c r="Q228" s="127">
        <v>0</v>
      </c>
      <c r="R228" s="127">
        <v>0</v>
      </c>
      <c r="S228" s="127">
        <v>0</v>
      </c>
      <c r="T228" s="127">
        <v>0</v>
      </c>
      <c r="U228" s="127">
        <v>0</v>
      </c>
      <c r="V228" s="127">
        <v>0</v>
      </c>
      <c r="W228" s="127">
        <v>0</v>
      </c>
      <c r="X228" s="127">
        <v>0</v>
      </c>
      <c r="Y228" s="127">
        <v>0</v>
      </c>
      <c r="Z228" s="127">
        <v>0</v>
      </c>
      <c r="AA228" s="127">
        <v>0</v>
      </c>
      <c r="AB228" s="127">
        <v>0</v>
      </c>
      <c r="AC228" s="127">
        <v>0</v>
      </c>
      <c r="AD228" s="127">
        <v>0</v>
      </c>
      <c r="AE228" s="127">
        <v>0</v>
      </c>
      <c r="AF228" s="127">
        <v>0</v>
      </c>
      <c r="AG228" s="127">
        <v>0</v>
      </c>
      <c r="AH228" s="127">
        <v>0</v>
      </c>
      <c r="AI228" s="127">
        <v>0</v>
      </c>
      <c r="AJ228" s="127">
        <v>0</v>
      </c>
      <c r="AK228" s="127">
        <v>0</v>
      </c>
      <c r="AL228" s="127">
        <v>0</v>
      </c>
      <c r="AM228" s="127">
        <v>0</v>
      </c>
      <c r="AN228" s="127">
        <v>0</v>
      </c>
      <c r="AO228" s="127">
        <v>0</v>
      </c>
      <c r="AP228" s="127">
        <v>0</v>
      </c>
      <c r="AQ228" s="127">
        <v>0</v>
      </c>
      <c r="AR228" s="127">
        <v>0</v>
      </c>
      <c r="AS228" s="127">
        <v>0</v>
      </c>
      <c r="AT228" s="127">
        <v>0</v>
      </c>
      <c r="AU228" s="127">
        <v>0</v>
      </c>
      <c r="AV228" s="127">
        <v>0</v>
      </c>
      <c r="AW228" s="127">
        <v>0</v>
      </c>
      <c r="AX228" s="127">
        <v>0</v>
      </c>
      <c r="AY228" s="127">
        <v>0</v>
      </c>
    </row>
    <row r="229" spans="1:51" x14ac:dyDescent="0.2">
      <c r="A229" s="126"/>
      <c r="B229" s="136">
        <v>21</v>
      </c>
      <c r="C229" s="123">
        <v>0</v>
      </c>
      <c r="D229" s="127">
        <v>0</v>
      </c>
      <c r="E229" s="127">
        <v>0</v>
      </c>
      <c r="F229" s="127">
        <v>0</v>
      </c>
      <c r="G229" s="127">
        <v>0</v>
      </c>
      <c r="H229" s="127">
        <v>0</v>
      </c>
      <c r="I229" s="127">
        <v>0</v>
      </c>
      <c r="J229" s="127">
        <v>0</v>
      </c>
      <c r="K229" s="127">
        <v>0</v>
      </c>
      <c r="L229" s="127">
        <v>0</v>
      </c>
      <c r="M229" s="127">
        <v>0</v>
      </c>
      <c r="N229" s="127">
        <v>0</v>
      </c>
      <c r="O229" s="127">
        <v>0</v>
      </c>
      <c r="P229" s="127">
        <v>0</v>
      </c>
      <c r="Q229" s="127">
        <v>0</v>
      </c>
      <c r="R229" s="127">
        <v>0</v>
      </c>
      <c r="S229" s="127">
        <v>0</v>
      </c>
      <c r="T229" s="127">
        <v>0</v>
      </c>
      <c r="U229" s="127">
        <v>0</v>
      </c>
      <c r="V229" s="127">
        <v>0</v>
      </c>
      <c r="W229" s="127">
        <v>0</v>
      </c>
      <c r="X229" s="127">
        <v>0</v>
      </c>
      <c r="Y229" s="127">
        <v>0</v>
      </c>
      <c r="Z229" s="127">
        <v>0</v>
      </c>
      <c r="AA229" s="127">
        <v>0</v>
      </c>
      <c r="AB229" s="127">
        <v>0</v>
      </c>
      <c r="AC229" s="127">
        <v>0</v>
      </c>
      <c r="AD229" s="127">
        <v>0</v>
      </c>
      <c r="AE229" s="127">
        <v>0</v>
      </c>
      <c r="AF229" s="127">
        <v>0</v>
      </c>
      <c r="AG229" s="127">
        <v>0</v>
      </c>
      <c r="AH229" s="127">
        <v>0</v>
      </c>
      <c r="AI229" s="127">
        <v>0</v>
      </c>
      <c r="AJ229" s="127">
        <v>0</v>
      </c>
      <c r="AK229" s="127">
        <v>0</v>
      </c>
      <c r="AL229" s="127">
        <v>0</v>
      </c>
      <c r="AM229" s="127">
        <v>0</v>
      </c>
      <c r="AN229" s="127">
        <v>0</v>
      </c>
      <c r="AO229" s="127">
        <v>0</v>
      </c>
      <c r="AP229" s="127">
        <v>0</v>
      </c>
      <c r="AQ229" s="127">
        <v>0</v>
      </c>
      <c r="AR229" s="127">
        <v>0</v>
      </c>
      <c r="AS229" s="127">
        <v>0</v>
      </c>
      <c r="AT229" s="127">
        <v>0</v>
      </c>
      <c r="AU229" s="127">
        <v>0</v>
      </c>
      <c r="AV229" s="127">
        <v>0</v>
      </c>
      <c r="AW229" s="127">
        <v>0</v>
      </c>
      <c r="AX229" s="127">
        <v>0</v>
      </c>
      <c r="AY229" s="127">
        <v>0</v>
      </c>
    </row>
    <row r="230" spans="1:51" x14ac:dyDescent="0.2">
      <c r="A230" s="126"/>
      <c r="B230" s="136">
        <v>22</v>
      </c>
      <c r="C230" s="123">
        <v>0</v>
      </c>
      <c r="D230" s="127">
        <v>0</v>
      </c>
      <c r="E230" s="127">
        <v>0</v>
      </c>
      <c r="F230" s="127">
        <v>0</v>
      </c>
      <c r="G230" s="127">
        <v>0</v>
      </c>
      <c r="H230" s="127">
        <v>0</v>
      </c>
      <c r="I230" s="127">
        <v>0</v>
      </c>
      <c r="J230" s="127">
        <v>0</v>
      </c>
      <c r="K230" s="127">
        <v>0</v>
      </c>
      <c r="L230" s="127">
        <v>0</v>
      </c>
      <c r="M230" s="127">
        <v>0</v>
      </c>
      <c r="N230" s="127">
        <v>0</v>
      </c>
      <c r="O230" s="127">
        <v>0</v>
      </c>
      <c r="P230" s="127">
        <v>0</v>
      </c>
      <c r="Q230" s="127">
        <v>0</v>
      </c>
      <c r="R230" s="127">
        <v>0</v>
      </c>
      <c r="S230" s="127">
        <v>0</v>
      </c>
      <c r="T230" s="127">
        <v>0</v>
      </c>
      <c r="U230" s="127">
        <v>0</v>
      </c>
      <c r="V230" s="127">
        <v>0</v>
      </c>
      <c r="W230" s="127">
        <v>0</v>
      </c>
      <c r="X230" s="127">
        <v>0</v>
      </c>
      <c r="Y230" s="127">
        <v>0</v>
      </c>
      <c r="Z230" s="127">
        <v>0</v>
      </c>
      <c r="AA230" s="127">
        <v>0</v>
      </c>
      <c r="AB230" s="127">
        <v>0</v>
      </c>
      <c r="AC230" s="127">
        <v>0</v>
      </c>
      <c r="AD230" s="127">
        <v>0</v>
      </c>
      <c r="AE230" s="127">
        <v>0</v>
      </c>
      <c r="AF230" s="127">
        <v>0</v>
      </c>
      <c r="AG230" s="127">
        <v>0</v>
      </c>
      <c r="AH230" s="127">
        <v>0</v>
      </c>
      <c r="AI230" s="127">
        <v>0</v>
      </c>
      <c r="AJ230" s="127">
        <v>0</v>
      </c>
      <c r="AK230" s="127">
        <v>0</v>
      </c>
      <c r="AL230" s="127">
        <v>0</v>
      </c>
      <c r="AM230" s="127">
        <v>0</v>
      </c>
      <c r="AN230" s="127">
        <v>0</v>
      </c>
      <c r="AO230" s="127">
        <v>0</v>
      </c>
      <c r="AP230" s="127">
        <v>0</v>
      </c>
      <c r="AQ230" s="127">
        <v>0</v>
      </c>
      <c r="AR230" s="127">
        <v>0</v>
      </c>
      <c r="AS230" s="127">
        <v>0</v>
      </c>
      <c r="AT230" s="127">
        <v>0</v>
      </c>
      <c r="AU230" s="127">
        <v>0</v>
      </c>
      <c r="AV230" s="127">
        <v>0</v>
      </c>
      <c r="AW230" s="127">
        <v>0</v>
      </c>
      <c r="AX230" s="127">
        <v>0</v>
      </c>
      <c r="AY230" s="127">
        <v>0</v>
      </c>
    </row>
    <row r="231" spans="1:51" x14ac:dyDescent="0.2">
      <c r="A231" s="126"/>
      <c r="B231" s="136">
        <v>23</v>
      </c>
      <c r="C231" s="123">
        <v>0</v>
      </c>
      <c r="D231" s="127">
        <v>0</v>
      </c>
      <c r="E231" s="127">
        <v>0</v>
      </c>
      <c r="F231" s="127">
        <v>0</v>
      </c>
      <c r="G231" s="127">
        <v>0</v>
      </c>
      <c r="H231" s="127">
        <v>0</v>
      </c>
      <c r="I231" s="127">
        <v>0</v>
      </c>
      <c r="J231" s="127">
        <v>0</v>
      </c>
      <c r="K231" s="127">
        <v>0</v>
      </c>
      <c r="L231" s="127">
        <v>0</v>
      </c>
      <c r="M231" s="127">
        <v>0</v>
      </c>
      <c r="N231" s="127">
        <v>0</v>
      </c>
      <c r="O231" s="127">
        <v>0</v>
      </c>
      <c r="P231" s="127">
        <v>0</v>
      </c>
      <c r="Q231" s="127">
        <v>0</v>
      </c>
      <c r="R231" s="127">
        <v>0</v>
      </c>
      <c r="S231" s="127">
        <v>0</v>
      </c>
      <c r="T231" s="127">
        <v>0</v>
      </c>
      <c r="U231" s="127">
        <v>0</v>
      </c>
      <c r="V231" s="127">
        <v>0</v>
      </c>
      <c r="W231" s="127">
        <v>0</v>
      </c>
      <c r="X231" s="127">
        <v>0</v>
      </c>
      <c r="Y231" s="127">
        <v>0</v>
      </c>
      <c r="Z231" s="127">
        <v>0</v>
      </c>
      <c r="AA231" s="127">
        <v>0</v>
      </c>
      <c r="AB231" s="127">
        <v>0</v>
      </c>
      <c r="AC231" s="127">
        <v>0</v>
      </c>
      <c r="AD231" s="127">
        <v>0</v>
      </c>
      <c r="AE231" s="127">
        <v>0</v>
      </c>
      <c r="AF231" s="127">
        <v>0</v>
      </c>
      <c r="AG231" s="127">
        <v>0</v>
      </c>
      <c r="AH231" s="127">
        <v>0</v>
      </c>
      <c r="AI231" s="127">
        <v>0</v>
      </c>
      <c r="AJ231" s="127">
        <v>0</v>
      </c>
      <c r="AK231" s="127">
        <v>0</v>
      </c>
      <c r="AL231" s="127">
        <v>0</v>
      </c>
      <c r="AM231" s="127">
        <v>0</v>
      </c>
      <c r="AN231" s="127">
        <v>0</v>
      </c>
      <c r="AO231" s="127">
        <v>0</v>
      </c>
      <c r="AP231" s="127">
        <v>0</v>
      </c>
      <c r="AQ231" s="127">
        <v>0</v>
      </c>
      <c r="AR231" s="127">
        <v>0</v>
      </c>
      <c r="AS231" s="127">
        <v>0</v>
      </c>
      <c r="AT231" s="127">
        <v>0</v>
      </c>
      <c r="AU231" s="127">
        <v>0</v>
      </c>
      <c r="AV231" s="127">
        <v>0</v>
      </c>
      <c r="AW231" s="127">
        <v>0</v>
      </c>
      <c r="AX231" s="127">
        <v>0</v>
      </c>
      <c r="AY231" s="127">
        <v>0</v>
      </c>
    </row>
    <row r="232" spans="1:51" x14ac:dyDescent="0.2">
      <c r="A232" s="126"/>
      <c r="B232" s="136">
        <v>24</v>
      </c>
      <c r="C232" s="123">
        <v>0</v>
      </c>
      <c r="D232" s="127">
        <v>0</v>
      </c>
      <c r="E232" s="127">
        <v>0</v>
      </c>
      <c r="F232" s="127">
        <v>0</v>
      </c>
      <c r="G232" s="127">
        <v>0</v>
      </c>
      <c r="H232" s="127">
        <v>0</v>
      </c>
      <c r="I232" s="127">
        <v>0</v>
      </c>
      <c r="J232" s="127">
        <v>0</v>
      </c>
      <c r="K232" s="127">
        <v>0</v>
      </c>
      <c r="L232" s="127">
        <v>0</v>
      </c>
      <c r="M232" s="127">
        <v>0</v>
      </c>
      <c r="N232" s="127">
        <v>0</v>
      </c>
      <c r="O232" s="127">
        <v>0</v>
      </c>
      <c r="P232" s="127">
        <v>0</v>
      </c>
      <c r="Q232" s="127">
        <v>0</v>
      </c>
      <c r="R232" s="127">
        <v>0</v>
      </c>
      <c r="S232" s="127">
        <v>0</v>
      </c>
      <c r="T232" s="127">
        <v>0</v>
      </c>
      <c r="U232" s="127">
        <v>0</v>
      </c>
      <c r="V232" s="127">
        <v>0</v>
      </c>
      <c r="W232" s="127">
        <v>0</v>
      </c>
      <c r="X232" s="127">
        <v>0</v>
      </c>
      <c r="Y232" s="127">
        <v>0</v>
      </c>
      <c r="Z232" s="127">
        <v>0</v>
      </c>
      <c r="AA232" s="127">
        <v>0</v>
      </c>
      <c r="AB232" s="127">
        <v>0</v>
      </c>
      <c r="AC232" s="127">
        <v>0</v>
      </c>
      <c r="AD232" s="127">
        <v>0</v>
      </c>
      <c r="AE232" s="127">
        <v>0</v>
      </c>
      <c r="AF232" s="127">
        <v>0</v>
      </c>
      <c r="AG232" s="127">
        <v>0</v>
      </c>
      <c r="AH232" s="127">
        <v>0</v>
      </c>
      <c r="AI232" s="127">
        <v>0</v>
      </c>
      <c r="AJ232" s="127">
        <v>0</v>
      </c>
      <c r="AK232" s="127">
        <v>0</v>
      </c>
      <c r="AL232" s="127">
        <v>0</v>
      </c>
      <c r="AM232" s="127">
        <v>0</v>
      </c>
      <c r="AN232" s="127">
        <v>0</v>
      </c>
      <c r="AO232" s="127">
        <v>0</v>
      </c>
      <c r="AP232" s="127">
        <v>0</v>
      </c>
      <c r="AQ232" s="127">
        <v>0</v>
      </c>
      <c r="AR232" s="127">
        <v>0</v>
      </c>
      <c r="AS232" s="127">
        <v>0</v>
      </c>
      <c r="AT232" s="127">
        <v>0</v>
      </c>
      <c r="AU232" s="127">
        <v>0</v>
      </c>
      <c r="AV232" s="127">
        <v>0</v>
      </c>
      <c r="AW232" s="127">
        <v>0</v>
      </c>
      <c r="AX232" s="127">
        <v>0</v>
      </c>
      <c r="AY232" s="127">
        <v>0</v>
      </c>
    </row>
    <row r="233" spans="1:51" x14ac:dyDescent="0.2">
      <c r="A233" s="126"/>
      <c r="B233" s="143">
        <v>25</v>
      </c>
      <c r="C233" s="123">
        <v>0</v>
      </c>
      <c r="D233" s="127">
        <v>0</v>
      </c>
      <c r="E233" s="127">
        <v>0</v>
      </c>
      <c r="F233" s="127">
        <v>0</v>
      </c>
      <c r="G233" s="127">
        <v>0</v>
      </c>
      <c r="H233" s="127">
        <v>0</v>
      </c>
      <c r="I233" s="127">
        <v>0</v>
      </c>
      <c r="J233" s="127">
        <v>0</v>
      </c>
      <c r="K233" s="127">
        <v>0</v>
      </c>
      <c r="L233" s="127">
        <v>0</v>
      </c>
      <c r="M233" s="127">
        <v>0</v>
      </c>
      <c r="N233" s="127">
        <v>0</v>
      </c>
      <c r="O233" s="127">
        <v>0</v>
      </c>
      <c r="P233" s="127">
        <v>0</v>
      </c>
      <c r="Q233" s="127">
        <v>0</v>
      </c>
      <c r="R233" s="127">
        <v>0</v>
      </c>
      <c r="S233" s="127">
        <v>0</v>
      </c>
      <c r="T233" s="127">
        <v>0</v>
      </c>
      <c r="U233" s="127">
        <v>0</v>
      </c>
      <c r="V233" s="127">
        <v>0</v>
      </c>
      <c r="W233" s="127">
        <v>0</v>
      </c>
      <c r="X233" s="127">
        <v>0</v>
      </c>
      <c r="Y233" s="127">
        <v>0</v>
      </c>
      <c r="Z233" s="127">
        <v>0</v>
      </c>
      <c r="AA233" s="127">
        <v>0</v>
      </c>
      <c r="AB233" s="127">
        <v>0</v>
      </c>
      <c r="AC233" s="127">
        <v>0</v>
      </c>
      <c r="AD233" s="127">
        <v>0</v>
      </c>
      <c r="AE233" s="127">
        <v>0</v>
      </c>
      <c r="AF233" s="127">
        <v>0</v>
      </c>
      <c r="AG233" s="127">
        <v>0</v>
      </c>
      <c r="AH233" s="127">
        <v>0</v>
      </c>
      <c r="AI233" s="127">
        <v>0</v>
      </c>
      <c r="AJ233" s="127">
        <v>0</v>
      </c>
      <c r="AK233" s="127">
        <v>0</v>
      </c>
      <c r="AL233" s="127">
        <v>0</v>
      </c>
      <c r="AM233" s="127">
        <v>0</v>
      </c>
      <c r="AN233" s="127">
        <v>0</v>
      </c>
      <c r="AO233" s="127">
        <v>0</v>
      </c>
      <c r="AP233" s="127">
        <v>0</v>
      </c>
      <c r="AQ233" s="127">
        <v>0</v>
      </c>
      <c r="AR233" s="127">
        <v>0</v>
      </c>
      <c r="AS233" s="127">
        <v>0</v>
      </c>
      <c r="AT233" s="127">
        <v>0</v>
      </c>
      <c r="AU233" s="127">
        <v>0</v>
      </c>
      <c r="AV233" s="127">
        <v>0</v>
      </c>
      <c r="AW233" s="127">
        <v>0</v>
      </c>
      <c r="AX233" s="127">
        <v>0</v>
      </c>
      <c r="AY233" s="127">
        <v>0</v>
      </c>
    </row>
    <row r="234" spans="1:51" x14ac:dyDescent="0.2">
      <c r="A234" s="126"/>
      <c r="B234" s="143">
        <v>26</v>
      </c>
      <c r="C234" s="123">
        <v>0</v>
      </c>
      <c r="D234" s="127">
        <v>0</v>
      </c>
      <c r="E234" s="127">
        <v>0</v>
      </c>
      <c r="F234" s="127">
        <v>0</v>
      </c>
      <c r="G234" s="127">
        <v>0</v>
      </c>
      <c r="H234" s="127">
        <v>0</v>
      </c>
      <c r="I234" s="127">
        <v>0</v>
      </c>
      <c r="J234" s="127">
        <v>0</v>
      </c>
      <c r="K234" s="127">
        <v>0</v>
      </c>
      <c r="L234" s="127">
        <v>0</v>
      </c>
      <c r="M234" s="127">
        <v>0</v>
      </c>
      <c r="N234" s="127">
        <v>0</v>
      </c>
      <c r="O234" s="127">
        <v>0</v>
      </c>
      <c r="P234" s="127">
        <v>0</v>
      </c>
      <c r="Q234" s="127">
        <v>0</v>
      </c>
      <c r="R234" s="127">
        <v>0</v>
      </c>
      <c r="S234" s="127">
        <v>0</v>
      </c>
      <c r="T234" s="127">
        <v>0</v>
      </c>
      <c r="U234" s="127">
        <v>0</v>
      </c>
      <c r="V234" s="127">
        <v>0</v>
      </c>
      <c r="W234" s="127">
        <v>0</v>
      </c>
      <c r="X234" s="127">
        <v>0</v>
      </c>
      <c r="Y234" s="127">
        <v>0</v>
      </c>
      <c r="Z234" s="127">
        <v>0</v>
      </c>
      <c r="AA234" s="127">
        <v>0</v>
      </c>
      <c r="AB234" s="127">
        <v>0</v>
      </c>
      <c r="AC234" s="127">
        <v>0</v>
      </c>
      <c r="AD234" s="127">
        <v>0</v>
      </c>
      <c r="AE234" s="127">
        <v>0</v>
      </c>
      <c r="AF234" s="127">
        <v>0</v>
      </c>
      <c r="AG234" s="127">
        <v>0</v>
      </c>
      <c r="AH234" s="127">
        <v>0</v>
      </c>
      <c r="AI234" s="127">
        <v>0</v>
      </c>
      <c r="AJ234" s="127">
        <v>0</v>
      </c>
      <c r="AK234" s="127">
        <v>0</v>
      </c>
      <c r="AL234" s="127">
        <v>0</v>
      </c>
      <c r="AM234" s="127">
        <v>0</v>
      </c>
      <c r="AN234" s="127">
        <v>0</v>
      </c>
      <c r="AO234" s="127">
        <v>0</v>
      </c>
      <c r="AP234" s="127">
        <v>0</v>
      </c>
      <c r="AQ234" s="127">
        <v>0</v>
      </c>
      <c r="AR234" s="127">
        <v>0</v>
      </c>
      <c r="AS234" s="127">
        <v>0</v>
      </c>
      <c r="AT234" s="127">
        <v>0</v>
      </c>
      <c r="AU234" s="127">
        <v>0</v>
      </c>
      <c r="AV234" s="127">
        <v>0</v>
      </c>
      <c r="AW234" s="127">
        <v>0</v>
      </c>
      <c r="AX234" s="127">
        <v>0</v>
      </c>
      <c r="AY234" s="127">
        <v>0</v>
      </c>
    </row>
    <row r="235" spans="1:51" x14ac:dyDescent="0.2">
      <c r="A235" s="126"/>
      <c r="B235" s="143">
        <v>27</v>
      </c>
      <c r="C235" s="123">
        <v>0</v>
      </c>
      <c r="D235" s="127">
        <v>0</v>
      </c>
      <c r="E235" s="127">
        <v>0</v>
      </c>
      <c r="F235" s="127">
        <v>0</v>
      </c>
      <c r="G235" s="127">
        <v>0</v>
      </c>
      <c r="H235" s="127">
        <v>0</v>
      </c>
      <c r="I235" s="127">
        <v>0</v>
      </c>
      <c r="J235" s="127">
        <v>0</v>
      </c>
      <c r="K235" s="127">
        <v>0</v>
      </c>
      <c r="L235" s="127">
        <v>0</v>
      </c>
      <c r="M235" s="127">
        <v>0</v>
      </c>
      <c r="N235" s="127">
        <v>0</v>
      </c>
      <c r="O235" s="127">
        <v>0</v>
      </c>
      <c r="P235" s="127">
        <v>0</v>
      </c>
      <c r="Q235" s="127">
        <v>0</v>
      </c>
      <c r="R235" s="127">
        <v>0</v>
      </c>
      <c r="S235" s="127">
        <v>0</v>
      </c>
      <c r="T235" s="127">
        <v>0</v>
      </c>
      <c r="U235" s="127">
        <v>0</v>
      </c>
      <c r="V235" s="127">
        <v>0</v>
      </c>
      <c r="W235" s="127">
        <v>0</v>
      </c>
      <c r="X235" s="127">
        <v>0</v>
      </c>
      <c r="Y235" s="127">
        <v>0</v>
      </c>
      <c r="Z235" s="127">
        <v>0</v>
      </c>
      <c r="AA235" s="127">
        <v>0</v>
      </c>
      <c r="AB235" s="127">
        <v>0</v>
      </c>
      <c r="AC235" s="127">
        <v>0</v>
      </c>
      <c r="AD235" s="127">
        <v>0</v>
      </c>
      <c r="AE235" s="127">
        <v>0</v>
      </c>
      <c r="AF235" s="127">
        <v>0</v>
      </c>
      <c r="AG235" s="127">
        <v>0</v>
      </c>
      <c r="AH235" s="127">
        <v>0</v>
      </c>
      <c r="AI235" s="127">
        <v>0</v>
      </c>
      <c r="AJ235" s="127">
        <v>0</v>
      </c>
      <c r="AK235" s="127">
        <v>0</v>
      </c>
      <c r="AL235" s="127">
        <v>0</v>
      </c>
      <c r="AM235" s="127">
        <v>0</v>
      </c>
      <c r="AN235" s="127">
        <v>0</v>
      </c>
      <c r="AO235" s="127">
        <v>0</v>
      </c>
      <c r="AP235" s="127">
        <v>0</v>
      </c>
      <c r="AQ235" s="127">
        <v>0</v>
      </c>
      <c r="AR235" s="127">
        <v>0</v>
      </c>
      <c r="AS235" s="127">
        <v>0</v>
      </c>
      <c r="AT235" s="127">
        <v>0</v>
      </c>
      <c r="AU235" s="127">
        <v>0</v>
      </c>
      <c r="AV235" s="127">
        <v>0</v>
      </c>
      <c r="AW235" s="127">
        <v>0</v>
      </c>
      <c r="AX235" s="127">
        <v>0</v>
      </c>
      <c r="AY235" s="127">
        <v>0</v>
      </c>
    </row>
    <row r="236" spans="1:51" x14ac:dyDescent="0.2">
      <c r="A236" s="126"/>
      <c r="B236" s="143">
        <v>28</v>
      </c>
      <c r="C236" s="123">
        <v>0</v>
      </c>
      <c r="D236" s="127">
        <v>0</v>
      </c>
      <c r="E236" s="127">
        <v>0</v>
      </c>
      <c r="F236" s="127">
        <v>0</v>
      </c>
      <c r="G236" s="127">
        <v>0</v>
      </c>
      <c r="H236" s="127">
        <v>0</v>
      </c>
      <c r="I236" s="127">
        <v>0</v>
      </c>
      <c r="J236" s="127">
        <v>0</v>
      </c>
      <c r="K236" s="127">
        <v>0</v>
      </c>
      <c r="L236" s="127">
        <v>0</v>
      </c>
      <c r="M236" s="127">
        <v>0</v>
      </c>
      <c r="N236" s="127">
        <v>0</v>
      </c>
      <c r="O236" s="127">
        <v>0</v>
      </c>
      <c r="P236" s="127">
        <v>0</v>
      </c>
      <c r="Q236" s="127">
        <v>0</v>
      </c>
      <c r="R236" s="127">
        <v>0</v>
      </c>
      <c r="S236" s="127">
        <v>0</v>
      </c>
      <c r="T236" s="127">
        <v>0</v>
      </c>
      <c r="U236" s="127">
        <v>0</v>
      </c>
      <c r="V236" s="127">
        <v>0</v>
      </c>
      <c r="W236" s="127">
        <v>0</v>
      </c>
      <c r="X236" s="127">
        <v>0</v>
      </c>
      <c r="Y236" s="127">
        <v>0</v>
      </c>
      <c r="Z236" s="127">
        <v>0</v>
      </c>
      <c r="AA236" s="127">
        <v>0</v>
      </c>
      <c r="AB236" s="127">
        <v>0</v>
      </c>
      <c r="AC236" s="127">
        <v>0</v>
      </c>
      <c r="AD236" s="127">
        <v>0</v>
      </c>
      <c r="AE236" s="127">
        <v>0</v>
      </c>
      <c r="AF236" s="127">
        <v>0</v>
      </c>
      <c r="AG236" s="127">
        <v>0</v>
      </c>
      <c r="AH236" s="127">
        <v>0</v>
      </c>
      <c r="AI236" s="127">
        <v>0</v>
      </c>
      <c r="AJ236" s="127">
        <v>0</v>
      </c>
      <c r="AK236" s="127">
        <v>0</v>
      </c>
      <c r="AL236" s="127">
        <v>0</v>
      </c>
      <c r="AM236" s="127">
        <v>0</v>
      </c>
      <c r="AN236" s="127">
        <v>0</v>
      </c>
      <c r="AO236" s="127">
        <v>0</v>
      </c>
      <c r="AP236" s="127">
        <v>0</v>
      </c>
      <c r="AQ236" s="127">
        <v>0</v>
      </c>
      <c r="AR236" s="127">
        <v>0</v>
      </c>
      <c r="AS236" s="127">
        <v>0</v>
      </c>
      <c r="AT236" s="127">
        <v>0</v>
      </c>
      <c r="AU236" s="127">
        <v>0</v>
      </c>
      <c r="AV236" s="127">
        <v>0</v>
      </c>
      <c r="AW236" s="127">
        <v>0</v>
      </c>
      <c r="AX236" s="127">
        <v>0</v>
      </c>
      <c r="AY236" s="127">
        <v>0</v>
      </c>
    </row>
    <row r="237" spans="1:51" x14ac:dyDescent="0.2">
      <c r="A237" s="126"/>
      <c r="B237" s="143">
        <v>29</v>
      </c>
      <c r="C237" s="123">
        <v>0</v>
      </c>
      <c r="D237" s="127">
        <v>0</v>
      </c>
      <c r="E237" s="127">
        <v>0</v>
      </c>
      <c r="F237" s="127">
        <v>0</v>
      </c>
      <c r="G237" s="127">
        <v>0</v>
      </c>
      <c r="H237" s="127">
        <v>0</v>
      </c>
      <c r="I237" s="127">
        <v>0</v>
      </c>
      <c r="J237" s="127">
        <v>0</v>
      </c>
      <c r="K237" s="127">
        <v>0</v>
      </c>
      <c r="L237" s="127">
        <v>0</v>
      </c>
      <c r="M237" s="127">
        <v>0</v>
      </c>
      <c r="N237" s="127">
        <v>0</v>
      </c>
      <c r="O237" s="127">
        <v>0</v>
      </c>
      <c r="P237" s="127">
        <v>0</v>
      </c>
      <c r="Q237" s="127">
        <v>0</v>
      </c>
      <c r="R237" s="127">
        <v>0</v>
      </c>
      <c r="S237" s="127">
        <v>0</v>
      </c>
      <c r="T237" s="127">
        <v>0</v>
      </c>
      <c r="U237" s="127">
        <v>0</v>
      </c>
      <c r="V237" s="127">
        <v>0</v>
      </c>
      <c r="W237" s="127">
        <v>0</v>
      </c>
      <c r="X237" s="127">
        <v>0</v>
      </c>
      <c r="Y237" s="127">
        <v>0</v>
      </c>
      <c r="Z237" s="127">
        <v>0</v>
      </c>
      <c r="AA237" s="127">
        <v>0</v>
      </c>
      <c r="AB237" s="127">
        <v>0</v>
      </c>
      <c r="AC237" s="127">
        <v>0</v>
      </c>
      <c r="AD237" s="127">
        <v>0</v>
      </c>
      <c r="AE237" s="127">
        <v>0</v>
      </c>
      <c r="AF237" s="127">
        <v>0</v>
      </c>
      <c r="AG237" s="127">
        <v>0</v>
      </c>
      <c r="AH237" s="127">
        <v>0</v>
      </c>
      <c r="AI237" s="127">
        <v>0</v>
      </c>
      <c r="AJ237" s="127">
        <v>0</v>
      </c>
      <c r="AK237" s="127">
        <v>0</v>
      </c>
      <c r="AL237" s="127">
        <v>0</v>
      </c>
      <c r="AM237" s="127">
        <v>0</v>
      </c>
      <c r="AN237" s="127">
        <v>0</v>
      </c>
      <c r="AO237" s="127">
        <v>0</v>
      </c>
      <c r="AP237" s="127">
        <v>0</v>
      </c>
      <c r="AQ237" s="127">
        <v>0</v>
      </c>
      <c r="AR237" s="127">
        <v>0</v>
      </c>
      <c r="AS237" s="127">
        <v>0</v>
      </c>
      <c r="AT237" s="127">
        <v>0</v>
      </c>
      <c r="AU237" s="127">
        <v>0</v>
      </c>
      <c r="AV237" s="127">
        <v>0</v>
      </c>
      <c r="AW237" s="127">
        <v>0</v>
      </c>
      <c r="AX237" s="127">
        <v>0</v>
      </c>
      <c r="AY237" s="127">
        <v>0</v>
      </c>
    </row>
    <row r="238" spans="1:51" x14ac:dyDescent="0.2">
      <c r="A238" s="126"/>
      <c r="B238" s="143">
        <v>30</v>
      </c>
      <c r="C238" s="123">
        <v>0</v>
      </c>
      <c r="D238" s="127">
        <v>0</v>
      </c>
      <c r="E238" s="127">
        <v>0</v>
      </c>
      <c r="F238" s="127">
        <v>0</v>
      </c>
      <c r="G238" s="127">
        <v>0</v>
      </c>
      <c r="H238" s="127">
        <v>0</v>
      </c>
      <c r="I238" s="127">
        <v>0</v>
      </c>
      <c r="J238" s="127">
        <v>0</v>
      </c>
      <c r="K238" s="127">
        <v>0</v>
      </c>
      <c r="L238" s="127">
        <v>0</v>
      </c>
      <c r="M238" s="127">
        <v>0</v>
      </c>
      <c r="N238" s="127">
        <v>0</v>
      </c>
      <c r="O238" s="127">
        <v>0</v>
      </c>
      <c r="P238" s="127">
        <v>0</v>
      </c>
      <c r="Q238" s="127">
        <v>0</v>
      </c>
      <c r="R238" s="127">
        <v>0</v>
      </c>
      <c r="S238" s="127">
        <v>0</v>
      </c>
      <c r="T238" s="127">
        <v>0</v>
      </c>
      <c r="U238" s="127">
        <v>0</v>
      </c>
      <c r="V238" s="127">
        <v>0</v>
      </c>
      <c r="W238" s="127">
        <v>0</v>
      </c>
      <c r="X238" s="127">
        <v>0</v>
      </c>
      <c r="Y238" s="127">
        <v>0</v>
      </c>
      <c r="Z238" s="127">
        <v>0</v>
      </c>
      <c r="AA238" s="127">
        <v>0</v>
      </c>
      <c r="AB238" s="127">
        <v>0</v>
      </c>
      <c r="AC238" s="127">
        <v>0</v>
      </c>
      <c r="AD238" s="127">
        <v>0</v>
      </c>
      <c r="AE238" s="127">
        <v>0</v>
      </c>
      <c r="AF238" s="127">
        <v>0</v>
      </c>
      <c r="AG238" s="127">
        <v>0</v>
      </c>
      <c r="AH238" s="127">
        <v>0</v>
      </c>
      <c r="AI238" s="127">
        <v>0</v>
      </c>
      <c r="AJ238" s="127">
        <v>0</v>
      </c>
      <c r="AK238" s="127">
        <v>0</v>
      </c>
      <c r="AL238" s="127">
        <v>0</v>
      </c>
      <c r="AM238" s="127">
        <v>0</v>
      </c>
      <c r="AN238" s="127">
        <v>0</v>
      </c>
      <c r="AO238" s="127">
        <v>0</v>
      </c>
      <c r="AP238" s="127">
        <v>0</v>
      </c>
      <c r="AQ238" s="127">
        <v>0</v>
      </c>
      <c r="AR238" s="127">
        <v>0</v>
      </c>
      <c r="AS238" s="127">
        <v>0</v>
      </c>
      <c r="AT238" s="127">
        <v>0</v>
      </c>
      <c r="AU238" s="127">
        <v>0</v>
      </c>
      <c r="AV238" s="127">
        <v>0</v>
      </c>
      <c r="AW238" s="127">
        <v>0</v>
      </c>
      <c r="AX238" s="127">
        <v>0</v>
      </c>
      <c r="AY238" s="127">
        <v>0</v>
      </c>
    </row>
    <row r="239" spans="1:51" x14ac:dyDescent="0.2">
      <c r="A239" s="126"/>
      <c r="B239" s="143">
        <v>31</v>
      </c>
      <c r="C239" s="123">
        <v>0</v>
      </c>
      <c r="D239" s="127">
        <v>0</v>
      </c>
      <c r="E239" s="127">
        <v>0</v>
      </c>
      <c r="F239" s="127">
        <v>0</v>
      </c>
      <c r="G239" s="127">
        <v>0</v>
      </c>
      <c r="H239" s="127">
        <v>0</v>
      </c>
      <c r="I239" s="127">
        <v>0</v>
      </c>
      <c r="J239" s="127">
        <v>0</v>
      </c>
      <c r="K239" s="127">
        <v>0</v>
      </c>
      <c r="L239" s="127">
        <v>0</v>
      </c>
      <c r="M239" s="127">
        <v>0</v>
      </c>
      <c r="N239" s="127">
        <v>0</v>
      </c>
      <c r="O239" s="127">
        <v>0</v>
      </c>
      <c r="P239" s="127">
        <v>0</v>
      </c>
      <c r="Q239" s="127">
        <v>0</v>
      </c>
      <c r="R239" s="127">
        <v>0</v>
      </c>
      <c r="S239" s="127">
        <v>0</v>
      </c>
      <c r="T239" s="127">
        <v>0</v>
      </c>
      <c r="U239" s="127">
        <v>0</v>
      </c>
      <c r="V239" s="127">
        <v>0</v>
      </c>
      <c r="W239" s="127">
        <v>0</v>
      </c>
      <c r="X239" s="127">
        <v>0</v>
      </c>
      <c r="Y239" s="127">
        <v>0</v>
      </c>
      <c r="Z239" s="127">
        <v>0</v>
      </c>
      <c r="AA239" s="127">
        <v>0</v>
      </c>
      <c r="AB239" s="127">
        <v>0</v>
      </c>
      <c r="AC239" s="127">
        <v>0</v>
      </c>
      <c r="AD239" s="127">
        <v>0</v>
      </c>
      <c r="AE239" s="127">
        <v>0</v>
      </c>
      <c r="AF239" s="127">
        <v>0</v>
      </c>
      <c r="AG239" s="127">
        <v>0</v>
      </c>
      <c r="AH239" s="127">
        <v>0</v>
      </c>
      <c r="AI239" s="127">
        <v>0</v>
      </c>
      <c r="AJ239" s="127">
        <v>0</v>
      </c>
      <c r="AK239" s="127">
        <v>0</v>
      </c>
      <c r="AL239" s="127">
        <v>0</v>
      </c>
      <c r="AM239" s="127">
        <v>0</v>
      </c>
      <c r="AN239" s="127">
        <v>0</v>
      </c>
      <c r="AO239" s="127">
        <v>0</v>
      </c>
      <c r="AP239" s="127">
        <v>0</v>
      </c>
      <c r="AQ239" s="127">
        <v>0</v>
      </c>
      <c r="AR239" s="127">
        <v>0</v>
      </c>
      <c r="AS239" s="127">
        <v>0</v>
      </c>
      <c r="AT239" s="127">
        <v>0</v>
      </c>
      <c r="AU239" s="127">
        <v>0</v>
      </c>
      <c r="AV239" s="127">
        <v>0</v>
      </c>
      <c r="AW239" s="127">
        <v>0</v>
      </c>
      <c r="AX239" s="127">
        <v>0</v>
      </c>
      <c r="AY239" s="127">
        <v>0</v>
      </c>
    </row>
    <row r="240" spans="1:51" x14ac:dyDescent="0.2">
      <c r="A240" s="126"/>
      <c r="B240" s="143">
        <v>32</v>
      </c>
      <c r="C240" s="123">
        <v>0</v>
      </c>
      <c r="D240" s="127">
        <v>0</v>
      </c>
      <c r="E240" s="127">
        <v>0</v>
      </c>
      <c r="F240" s="127">
        <v>0</v>
      </c>
      <c r="G240" s="127">
        <v>0</v>
      </c>
      <c r="H240" s="127">
        <v>0</v>
      </c>
      <c r="I240" s="127">
        <v>0</v>
      </c>
      <c r="J240" s="127">
        <v>0</v>
      </c>
      <c r="K240" s="127">
        <v>0</v>
      </c>
      <c r="L240" s="127">
        <v>0</v>
      </c>
      <c r="M240" s="127">
        <v>0</v>
      </c>
      <c r="N240" s="127">
        <v>0</v>
      </c>
      <c r="O240" s="127">
        <v>0</v>
      </c>
      <c r="P240" s="127">
        <v>0</v>
      </c>
      <c r="Q240" s="127">
        <v>0</v>
      </c>
      <c r="R240" s="127">
        <v>0</v>
      </c>
      <c r="S240" s="127">
        <v>0</v>
      </c>
      <c r="T240" s="127">
        <v>0</v>
      </c>
      <c r="U240" s="127">
        <v>0</v>
      </c>
      <c r="V240" s="127">
        <v>0</v>
      </c>
      <c r="W240" s="127">
        <v>0</v>
      </c>
      <c r="X240" s="127">
        <v>0</v>
      </c>
      <c r="Y240" s="127">
        <v>0</v>
      </c>
      <c r="Z240" s="127">
        <v>0</v>
      </c>
      <c r="AA240" s="127">
        <v>0</v>
      </c>
      <c r="AB240" s="127">
        <v>0</v>
      </c>
      <c r="AC240" s="127">
        <v>0</v>
      </c>
      <c r="AD240" s="127">
        <v>0</v>
      </c>
      <c r="AE240" s="127">
        <v>0</v>
      </c>
      <c r="AF240" s="127">
        <v>0</v>
      </c>
      <c r="AG240" s="127">
        <v>0</v>
      </c>
      <c r="AH240" s="127">
        <v>0</v>
      </c>
      <c r="AI240" s="127">
        <v>0</v>
      </c>
      <c r="AJ240" s="127">
        <v>0</v>
      </c>
      <c r="AK240" s="127">
        <v>0</v>
      </c>
      <c r="AL240" s="127">
        <v>0</v>
      </c>
      <c r="AM240" s="127">
        <v>0</v>
      </c>
      <c r="AN240" s="127">
        <v>0</v>
      </c>
      <c r="AO240" s="127">
        <v>0</v>
      </c>
      <c r="AP240" s="127">
        <v>0</v>
      </c>
      <c r="AQ240" s="127">
        <v>0</v>
      </c>
      <c r="AR240" s="127">
        <v>0</v>
      </c>
      <c r="AS240" s="127">
        <v>0</v>
      </c>
      <c r="AT240" s="127">
        <v>0</v>
      </c>
      <c r="AU240" s="127">
        <v>0</v>
      </c>
      <c r="AV240" s="127">
        <v>0</v>
      </c>
      <c r="AW240" s="127">
        <v>0</v>
      </c>
      <c r="AX240" s="127">
        <v>0</v>
      </c>
      <c r="AY240" s="127">
        <v>0</v>
      </c>
    </row>
    <row r="241" spans="1:51" x14ac:dyDescent="0.2">
      <c r="A241" s="126"/>
      <c r="B241" s="143">
        <v>33</v>
      </c>
      <c r="C241" s="123">
        <v>0</v>
      </c>
      <c r="D241" s="127">
        <v>0</v>
      </c>
      <c r="E241" s="127">
        <v>0</v>
      </c>
      <c r="F241" s="127">
        <v>0</v>
      </c>
      <c r="G241" s="127">
        <v>0</v>
      </c>
      <c r="H241" s="127">
        <v>0</v>
      </c>
      <c r="I241" s="127">
        <v>0</v>
      </c>
      <c r="J241" s="127">
        <v>0</v>
      </c>
      <c r="K241" s="127">
        <v>0</v>
      </c>
      <c r="L241" s="127">
        <v>0</v>
      </c>
      <c r="M241" s="127">
        <v>0</v>
      </c>
      <c r="N241" s="127">
        <v>0</v>
      </c>
      <c r="O241" s="127">
        <v>0</v>
      </c>
      <c r="P241" s="127">
        <v>0</v>
      </c>
      <c r="Q241" s="127">
        <v>0</v>
      </c>
      <c r="R241" s="127">
        <v>0</v>
      </c>
      <c r="S241" s="127">
        <v>0</v>
      </c>
      <c r="T241" s="127">
        <v>0</v>
      </c>
      <c r="U241" s="127">
        <v>0</v>
      </c>
      <c r="V241" s="127">
        <v>0</v>
      </c>
      <c r="W241" s="127">
        <v>0</v>
      </c>
      <c r="X241" s="127">
        <v>0</v>
      </c>
      <c r="Y241" s="127">
        <v>0</v>
      </c>
      <c r="Z241" s="127">
        <v>0</v>
      </c>
      <c r="AA241" s="127">
        <v>0</v>
      </c>
      <c r="AB241" s="127">
        <v>0</v>
      </c>
      <c r="AC241" s="127">
        <v>0</v>
      </c>
      <c r="AD241" s="127">
        <v>0</v>
      </c>
      <c r="AE241" s="127">
        <v>0</v>
      </c>
      <c r="AF241" s="127">
        <v>0</v>
      </c>
      <c r="AG241" s="127">
        <v>0</v>
      </c>
      <c r="AH241" s="127">
        <v>0</v>
      </c>
      <c r="AI241" s="127">
        <v>0</v>
      </c>
      <c r="AJ241" s="127">
        <v>0</v>
      </c>
      <c r="AK241" s="127">
        <v>0</v>
      </c>
      <c r="AL241" s="127">
        <v>0</v>
      </c>
      <c r="AM241" s="127">
        <v>0</v>
      </c>
      <c r="AN241" s="127">
        <v>0</v>
      </c>
      <c r="AO241" s="127">
        <v>0</v>
      </c>
      <c r="AP241" s="127">
        <v>0</v>
      </c>
      <c r="AQ241" s="127">
        <v>0</v>
      </c>
      <c r="AR241" s="127">
        <v>0</v>
      </c>
      <c r="AS241" s="127">
        <v>0</v>
      </c>
      <c r="AT241" s="127">
        <v>0</v>
      </c>
      <c r="AU241" s="127">
        <v>0</v>
      </c>
      <c r="AV241" s="127">
        <v>0</v>
      </c>
      <c r="AW241" s="127">
        <v>0</v>
      </c>
      <c r="AX241" s="127">
        <v>0</v>
      </c>
      <c r="AY241" s="127">
        <v>0</v>
      </c>
    </row>
    <row r="242" spans="1:51" x14ac:dyDescent="0.2">
      <c r="A242" s="126"/>
      <c r="B242" s="143">
        <v>34</v>
      </c>
      <c r="C242" s="123">
        <v>0</v>
      </c>
      <c r="D242" s="127">
        <v>0</v>
      </c>
      <c r="E242" s="127">
        <v>0</v>
      </c>
      <c r="F242" s="127">
        <v>0</v>
      </c>
      <c r="G242" s="127">
        <v>0</v>
      </c>
      <c r="H242" s="127">
        <v>0</v>
      </c>
      <c r="I242" s="127">
        <v>0</v>
      </c>
      <c r="J242" s="127">
        <v>0</v>
      </c>
      <c r="K242" s="127">
        <v>0</v>
      </c>
      <c r="L242" s="127">
        <v>0</v>
      </c>
      <c r="M242" s="127">
        <v>0</v>
      </c>
      <c r="N242" s="127">
        <v>0</v>
      </c>
      <c r="O242" s="127">
        <v>0</v>
      </c>
      <c r="P242" s="127">
        <v>0</v>
      </c>
      <c r="Q242" s="127">
        <v>0</v>
      </c>
      <c r="R242" s="127">
        <v>0</v>
      </c>
      <c r="S242" s="127">
        <v>0</v>
      </c>
      <c r="T242" s="127">
        <v>0</v>
      </c>
      <c r="U242" s="127">
        <v>0</v>
      </c>
      <c r="V242" s="127">
        <v>0</v>
      </c>
      <c r="W242" s="127">
        <v>0</v>
      </c>
      <c r="X242" s="127">
        <v>0</v>
      </c>
      <c r="Y242" s="127">
        <v>0</v>
      </c>
      <c r="Z242" s="127">
        <v>0</v>
      </c>
      <c r="AA242" s="127">
        <v>0</v>
      </c>
      <c r="AB242" s="127">
        <v>0</v>
      </c>
      <c r="AC242" s="127">
        <v>0</v>
      </c>
      <c r="AD242" s="127">
        <v>0</v>
      </c>
      <c r="AE242" s="127">
        <v>0</v>
      </c>
      <c r="AF242" s="127">
        <v>0</v>
      </c>
      <c r="AG242" s="127">
        <v>0</v>
      </c>
      <c r="AH242" s="127">
        <v>0</v>
      </c>
      <c r="AI242" s="127">
        <v>0</v>
      </c>
      <c r="AJ242" s="127">
        <v>0</v>
      </c>
      <c r="AK242" s="127">
        <v>0</v>
      </c>
      <c r="AL242" s="127">
        <v>0</v>
      </c>
      <c r="AM242" s="127">
        <v>0</v>
      </c>
      <c r="AN242" s="127">
        <v>0</v>
      </c>
      <c r="AO242" s="127">
        <v>0</v>
      </c>
      <c r="AP242" s="127">
        <v>0</v>
      </c>
      <c r="AQ242" s="127">
        <v>0</v>
      </c>
      <c r="AR242" s="127">
        <v>0</v>
      </c>
      <c r="AS242" s="127">
        <v>0</v>
      </c>
      <c r="AT242" s="127">
        <v>0</v>
      </c>
      <c r="AU242" s="127">
        <v>0</v>
      </c>
      <c r="AV242" s="127">
        <v>0</v>
      </c>
      <c r="AW242" s="127">
        <v>0</v>
      </c>
      <c r="AX242" s="127">
        <v>0</v>
      </c>
      <c r="AY242" s="127">
        <v>0</v>
      </c>
    </row>
    <row r="243" spans="1:51" x14ac:dyDescent="0.2">
      <c r="A243" s="126"/>
      <c r="B243" s="143">
        <v>35</v>
      </c>
      <c r="C243" s="123">
        <v>0</v>
      </c>
      <c r="D243" s="127">
        <v>0</v>
      </c>
      <c r="E243" s="127">
        <v>0</v>
      </c>
      <c r="F243" s="127">
        <v>0</v>
      </c>
      <c r="G243" s="127">
        <v>0</v>
      </c>
      <c r="H243" s="127">
        <v>0</v>
      </c>
      <c r="I243" s="127">
        <v>0</v>
      </c>
      <c r="J243" s="127">
        <v>0</v>
      </c>
      <c r="K243" s="127">
        <v>0</v>
      </c>
      <c r="L243" s="127">
        <v>0</v>
      </c>
      <c r="M243" s="127">
        <v>0</v>
      </c>
      <c r="N243" s="127">
        <v>0</v>
      </c>
      <c r="O243" s="127">
        <v>0</v>
      </c>
      <c r="P243" s="127">
        <v>0</v>
      </c>
      <c r="Q243" s="127">
        <v>0</v>
      </c>
      <c r="R243" s="127">
        <v>0</v>
      </c>
      <c r="S243" s="127">
        <v>0</v>
      </c>
      <c r="T243" s="127">
        <v>0</v>
      </c>
      <c r="U243" s="127">
        <v>0</v>
      </c>
      <c r="V243" s="127">
        <v>0</v>
      </c>
      <c r="W243" s="127">
        <v>0</v>
      </c>
      <c r="X243" s="127">
        <v>0</v>
      </c>
      <c r="Y243" s="127">
        <v>0</v>
      </c>
      <c r="Z243" s="127">
        <v>0</v>
      </c>
      <c r="AA243" s="127">
        <v>0</v>
      </c>
      <c r="AB243" s="127">
        <v>0</v>
      </c>
      <c r="AC243" s="127">
        <v>0</v>
      </c>
      <c r="AD243" s="127">
        <v>0</v>
      </c>
      <c r="AE243" s="127">
        <v>0</v>
      </c>
      <c r="AF243" s="127">
        <v>0</v>
      </c>
      <c r="AG243" s="127">
        <v>0</v>
      </c>
      <c r="AH243" s="127">
        <v>0</v>
      </c>
      <c r="AI243" s="127">
        <v>0</v>
      </c>
      <c r="AJ243" s="127">
        <v>0</v>
      </c>
      <c r="AK243" s="127">
        <v>0</v>
      </c>
      <c r="AL243" s="127">
        <v>0</v>
      </c>
      <c r="AM243" s="127">
        <v>0</v>
      </c>
      <c r="AN243" s="127">
        <v>0</v>
      </c>
      <c r="AO243" s="127">
        <v>0</v>
      </c>
      <c r="AP243" s="127">
        <v>0</v>
      </c>
      <c r="AQ243" s="127">
        <v>0</v>
      </c>
      <c r="AR243" s="127">
        <v>0</v>
      </c>
      <c r="AS243" s="127">
        <v>0</v>
      </c>
      <c r="AT243" s="127">
        <v>0</v>
      </c>
      <c r="AU243" s="127">
        <v>0</v>
      </c>
      <c r="AV243" s="127">
        <v>0</v>
      </c>
      <c r="AW243" s="127">
        <v>0</v>
      </c>
      <c r="AX243" s="127">
        <v>0</v>
      </c>
      <c r="AY243" s="127">
        <v>0</v>
      </c>
    </row>
    <row r="244" spans="1:51" x14ac:dyDescent="0.2">
      <c r="A244" s="126"/>
      <c r="B244" s="143">
        <v>36</v>
      </c>
      <c r="C244" s="123">
        <v>0</v>
      </c>
      <c r="D244" s="127">
        <v>0</v>
      </c>
      <c r="E244" s="127">
        <v>0</v>
      </c>
      <c r="F244" s="127">
        <v>0</v>
      </c>
      <c r="G244" s="127">
        <v>0</v>
      </c>
      <c r="H244" s="127">
        <v>0</v>
      </c>
      <c r="I244" s="127">
        <v>0</v>
      </c>
      <c r="J244" s="127">
        <v>0</v>
      </c>
      <c r="K244" s="127">
        <v>0</v>
      </c>
      <c r="L244" s="127">
        <v>0</v>
      </c>
      <c r="M244" s="127">
        <v>0</v>
      </c>
      <c r="N244" s="127">
        <v>0</v>
      </c>
      <c r="O244" s="127">
        <v>0</v>
      </c>
      <c r="P244" s="127">
        <v>0</v>
      </c>
      <c r="Q244" s="127">
        <v>0</v>
      </c>
      <c r="R244" s="127">
        <v>0</v>
      </c>
      <c r="S244" s="127">
        <v>0</v>
      </c>
      <c r="T244" s="127">
        <v>0</v>
      </c>
      <c r="U244" s="127">
        <v>0</v>
      </c>
      <c r="V244" s="127">
        <v>0</v>
      </c>
      <c r="W244" s="127">
        <v>0</v>
      </c>
      <c r="X244" s="127">
        <v>0</v>
      </c>
      <c r="Y244" s="127">
        <v>0</v>
      </c>
      <c r="Z244" s="127">
        <v>0</v>
      </c>
      <c r="AA244" s="127">
        <v>0</v>
      </c>
      <c r="AB244" s="127">
        <v>0</v>
      </c>
      <c r="AC244" s="127">
        <v>0</v>
      </c>
      <c r="AD244" s="127">
        <v>0</v>
      </c>
      <c r="AE244" s="127">
        <v>0</v>
      </c>
      <c r="AF244" s="127">
        <v>0</v>
      </c>
      <c r="AG244" s="127">
        <v>0</v>
      </c>
      <c r="AH244" s="127">
        <v>0</v>
      </c>
      <c r="AI244" s="127">
        <v>0</v>
      </c>
      <c r="AJ244" s="127">
        <v>0</v>
      </c>
      <c r="AK244" s="127">
        <v>0</v>
      </c>
      <c r="AL244" s="127">
        <v>0</v>
      </c>
      <c r="AM244" s="127">
        <v>0</v>
      </c>
      <c r="AN244" s="127">
        <v>0</v>
      </c>
      <c r="AO244" s="127">
        <v>0</v>
      </c>
      <c r="AP244" s="127">
        <v>0</v>
      </c>
      <c r="AQ244" s="127">
        <v>0</v>
      </c>
      <c r="AR244" s="127">
        <v>0</v>
      </c>
      <c r="AS244" s="127">
        <v>0</v>
      </c>
      <c r="AT244" s="127">
        <v>0</v>
      </c>
      <c r="AU244" s="127">
        <v>0</v>
      </c>
      <c r="AV244" s="127">
        <v>0</v>
      </c>
      <c r="AW244" s="127">
        <v>0</v>
      </c>
      <c r="AX244" s="127">
        <v>0</v>
      </c>
      <c r="AY244" s="127">
        <v>0</v>
      </c>
    </row>
    <row r="245" spans="1:51" x14ac:dyDescent="0.2">
      <c r="A245" s="126"/>
      <c r="B245" s="146">
        <v>37</v>
      </c>
      <c r="C245" s="123">
        <v>0</v>
      </c>
      <c r="D245" s="127">
        <v>0</v>
      </c>
      <c r="E245" s="127">
        <v>0</v>
      </c>
      <c r="F245" s="127">
        <v>0</v>
      </c>
      <c r="G245" s="127">
        <v>0</v>
      </c>
      <c r="H245" s="127">
        <v>0</v>
      </c>
      <c r="I245" s="127">
        <v>0</v>
      </c>
      <c r="J245" s="127">
        <v>0</v>
      </c>
      <c r="K245" s="127">
        <v>0</v>
      </c>
      <c r="L245" s="127">
        <v>0</v>
      </c>
      <c r="M245" s="127">
        <v>0</v>
      </c>
      <c r="N245" s="127">
        <v>0</v>
      </c>
      <c r="O245" s="127">
        <v>0</v>
      </c>
      <c r="P245" s="127">
        <v>0</v>
      </c>
      <c r="Q245" s="127">
        <v>0</v>
      </c>
      <c r="R245" s="127">
        <v>0</v>
      </c>
      <c r="S245" s="127">
        <v>0</v>
      </c>
      <c r="T245" s="127">
        <v>0</v>
      </c>
      <c r="U245" s="127">
        <v>0</v>
      </c>
      <c r="V245" s="127">
        <v>0</v>
      </c>
      <c r="W245" s="127">
        <v>0</v>
      </c>
      <c r="X245" s="127">
        <v>0</v>
      </c>
      <c r="Y245" s="127">
        <v>0</v>
      </c>
      <c r="Z245" s="127">
        <v>0</v>
      </c>
      <c r="AA245" s="127">
        <v>0</v>
      </c>
      <c r="AB245" s="127">
        <v>0</v>
      </c>
      <c r="AC245" s="127">
        <v>0</v>
      </c>
      <c r="AD245" s="127">
        <v>0</v>
      </c>
      <c r="AE245" s="127">
        <v>0</v>
      </c>
      <c r="AF245" s="127">
        <v>0</v>
      </c>
      <c r="AG245" s="127">
        <v>0</v>
      </c>
      <c r="AH245" s="127">
        <v>0</v>
      </c>
      <c r="AI245" s="127">
        <v>0</v>
      </c>
      <c r="AJ245" s="127">
        <v>0</v>
      </c>
      <c r="AK245" s="127">
        <v>0</v>
      </c>
      <c r="AL245" s="127">
        <v>0</v>
      </c>
      <c r="AM245" s="127">
        <v>0</v>
      </c>
      <c r="AN245" s="127">
        <v>0</v>
      </c>
      <c r="AO245" s="127">
        <v>0</v>
      </c>
      <c r="AP245" s="127">
        <v>0</v>
      </c>
      <c r="AQ245" s="127">
        <v>0</v>
      </c>
      <c r="AR245" s="127">
        <v>0</v>
      </c>
      <c r="AS245" s="127">
        <v>0</v>
      </c>
      <c r="AT245" s="127">
        <v>0</v>
      </c>
      <c r="AU245" s="127">
        <v>0</v>
      </c>
      <c r="AV245" s="127">
        <v>0</v>
      </c>
      <c r="AW245" s="127">
        <v>0</v>
      </c>
      <c r="AX245" s="127">
        <v>0</v>
      </c>
      <c r="AY245" s="127">
        <v>0</v>
      </c>
    </row>
    <row r="246" spans="1:51" x14ac:dyDescent="0.2">
      <c r="A246" s="126"/>
      <c r="B246" s="146">
        <v>38</v>
      </c>
      <c r="C246" s="123">
        <v>0</v>
      </c>
      <c r="D246" s="127">
        <v>0</v>
      </c>
      <c r="E246" s="127">
        <v>0</v>
      </c>
      <c r="F246" s="127">
        <v>0</v>
      </c>
      <c r="G246" s="127">
        <v>0</v>
      </c>
      <c r="H246" s="127">
        <v>0</v>
      </c>
      <c r="I246" s="127">
        <v>0</v>
      </c>
      <c r="J246" s="127">
        <v>0</v>
      </c>
      <c r="K246" s="127">
        <v>0</v>
      </c>
      <c r="L246" s="127">
        <v>0</v>
      </c>
      <c r="M246" s="127">
        <v>0</v>
      </c>
      <c r="N246" s="127">
        <v>0</v>
      </c>
      <c r="O246" s="127">
        <v>0</v>
      </c>
      <c r="P246" s="127">
        <v>0</v>
      </c>
      <c r="Q246" s="127">
        <v>0</v>
      </c>
      <c r="R246" s="127">
        <v>0</v>
      </c>
      <c r="S246" s="127">
        <v>0</v>
      </c>
      <c r="T246" s="127">
        <v>0</v>
      </c>
      <c r="U246" s="127">
        <v>0</v>
      </c>
      <c r="V246" s="127">
        <v>0</v>
      </c>
      <c r="W246" s="127">
        <v>0</v>
      </c>
      <c r="X246" s="127">
        <v>0</v>
      </c>
      <c r="Y246" s="127">
        <v>0</v>
      </c>
      <c r="Z246" s="127">
        <v>0</v>
      </c>
      <c r="AA246" s="127">
        <v>0</v>
      </c>
      <c r="AB246" s="127">
        <v>0</v>
      </c>
      <c r="AC246" s="127">
        <v>0</v>
      </c>
      <c r="AD246" s="127">
        <v>0</v>
      </c>
      <c r="AE246" s="127">
        <v>0</v>
      </c>
      <c r="AF246" s="127">
        <v>0</v>
      </c>
      <c r="AG246" s="127">
        <v>0</v>
      </c>
      <c r="AH246" s="127">
        <v>0</v>
      </c>
      <c r="AI246" s="127">
        <v>0</v>
      </c>
      <c r="AJ246" s="127">
        <v>0</v>
      </c>
      <c r="AK246" s="127">
        <v>0</v>
      </c>
      <c r="AL246" s="127">
        <v>0</v>
      </c>
      <c r="AM246" s="127">
        <v>0</v>
      </c>
      <c r="AN246" s="127">
        <v>0</v>
      </c>
      <c r="AO246" s="127">
        <v>0</v>
      </c>
      <c r="AP246" s="127">
        <v>0</v>
      </c>
      <c r="AQ246" s="127">
        <v>0</v>
      </c>
      <c r="AR246" s="127">
        <v>0</v>
      </c>
      <c r="AS246" s="127">
        <v>0</v>
      </c>
      <c r="AT246" s="127">
        <v>0</v>
      </c>
      <c r="AU246" s="127">
        <v>0</v>
      </c>
      <c r="AV246" s="127">
        <v>0</v>
      </c>
      <c r="AW246" s="127">
        <v>0</v>
      </c>
      <c r="AX246" s="127">
        <v>0</v>
      </c>
      <c r="AY246" s="127">
        <v>0</v>
      </c>
    </row>
    <row r="247" spans="1:51" x14ac:dyDescent="0.2">
      <c r="A247" s="126"/>
      <c r="B247" s="146">
        <v>39</v>
      </c>
      <c r="C247" s="123">
        <v>0</v>
      </c>
      <c r="D247" s="127">
        <v>0</v>
      </c>
      <c r="E247" s="127">
        <v>0</v>
      </c>
      <c r="F247" s="127">
        <v>0</v>
      </c>
      <c r="G247" s="127">
        <v>0</v>
      </c>
      <c r="H247" s="127">
        <v>0</v>
      </c>
      <c r="I247" s="127">
        <v>0</v>
      </c>
      <c r="J247" s="127">
        <v>0</v>
      </c>
      <c r="K247" s="127">
        <v>0</v>
      </c>
      <c r="L247" s="127">
        <v>0</v>
      </c>
      <c r="M247" s="127">
        <v>0</v>
      </c>
      <c r="N247" s="127">
        <v>0</v>
      </c>
      <c r="O247" s="127">
        <v>0</v>
      </c>
      <c r="P247" s="127">
        <v>0</v>
      </c>
      <c r="Q247" s="127">
        <v>0</v>
      </c>
      <c r="R247" s="127">
        <v>0</v>
      </c>
      <c r="S247" s="127">
        <v>0</v>
      </c>
      <c r="T247" s="127">
        <v>0</v>
      </c>
      <c r="U247" s="127">
        <v>0</v>
      </c>
      <c r="V247" s="127">
        <v>0</v>
      </c>
      <c r="W247" s="127">
        <v>0</v>
      </c>
      <c r="X247" s="127">
        <v>0</v>
      </c>
      <c r="Y247" s="127">
        <v>0</v>
      </c>
      <c r="Z247" s="127">
        <v>0</v>
      </c>
      <c r="AA247" s="127">
        <v>0</v>
      </c>
      <c r="AB247" s="127">
        <v>0</v>
      </c>
      <c r="AC247" s="127">
        <v>0</v>
      </c>
      <c r="AD247" s="127">
        <v>0</v>
      </c>
      <c r="AE247" s="127">
        <v>0</v>
      </c>
      <c r="AF247" s="127">
        <v>0</v>
      </c>
      <c r="AG247" s="127">
        <v>0</v>
      </c>
      <c r="AH247" s="127">
        <v>0</v>
      </c>
      <c r="AI247" s="127">
        <v>0</v>
      </c>
      <c r="AJ247" s="127">
        <v>0</v>
      </c>
      <c r="AK247" s="127">
        <v>0</v>
      </c>
      <c r="AL247" s="127">
        <v>0</v>
      </c>
      <c r="AM247" s="127">
        <v>0</v>
      </c>
      <c r="AN247" s="127">
        <v>0</v>
      </c>
      <c r="AO247" s="127">
        <v>0</v>
      </c>
      <c r="AP247" s="127">
        <v>0</v>
      </c>
      <c r="AQ247" s="127">
        <v>0</v>
      </c>
      <c r="AR247" s="127">
        <v>0</v>
      </c>
      <c r="AS247" s="127">
        <v>0</v>
      </c>
      <c r="AT247" s="127">
        <v>0</v>
      </c>
      <c r="AU247" s="127">
        <v>0</v>
      </c>
      <c r="AV247" s="127">
        <v>0</v>
      </c>
      <c r="AW247" s="127">
        <v>0</v>
      </c>
      <c r="AX247" s="127">
        <v>0</v>
      </c>
      <c r="AY247" s="127">
        <v>0</v>
      </c>
    </row>
    <row r="248" spans="1:51" x14ac:dyDescent="0.2">
      <c r="A248" s="126"/>
      <c r="B248" s="146">
        <v>40</v>
      </c>
      <c r="C248" s="123">
        <v>0</v>
      </c>
      <c r="D248" s="127">
        <v>0</v>
      </c>
      <c r="E248" s="127">
        <v>0</v>
      </c>
      <c r="F248" s="127">
        <v>0</v>
      </c>
      <c r="G248" s="127">
        <v>0</v>
      </c>
      <c r="H248" s="127">
        <v>0</v>
      </c>
      <c r="I248" s="127">
        <v>0</v>
      </c>
      <c r="J248" s="127">
        <v>0</v>
      </c>
      <c r="K248" s="127">
        <v>0</v>
      </c>
      <c r="L248" s="127">
        <v>0</v>
      </c>
      <c r="M248" s="127">
        <v>0</v>
      </c>
      <c r="N248" s="127">
        <v>0</v>
      </c>
      <c r="O248" s="127">
        <v>0</v>
      </c>
      <c r="P248" s="127">
        <v>0</v>
      </c>
      <c r="Q248" s="127">
        <v>0</v>
      </c>
      <c r="R248" s="127">
        <v>0</v>
      </c>
      <c r="S248" s="127">
        <v>0</v>
      </c>
      <c r="T248" s="127">
        <v>0</v>
      </c>
      <c r="U248" s="127">
        <v>0</v>
      </c>
      <c r="V248" s="127">
        <v>0</v>
      </c>
      <c r="W248" s="127">
        <v>0</v>
      </c>
      <c r="X248" s="127">
        <v>0</v>
      </c>
      <c r="Y248" s="127">
        <v>0</v>
      </c>
      <c r="Z248" s="127">
        <v>0</v>
      </c>
      <c r="AA248" s="127">
        <v>0</v>
      </c>
      <c r="AB248" s="127">
        <v>0</v>
      </c>
      <c r="AC248" s="127">
        <v>0</v>
      </c>
      <c r="AD248" s="127">
        <v>0</v>
      </c>
      <c r="AE248" s="127">
        <v>0</v>
      </c>
      <c r="AF248" s="127">
        <v>0</v>
      </c>
      <c r="AG248" s="127">
        <v>0</v>
      </c>
      <c r="AH248" s="127">
        <v>0</v>
      </c>
      <c r="AI248" s="127">
        <v>0</v>
      </c>
      <c r="AJ248" s="127">
        <v>0</v>
      </c>
      <c r="AK248" s="127">
        <v>0</v>
      </c>
      <c r="AL248" s="127">
        <v>0</v>
      </c>
      <c r="AM248" s="127">
        <v>0</v>
      </c>
      <c r="AN248" s="127">
        <v>0</v>
      </c>
      <c r="AO248" s="127">
        <v>0</v>
      </c>
      <c r="AP248" s="127">
        <v>0</v>
      </c>
      <c r="AQ248" s="127">
        <v>0</v>
      </c>
      <c r="AR248" s="127">
        <v>0</v>
      </c>
      <c r="AS248" s="127">
        <v>0</v>
      </c>
      <c r="AT248" s="127">
        <v>0</v>
      </c>
      <c r="AU248" s="127">
        <v>0</v>
      </c>
      <c r="AV248" s="127">
        <v>0</v>
      </c>
      <c r="AW248" s="127">
        <v>0</v>
      </c>
      <c r="AX248" s="127">
        <v>0</v>
      </c>
      <c r="AY248" s="127">
        <v>0</v>
      </c>
    </row>
    <row r="249" spans="1:51" x14ac:dyDescent="0.2">
      <c r="A249" s="126"/>
      <c r="B249" s="146">
        <v>41</v>
      </c>
      <c r="C249" s="123">
        <v>0</v>
      </c>
      <c r="D249" s="127">
        <v>0</v>
      </c>
      <c r="E249" s="127">
        <v>0</v>
      </c>
      <c r="F249" s="127">
        <v>0</v>
      </c>
      <c r="G249" s="127">
        <v>0</v>
      </c>
      <c r="H249" s="127">
        <v>0</v>
      </c>
      <c r="I249" s="127">
        <v>0</v>
      </c>
      <c r="J249" s="127">
        <v>0</v>
      </c>
      <c r="K249" s="127">
        <v>0</v>
      </c>
      <c r="L249" s="127">
        <v>0</v>
      </c>
      <c r="M249" s="127">
        <v>0</v>
      </c>
      <c r="N249" s="127">
        <v>0</v>
      </c>
      <c r="O249" s="127">
        <v>0</v>
      </c>
      <c r="P249" s="127">
        <v>0</v>
      </c>
      <c r="Q249" s="127">
        <v>0</v>
      </c>
      <c r="R249" s="127">
        <v>0</v>
      </c>
      <c r="S249" s="127">
        <v>0</v>
      </c>
      <c r="T249" s="127">
        <v>0</v>
      </c>
      <c r="U249" s="127">
        <v>0</v>
      </c>
      <c r="V249" s="127">
        <v>0</v>
      </c>
      <c r="W249" s="127">
        <v>0</v>
      </c>
      <c r="X249" s="127">
        <v>0</v>
      </c>
      <c r="Y249" s="127">
        <v>0</v>
      </c>
      <c r="Z249" s="127">
        <v>0</v>
      </c>
      <c r="AA249" s="127">
        <v>0</v>
      </c>
      <c r="AB249" s="127">
        <v>0</v>
      </c>
      <c r="AC249" s="127">
        <v>0</v>
      </c>
      <c r="AD249" s="127">
        <v>0</v>
      </c>
      <c r="AE249" s="127">
        <v>0</v>
      </c>
      <c r="AF249" s="127">
        <v>0</v>
      </c>
      <c r="AG249" s="127">
        <v>0</v>
      </c>
      <c r="AH249" s="127">
        <v>0</v>
      </c>
      <c r="AI249" s="127">
        <v>0</v>
      </c>
      <c r="AJ249" s="127">
        <v>0</v>
      </c>
      <c r="AK249" s="127">
        <v>0</v>
      </c>
      <c r="AL249" s="127">
        <v>0</v>
      </c>
      <c r="AM249" s="127">
        <v>0</v>
      </c>
      <c r="AN249" s="127">
        <v>0</v>
      </c>
      <c r="AO249" s="127">
        <v>0</v>
      </c>
      <c r="AP249" s="127">
        <v>0</v>
      </c>
      <c r="AQ249" s="127">
        <v>0</v>
      </c>
      <c r="AR249" s="127">
        <v>0</v>
      </c>
      <c r="AS249" s="127">
        <v>0</v>
      </c>
      <c r="AT249" s="127">
        <v>0</v>
      </c>
      <c r="AU249" s="127">
        <v>0</v>
      </c>
      <c r="AV249" s="127">
        <v>0</v>
      </c>
      <c r="AW249" s="127">
        <v>0</v>
      </c>
      <c r="AX249" s="127">
        <v>0</v>
      </c>
      <c r="AY249" s="127">
        <v>0</v>
      </c>
    </row>
    <row r="250" spans="1:51" x14ac:dyDescent="0.2">
      <c r="A250" s="126"/>
      <c r="B250" s="146">
        <v>42</v>
      </c>
      <c r="C250" s="123">
        <v>0</v>
      </c>
      <c r="D250" s="127">
        <v>0</v>
      </c>
      <c r="E250" s="127">
        <v>0</v>
      </c>
      <c r="F250" s="127">
        <v>0</v>
      </c>
      <c r="G250" s="127">
        <v>0</v>
      </c>
      <c r="H250" s="127">
        <v>0</v>
      </c>
      <c r="I250" s="127">
        <v>0</v>
      </c>
      <c r="J250" s="127">
        <v>0</v>
      </c>
      <c r="K250" s="127">
        <v>0</v>
      </c>
      <c r="L250" s="127">
        <v>0</v>
      </c>
      <c r="M250" s="127">
        <v>0</v>
      </c>
      <c r="N250" s="127">
        <v>0</v>
      </c>
      <c r="O250" s="127">
        <v>0</v>
      </c>
      <c r="P250" s="127">
        <v>0</v>
      </c>
      <c r="Q250" s="127">
        <v>0</v>
      </c>
      <c r="R250" s="127">
        <v>0</v>
      </c>
      <c r="S250" s="127">
        <v>0</v>
      </c>
      <c r="T250" s="127">
        <v>0</v>
      </c>
      <c r="U250" s="127">
        <v>0</v>
      </c>
      <c r="V250" s="127">
        <v>0</v>
      </c>
      <c r="W250" s="127">
        <v>0</v>
      </c>
      <c r="X250" s="127">
        <v>0</v>
      </c>
      <c r="Y250" s="127">
        <v>0</v>
      </c>
      <c r="Z250" s="127">
        <v>0</v>
      </c>
      <c r="AA250" s="127">
        <v>0</v>
      </c>
      <c r="AB250" s="127">
        <v>0</v>
      </c>
      <c r="AC250" s="127">
        <v>0</v>
      </c>
      <c r="AD250" s="127">
        <v>0</v>
      </c>
      <c r="AE250" s="127">
        <v>0</v>
      </c>
      <c r="AF250" s="127">
        <v>0</v>
      </c>
      <c r="AG250" s="127">
        <v>0</v>
      </c>
      <c r="AH250" s="127">
        <v>0</v>
      </c>
      <c r="AI250" s="127">
        <v>0</v>
      </c>
      <c r="AJ250" s="127">
        <v>0</v>
      </c>
      <c r="AK250" s="127">
        <v>0</v>
      </c>
      <c r="AL250" s="127">
        <v>0</v>
      </c>
      <c r="AM250" s="127">
        <v>0</v>
      </c>
      <c r="AN250" s="127">
        <v>0</v>
      </c>
      <c r="AO250" s="127">
        <v>0</v>
      </c>
      <c r="AP250" s="127">
        <v>0</v>
      </c>
      <c r="AQ250" s="127">
        <v>0</v>
      </c>
      <c r="AR250" s="127">
        <v>0</v>
      </c>
      <c r="AS250" s="127">
        <v>0</v>
      </c>
      <c r="AT250" s="127">
        <v>0</v>
      </c>
      <c r="AU250" s="127">
        <v>0</v>
      </c>
      <c r="AV250" s="127">
        <v>0</v>
      </c>
      <c r="AW250" s="127">
        <v>0</v>
      </c>
      <c r="AX250" s="127">
        <v>0</v>
      </c>
      <c r="AY250" s="127">
        <v>0</v>
      </c>
    </row>
    <row r="251" spans="1:51" x14ac:dyDescent="0.2">
      <c r="A251" s="126"/>
      <c r="B251" s="146">
        <v>43</v>
      </c>
      <c r="C251" s="123">
        <v>0</v>
      </c>
      <c r="D251" s="127">
        <v>0</v>
      </c>
      <c r="E251" s="127">
        <v>0</v>
      </c>
      <c r="F251" s="127">
        <v>0</v>
      </c>
      <c r="G251" s="127">
        <v>0</v>
      </c>
      <c r="H251" s="127">
        <v>0</v>
      </c>
      <c r="I251" s="127">
        <v>0</v>
      </c>
      <c r="J251" s="127">
        <v>0</v>
      </c>
      <c r="K251" s="127">
        <v>0</v>
      </c>
      <c r="L251" s="127">
        <v>0</v>
      </c>
      <c r="M251" s="127">
        <v>0</v>
      </c>
      <c r="N251" s="127">
        <v>0</v>
      </c>
      <c r="O251" s="127">
        <v>0</v>
      </c>
      <c r="P251" s="127">
        <v>0</v>
      </c>
      <c r="Q251" s="127">
        <v>0</v>
      </c>
      <c r="R251" s="127">
        <v>0</v>
      </c>
      <c r="S251" s="127">
        <v>0</v>
      </c>
      <c r="T251" s="127">
        <v>0</v>
      </c>
      <c r="U251" s="127">
        <v>0</v>
      </c>
      <c r="V251" s="127">
        <v>0</v>
      </c>
      <c r="W251" s="127">
        <v>0</v>
      </c>
      <c r="X251" s="127">
        <v>0</v>
      </c>
      <c r="Y251" s="127">
        <v>0</v>
      </c>
      <c r="Z251" s="127">
        <v>0</v>
      </c>
      <c r="AA251" s="127">
        <v>0</v>
      </c>
      <c r="AB251" s="127">
        <v>0</v>
      </c>
      <c r="AC251" s="127">
        <v>0</v>
      </c>
      <c r="AD251" s="127">
        <v>0</v>
      </c>
      <c r="AE251" s="127">
        <v>0</v>
      </c>
      <c r="AF251" s="127">
        <v>0</v>
      </c>
      <c r="AG251" s="127">
        <v>0</v>
      </c>
      <c r="AH251" s="127">
        <v>0</v>
      </c>
      <c r="AI251" s="127">
        <v>0</v>
      </c>
      <c r="AJ251" s="127">
        <v>0</v>
      </c>
      <c r="AK251" s="127">
        <v>0</v>
      </c>
      <c r="AL251" s="127">
        <v>0</v>
      </c>
      <c r="AM251" s="127">
        <v>0</v>
      </c>
      <c r="AN251" s="127">
        <v>0</v>
      </c>
      <c r="AO251" s="127">
        <v>0</v>
      </c>
      <c r="AP251" s="127">
        <v>0</v>
      </c>
      <c r="AQ251" s="127">
        <v>0</v>
      </c>
      <c r="AR251" s="127">
        <v>0</v>
      </c>
      <c r="AS251" s="127">
        <v>0</v>
      </c>
      <c r="AT251" s="127">
        <v>0</v>
      </c>
      <c r="AU251" s="127">
        <v>0</v>
      </c>
      <c r="AV251" s="127">
        <v>0</v>
      </c>
      <c r="AW251" s="127">
        <v>0</v>
      </c>
      <c r="AX251" s="127">
        <v>0</v>
      </c>
      <c r="AY251" s="127">
        <v>0</v>
      </c>
    </row>
    <row r="252" spans="1:51" x14ac:dyDescent="0.2">
      <c r="A252" s="126"/>
      <c r="B252" s="146">
        <v>44</v>
      </c>
      <c r="C252" s="123">
        <v>0</v>
      </c>
      <c r="D252" s="127">
        <v>0</v>
      </c>
      <c r="E252" s="127">
        <v>0</v>
      </c>
      <c r="F252" s="127">
        <v>0</v>
      </c>
      <c r="G252" s="127">
        <v>0</v>
      </c>
      <c r="H252" s="127">
        <v>0</v>
      </c>
      <c r="I252" s="127">
        <v>0</v>
      </c>
      <c r="J252" s="127">
        <v>0</v>
      </c>
      <c r="K252" s="127">
        <v>0</v>
      </c>
      <c r="L252" s="127">
        <v>0</v>
      </c>
      <c r="M252" s="127">
        <v>0</v>
      </c>
      <c r="N252" s="127">
        <v>0</v>
      </c>
      <c r="O252" s="127">
        <v>0</v>
      </c>
      <c r="P252" s="127">
        <v>0</v>
      </c>
      <c r="Q252" s="127">
        <v>0</v>
      </c>
      <c r="R252" s="127">
        <v>0</v>
      </c>
      <c r="S252" s="127">
        <v>0</v>
      </c>
      <c r="T252" s="127">
        <v>0</v>
      </c>
      <c r="U252" s="127">
        <v>0</v>
      </c>
      <c r="V252" s="127">
        <v>0</v>
      </c>
      <c r="W252" s="127">
        <v>0</v>
      </c>
      <c r="X252" s="127">
        <v>0</v>
      </c>
      <c r="Y252" s="127">
        <v>0</v>
      </c>
      <c r="Z252" s="127">
        <v>0</v>
      </c>
      <c r="AA252" s="127">
        <v>0</v>
      </c>
      <c r="AB252" s="127">
        <v>0</v>
      </c>
      <c r="AC252" s="127">
        <v>0</v>
      </c>
      <c r="AD252" s="127">
        <v>0</v>
      </c>
      <c r="AE252" s="127">
        <v>0</v>
      </c>
      <c r="AF252" s="127">
        <v>0</v>
      </c>
      <c r="AG252" s="127">
        <v>0</v>
      </c>
      <c r="AH252" s="127">
        <v>0</v>
      </c>
      <c r="AI252" s="127">
        <v>0</v>
      </c>
      <c r="AJ252" s="127">
        <v>0</v>
      </c>
      <c r="AK252" s="127">
        <v>0</v>
      </c>
      <c r="AL252" s="127">
        <v>0</v>
      </c>
      <c r="AM252" s="127">
        <v>0</v>
      </c>
      <c r="AN252" s="127">
        <v>0</v>
      </c>
      <c r="AO252" s="127">
        <v>0</v>
      </c>
      <c r="AP252" s="127">
        <v>0</v>
      </c>
      <c r="AQ252" s="127">
        <v>0</v>
      </c>
      <c r="AR252" s="127">
        <v>0</v>
      </c>
      <c r="AS252" s="127">
        <v>0</v>
      </c>
      <c r="AT252" s="127">
        <v>0</v>
      </c>
      <c r="AU252" s="127">
        <v>0</v>
      </c>
      <c r="AV252" s="127">
        <v>0</v>
      </c>
      <c r="AW252" s="127">
        <v>0</v>
      </c>
      <c r="AX252" s="127">
        <v>0</v>
      </c>
      <c r="AY252" s="127">
        <v>0</v>
      </c>
    </row>
    <row r="253" spans="1:51" x14ac:dyDescent="0.2">
      <c r="A253" s="126"/>
      <c r="B253" s="146">
        <v>45</v>
      </c>
      <c r="C253" s="123">
        <v>0</v>
      </c>
      <c r="D253" s="127">
        <v>0</v>
      </c>
      <c r="E253" s="127">
        <v>0</v>
      </c>
      <c r="F253" s="127">
        <v>0</v>
      </c>
      <c r="G253" s="127">
        <v>0</v>
      </c>
      <c r="H253" s="127">
        <v>0</v>
      </c>
      <c r="I253" s="127">
        <v>0</v>
      </c>
      <c r="J253" s="127">
        <v>0</v>
      </c>
      <c r="K253" s="127">
        <v>0</v>
      </c>
      <c r="L253" s="127">
        <v>0</v>
      </c>
      <c r="M253" s="127">
        <v>0</v>
      </c>
      <c r="N253" s="127">
        <v>0</v>
      </c>
      <c r="O253" s="127">
        <v>0</v>
      </c>
      <c r="P253" s="127">
        <v>0</v>
      </c>
      <c r="Q253" s="127">
        <v>0</v>
      </c>
      <c r="R253" s="127">
        <v>0</v>
      </c>
      <c r="S253" s="127">
        <v>0</v>
      </c>
      <c r="T253" s="127">
        <v>0</v>
      </c>
      <c r="U253" s="127">
        <v>0</v>
      </c>
      <c r="V253" s="127">
        <v>0</v>
      </c>
      <c r="W253" s="127">
        <v>0</v>
      </c>
      <c r="X253" s="127">
        <v>0</v>
      </c>
      <c r="Y253" s="127">
        <v>0</v>
      </c>
      <c r="Z253" s="127">
        <v>0</v>
      </c>
      <c r="AA253" s="127">
        <v>0</v>
      </c>
      <c r="AB253" s="127">
        <v>0</v>
      </c>
      <c r="AC253" s="127">
        <v>0</v>
      </c>
      <c r="AD253" s="127">
        <v>0</v>
      </c>
      <c r="AE253" s="127">
        <v>0</v>
      </c>
      <c r="AF253" s="127">
        <v>0</v>
      </c>
      <c r="AG253" s="127">
        <v>0</v>
      </c>
      <c r="AH253" s="127">
        <v>0</v>
      </c>
      <c r="AI253" s="127">
        <v>0</v>
      </c>
      <c r="AJ253" s="127">
        <v>0</v>
      </c>
      <c r="AK253" s="127">
        <v>0</v>
      </c>
      <c r="AL253" s="127">
        <v>0</v>
      </c>
      <c r="AM253" s="127">
        <v>0</v>
      </c>
      <c r="AN253" s="127">
        <v>0</v>
      </c>
      <c r="AO253" s="127">
        <v>0</v>
      </c>
      <c r="AP253" s="127">
        <v>0</v>
      </c>
      <c r="AQ253" s="127">
        <v>0</v>
      </c>
      <c r="AR253" s="127">
        <v>0</v>
      </c>
      <c r="AS253" s="127">
        <v>0</v>
      </c>
      <c r="AT253" s="127">
        <v>0</v>
      </c>
      <c r="AU253" s="127">
        <v>0</v>
      </c>
      <c r="AV253" s="127">
        <v>0</v>
      </c>
      <c r="AW253" s="127">
        <v>0</v>
      </c>
      <c r="AX253" s="127">
        <v>0</v>
      </c>
      <c r="AY253" s="127">
        <v>0</v>
      </c>
    </row>
    <row r="254" spans="1:51" x14ac:dyDescent="0.2">
      <c r="A254" s="126"/>
      <c r="B254" s="146">
        <v>46</v>
      </c>
      <c r="C254" s="123">
        <v>0</v>
      </c>
      <c r="D254" s="127">
        <v>0</v>
      </c>
      <c r="E254" s="127">
        <v>0</v>
      </c>
      <c r="F254" s="127">
        <v>0</v>
      </c>
      <c r="G254" s="127">
        <v>0</v>
      </c>
      <c r="H254" s="127">
        <v>0</v>
      </c>
      <c r="I254" s="127">
        <v>0</v>
      </c>
      <c r="J254" s="127">
        <v>0</v>
      </c>
      <c r="K254" s="127">
        <v>0</v>
      </c>
      <c r="L254" s="127">
        <v>0</v>
      </c>
      <c r="M254" s="127">
        <v>0</v>
      </c>
      <c r="N254" s="127">
        <v>0</v>
      </c>
      <c r="O254" s="127">
        <v>0</v>
      </c>
      <c r="P254" s="127">
        <v>0</v>
      </c>
      <c r="Q254" s="127">
        <v>0</v>
      </c>
      <c r="R254" s="127">
        <v>0</v>
      </c>
      <c r="S254" s="127">
        <v>0</v>
      </c>
      <c r="T254" s="127">
        <v>0</v>
      </c>
      <c r="U254" s="127">
        <v>0</v>
      </c>
      <c r="V254" s="127">
        <v>0</v>
      </c>
      <c r="W254" s="127">
        <v>0</v>
      </c>
      <c r="X254" s="127">
        <v>0</v>
      </c>
      <c r="Y254" s="127">
        <v>0</v>
      </c>
      <c r="Z254" s="127">
        <v>0</v>
      </c>
      <c r="AA254" s="127">
        <v>0</v>
      </c>
      <c r="AB254" s="127">
        <v>0</v>
      </c>
      <c r="AC254" s="127">
        <v>0</v>
      </c>
      <c r="AD254" s="127">
        <v>0</v>
      </c>
      <c r="AE254" s="127">
        <v>0</v>
      </c>
      <c r="AF254" s="127">
        <v>0</v>
      </c>
      <c r="AG254" s="127">
        <v>0</v>
      </c>
      <c r="AH254" s="127">
        <v>0</v>
      </c>
      <c r="AI254" s="127">
        <v>0</v>
      </c>
      <c r="AJ254" s="127">
        <v>0</v>
      </c>
      <c r="AK254" s="127">
        <v>0</v>
      </c>
      <c r="AL254" s="127">
        <v>0</v>
      </c>
      <c r="AM254" s="127">
        <v>0</v>
      </c>
      <c r="AN254" s="127">
        <v>0</v>
      </c>
      <c r="AO254" s="127">
        <v>0</v>
      </c>
      <c r="AP254" s="127">
        <v>0</v>
      </c>
      <c r="AQ254" s="127">
        <v>0</v>
      </c>
      <c r="AR254" s="127">
        <v>0</v>
      </c>
      <c r="AS254" s="127">
        <v>0</v>
      </c>
      <c r="AT254" s="127">
        <v>0</v>
      </c>
      <c r="AU254" s="127">
        <v>0</v>
      </c>
      <c r="AV254" s="127">
        <v>0</v>
      </c>
      <c r="AW254" s="127">
        <v>0</v>
      </c>
      <c r="AX254" s="127">
        <v>0</v>
      </c>
      <c r="AY254" s="127">
        <v>0</v>
      </c>
    </row>
    <row r="255" spans="1:51" x14ac:dyDescent="0.2">
      <c r="A255" s="126"/>
      <c r="B255" s="146">
        <v>47</v>
      </c>
      <c r="C255" s="123">
        <v>0</v>
      </c>
      <c r="D255" s="127">
        <v>0</v>
      </c>
      <c r="E255" s="127">
        <v>0</v>
      </c>
      <c r="F255" s="127">
        <v>0</v>
      </c>
      <c r="G255" s="127">
        <v>0</v>
      </c>
      <c r="H255" s="127">
        <v>0</v>
      </c>
      <c r="I255" s="127">
        <v>0</v>
      </c>
      <c r="J255" s="127">
        <v>0</v>
      </c>
      <c r="K255" s="127">
        <v>0</v>
      </c>
      <c r="L255" s="127">
        <v>0</v>
      </c>
      <c r="M255" s="127">
        <v>0</v>
      </c>
      <c r="N255" s="127">
        <v>0</v>
      </c>
      <c r="O255" s="127">
        <v>0</v>
      </c>
      <c r="P255" s="127">
        <v>0</v>
      </c>
      <c r="Q255" s="127">
        <v>0</v>
      </c>
      <c r="R255" s="127">
        <v>0</v>
      </c>
      <c r="S255" s="127">
        <v>0</v>
      </c>
      <c r="T255" s="127">
        <v>0</v>
      </c>
      <c r="U255" s="127">
        <v>0</v>
      </c>
      <c r="V255" s="127">
        <v>0</v>
      </c>
      <c r="W255" s="127">
        <v>0</v>
      </c>
      <c r="X255" s="127">
        <v>0</v>
      </c>
      <c r="Y255" s="127">
        <v>0</v>
      </c>
      <c r="Z255" s="127">
        <v>0</v>
      </c>
      <c r="AA255" s="127">
        <v>0</v>
      </c>
      <c r="AB255" s="127">
        <v>0</v>
      </c>
      <c r="AC255" s="127">
        <v>0</v>
      </c>
      <c r="AD255" s="127">
        <v>0</v>
      </c>
      <c r="AE255" s="127">
        <v>0</v>
      </c>
      <c r="AF255" s="127">
        <v>0</v>
      </c>
      <c r="AG255" s="127">
        <v>0</v>
      </c>
      <c r="AH255" s="127">
        <v>0</v>
      </c>
      <c r="AI255" s="127">
        <v>0</v>
      </c>
      <c r="AJ255" s="127">
        <v>0</v>
      </c>
      <c r="AK255" s="127">
        <v>0</v>
      </c>
      <c r="AL255" s="127">
        <v>0</v>
      </c>
      <c r="AM255" s="127">
        <v>0</v>
      </c>
      <c r="AN255" s="127">
        <v>0</v>
      </c>
      <c r="AO255" s="127">
        <v>0</v>
      </c>
      <c r="AP255" s="127">
        <v>0</v>
      </c>
      <c r="AQ255" s="127">
        <v>0</v>
      </c>
      <c r="AR255" s="127">
        <v>0</v>
      </c>
      <c r="AS255" s="127">
        <v>0</v>
      </c>
      <c r="AT255" s="127">
        <v>0</v>
      </c>
      <c r="AU255" s="127">
        <v>0</v>
      </c>
      <c r="AV255" s="127">
        <v>0</v>
      </c>
      <c r="AW255" s="127">
        <v>0</v>
      </c>
      <c r="AX255" s="127">
        <v>0</v>
      </c>
      <c r="AY255" s="127">
        <v>0</v>
      </c>
    </row>
    <row r="256" spans="1:51" x14ac:dyDescent="0.2">
      <c r="A256" s="144"/>
      <c r="B256" s="145">
        <v>48</v>
      </c>
      <c r="C256" s="130">
        <v>0</v>
      </c>
      <c r="D256" s="141">
        <v>0</v>
      </c>
      <c r="E256" s="141">
        <v>0</v>
      </c>
      <c r="F256" s="141">
        <v>0</v>
      </c>
      <c r="G256" s="141">
        <v>0</v>
      </c>
      <c r="H256" s="141">
        <v>0</v>
      </c>
      <c r="I256" s="141">
        <v>0</v>
      </c>
      <c r="J256" s="141">
        <v>0</v>
      </c>
      <c r="K256" s="141">
        <v>0</v>
      </c>
      <c r="L256" s="141">
        <v>0</v>
      </c>
      <c r="M256" s="141">
        <v>0</v>
      </c>
      <c r="N256" s="141">
        <v>0</v>
      </c>
      <c r="O256" s="141">
        <v>0</v>
      </c>
      <c r="P256" s="141">
        <v>0</v>
      </c>
      <c r="Q256" s="141">
        <v>0</v>
      </c>
      <c r="R256" s="141">
        <v>0</v>
      </c>
      <c r="S256" s="141">
        <v>0</v>
      </c>
      <c r="T256" s="141">
        <v>0</v>
      </c>
      <c r="U256" s="141">
        <v>0</v>
      </c>
      <c r="V256" s="141">
        <v>0</v>
      </c>
      <c r="W256" s="141">
        <v>0</v>
      </c>
      <c r="X256" s="141">
        <v>0</v>
      </c>
      <c r="Y256" s="141">
        <v>0</v>
      </c>
      <c r="Z256" s="141">
        <v>0</v>
      </c>
      <c r="AA256" s="141">
        <v>0</v>
      </c>
      <c r="AB256" s="141">
        <v>0</v>
      </c>
      <c r="AC256" s="141">
        <v>0</v>
      </c>
      <c r="AD256" s="141">
        <v>0</v>
      </c>
      <c r="AE256" s="141">
        <v>0</v>
      </c>
      <c r="AF256" s="141">
        <v>0</v>
      </c>
      <c r="AG256" s="141">
        <v>0</v>
      </c>
      <c r="AH256" s="141">
        <v>0</v>
      </c>
      <c r="AI256" s="141">
        <v>0</v>
      </c>
      <c r="AJ256" s="141">
        <v>0</v>
      </c>
      <c r="AK256" s="141">
        <v>0</v>
      </c>
      <c r="AL256" s="141">
        <v>0</v>
      </c>
      <c r="AM256" s="141">
        <v>0</v>
      </c>
      <c r="AN256" s="141">
        <v>0</v>
      </c>
      <c r="AO256" s="141">
        <v>0</v>
      </c>
      <c r="AP256" s="141">
        <v>0</v>
      </c>
      <c r="AQ256" s="141">
        <v>0</v>
      </c>
      <c r="AR256" s="141">
        <v>0</v>
      </c>
      <c r="AS256" s="141">
        <v>0</v>
      </c>
      <c r="AT256" s="141">
        <v>0</v>
      </c>
      <c r="AU256" s="141">
        <v>0</v>
      </c>
      <c r="AV256" s="141">
        <v>0</v>
      </c>
      <c r="AW256" s="141">
        <v>0</v>
      </c>
      <c r="AX256" s="141">
        <v>0</v>
      </c>
      <c r="AY256" s="141">
        <v>0</v>
      </c>
    </row>
    <row r="258" spans="1:52" x14ac:dyDescent="0.2">
      <c r="A258" s="1" t="s">
        <v>301</v>
      </c>
    </row>
    <row r="259" spans="1:52" x14ac:dyDescent="0.2">
      <c r="A259" s="153" t="s">
        <v>124</v>
      </c>
      <c r="B259" s="154">
        <v>650</v>
      </c>
      <c r="C259" s="140" t="s">
        <v>293</v>
      </c>
      <c r="D259" s="140">
        <f>E$14*$B$259</f>
        <v>122108.33328090957</v>
      </c>
      <c r="E259" s="140">
        <f t="shared" ref="E259:AX259" si="5">F$14*$B$259</f>
        <v>205825.67495492514</v>
      </c>
      <c r="F259" s="140">
        <f t="shared" si="5"/>
        <v>310250.12351999787</v>
      </c>
      <c r="G259" s="140">
        <f t="shared" si="5"/>
        <v>330747.52679251425</v>
      </c>
      <c r="H259" s="140">
        <f t="shared" si="5"/>
        <v>396428.77167038969</v>
      </c>
      <c r="I259" s="140">
        <f t="shared" si="5"/>
        <v>346431.27998926985</v>
      </c>
      <c r="J259" s="140">
        <f t="shared" si="5"/>
        <v>408765.57384799991</v>
      </c>
      <c r="K259" s="140">
        <f t="shared" si="5"/>
        <v>406780.64205045206</v>
      </c>
      <c r="L259" s="140">
        <f t="shared" si="5"/>
        <v>407241.92475081724</v>
      </c>
      <c r="M259" s="140">
        <f t="shared" si="5"/>
        <v>340584.59764971561</v>
      </c>
      <c r="N259" s="140">
        <f t="shared" si="5"/>
        <v>457206.79756649281</v>
      </c>
      <c r="O259" s="140">
        <f t="shared" si="5"/>
        <v>432257.54278434475</v>
      </c>
      <c r="P259" s="140">
        <f t="shared" si="5"/>
        <v>432042.82298032084</v>
      </c>
      <c r="Q259" s="140">
        <f t="shared" si="5"/>
        <v>443811.28381447715</v>
      </c>
      <c r="R259" s="140">
        <f t="shared" si="5"/>
        <v>431314.36719699623</v>
      </c>
      <c r="S259" s="140">
        <f t="shared" si="5"/>
        <v>443997.38057865115</v>
      </c>
      <c r="T259" s="140">
        <f t="shared" si="5"/>
        <v>486009.8649896796</v>
      </c>
      <c r="U259" s="140">
        <f t="shared" si="5"/>
        <v>450749.35728630447</v>
      </c>
      <c r="V259" s="140">
        <f t="shared" si="5"/>
        <v>478953.33088695304</v>
      </c>
      <c r="W259" s="140">
        <f t="shared" si="5"/>
        <v>379336.62933554716</v>
      </c>
      <c r="X259" s="140">
        <f t="shared" si="5"/>
        <v>437459.39045797189</v>
      </c>
      <c r="Y259" s="140">
        <f t="shared" si="5"/>
        <v>473824.69721254788</v>
      </c>
      <c r="Z259" s="140">
        <f t="shared" si="5"/>
        <v>491811.89260650816</v>
      </c>
      <c r="AA259" s="140">
        <f t="shared" si="5"/>
        <v>447973.72717240558</v>
      </c>
      <c r="AB259" s="140">
        <f t="shared" si="5"/>
        <v>467529.38132264791</v>
      </c>
      <c r="AC259" s="140">
        <f t="shared" si="5"/>
        <v>477885.1855895741</v>
      </c>
      <c r="AD259" s="140">
        <f t="shared" si="5"/>
        <v>515785.8294784344</v>
      </c>
      <c r="AE259" s="140">
        <f t="shared" si="5"/>
        <v>385182.19827558182</v>
      </c>
      <c r="AF259" s="140">
        <f t="shared" si="5"/>
        <v>466216.92259773519</v>
      </c>
      <c r="AG259" s="140">
        <f t="shared" si="5"/>
        <v>458395.67455477931</v>
      </c>
      <c r="AH259" s="140">
        <f t="shared" si="5"/>
        <v>477695.02228692046</v>
      </c>
      <c r="AI259" s="140">
        <f t="shared" si="5"/>
        <v>442718.75720632233</v>
      </c>
      <c r="AJ259" s="140">
        <f t="shared" si="5"/>
        <v>465976.12976691383</v>
      </c>
      <c r="AK259" s="140">
        <f t="shared" si="5"/>
        <v>438681.39591597317</v>
      </c>
      <c r="AL259" s="140">
        <f t="shared" si="5"/>
        <v>356884.45999659249</v>
      </c>
      <c r="AM259" s="140">
        <f t="shared" si="5"/>
        <v>356509.2499905841</v>
      </c>
      <c r="AN259" s="140">
        <f t="shared" si="5"/>
        <v>372849.70080089691</v>
      </c>
      <c r="AO259" s="140">
        <f t="shared" si="5"/>
        <v>437191.72121654783</v>
      </c>
      <c r="AP259" s="140">
        <f t="shared" si="5"/>
        <v>371066.65459424636</v>
      </c>
      <c r="AQ259" s="140">
        <f t="shared" si="5"/>
        <v>382949.08718100557</v>
      </c>
      <c r="AR259" s="140">
        <f t="shared" si="5"/>
        <v>374799.16470545559</v>
      </c>
      <c r="AS259" s="140">
        <f t="shared" si="5"/>
        <v>429779.67429015116</v>
      </c>
      <c r="AT259" s="140">
        <f t="shared" si="5"/>
        <v>374916.41670034948</v>
      </c>
      <c r="AU259" s="140">
        <f t="shared" si="5"/>
        <v>427402.40823101701</v>
      </c>
      <c r="AV259" s="140">
        <f t="shared" si="5"/>
        <v>420518.05327689304</v>
      </c>
      <c r="AW259" s="140">
        <f t="shared" si="5"/>
        <v>416444.7844315425</v>
      </c>
      <c r="AX259" s="140">
        <f t="shared" si="5"/>
        <v>329088.49513329612</v>
      </c>
      <c r="AY259" s="140">
        <f>AZ$14*$B$259</f>
        <v>331559.88230449433</v>
      </c>
      <c r="AZ259" s="155">
        <f>SUM($D259:$AY259)</f>
        <v>19539939.783224147</v>
      </c>
    </row>
    <row r="260" spans="1:52" x14ac:dyDescent="0.2">
      <c r="A260" s="156" t="s">
        <v>302</v>
      </c>
      <c r="B260" s="130">
        <v>60</v>
      </c>
      <c r="C260" s="141" t="s">
        <v>293</v>
      </c>
      <c r="D260" s="141">
        <f>(D$175-D$176+D$177-D$178+D$179-D$180+D$181-D$182)*$B$260</f>
        <v>506718.99428043829</v>
      </c>
      <c r="E260" s="141">
        <f t="shared" ref="E260:AY260" si="6">(E$175-E$176+E$177-E$178+E$179-E$180+E$181-E$182)*$B$260</f>
        <v>620184.35642262746</v>
      </c>
      <c r="F260" s="141">
        <f t="shared" si="6"/>
        <v>745313.46334523254</v>
      </c>
      <c r="G260" s="141">
        <f t="shared" si="6"/>
        <v>842675.24547069136</v>
      </c>
      <c r="H260" s="141">
        <f t="shared" si="6"/>
        <v>854187.59841022908</v>
      </c>
      <c r="I260" s="141">
        <f t="shared" si="6"/>
        <v>852977.94112666044</v>
      </c>
      <c r="J260" s="141">
        <f t="shared" si="6"/>
        <v>877862.10614844097</v>
      </c>
      <c r="K260" s="141">
        <f t="shared" si="6"/>
        <v>882599.56149734813</v>
      </c>
      <c r="L260" s="141">
        <f t="shared" si="6"/>
        <v>906728.214437193</v>
      </c>
      <c r="M260" s="141">
        <f t="shared" si="6"/>
        <v>896373.95251219859</v>
      </c>
      <c r="N260" s="141">
        <f t="shared" si="6"/>
        <v>935240.46681409015</v>
      </c>
      <c r="O260" s="141">
        <f t="shared" si="6"/>
        <v>940898.66458600073</v>
      </c>
      <c r="P260" s="141">
        <f t="shared" si="6"/>
        <v>958445.6803861378</v>
      </c>
      <c r="Q260" s="141">
        <f t="shared" si="6"/>
        <v>964773.45502129581</v>
      </c>
      <c r="R260" s="141">
        <f t="shared" si="6"/>
        <v>971007.75046044472</v>
      </c>
      <c r="S260" s="141">
        <f t="shared" si="6"/>
        <v>994254.86706851725</v>
      </c>
      <c r="T260" s="141">
        <f t="shared" si="6"/>
        <v>1008011.9812225963</v>
      </c>
      <c r="U260" s="141">
        <f t="shared" si="6"/>
        <v>1019715.7841731661</v>
      </c>
      <c r="V260" s="141">
        <f t="shared" si="6"/>
        <v>1040322.1406315474</v>
      </c>
      <c r="W260" s="141">
        <f t="shared" si="6"/>
        <v>1036550.2825019655</v>
      </c>
      <c r="X260" s="141">
        <f t="shared" si="6"/>
        <v>1057898.0925669107</v>
      </c>
      <c r="Y260" s="141">
        <f t="shared" si="6"/>
        <v>1085441.3558650485</v>
      </c>
      <c r="Z260" s="141">
        <f t="shared" si="6"/>
        <v>1106348.4680381722</v>
      </c>
      <c r="AA260" s="141">
        <f t="shared" si="6"/>
        <v>1106392.3445315175</v>
      </c>
      <c r="AB260" s="141">
        <f t="shared" si="6"/>
        <v>1127528.9509175692</v>
      </c>
      <c r="AC260" s="141">
        <f t="shared" si="6"/>
        <v>1139770.6557651432</v>
      </c>
      <c r="AD260" s="141">
        <f t="shared" si="6"/>
        <v>1171434.8244289607</v>
      </c>
      <c r="AE260" s="141">
        <f t="shared" si="6"/>
        <v>1165052.6801569688</v>
      </c>
      <c r="AF260" s="141">
        <f t="shared" si="6"/>
        <v>1186558.4087067614</v>
      </c>
      <c r="AG260" s="141">
        <f t="shared" si="6"/>
        <v>1202777.7464116078</v>
      </c>
      <c r="AH260" s="141">
        <f t="shared" si="6"/>
        <v>1219219.843130684</v>
      </c>
      <c r="AI260" s="141">
        <f t="shared" si="6"/>
        <v>1228946.6224476264</v>
      </c>
      <c r="AJ260" s="141">
        <f t="shared" si="6"/>
        <v>1244966.8311927563</v>
      </c>
      <c r="AK260" s="141">
        <f t="shared" si="6"/>
        <v>1254724.218269167</v>
      </c>
      <c r="AL260" s="141">
        <f t="shared" si="6"/>
        <v>1244779.3746809654</v>
      </c>
      <c r="AM260" s="141">
        <f t="shared" si="6"/>
        <v>1251813.7509183295</v>
      </c>
      <c r="AN260" s="141">
        <f t="shared" si="6"/>
        <v>1261133.1283420848</v>
      </c>
      <c r="AO260" s="141">
        <f t="shared" si="6"/>
        <v>1276673.9257638159</v>
      </c>
      <c r="AP260" s="141">
        <f t="shared" si="6"/>
        <v>1284404.9400952139</v>
      </c>
      <c r="AQ260" s="141">
        <f t="shared" si="6"/>
        <v>1267001.5925097791</v>
      </c>
      <c r="AR260" s="141">
        <f t="shared" si="6"/>
        <v>1276211.5190723164</v>
      </c>
      <c r="AS260" s="141">
        <f t="shared" si="6"/>
        <v>1277989.0799821054</v>
      </c>
      <c r="AT260" s="141">
        <f t="shared" si="6"/>
        <v>1267556.0214671695</v>
      </c>
      <c r="AU260" s="141">
        <f t="shared" si="6"/>
        <v>1263165.543753363</v>
      </c>
      <c r="AV260" s="141">
        <f t="shared" si="6"/>
        <v>1267031.1818785241</v>
      </c>
      <c r="AW260" s="141">
        <f t="shared" si="6"/>
        <v>1260625.3669328205</v>
      </c>
      <c r="AX260" s="141">
        <f t="shared" si="6"/>
        <v>1247942.7837545297</v>
      </c>
      <c r="AY260" s="141">
        <f t="shared" si="6"/>
        <v>1237847.1949108767</v>
      </c>
      <c r="AZ260" s="157">
        <f>SUM($D260:$AY260)</f>
        <v>51836078.953007601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75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customWidth="1"/>
    <col min="2" max="2" width="12.7109375" customWidth="1"/>
  </cols>
  <sheetData>
    <row r="1" spans="1:54" x14ac:dyDescent="0.2">
      <c r="A1" s="1" t="s">
        <v>284</v>
      </c>
    </row>
    <row r="2" spans="1:54" x14ac:dyDescent="0.2">
      <c r="A2" t="s">
        <v>285</v>
      </c>
      <c r="B2" s="124" t="s">
        <v>59</v>
      </c>
    </row>
    <row r="3" spans="1:54" x14ac:dyDescent="0.2">
      <c r="A3" t="s">
        <v>286</v>
      </c>
      <c r="B3" s="125">
        <v>43000</v>
      </c>
      <c r="C3" s="126"/>
    </row>
    <row r="4" spans="1:54" x14ac:dyDescent="0.2">
      <c r="B4" s="127"/>
      <c r="C4" s="127"/>
    </row>
    <row r="5" spans="1:54" x14ac:dyDescent="0.2">
      <c r="C5" s="9" t="s">
        <v>287</v>
      </c>
    </row>
    <row r="6" spans="1:54" x14ac:dyDescent="0.2">
      <c r="C6" s="128">
        <v>0</v>
      </c>
      <c r="D6" s="128">
        <v>1</v>
      </c>
      <c r="E6" s="128">
        <v>2</v>
      </c>
      <c r="F6" s="128">
        <v>3</v>
      </c>
      <c r="G6" s="128">
        <v>4</v>
      </c>
      <c r="H6" s="128">
        <v>5</v>
      </c>
      <c r="I6" s="128">
        <v>6</v>
      </c>
      <c r="J6" s="128">
        <v>7</v>
      </c>
      <c r="K6" s="128">
        <v>8</v>
      </c>
      <c r="L6" s="128">
        <v>9</v>
      </c>
      <c r="M6" s="128">
        <v>10</v>
      </c>
      <c r="N6" s="128">
        <v>11</v>
      </c>
      <c r="O6" s="128">
        <v>12</v>
      </c>
      <c r="P6" s="128">
        <v>13</v>
      </c>
      <c r="Q6" s="128">
        <v>14</v>
      </c>
      <c r="R6" s="128">
        <v>15</v>
      </c>
      <c r="S6" s="128">
        <v>16</v>
      </c>
      <c r="T6" s="128">
        <v>17</v>
      </c>
      <c r="U6" s="128">
        <v>18</v>
      </c>
      <c r="V6" s="128">
        <v>19</v>
      </c>
      <c r="W6" s="128">
        <v>20</v>
      </c>
      <c r="X6" s="128">
        <v>21</v>
      </c>
      <c r="Y6" s="128">
        <v>22</v>
      </c>
      <c r="Z6" s="128">
        <v>23</v>
      </c>
      <c r="AA6" s="128">
        <v>24</v>
      </c>
      <c r="AB6" s="128">
        <v>25</v>
      </c>
      <c r="AC6" s="128">
        <v>26</v>
      </c>
      <c r="AD6" s="128">
        <v>27</v>
      </c>
      <c r="AE6" s="128">
        <v>28</v>
      </c>
      <c r="AF6" s="128">
        <v>29</v>
      </c>
      <c r="AG6" s="128">
        <v>30</v>
      </c>
      <c r="AH6" s="128">
        <v>31</v>
      </c>
      <c r="AI6" s="128">
        <v>32</v>
      </c>
      <c r="AJ6" s="128">
        <v>33</v>
      </c>
      <c r="AK6" s="128">
        <v>34</v>
      </c>
      <c r="AL6" s="128">
        <v>35</v>
      </c>
      <c r="AM6" s="128">
        <v>36</v>
      </c>
      <c r="AN6" s="128">
        <v>37</v>
      </c>
      <c r="AO6" s="128">
        <v>38</v>
      </c>
      <c r="AP6" s="128">
        <v>39</v>
      </c>
      <c r="AQ6" s="128">
        <v>40</v>
      </c>
      <c r="AR6" s="128">
        <v>41</v>
      </c>
      <c r="AS6" s="128">
        <v>42</v>
      </c>
      <c r="AT6" s="128">
        <v>43</v>
      </c>
      <c r="AU6" s="128">
        <v>44</v>
      </c>
      <c r="AV6" s="128">
        <v>45</v>
      </c>
      <c r="AW6" s="128">
        <v>46</v>
      </c>
      <c r="AX6" s="128">
        <v>47</v>
      </c>
      <c r="AY6" s="128">
        <v>48</v>
      </c>
    </row>
    <row r="7" spans="1:54" x14ac:dyDescent="0.2">
      <c r="B7" s="127"/>
      <c r="C7" s="129" t="s">
        <v>288</v>
      </c>
      <c r="D7" s="128" t="s">
        <v>289</v>
      </c>
      <c r="E7" s="128" t="s">
        <v>289</v>
      </c>
      <c r="F7" s="128" t="s">
        <v>289</v>
      </c>
      <c r="G7" s="128" t="s">
        <v>289</v>
      </c>
      <c r="H7" s="128" t="s">
        <v>289</v>
      </c>
      <c r="I7" s="128" t="s">
        <v>289</v>
      </c>
      <c r="J7" s="128" t="s">
        <v>289</v>
      </c>
      <c r="K7" s="128" t="s">
        <v>289</v>
      </c>
      <c r="L7" s="128" t="s">
        <v>289</v>
      </c>
      <c r="M7" s="128" t="s">
        <v>289</v>
      </c>
      <c r="N7" s="128" t="s">
        <v>289</v>
      </c>
      <c r="O7" s="128" t="s">
        <v>289</v>
      </c>
      <c r="P7" s="128" t="s">
        <v>289</v>
      </c>
      <c r="Q7" s="128" t="s">
        <v>289</v>
      </c>
      <c r="R7" s="128" t="s">
        <v>289</v>
      </c>
      <c r="S7" s="128" t="s">
        <v>289</v>
      </c>
      <c r="T7" s="128" t="s">
        <v>289</v>
      </c>
      <c r="U7" s="128" t="s">
        <v>289</v>
      </c>
      <c r="V7" s="128" t="s">
        <v>289</v>
      </c>
      <c r="W7" s="128" t="s">
        <v>289</v>
      </c>
      <c r="X7" s="128" t="s">
        <v>289</v>
      </c>
      <c r="Y7" s="128" t="s">
        <v>289</v>
      </c>
      <c r="Z7" s="128" t="s">
        <v>289</v>
      </c>
      <c r="AA7" s="128" t="s">
        <v>289</v>
      </c>
      <c r="AB7" s="128" t="s">
        <v>289</v>
      </c>
      <c r="AC7" s="128" t="s">
        <v>289</v>
      </c>
      <c r="AD7" s="128" t="s">
        <v>289</v>
      </c>
      <c r="AE7" s="128" t="s">
        <v>289</v>
      </c>
      <c r="AF7" s="128" t="s">
        <v>289</v>
      </c>
      <c r="AG7" s="128" t="s">
        <v>289</v>
      </c>
      <c r="AH7" s="128" t="s">
        <v>289</v>
      </c>
      <c r="AI7" s="128" t="s">
        <v>289</v>
      </c>
      <c r="AJ7" s="128" t="s">
        <v>289</v>
      </c>
      <c r="AK7" s="128" t="s">
        <v>289</v>
      </c>
      <c r="AL7" s="128" t="s">
        <v>289</v>
      </c>
      <c r="AM7" s="128" t="s">
        <v>289</v>
      </c>
      <c r="AN7" s="128" t="s">
        <v>289</v>
      </c>
      <c r="AO7" s="128" t="s">
        <v>289</v>
      </c>
      <c r="AP7" s="128" t="s">
        <v>289</v>
      </c>
      <c r="AQ7" s="128" t="s">
        <v>289</v>
      </c>
      <c r="AR7" s="128" t="s">
        <v>289</v>
      </c>
      <c r="AS7" s="128" t="s">
        <v>289</v>
      </c>
      <c r="AT7" s="128" t="s">
        <v>289</v>
      </c>
      <c r="AU7" s="128" t="s">
        <v>289</v>
      </c>
      <c r="AV7" s="128" t="s">
        <v>289</v>
      </c>
      <c r="AW7" s="128" t="s">
        <v>289</v>
      </c>
      <c r="AX7" s="128" t="s">
        <v>289</v>
      </c>
      <c r="AY7" s="9" t="s">
        <v>290</v>
      </c>
      <c r="AZ7" s="9" t="s">
        <v>291</v>
      </c>
    </row>
    <row r="8" spans="1:54" x14ac:dyDescent="0.2">
      <c r="A8" s="1" t="s">
        <v>292</v>
      </c>
      <c r="B8" s="130"/>
      <c r="AY8" s="127"/>
    </row>
    <row r="9" spans="1:54" x14ac:dyDescent="0.2">
      <c r="A9" s="131" t="s">
        <v>125</v>
      </c>
      <c r="B9" s="132">
        <v>1</v>
      </c>
      <c r="C9" s="133" t="s">
        <v>293</v>
      </c>
      <c r="D9" s="133">
        <v>5418.2018762231246</v>
      </c>
      <c r="E9" s="133">
        <v>5418.2018762231246</v>
      </c>
      <c r="F9" s="133">
        <v>5418.2018762231246</v>
      </c>
      <c r="G9" s="133">
        <v>5418.2018762231246</v>
      </c>
      <c r="H9" s="133">
        <v>5418.2018762231246</v>
      </c>
      <c r="I9" s="133">
        <v>5418.2018762231246</v>
      </c>
      <c r="J9" s="133">
        <v>5418.2018762231246</v>
      </c>
      <c r="K9" s="133">
        <v>5418.2018762231246</v>
      </c>
      <c r="L9" s="133">
        <v>5418.2018762231246</v>
      </c>
      <c r="M9" s="133">
        <v>5418.2018762231246</v>
      </c>
      <c r="N9" s="133">
        <v>5418.2018762231246</v>
      </c>
      <c r="O9" s="133">
        <v>5418.2018762231246</v>
      </c>
      <c r="P9" s="133">
        <v>5418.2018762231246</v>
      </c>
      <c r="Q9" s="133">
        <v>5418.2018762231246</v>
      </c>
      <c r="R9" s="133">
        <v>5273.9674306522929</v>
      </c>
      <c r="S9" s="133">
        <v>4451.6078259660117</v>
      </c>
      <c r="T9" s="133">
        <v>5418.2018762231246</v>
      </c>
      <c r="U9" s="133">
        <v>5418.2018762231246</v>
      </c>
      <c r="V9" s="133">
        <v>5418.2018762231246</v>
      </c>
      <c r="W9" s="133">
        <v>5418.2018762231246</v>
      </c>
      <c r="X9" s="133">
        <v>5418.2018762231246</v>
      </c>
      <c r="Y9" s="133">
        <v>5418.2018762231246</v>
      </c>
      <c r="Z9" s="133">
        <v>5418.2018762231246</v>
      </c>
      <c r="AA9" s="133">
        <v>5418.2018762231246</v>
      </c>
      <c r="AB9" s="133">
        <v>5418.2018762231246</v>
      </c>
      <c r="AC9" s="133">
        <v>5418.2018762231246</v>
      </c>
      <c r="AD9" s="133">
        <v>5418.2018762231246</v>
      </c>
      <c r="AE9" s="133">
        <v>5418.2018762231246</v>
      </c>
      <c r="AF9" s="133">
        <v>5418.2018762231246</v>
      </c>
      <c r="AG9" s="133">
        <v>5418.2018762231246</v>
      </c>
      <c r="AH9" s="133">
        <v>5418.2018762231246</v>
      </c>
      <c r="AI9" s="133">
        <v>5418.2018762231246</v>
      </c>
      <c r="AJ9" s="133">
        <v>5418.2018762231246</v>
      </c>
      <c r="AK9" s="133">
        <v>5418.2018762231246</v>
      </c>
      <c r="AL9" s="133">
        <v>5418.2018762231246</v>
      </c>
      <c r="AM9" s="133">
        <v>5418.2018762231246</v>
      </c>
      <c r="AN9" s="133">
        <v>5418.2018762231246</v>
      </c>
      <c r="AO9" s="133">
        <v>5418.2018762231246</v>
      </c>
      <c r="AP9" s="133">
        <v>5418.2018762231246</v>
      </c>
      <c r="AQ9" s="133">
        <v>5418.2018762231246</v>
      </c>
      <c r="AR9" s="133">
        <v>5418.2018762231246</v>
      </c>
      <c r="AS9" s="133">
        <v>5418.2018762231246</v>
      </c>
      <c r="AT9" s="133">
        <v>5418.2018762231246</v>
      </c>
      <c r="AU9" s="133">
        <v>5418.2018762231246</v>
      </c>
      <c r="AV9" s="133">
        <v>5418.2018762231246</v>
      </c>
      <c r="AW9" s="133">
        <v>5418.2018762231246</v>
      </c>
      <c r="AX9" s="133">
        <v>5418.2018762231246</v>
      </c>
      <c r="AY9" s="133">
        <v>5418.2018762231246</v>
      </c>
    </row>
    <row r="10" spans="1:54" x14ac:dyDescent="0.2">
      <c r="A10" s="134" t="s">
        <v>133</v>
      </c>
      <c r="B10" s="135">
        <v>1</v>
      </c>
      <c r="C10" s="123" t="s">
        <v>293</v>
      </c>
      <c r="D10">
        <v>2458.0972481128438</v>
      </c>
      <c r="E10">
        <v>0</v>
      </c>
      <c r="F10">
        <v>1143.4280512382779</v>
      </c>
      <c r="G10">
        <v>913.42805123827782</v>
      </c>
      <c r="H10">
        <v>1143.4280512382779</v>
      </c>
      <c r="I10">
        <v>913.42805123827782</v>
      </c>
      <c r="J10">
        <v>1143.4280512382782</v>
      </c>
      <c r="K10">
        <v>913.42805123827816</v>
      </c>
      <c r="L10">
        <v>1143.4280512382782</v>
      </c>
      <c r="M10">
        <v>540</v>
      </c>
      <c r="N10">
        <v>1143.4280512382782</v>
      </c>
      <c r="O10">
        <v>540</v>
      </c>
      <c r="P10">
        <v>1143.4280512382782</v>
      </c>
      <c r="Q10">
        <v>913.42805123827816</v>
      </c>
      <c r="R10">
        <v>1143.4280512382782</v>
      </c>
      <c r="S10">
        <v>540</v>
      </c>
      <c r="T10">
        <v>1143.4280512382782</v>
      </c>
      <c r="U10">
        <v>913.42805123827816</v>
      </c>
      <c r="V10">
        <v>1143.4280512382782</v>
      </c>
      <c r="W10">
        <v>120</v>
      </c>
      <c r="X10">
        <v>1936.8561024765563</v>
      </c>
      <c r="Y10">
        <v>793.42805123827816</v>
      </c>
      <c r="Z10">
        <v>1143.4280512382782</v>
      </c>
      <c r="AA10">
        <v>540</v>
      </c>
      <c r="AB10">
        <v>1143.4280512382782</v>
      </c>
      <c r="AC10">
        <v>540</v>
      </c>
      <c r="AD10">
        <v>1143.4280512382782</v>
      </c>
      <c r="AE10">
        <v>913.42805123827816</v>
      </c>
      <c r="AF10">
        <v>1143.4280512382782</v>
      </c>
      <c r="AG10">
        <v>913.42805123827816</v>
      </c>
      <c r="AH10">
        <v>1143.4280512382782</v>
      </c>
      <c r="AI10">
        <v>540</v>
      </c>
      <c r="AJ10">
        <v>1143.4280512382782</v>
      </c>
      <c r="AK10">
        <v>913.42805123827816</v>
      </c>
      <c r="AL10">
        <v>350</v>
      </c>
      <c r="AM10">
        <v>1706.8561024765563</v>
      </c>
      <c r="AN10">
        <v>1143.4280512382782</v>
      </c>
      <c r="AO10">
        <v>913.42805123827816</v>
      </c>
      <c r="AP10">
        <v>1143.4280512382782</v>
      </c>
      <c r="AQ10">
        <v>913.42805123827816</v>
      </c>
      <c r="AR10">
        <v>350</v>
      </c>
      <c r="AS10">
        <v>1380</v>
      </c>
      <c r="AT10">
        <v>350</v>
      </c>
      <c r="AU10">
        <v>1586.8561024765563</v>
      </c>
      <c r="AV10">
        <v>350</v>
      </c>
      <c r="AW10">
        <v>913.42805123827816</v>
      </c>
      <c r="AX10">
        <v>1143.4280512382782</v>
      </c>
      <c r="AY10">
        <v>793.42805123827816</v>
      </c>
      <c r="AZ10">
        <v>793.42805123827816</v>
      </c>
    </row>
    <row r="11" spans="1:54" x14ac:dyDescent="0.2">
      <c r="B11" s="135">
        <v>2</v>
      </c>
      <c r="C11" s="123" t="s">
        <v>293</v>
      </c>
      <c r="D11">
        <v>0</v>
      </c>
      <c r="E11">
        <v>350</v>
      </c>
      <c r="F11">
        <v>993.23964486176965</v>
      </c>
      <c r="G11">
        <v>0</v>
      </c>
      <c r="H11">
        <v>230</v>
      </c>
      <c r="I11">
        <v>0</v>
      </c>
      <c r="J11">
        <v>230</v>
      </c>
      <c r="K11">
        <v>0</v>
      </c>
      <c r="L11">
        <v>230</v>
      </c>
      <c r="M11">
        <v>0</v>
      </c>
      <c r="N11">
        <v>603.42805123827816</v>
      </c>
      <c r="O11">
        <v>0</v>
      </c>
      <c r="P11">
        <v>230</v>
      </c>
      <c r="Q11">
        <v>0</v>
      </c>
      <c r="R11">
        <v>0</v>
      </c>
      <c r="S11">
        <v>0</v>
      </c>
      <c r="T11">
        <v>603.42805123827816</v>
      </c>
      <c r="U11">
        <v>0</v>
      </c>
      <c r="V11">
        <v>0</v>
      </c>
      <c r="W11">
        <v>0</v>
      </c>
      <c r="X11">
        <v>230</v>
      </c>
      <c r="Y11">
        <v>0</v>
      </c>
      <c r="AA11">
        <v>0</v>
      </c>
      <c r="AB11">
        <v>230</v>
      </c>
      <c r="AC11">
        <v>0</v>
      </c>
      <c r="AD11">
        <v>373.42805123827816</v>
      </c>
      <c r="AE11">
        <v>0</v>
      </c>
      <c r="AF11">
        <v>230</v>
      </c>
      <c r="AG11">
        <v>0</v>
      </c>
      <c r="AI11">
        <v>0</v>
      </c>
      <c r="AJ11">
        <v>373.42805123827816</v>
      </c>
      <c r="AK11">
        <v>0</v>
      </c>
      <c r="AL11">
        <v>230</v>
      </c>
      <c r="AM11">
        <v>0</v>
      </c>
      <c r="AP11">
        <v>230</v>
      </c>
      <c r="AQ11">
        <v>0</v>
      </c>
      <c r="AR11">
        <v>230</v>
      </c>
      <c r="AS11">
        <v>0</v>
      </c>
      <c r="AT11">
        <v>556.85610247655632</v>
      </c>
      <c r="AU11">
        <v>0</v>
      </c>
      <c r="AW11">
        <v>793.42805123827816</v>
      </c>
      <c r="AY11">
        <v>0</v>
      </c>
      <c r="AZ11">
        <v>0</v>
      </c>
      <c r="BA11">
        <v>0</v>
      </c>
    </row>
    <row r="12" spans="1:54" x14ac:dyDescent="0.2">
      <c r="B12" s="136">
        <v>3</v>
      </c>
      <c r="C12" s="123" t="s">
        <v>293</v>
      </c>
      <c r="D12">
        <v>0</v>
      </c>
      <c r="E12">
        <v>0</v>
      </c>
      <c r="G12">
        <v>0</v>
      </c>
      <c r="Q12">
        <v>373.42805123827816</v>
      </c>
      <c r="R12">
        <v>0</v>
      </c>
      <c r="AA12">
        <v>0</v>
      </c>
      <c r="AB12">
        <v>0</v>
      </c>
      <c r="AC12">
        <v>373.42805123827816</v>
      </c>
      <c r="AD12">
        <v>0</v>
      </c>
      <c r="AI12">
        <v>230</v>
      </c>
      <c r="AK12">
        <v>230</v>
      </c>
      <c r="AP12">
        <v>0</v>
      </c>
      <c r="AT12">
        <v>0</v>
      </c>
      <c r="AW12">
        <v>0</v>
      </c>
      <c r="AY12">
        <v>230</v>
      </c>
      <c r="BB12">
        <v>0</v>
      </c>
    </row>
    <row r="13" spans="1:54" x14ac:dyDescent="0.2">
      <c r="B13" s="136">
        <v>4</v>
      </c>
      <c r="C13" s="123" t="s">
        <v>293</v>
      </c>
      <c r="T13">
        <v>230</v>
      </c>
      <c r="W13">
        <v>0</v>
      </c>
      <c r="X13">
        <v>230</v>
      </c>
      <c r="AF13">
        <v>230</v>
      </c>
      <c r="AK13">
        <v>0</v>
      </c>
      <c r="AP13">
        <v>230</v>
      </c>
    </row>
    <row r="14" spans="1:54" x14ac:dyDescent="0.2">
      <c r="A14" s="131" t="s">
        <v>134</v>
      </c>
      <c r="B14" s="137">
        <v>1</v>
      </c>
      <c r="C14" s="133" t="s">
        <v>293</v>
      </c>
      <c r="D14" s="133">
        <v>2257.8220580142051</v>
      </c>
      <c r="E14" s="133">
        <f t="shared" ref="E14:AZ14" si="0">D$172*SUM(D$122:D$169)</f>
        <v>3683.1365466728043</v>
      </c>
      <c r="F14" s="133">
        <f t="shared" si="0"/>
        <v>4104.5505500494128</v>
      </c>
      <c r="G14" s="133">
        <f t="shared" si="0"/>
        <v>4324.4072321429103</v>
      </c>
      <c r="H14" s="133">
        <f t="shared" si="0"/>
        <v>4472.1183750408791</v>
      </c>
      <c r="I14" s="133">
        <f t="shared" si="0"/>
        <v>4586.8792836376197</v>
      </c>
      <c r="J14" s="133">
        <f t="shared" si="0"/>
        <v>4599.5110469675983</v>
      </c>
      <c r="K14" s="133">
        <f t="shared" si="0"/>
        <v>4585.302740232185</v>
      </c>
      <c r="L14" s="133">
        <f t="shared" si="0"/>
        <v>4641.093590056229</v>
      </c>
      <c r="M14" s="133">
        <f t="shared" si="0"/>
        <v>4685.5639169471369</v>
      </c>
      <c r="N14" s="133">
        <f t="shared" si="0"/>
        <v>4681.215519619499</v>
      </c>
      <c r="O14" s="133">
        <f t="shared" si="0"/>
        <v>4731.3395132763635</v>
      </c>
      <c r="P14" s="133">
        <f t="shared" si="0"/>
        <v>4730.1163893436205</v>
      </c>
      <c r="Q14" s="133">
        <f t="shared" si="0"/>
        <v>4738.4780525053184</v>
      </c>
      <c r="R14" s="133">
        <f t="shared" si="0"/>
        <v>4783.9422836655722</v>
      </c>
      <c r="S14" s="133">
        <f t="shared" si="0"/>
        <v>4759.6901069849291</v>
      </c>
      <c r="T14" s="133">
        <f t="shared" si="0"/>
        <v>4744.6537574429303</v>
      </c>
      <c r="U14" s="133">
        <f t="shared" si="0"/>
        <v>4752.8112207268914</v>
      </c>
      <c r="V14" s="133">
        <f t="shared" si="0"/>
        <v>4715.3088479629469</v>
      </c>
      <c r="W14" s="133">
        <f t="shared" si="0"/>
        <v>4734.2373768493017</v>
      </c>
      <c r="X14" s="133">
        <f t="shared" si="0"/>
        <v>4759.6530647588415</v>
      </c>
      <c r="Y14" s="133">
        <f t="shared" si="0"/>
        <v>4715.370791262756</v>
      </c>
      <c r="Z14" s="133">
        <f t="shared" si="0"/>
        <v>4694.755781695183</v>
      </c>
      <c r="AA14" s="133">
        <f t="shared" si="0"/>
        <v>4732.5144757632879</v>
      </c>
      <c r="AB14" s="133">
        <f t="shared" si="0"/>
        <v>4706.5248660855132</v>
      </c>
      <c r="AC14" s="133">
        <f t="shared" si="0"/>
        <v>4696.4913080852921</v>
      </c>
      <c r="AD14" s="133">
        <f t="shared" si="0"/>
        <v>4668.610502125156</v>
      </c>
      <c r="AE14" s="133">
        <f t="shared" si="0"/>
        <v>4634.6044024298708</v>
      </c>
      <c r="AF14" s="133">
        <f t="shared" si="0"/>
        <v>4653.8006206187938</v>
      </c>
      <c r="AG14" s="133">
        <f t="shared" si="0"/>
        <v>4608.3222758959273</v>
      </c>
      <c r="AH14" s="133">
        <f t="shared" si="0"/>
        <v>4648.905702167749</v>
      </c>
      <c r="AI14" s="133">
        <f t="shared" si="0"/>
        <v>4705.2274264562793</v>
      </c>
      <c r="AJ14" s="133">
        <f t="shared" si="0"/>
        <v>4682.7668955151667</v>
      </c>
      <c r="AK14" s="133">
        <f t="shared" si="0"/>
        <v>4662.7613663316779</v>
      </c>
      <c r="AL14" s="133">
        <f t="shared" si="0"/>
        <v>4686.0779382379142</v>
      </c>
      <c r="AM14" s="133">
        <f t="shared" si="0"/>
        <v>4689.8942128197814</v>
      </c>
      <c r="AN14" s="133">
        <f t="shared" si="0"/>
        <v>4737.8603030605391</v>
      </c>
      <c r="AO14" s="133">
        <f t="shared" si="0"/>
        <v>4704.5192790098081</v>
      </c>
      <c r="AP14" s="133">
        <f t="shared" si="0"/>
        <v>4746.5478440983552</v>
      </c>
      <c r="AQ14" s="133">
        <f t="shared" si="0"/>
        <v>4736.8855544532553</v>
      </c>
      <c r="AR14" s="133">
        <f t="shared" si="0"/>
        <v>4772.6949348732924</v>
      </c>
      <c r="AS14" s="133">
        <f t="shared" si="0"/>
        <v>4670.6367507337154</v>
      </c>
      <c r="AT14" s="133">
        <f t="shared" si="0"/>
        <v>4715.6606765671777</v>
      </c>
      <c r="AU14" s="133">
        <f t="shared" si="0"/>
        <v>4699.8755105839246</v>
      </c>
      <c r="AV14" s="133">
        <f t="shared" si="0"/>
        <v>4641.448707674308</v>
      </c>
      <c r="AW14" s="133">
        <f t="shared" si="0"/>
        <v>4684.2640898703448</v>
      </c>
      <c r="AX14" s="133">
        <f t="shared" si="0"/>
        <v>4681.1696268318883</v>
      </c>
      <c r="AY14" s="133">
        <f t="shared" si="0"/>
        <v>4660.251059748045</v>
      </c>
      <c r="AZ14" s="127">
        <f t="shared" si="0"/>
        <v>4646.1415481560625</v>
      </c>
      <c r="BA14" s="124">
        <f>SUM($E14:$AZ14)</f>
        <v>223098.59386603409</v>
      </c>
    </row>
    <row r="15" spans="1:54" x14ac:dyDescent="0.2">
      <c r="A15" s="138" t="s">
        <v>123</v>
      </c>
      <c r="B15" s="139">
        <v>1</v>
      </c>
      <c r="C15" s="140" t="s">
        <v>293</v>
      </c>
      <c r="D15" s="140">
        <v>5629.1207660849332</v>
      </c>
      <c r="E15" s="140">
        <v>5629.1207660849332</v>
      </c>
      <c r="F15" s="140">
        <v>5629.1207660849332</v>
      </c>
      <c r="G15" s="140">
        <v>5629.1207660849332</v>
      </c>
      <c r="H15" s="140">
        <v>5629.1207660849332</v>
      </c>
      <c r="I15" s="140">
        <v>5629.1207660849332</v>
      </c>
      <c r="J15" s="140">
        <v>5629.1207660849332</v>
      </c>
      <c r="K15" s="140">
        <v>5629.1207660849332</v>
      </c>
      <c r="L15" s="140">
        <v>5629.1207660849332</v>
      </c>
      <c r="M15" s="140">
        <v>5629.1207660849332</v>
      </c>
      <c r="N15" s="140">
        <v>5629.1207660849332</v>
      </c>
      <c r="O15" s="140">
        <v>5629.1207660849332</v>
      </c>
      <c r="P15" s="140">
        <v>5629.1207660849332</v>
      </c>
      <c r="Q15" s="140">
        <v>5629.1207660849332</v>
      </c>
      <c r="R15" s="140">
        <v>5629.1207660849332</v>
      </c>
      <c r="S15" s="140">
        <v>5629.1207660849332</v>
      </c>
      <c r="T15" s="140">
        <v>5629.1207660849332</v>
      </c>
      <c r="U15" s="140">
        <v>5629.1207660849332</v>
      </c>
      <c r="V15" s="140">
        <v>5629.1207660849332</v>
      </c>
      <c r="W15" s="140">
        <v>5629.1207660849332</v>
      </c>
      <c r="X15" s="140">
        <v>5629.1207660849332</v>
      </c>
      <c r="Y15" s="140">
        <v>5629.1207660849332</v>
      </c>
      <c r="Z15" s="140">
        <v>5629.1207660849332</v>
      </c>
      <c r="AA15" s="140">
        <v>5629.1207660849332</v>
      </c>
      <c r="AB15" s="140">
        <v>5629.1207660849332</v>
      </c>
      <c r="AC15" s="140">
        <v>5629.1207660849332</v>
      </c>
      <c r="AD15" s="140">
        <v>5629.1207660849332</v>
      </c>
      <c r="AE15" s="140">
        <v>5629.1207660849332</v>
      </c>
      <c r="AF15" s="140">
        <v>5629.1207660849332</v>
      </c>
      <c r="AG15" s="140">
        <v>5629.1207660849332</v>
      </c>
      <c r="AH15" s="140">
        <v>5629.1207660849332</v>
      </c>
      <c r="AI15" s="140">
        <v>5629.1207660849332</v>
      </c>
      <c r="AJ15" s="140">
        <v>5629.1207660849332</v>
      </c>
      <c r="AK15" s="140">
        <v>5629.1207660849332</v>
      </c>
      <c r="AL15" s="140">
        <v>5629.1207660849332</v>
      </c>
      <c r="AM15" s="140">
        <v>5629.1207660849332</v>
      </c>
      <c r="AN15" s="140">
        <v>5629.1207660849332</v>
      </c>
      <c r="AO15" s="140">
        <v>5629.1207660849332</v>
      </c>
      <c r="AP15" s="140">
        <v>5629.1207660849332</v>
      </c>
      <c r="AQ15" s="140">
        <v>5629.1207660849332</v>
      </c>
      <c r="AR15" s="140">
        <v>5629.1207660849332</v>
      </c>
      <c r="AS15" s="140">
        <v>5629.1207660849332</v>
      </c>
      <c r="AT15" s="140">
        <v>5629.1207660849332</v>
      </c>
      <c r="AU15" s="140">
        <v>5629.1207660849332</v>
      </c>
      <c r="AV15" s="140">
        <v>5629.1207660849332</v>
      </c>
      <c r="AW15" s="140">
        <v>5629.1207660849332</v>
      </c>
      <c r="AX15" s="140">
        <v>5629.1207660849332</v>
      </c>
      <c r="AY15" s="140">
        <v>5629.1207660849332</v>
      </c>
      <c r="AZ15">
        <v>0</v>
      </c>
    </row>
    <row r="16" spans="1:54" x14ac:dyDescent="0.2">
      <c r="A16" s="127"/>
      <c r="B16" s="135">
        <v>2</v>
      </c>
      <c r="C16" s="126" t="s">
        <v>293</v>
      </c>
      <c r="D16" s="123">
        <v>0</v>
      </c>
      <c r="E16" s="127">
        <v>0</v>
      </c>
      <c r="F16" s="127">
        <v>0</v>
      </c>
      <c r="G16" s="127">
        <v>0</v>
      </c>
      <c r="H16" s="127">
        <v>0</v>
      </c>
      <c r="I16" s="127">
        <v>0</v>
      </c>
      <c r="J16" s="127">
        <v>0</v>
      </c>
      <c r="K16" s="127">
        <v>0</v>
      </c>
      <c r="L16" s="127">
        <v>0</v>
      </c>
      <c r="M16" s="127">
        <v>0</v>
      </c>
      <c r="N16" s="127">
        <v>0</v>
      </c>
      <c r="O16" s="127">
        <v>0</v>
      </c>
      <c r="P16" s="127">
        <v>0</v>
      </c>
      <c r="Q16" s="127">
        <v>0</v>
      </c>
      <c r="R16" s="127">
        <v>0</v>
      </c>
      <c r="S16" s="127">
        <v>0</v>
      </c>
      <c r="T16" s="127">
        <v>0</v>
      </c>
      <c r="U16" s="127">
        <v>0</v>
      </c>
      <c r="V16" s="127">
        <v>0</v>
      </c>
      <c r="W16" s="127">
        <v>0</v>
      </c>
      <c r="X16" s="127">
        <v>0</v>
      </c>
      <c r="Y16" s="127">
        <v>0</v>
      </c>
      <c r="Z16" s="127"/>
      <c r="AA16" s="127">
        <v>0</v>
      </c>
      <c r="AB16" s="127">
        <v>0</v>
      </c>
      <c r="AC16" s="127">
        <v>0</v>
      </c>
      <c r="AD16" s="127">
        <v>0</v>
      </c>
      <c r="AE16" s="127">
        <v>0</v>
      </c>
      <c r="AF16" s="127">
        <v>0</v>
      </c>
      <c r="AG16" s="127">
        <v>0</v>
      </c>
      <c r="AH16" s="127"/>
      <c r="AI16" s="127">
        <v>0</v>
      </c>
      <c r="AJ16" s="127">
        <v>0</v>
      </c>
      <c r="AK16" s="127">
        <v>0</v>
      </c>
      <c r="AL16" s="127">
        <v>0</v>
      </c>
      <c r="AM16" s="127">
        <v>0</v>
      </c>
      <c r="AN16" s="127"/>
      <c r="AO16" s="127"/>
      <c r="AP16" s="127">
        <v>0</v>
      </c>
      <c r="AQ16" s="127">
        <v>0</v>
      </c>
      <c r="AR16" s="127">
        <v>0</v>
      </c>
      <c r="AS16" s="127">
        <v>0</v>
      </c>
      <c r="AT16" s="127">
        <v>0</v>
      </c>
      <c r="AU16" s="127">
        <v>0</v>
      </c>
      <c r="AV16" s="127"/>
      <c r="AW16" s="127">
        <v>0</v>
      </c>
      <c r="AX16" s="127"/>
      <c r="AY16" s="127">
        <v>0</v>
      </c>
      <c r="AZ16">
        <v>0</v>
      </c>
      <c r="BA16">
        <v>0</v>
      </c>
    </row>
    <row r="17" spans="1:54" x14ac:dyDescent="0.2">
      <c r="A17" s="127"/>
      <c r="B17" s="135">
        <v>3</v>
      </c>
      <c r="C17" s="126" t="s">
        <v>293</v>
      </c>
      <c r="D17" s="123">
        <v>0</v>
      </c>
      <c r="E17" s="127">
        <v>0</v>
      </c>
      <c r="F17" s="127"/>
      <c r="G17" s="127">
        <v>0</v>
      </c>
      <c r="H17" s="127"/>
      <c r="I17" s="127"/>
      <c r="J17" s="127"/>
      <c r="K17" s="127"/>
      <c r="L17" s="127"/>
      <c r="M17" s="127"/>
      <c r="N17" s="127"/>
      <c r="O17" s="127"/>
      <c r="P17" s="127"/>
      <c r="Q17" s="127">
        <v>0</v>
      </c>
      <c r="R17" s="127">
        <v>0</v>
      </c>
      <c r="S17" s="127"/>
      <c r="T17" s="127"/>
      <c r="U17" s="127"/>
      <c r="V17" s="127"/>
      <c r="W17" s="127"/>
      <c r="X17" s="127"/>
      <c r="Y17" s="127"/>
      <c r="Z17" s="127"/>
      <c r="AA17" s="127">
        <v>0</v>
      </c>
      <c r="AB17" s="127">
        <v>0</v>
      </c>
      <c r="AC17" s="127">
        <v>0</v>
      </c>
      <c r="AD17" s="127">
        <v>0</v>
      </c>
      <c r="AE17" s="127"/>
      <c r="AF17" s="127"/>
      <c r="AG17" s="127"/>
      <c r="AH17" s="127"/>
      <c r="AI17" s="127">
        <v>0</v>
      </c>
      <c r="AJ17" s="127"/>
      <c r="AK17" s="127">
        <v>0</v>
      </c>
      <c r="AL17" s="127"/>
      <c r="AM17" s="127"/>
      <c r="AN17" s="127"/>
      <c r="AO17" s="127"/>
      <c r="AP17" s="127">
        <v>0</v>
      </c>
      <c r="AQ17" s="127"/>
      <c r="AR17" s="127"/>
      <c r="AS17" s="127"/>
      <c r="AT17" s="127">
        <v>0</v>
      </c>
      <c r="AU17" s="127"/>
      <c r="AV17" s="127"/>
      <c r="AW17" s="127">
        <v>0</v>
      </c>
      <c r="AX17" s="127"/>
      <c r="AY17" s="127">
        <v>0</v>
      </c>
      <c r="BB17">
        <v>0</v>
      </c>
    </row>
    <row r="18" spans="1:54" x14ac:dyDescent="0.2">
      <c r="A18" s="141"/>
      <c r="B18" s="132">
        <v>4</v>
      </c>
      <c r="C18" s="141" t="s">
        <v>293</v>
      </c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>
        <v>0</v>
      </c>
      <c r="U18" s="141"/>
      <c r="V18" s="141"/>
      <c r="W18" s="141">
        <v>0</v>
      </c>
      <c r="X18" s="141">
        <v>0</v>
      </c>
      <c r="Y18" s="141"/>
      <c r="Z18" s="141"/>
      <c r="AA18" s="141"/>
      <c r="AB18" s="141"/>
      <c r="AC18" s="141"/>
      <c r="AD18" s="141"/>
      <c r="AE18" s="141"/>
      <c r="AF18" s="141">
        <v>0</v>
      </c>
      <c r="AG18" s="141"/>
      <c r="AH18" s="141"/>
      <c r="AI18" s="141"/>
      <c r="AJ18" s="141"/>
      <c r="AK18" s="141">
        <v>0</v>
      </c>
      <c r="AL18" s="141"/>
      <c r="AM18" s="141"/>
      <c r="AN18" s="141"/>
      <c r="AO18" s="141"/>
      <c r="AP18" s="141">
        <v>0</v>
      </c>
      <c r="AQ18" s="141"/>
      <c r="AR18" s="141"/>
      <c r="AS18" s="141"/>
      <c r="AT18" s="141"/>
      <c r="AU18" s="141"/>
      <c r="AV18" s="141"/>
      <c r="AW18" s="141"/>
      <c r="AX18" s="141"/>
      <c r="AY18" s="141"/>
    </row>
    <row r="20" spans="1:54" x14ac:dyDescent="0.2">
      <c r="A20" s="1" t="s">
        <v>294</v>
      </c>
    </row>
    <row r="21" spans="1:54" x14ac:dyDescent="0.2">
      <c r="A21" s="142" t="s">
        <v>125</v>
      </c>
      <c r="B21" s="139">
        <v>1</v>
      </c>
      <c r="C21" s="140" t="s">
        <v>293</v>
      </c>
      <c r="D21" s="140">
        <v>157.62542828046327</v>
      </c>
      <c r="E21" s="140">
        <v>618.8870191130967</v>
      </c>
      <c r="F21" s="140">
        <v>2302.4694037159352</v>
      </c>
      <c r="G21" s="140">
        <v>3742.1105255618563</v>
      </c>
      <c r="H21" s="140">
        <v>4689.9612867898513</v>
      </c>
      <c r="I21" s="140">
        <v>5418.2018762231246</v>
      </c>
      <c r="J21" s="140">
        <v>5418.2018762231246</v>
      </c>
      <c r="K21" s="140">
        <v>5418.2018762231246</v>
      </c>
      <c r="L21" s="140">
        <v>5418.2018762231246</v>
      </c>
      <c r="M21" s="140">
        <v>5418.2018762231246</v>
      </c>
      <c r="N21" s="140">
        <v>5418.2018762231246</v>
      </c>
      <c r="O21" s="140">
        <v>5418.2018762231246</v>
      </c>
      <c r="P21" s="140">
        <v>5418.2018762231246</v>
      </c>
      <c r="Q21" s="140">
        <v>5418.2018762231246</v>
      </c>
      <c r="R21" s="140">
        <v>5273.9674306522929</v>
      </c>
      <c r="S21" s="140">
        <v>4451.6078259660117</v>
      </c>
      <c r="T21" s="140">
        <v>5418.2018762231246</v>
      </c>
      <c r="U21" s="140">
        <v>5418.2018762231246</v>
      </c>
      <c r="V21" s="140">
        <v>5418.2018762231246</v>
      </c>
      <c r="W21" s="140">
        <v>5418.2018762231246</v>
      </c>
      <c r="X21" s="140">
        <v>5418.2018762231246</v>
      </c>
      <c r="Y21" s="140">
        <v>5418.2018762231246</v>
      </c>
      <c r="Z21" s="140">
        <v>5418.2018762231246</v>
      </c>
      <c r="AA21" s="140">
        <v>5418.2018762231246</v>
      </c>
      <c r="AB21" s="140">
        <v>5418.2018762231246</v>
      </c>
      <c r="AC21" s="140">
        <v>5418.2018762231246</v>
      </c>
      <c r="AD21" s="140">
        <v>5418.2018762231246</v>
      </c>
      <c r="AE21" s="140">
        <v>5418.2018762231246</v>
      </c>
      <c r="AF21" s="140">
        <v>5418.2018762231246</v>
      </c>
      <c r="AG21" s="140">
        <v>5418.2018762231246</v>
      </c>
      <c r="AH21" s="140">
        <v>5418.2018762231246</v>
      </c>
      <c r="AI21" s="140">
        <v>5418.2018762231246</v>
      </c>
      <c r="AJ21" s="140">
        <v>5418.2018762231246</v>
      </c>
      <c r="AK21" s="140">
        <v>5418.2018762231246</v>
      </c>
      <c r="AL21" s="140">
        <v>5418.2018762231246</v>
      </c>
      <c r="AM21" s="140">
        <v>5418.2018762231246</v>
      </c>
      <c r="AN21" s="140">
        <v>5418.2018762231246</v>
      </c>
      <c r="AO21" s="140">
        <v>5418.2018762231246</v>
      </c>
      <c r="AP21" s="140">
        <v>5418.2018762231246</v>
      </c>
      <c r="AQ21" s="140">
        <v>5418.2018762231246</v>
      </c>
      <c r="AR21" s="140">
        <v>5418.2018762231246</v>
      </c>
      <c r="AS21" s="140">
        <v>5418.2018762231246</v>
      </c>
      <c r="AT21" s="140">
        <v>5418.2018762231246</v>
      </c>
      <c r="AU21" s="140">
        <v>5418.2018762231246</v>
      </c>
      <c r="AV21" s="140">
        <v>5418.2018762231246</v>
      </c>
      <c r="AW21" s="140">
        <v>5418.2018762231246</v>
      </c>
      <c r="AX21" s="140">
        <v>5418.2018762231246</v>
      </c>
      <c r="AY21" s="140">
        <v>5418.2018762231246</v>
      </c>
    </row>
    <row r="22" spans="1:54" x14ac:dyDescent="0.2">
      <c r="A22" s="126"/>
      <c r="B22" s="136">
        <v>2</v>
      </c>
      <c r="C22" s="127" t="s">
        <v>293</v>
      </c>
      <c r="D22" s="127">
        <v>7299.298511752274</v>
      </c>
      <c r="E22" s="127">
        <v>4583.5764479426616</v>
      </c>
      <c r="F22" s="127">
        <v>4048.3148571100282</v>
      </c>
      <c r="G22" s="127">
        <v>2342.7324725071894</v>
      </c>
      <c r="H22" s="127">
        <v>915.09135066126828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  <c r="AC22" s="127">
        <v>0</v>
      </c>
      <c r="AD22" s="127">
        <v>0</v>
      </c>
      <c r="AE22" s="127">
        <v>0</v>
      </c>
      <c r="AF22" s="127">
        <v>0</v>
      </c>
      <c r="AG22" s="127">
        <v>0</v>
      </c>
      <c r="AH22" s="127">
        <v>0</v>
      </c>
      <c r="AI22" s="127">
        <v>0</v>
      </c>
      <c r="AJ22" s="127">
        <v>0</v>
      </c>
      <c r="AK22" s="127">
        <v>0</v>
      </c>
      <c r="AL22" s="127">
        <v>0</v>
      </c>
      <c r="AM22" s="127">
        <v>0</v>
      </c>
      <c r="AN22" s="127">
        <v>0</v>
      </c>
      <c r="AO22" s="127">
        <v>0</v>
      </c>
      <c r="AP22" s="127">
        <v>0</v>
      </c>
      <c r="AQ22" s="127">
        <v>0</v>
      </c>
      <c r="AR22" s="127">
        <v>0</v>
      </c>
      <c r="AS22" s="127">
        <v>0</v>
      </c>
      <c r="AT22" s="127">
        <v>0</v>
      </c>
      <c r="AU22" s="127">
        <v>0</v>
      </c>
      <c r="AV22" s="127">
        <v>0</v>
      </c>
      <c r="AW22" s="127">
        <v>0</v>
      </c>
      <c r="AX22" s="127">
        <v>0</v>
      </c>
      <c r="AY22" s="127">
        <v>0</v>
      </c>
    </row>
    <row r="23" spans="1:54" x14ac:dyDescent="0.2">
      <c r="A23" s="126"/>
      <c r="B23" s="143">
        <v>3</v>
      </c>
      <c r="C23" s="127" t="s">
        <v>293</v>
      </c>
      <c r="D23" s="127">
        <v>91.177126281391793</v>
      </c>
      <c r="E23" s="127">
        <v>0</v>
      </c>
      <c r="F23" s="127">
        <v>0</v>
      </c>
      <c r="G23" s="127">
        <v>0</v>
      </c>
      <c r="H23" s="127">
        <v>0</v>
      </c>
      <c r="I23" s="127">
        <v>0</v>
      </c>
      <c r="J23" s="127">
        <v>0</v>
      </c>
      <c r="K23" s="127">
        <v>0</v>
      </c>
      <c r="L23" s="127">
        <v>0</v>
      </c>
      <c r="M23" s="127">
        <v>0</v>
      </c>
      <c r="N23" s="127">
        <v>0</v>
      </c>
      <c r="O23" s="127">
        <v>0</v>
      </c>
      <c r="P23" s="127">
        <v>0</v>
      </c>
      <c r="Q23" s="127">
        <v>0</v>
      </c>
      <c r="R23" s="127">
        <v>0</v>
      </c>
      <c r="S23" s="127">
        <v>0</v>
      </c>
      <c r="T23" s="127">
        <v>0</v>
      </c>
      <c r="U23" s="127">
        <v>0</v>
      </c>
      <c r="V23" s="127">
        <v>0</v>
      </c>
      <c r="W23" s="127">
        <v>0</v>
      </c>
      <c r="X23" s="127">
        <v>0</v>
      </c>
      <c r="Y23" s="127">
        <v>0</v>
      </c>
      <c r="Z23" s="127">
        <v>0</v>
      </c>
      <c r="AA23" s="127">
        <v>0</v>
      </c>
      <c r="AB23" s="127">
        <v>0</v>
      </c>
      <c r="AC23" s="127">
        <v>0</v>
      </c>
      <c r="AD23" s="127">
        <v>0</v>
      </c>
      <c r="AE23" s="127">
        <v>0</v>
      </c>
      <c r="AF23" s="127">
        <v>0</v>
      </c>
      <c r="AG23" s="127">
        <v>0</v>
      </c>
      <c r="AH23" s="127">
        <v>0</v>
      </c>
      <c r="AI23" s="127">
        <v>0</v>
      </c>
      <c r="AJ23" s="127">
        <v>0</v>
      </c>
      <c r="AK23" s="127">
        <v>0</v>
      </c>
      <c r="AL23" s="127">
        <v>0</v>
      </c>
      <c r="AM23" s="127">
        <v>0</v>
      </c>
      <c r="AN23" s="127">
        <v>0</v>
      </c>
      <c r="AO23" s="127">
        <v>0</v>
      </c>
      <c r="AP23" s="127">
        <v>0</v>
      </c>
      <c r="AQ23" s="127">
        <v>0</v>
      </c>
      <c r="AR23" s="127">
        <v>0</v>
      </c>
      <c r="AS23" s="127">
        <v>0</v>
      </c>
      <c r="AT23" s="127">
        <v>0</v>
      </c>
      <c r="AU23" s="127">
        <v>0</v>
      </c>
      <c r="AV23" s="127">
        <v>0</v>
      </c>
      <c r="AW23" s="127">
        <v>0</v>
      </c>
      <c r="AX23" s="127">
        <v>0</v>
      </c>
      <c r="AY23" s="127">
        <v>0</v>
      </c>
    </row>
    <row r="24" spans="1:54" x14ac:dyDescent="0.2">
      <c r="A24" s="144"/>
      <c r="B24" s="145">
        <v>4</v>
      </c>
      <c r="C24" s="144" t="s">
        <v>293</v>
      </c>
      <c r="D24" s="141">
        <v>0</v>
      </c>
      <c r="E24" s="141">
        <v>0</v>
      </c>
      <c r="F24" s="141">
        <v>0</v>
      </c>
      <c r="G24" s="141">
        <v>0</v>
      </c>
      <c r="H24" s="141">
        <v>0</v>
      </c>
      <c r="I24" s="141">
        <v>0</v>
      </c>
      <c r="J24" s="141">
        <v>0</v>
      </c>
      <c r="K24" s="141">
        <v>0</v>
      </c>
      <c r="L24" s="141">
        <v>0</v>
      </c>
      <c r="M24" s="141">
        <v>0</v>
      </c>
      <c r="N24" s="141">
        <v>0</v>
      </c>
      <c r="O24" s="141">
        <v>0</v>
      </c>
      <c r="P24" s="141">
        <v>0</v>
      </c>
      <c r="Q24" s="141">
        <v>0</v>
      </c>
      <c r="R24" s="141">
        <v>0</v>
      </c>
      <c r="S24" s="141">
        <v>0</v>
      </c>
      <c r="T24" s="141">
        <v>0</v>
      </c>
      <c r="U24" s="141">
        <v>0</v>
      </c>
      <c r="V24" s="141">
        <v>0</v>
      </c>
      <c r="W24" s="141">
        <v>0</v>
      </c>
      <c r="X24" s="141">
        <v>0</v>
      </c>
      <c r="Y24" s="141">
        <v>0</v>
      </c>
      <c r="Z24" s="141">
        <v>0</v>
      </c>
      <c r="AA24" s="141">
        <v>0</v>
      </c>
      <c r="AB24" s="141">
        <v>0</v>
      </c>
      <c r="AC24" s="141">
        <v>0</v>
      </c>
      <c r="AD24" s="141">
        <v>0</v>
      </c>
      <c r="AE24" s="141">
        <v>0</v>
      </c>
      <c r="AF24" s="141">
        <v>0</v>
      </c>
      <c r="AG24" s="141">
        <v>0</v>
      </c>
      <c r="AH24" s="141">
        <v>0</v>
      </c>
      <c r="AI24" s="141">
        <v>0</v>
      </c>
      <c r="AJ24" s="141">
        <v>0</v>
      </c>
      <c r="AK24" s="141">
        <v>0</v>
      </c>
      <c r="AL24" s="141">
        <v>0</v>
      </c>
      <c r="AM24" s="141">
        <v>0</v>
      </c>
      <c r="AN24" s="141">
        <v>0</v>
      </c>
      <c r="AO24" s="141">
        <v>0</v>
      </c>
      <c r="AP24" s="141">
        <v>0</v>
      </c>
      <c r="AQ24" s="141">
        <v>0</v>
      </c>
      <c r="AR24" s="141">
        <v>0</v>
      </c>
      <c r="AS24" s="141">
        <v>0</v>
      </c>
      <c r="AT24" s="141">
        <v>0</v>
      </c>
      <c r="AU24" s="141">
        <v>0</v>
      </c>
      <c r="AV24" s="141">
        <v>0</v>
      </c>
      <c r="AW24" s="141">
        <v>0</v>
      </c>
      <c r="AX24" s="141">
        <v>0</v>
      </c>
      <c r="AY24" s="141">
        <v>0</v>
      </c>
    </row>
    <row r="25" spans="1:54" x14ac:dyDescent="0.2">
      <c r="A25" s="142" t="s">
        <v>133</v>
      </c>
      <c r="B25" s="139">
        <v>1</v>
      </c>
      <c r="C25" s="126" t="s">
        <v>293</v>
      </c>
      <c r="D25" s="127"/>
      <c r="E25" s="127"/>
      <c r="F25" s="127"/>
      <c r="G25" s="127"/>
      <c r="H25" s="127"/>
      <c r="I25" s="127"/>
      <c r="J25" s="127"/>
      <c r="K25" s="127"/>
      <c r="L25" s="127"/>
      <c r="M25" s="127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7"/>
      <c r="AB25" s="127"/>
      <c r="AC25" s="127"/>
      <c r="AD25" s="127"/>
      <c r="AE25" s="127"/>
      <c r="AF25" s="127"/>
      <c r="AG25" s="127"/>
      <c r="AH25" s="127"/>
      <c r="AI25" s="127"/>
      <c r="AJ25" s="127"/>
      <c r="AK25" s="127"/>
      <c r="AL25" s="127"/>
      <c r="AM25" s="127"/>
      <c r="AN25" s="127"/>
      <c r="AO25" s="127"/>
      <c r="AP25" s="127"/>
      <c r="AQ25" s="127"/>
      <c r="AR25" s="127"/>
      <c r="AS25" s="127"/>
      <c r="AT25" s="127"/>
      <c r="AU25" s="127"/>
      <c r="AV25" s="127"/>
      <c r="AW25" s="127"/>
      <c r="AX25" s="127"/>
      <c r="AY25" s="127"/>
    </row>
    <row r="26" spans="1:54" x14ac:dyDescent="0.2">
      <c r="A26" s="126"/>
      <c r="B26" s="135">
        <v>2</v>
      </c>
      <c r="C26" s="126" t="s">
        <v>293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27"/>
      <c r="R26" s="127"/>
      <c r="S26" s="127"/>
      <c r="T26" s="127">
        <v>54.979004531346156</v>
      </c>
      <c r="U26" s="127"/>
      <c r="V26" s="127">
        <v>1.658126446921637</v>
      </c>
      <c r="W26" s="127"/>
      <c r="X26" s="127">
        <v>11.102110303393296</v>
      </c>
      <c r="Y26" s="127"/>
      <c r="Z26" s="127"/>
      <c r="AA26" s="127"/>
      <c r="AB26" s="127"/>
      <c r="AC26" s="127"/>
      <c r="AD26" s="127"/>
      <c r="AE26" s="127"/>
      <c r="AF26" s="127"/>
      <c r="AG26" s="127"/>
      <c r="AH26" s="127"/>
      <c r="AI26" s="127"/>
      <c r="AJ26" s="127"/>
      <c r="AK26" s="127"/>
      <c r="AL26" s="127"/>
      <c r="AM26" s="127"/>
      <c r="AN26" s="127"/>
      <c r="AO26" s="127"/>
      <c r="AP26" s="127"/>
      <c r="AQ26" s="127"/>
      <c r="AR26" s="127"/>
      <c r="AS26" s="127"/>
      <c r="AT26" s="127"/>
      <c r="AU26" s="127"/>
      <c r="AV26" s="127"/>
      <c r="AW26" s="127"/>
      <c r="AX26" s="127"/>
      <c r="AY26" s="127"/>
    </row>
    <row r="27" spans="1:54" x14ac:dyDescent="0.2">
      <c r="A27" s="126"/>
      <c r="B27" s="136">
        <v>3</v>
      </c>
      <c r="C27" s="126" t="s">
        <v>293</v>
      </c>
      <c r="D27" s="127"/>
      <c r="E27" s="127"/>
      <c r="F27" s="127"/>
      <c r="G27" s="127"/>
      <c r="H27" s="127"/>
      <c r="I27" s="127"/>
      <c r="J27" s="127">
        <v>176.59315889155866</v>
      </c>
      <c r="K27" s="127">
        <v>656.12539413844127</v>
      </c>
      <c r="L27" s="127">
        <v>706.54994037792653</v>
      </c>
      <c r="M27" s="127">
        <v>462.10593232332286</v>
      </c>
      <c r="N27" s="127">
        <v>575.90329470781148</v>
      </c>
      <c r="O27" s="127">
        <v>355.33849002201174</v>
      </c>
      <c r="P27" s="127">
        <v>433.43852760786933</v>
      </c>
      <c r="Q27" s="127">
        <v>450.99617210241109</v>
      </c>
      <c r="R27" s="127">
        <v>373.7669372577476</v>
      </c>
      <c r="S27" s="127">
        <v>187.29125466281886</v>
      </c>
      <c r="T27" s="127">
        <v>460.76456918242047</v>
      </c>
      <c r="U27" s="127">
        <v>387.79208222323621</v>
      </c>
      <c r="V27" s="127">
        <v>476.08501572197395</v>
      </c>
      <c r="W27" s="127">
        <v>45.787893759169016</v>
      </c>
      <c r="X27" s="127">
        <v>438.41008227046564</v>
      </c>
      <c r="Y27" s="127">
        <v>0</v>
      </c>
      <c r="Z27" s="127">
        <v>678.68497051149757</v>
      </c>
      <c r="AA27" s="127">
        <v>63.482719279666114</v>
      </c>
      <c r="AB27" s="127">
        <v>371.82004586549749</v>
      </c>
      <c r="AC27" s="127">
        <v>303.31679152763297</v>
      </c>
      <c r="AD27" s="127">
        <v>418.8719037250267</v>
      </c>
      <c r="AE27" s="127">
        <v>182.85529209906286</v>
      </c>
      <c r="AF27" s="127">
        <v>397.48329469139537</v>
      </c>
      <c r="AG27" s="127">
        <v>349.09737368810977</v>
      </c>
      <c r="AH27" s="127">
        <v>276.85830461372802</v>
      </c>
      <c r="AI27" s="127">
        <v>335.33849203676817</v>
      </c>
      <c r="AJ27" s="127">
        <v>344.26591911045608</v>
      </c>
      <c r="AK27" s="127">
        <v>207.21864056021803</v>
      </c>
      <c r="AL27" s="127">
        <v>277.2893778435901</v>
      </c>
      <c r="AM27" s="127">
        <v>533.41641716991444</v>
      </c>
      <c r="AN27" s="127">
        <v>0</v>
      </c>
      <c r="AO27" s="127">
        <v>602.24130735157121</v>
      </c>
      <c r="AP27" s="127">
        <v>431.28680163226522</v>
      </c>
      <c r="AQ27" s="127">
        <v>517.99522153689372</v>
      </c>
      <c r="AR27" s="127">
        <v>265.26863307968802</v>
      </c>
      <c r="AS27" s="127">
        <v>360.22155751336157</v>
      </c>
      <c r="AT27" s="127">
        <v>0</v>
      </c>
      <c r="AU27" s="127">
        <v>664.65145458087613</v>
      </c>
      <c r="AV27" s="127">
        <v>0</v>
      </c>
      <c r="AW27" s="127">
        <v>197.951323285141</v>
      </c>
      <c r="AX27" s="127">
        <v>350.12002750859523</v>
      </c>
      <c r="AY27" s="127">
        <v>313.30889389583194</v>
      </c>
    </row>
    <row r="28" spans="1:54" x14ac:dyDescent="0.2">
      <c r="A28" s="126"/>
      <c r="B28" s="136">
        <v>4</v>
      </c>
      <c r="C28" s="126" t="s">
        <v>293</v>
      </c>
      <c r="D28" s="127"/>
      <c r="E28" s="127"/>
      <c r="F28" s="127"/>
      <c r="G28" s="127"/>
      <c r="H28" s="127"/>
      <c r="I28" s="127">
        <v>434.74568969822087</v>
      </c>
      <c r="J28" s="127">
        <v>1053.1104127783351</v>
      </c>
      <c r="K28" s="127">
        <v>132.83489234671924</v>
      </c>
      <c r="L28" s="127">
        <v>0</v>
      </c>
      <c r="M28" s="127">
        <v>0</v>
      </c>
      <c r="N28" s="127">
        <v>0</v>
      </c>
      <c r="O28" s="127">
        <v>0</v>
      </c>
      <c r="P28" s="127">
        <v>0</v>
      </c>
      <c r="Q28" s="127">
        <v>0</v>
      </c>
      <c r="R28" s="127">
        <v>0</v>
      </c>
      <c r="S28" s="127">
        <v>0</v>
      </c>
      <c r="T28" s="127">
        <v>230</v>
      </c>
      <c r="U28" s="127">
        <v>0</v>
      </c>
      <c r="V28" s="127">
        <v>0</v>
      </c>
      <c r="W28" s="127">
        <v>0</v>
      </c>
      <c r="X28" s="127">
        <v>230</v>
      </c>
      <c r="Y28" s="127">
        <v>0</v>
      </c>
      <c r="Z28" s="127">
        <v>0</v>
      </c>
      <c r="AA28" s="127">
        <v>0</v>
      </c>
      <c r="AB28" s="127">
        <v>0</v>
      </c>
      <c r="AC28" s="127">
        <v>0</v>
      </c>
      <c r="AD28" s="127">
        <v>0</v>
      </c>
      <c r="AE28" s="127">
        <v>0</v>
      </c>
      <c r="AF28" s="127">
        <v>230</v>
      </c>
      <c r="AG28" s="127">
        <v>0</v>
      </c>
      <c r="AH28" s="127">
        <v>0</v>
      </c>
      <c r="AI28" s="127">
        <v>0</v>
      </c>
      <c r="AJ28" s="127">
        <v>0</v>
      </c>
      <c r="AK28" s="127">
        <v>0</v>
      </c>
      <c r="AL28" s="127">
        <v>0</v>
      </c>
      <c r="AM28" s="127">
        <v>0</v>
      </c>
      <c r="AN28" s="127">
        <v>0</v>
      </c>
      <c r="AO28" s="127">
        <v>0</v>
      </c>
      <c r="AP28" s="127">
        <v>230</v>
      </c>
      <c r="AQ28" s="127">
        <v>0</v>
      </c>
      <c r="AR28" s="127">
        <v>0</v>
      </c>
      <c r="AS28" s="127">
        <v>0</v>
      </c>
      <c r="AT28" s="127">
        <v>0</v>
      </c>
      <c r="AU28" s="127">
        <v>0</v>
      </c>
      <c r="AV28" s="127">
        <v>0</v>
      </c>
      <c r="AW28" s="127">
        <v>0</v>
      </c>
      <c r="AX28" s="127">
        <v>0</v>
      </c>
      <c r="AY28" s="127">
        <v>0</v>
      </c>
    </row>
    <row r="29" spans="1:54" x14ac:dyDescent="0.2">
      <c r="A29" s="126"/>
      <c r="B29" s="143">
        <v>5</v>
      </c>
      <c r="C29" s="126" t="s">
        <v>293</v>
      </c>
      <c r="D29" s="127">
        <v>52.181382895488021</v>
      </c>
      <c r="E29" s="127">
        <v>159.35992441512818</v>
      </c>
      <c r="F29" s="127">
        <v>592.92334294313537</v>
      </c>
      <c r="G29" s="127">
        <v>583.60383506123026</v>
      </c>
      <c r="H29" s="127">
        <v>2016.3947698197799</v>
      </c>
      <c r="I29" s="127">
        <v>537.3382880936033</v>
      </c>
      <c r="J29" s="127">
        <v>0</v>
      </c>
      <c r="K29" s="127">
        <v>0</v>
      </c>
      <c r="L29" s="127">
        <v>0</v>
      </c>
      <c r="M29" s="127">
        <v>0</v>
      </c>
      <c r="N29" s="127">
        <v>0</v>
      </c>
      <c r="O29" s="127">
        <v>0</v>
      </c>
      <c r="P29" s="127">
        <v>0</v>
      </c>
      <c r="Q29" s="127">
        <v>0</v>
      </c>
      <c r="R29" s="127">
        <v>0</v>
      </c>
      <c r="S29" s="127">
        <v>0</v>
      </c>
      <c r="T29" s="127">
        <v>0</v>
      </c>
      <c r="U29" s="127">
        <v>0</v>
      </c>
      <c r="V29" s="127">
        <v>0</v>
      </c>
      <c r="W29" s="127">
        <v>0</v>
      </c>
      <c r="X29" s="127">
        <v>0</v>
      </c>
      <c r="Y29" s="127">
        <v>0</v>
      </c>
      <c r="Z29" s="127">
        <v>0</v>
      </c>
      <c r="AA29" s="127">
        <v>0</v>
      </c>
      <c r="AB29" s="127">
        <v>0</v>
      </c>
      <c r="AC29" s="127">
        <v>0</v>
      </c>
      <c r="AD29" s="127">
        <v>0</v>
      </c>
      <c r="AE29" s="127">
        <v>0</v>
      </c>
      <c r="AF29" s="127">
        <v>0</v>
      </c>
      <c r="AG29" s="127">
        <v>0</v>
      </c>
      <c r="AH29" s="127">
        <v>0</v>
      </c>
      <c r="AI29" s="127">
        <v>0</v>
      </c>
      <c r="AJ29" s="127">
        <v>0</v>
      </c>
      <c r="AK29" s="127">
        <v>0</v>
      </c>
      <c r="AL29" s="127">
        <v>0</v>
      </c>
      <c r="AM29" s="127">
        <v>0</v>
      </c>
      <c r="AN29" s="127">
        <v>0</v>
      </c>
      <c r="AO29" s="127">
        <v>0</v>
      </c>
      <c r="AP29" s="127">
        <v>0</v>
      </c>
      <c r="AQ29" s="127">
        <v>0</v>
      </c>
      <c r="AR29" s="127">
        <v>0</v>
      </c>
      <c r="AS29" s="127">
        <v>0</v>
      </c>
      <c r="AT29" s="127">
        <v>0</v>
      </c>
      <c r="AU29" s="127">
        <v>0</v>
      </c>
      <c r="AV29" s="127">
        <v>0</v>
      </c>
      <c r="AW29" s="127">
        <v>0</v>
      </c>
      <c r="AX29" s="127">
        <v>0</v>
      </c>
      <c r="AY29" s="127">
        <v>0</v>
      </c>
    </row>
    <row r="30" spans="1:54" x14ac:dyDescent="0.2">
      <c r="A30" s="126"/>
      <c r="B30" s="143">
        <v>6</v>
      </c>
      <c r="C30" s="126" t="s">
        <v>293</v>
      </c>
      <c r="D30" s="127">
        <v>0</v>
      </c>
      <c r="E30" s="127">
        <v>1020.4966409649114</v>
      </c>
      <c r="F30" s="127">
        <v>580.79656585702469</v>
      </c>
      <c r="G30" s="127">
        <v>55.351818588319247</v>
      </c>
      <c r="H30" s="127">
        <v>0</v>
      </c>
      <c r="I30" s="127">
        <v>0</v>
      </c>
      <c r="J30" s="127">
        <v>0</v>
      </c>
      <c r="K30" s="127">
        <v>0</v>
      </c>
      <c r="L30" s="127">
        <v>0</v>
      </c>
      <c r="M30" s="127">
        <v>0</v>
      </c>
      <c r="N30" s="127">
        <v>0</v>
      </c>
      <c r="O30" s="127">
        <v>0</v>
      </c>
      <c r="P30" s="127">
        <v>0</v>
      </c>
      <c r="Q30" s="127">
        <v>0</v>
      </c>
      <c r="R30" s="127">
        <v>0</v>
      </c>
      <c r="S30" s="127">
        <v>0</v>
      </c>
      <c r="T30" s="127">
        <v>0</v>
      </c>
      <c r="U30" s="127">
        <v>0</v>
      </c>
      <c r="V30" s="127">
        <v>0</v>
      </c>
      <c r="W30" s="127">
        <v>0</v>
      </c>
      <c r="X30" s="127">
        <v>0</v>
      </c>
      <c r="Y30" s="127">
        <v>0</v>
      </c>
      <c r="Z30" s="127">
        <v>0</v>
      </c>
      <c r="AA30" s="127">
        <v>0</v>
      </c>
      <c r="AB30" s="127">
        <v>0</v>
      </c>
      <c r="AC30" s="127">
        <v>0</v>
      </c>
      <c r="AD30" s="127">
        <v>0</v>
      </c>
      <c r="AE30" s="127">
        <v>0</v>
      </c>
      <c r="AF30" s="127">
        <v>0</v>
      </c>
      <c r="AG30" s="127">
        <v>0</v>
      </c>
      <c r="AH30" s="127">
        <v>0</v>
      </c>
      <c r="AI30" s="127">
        <v>0</v>
      </c>
      <c r="AJ30" s="127">
        <v>0</v>
      </c>
      <c r="AK30" s="127">
        <v>0</v>
      </c>
      <c r="AL30" s="127">
        <v>0</v>
      </c>
      <c r="AM30" s="127">
        <v>0</v>
      </c>
      <c r="AN30" s="127">
        <v>0</v>
      </c>
      <c r="AO30" s="127">
        <v>0</v>
      </c>
      <c r="AP30" s="127">
        <v>0</v>
      </c>
      <c r="AQ30" s="127">
        <v>0</v>
      </c>
      <c r="AR30" s="127">
        <v>0</v>
      </c>
      <c r="AS30" s="127">
        <v>0</v>
      </c>
      <c r="AT30" s="127">
        <v>0</v>
      </c>
      <c r="AU30" s="127">
        <v>0</v>
      </c>
      <c r="AV30" s="127">
        <v>0</v>
      </c>
      <c r="AW30" s="127">
        <v>0</v>
      </c>
      <c r="AX30" s="127">
        <v>0</v>
      </c>
      <c r="AY30" s="127">
        <v>0</v>
      </c>
    </row>
    <row r="31" spans="1:54" x14ac:dyDescent="0.2">
      <c r="A31" s="126"/>
      <c r="B31" s="146">
        <v>7</v>
      </c>
      <c r="C31" s="126" t="s">
        <v>293</v>
      </c>
      <c r="D31" s="127">
        <v>0</v>
      </c>
      <c r="E31" s="127">
        <v>0</v>
      </c>
      <c r="F31" s="127">
        <v>0</v>
      </c>
      <c r="G31" s="127">
        <v>0</v>
      </c>
      <c r="H31" s="127">
        <v>0</v>
      </c>
      <c r="I31" s="127">
        <v>0</v>
      </c>
      <c r="J31" s="127">
        <v>0</v>
      </c>
      <c r="K31" s="127">
        <v>0</v>
      </c>
      <c r="L31" s="127">
        <v>0</v>
      </c>
      <c r="M31" s="127">
        <v>0</v>
      </c>
      <c r="N31" s="127">
        <v>0</v>
      </c>
      <c r="O31" s="127">
        <v>0</v>
      </c>
      <c r="P31" s="127">
        <v>0</v>
      </c>
      <c r="Q31" s="127">
        <v>0</v>
      </c>
      <c r="R31" s="127">
        <v>0</v>
      </c>
      <c r="S31" s="127">
        <v>0</v>
      </c>
      <c r="T31" s="127">
        <v>0</v>
      </c>
      <c r="U31" s="127">
        <v>0</v>
      </c>
      <c r="V31" s="127">
        <v>0</v>
      </c>
      <c r="W31" s="127">
        <v>0</v>
      </c>
      <c r="X31" s="127">
        <v>0</v>
      </c>
      <c r="Y31" s="127">
        <v>0</v>
      </c>
      <c r="Z31" s="127">
        <v>0</v>
      </c>
      <c r="AA31" s="127">
        <v>0</v>
      </c>
      <c r="AB31" s="127">
        <v>0</v>
      </c>
      <c r="AC31" s="127">
        <v>0</v>
      </c>
      <c r="AD31" s="127">
        <v>0</v>
      </c>
      <c r="AE31" s="127">
        <v>0</v>
      </c>
      <c r="AF31" s="127">
        <v>0</v>
      </c>
      <c r="AG31" s="127">
        <v>0</v>
      </c>
      <c r="AH31" s="127">
        <v>0</v>
      </c>
      <c r="AI31" s="127">
        <v>0</v>
      </c>
      <c r="AJ31" s="127">
        <v>0</v>
      </c>
      <c r="AK31" s="127">
        <v>0</v>
      </c>
      <c r="AL31" s="127">
        <v>0</v>
      </c>
      <c r="AM31" s="127">
        <v>0</v>
      </c>
      <c r="AN31" s="127">
        <v>0</v>
      </c>
      <c r="AO31" s="127">
        <v>0</v>
      </c>
      <c r="AP31" s="127">
        <v>0</v>
      </c>
      <c r="AQ31" s="127">
        <v>0</v>
      </c>
      <c r="AR31" s="127">
        <v>0</v>
      </c>
      <c r="AS31" s="127">
        <v>0</v>
      </c>
      <c r="AT31" s="127">
        <v>0</v>
      </c>
      <c r="AU31" s="127">
        <v>0</v>
      </c>
      <c r="AV31" s="127">
        <v>0</v>
      </c>
      <c r="AW31" s="127">
        <v>0</v>
      </c>
      <c r="AX31" s="127">
        <v>0</v>
      </c>
      <c r="AY31" s="127">
        <v>0</v>
      </c>
    </row>
    <row r="32" spans="1:54" x14ac:dyDescent="0.2">
      <c r="A32" s="144"/>
      <c r="B32" s="145">
        <v>8</v>
      </c>
      <c r="C32" s="144" t="s">
        <v>293</v>
      </c>
      <c r="D32" s="141">
        <v>0</v>
      </c>
      <c r="E32" s="141">
        <v>0</v>
      </c>
      <c r="F32" s="141">
        <v>0</v>
      </c>
      <c r="G32" s="141">
        <v>0</v>
      </c>
      <c r="H32" s="141">
        <v>0</v>
      </c>
      <c r="I32" s="141">
        <v>0</v>
      </c>
      <c r="J32" s="141">
        <v>0</v>
      </c>
      <c r="K32" s="141">
        <v>0</v>
      </c>
      <c r="L32" s="141">
        <v>0</v>
      </c>
      <c r="M32" s="141">
        <v>0</v>
      </c>
      <c r="N32" s="141">
        <v>0</v>
      </c>
      <c r="O32" s="141">
        <v>0</v>
      </c>
      <c r="P32" s="141">
        <v>0</v>
      </c>
      <c r="Q32" s="141">
        <v>0</v>
      </c>
      <c r="R32" s="141">
        <v>0</v>
      </c>
      <c r="S32" s="141">
        <v>0</v>
      </c>
      <c r="T32" s="141">
        <v>0</v>
      </c>
      <c r="U32" s="141">
        <v>0</v>
      </c>
      <c r="V32" s="141">
        <v>0</v>
      </c>
      <c r="W32" s="141">
        <v>0</v>
      </c>
      <c r="X32" s="141">
        <v>0</v>
      </c>
      <c r="Y32" s="141">
        <v>0</v>
      </c>
      <c r="Z32" s="141">
        <v>0</v>
      </c>
      <c r="AA32" s="141">
        <v>0</v>
      </c>
      <c r="AB32" s="141">
        <v>0</v>
      </c>
      <c r="AC32" s="141">
        <v>0</v>
      </c>
      <c r="AD32" s="141">
        <v>0</v>
      </c>
      <c r="AE32" s="141">
        <v>0</v>
      </c>
      <c r="AF32" s="141">
        <v>0</v>
      </c>
      <c r="AG32" s="141">
        <v>0</v>
      </c>
      <c r="AH32" s="141">
        <v>0</v>
      </c>
      <c r="AI32" s="141">
        <v>0</v>
      </c>
      <c r="AJ32" s="141">
        <v>0</v>
      </c>
      <c r="AK32" s="141">
        <v>0</v>
      </c>
      <c r="AL32" s="141">
        <v>0</v>
      </c>
      <c r="AM32" s="141">
        <v>0</v>
      </c>
      <c r="AN32" s="141">
        <v>0</v>
      </c>
      <c r="AO32" s="141">
        <v>0</v>
      </c>
      <c r="AP32" s="141">
        <v>0</v>
      </c>
      <c r="AQ32" s="141">
        <v>0</v>
      </c>
      <c r="AR32" s="141">
        <v>0</v>
      </c>
      <c r="AS32" s="141">
        <v>0</v>
      </c>
      <c r="AT32" s="141">
        <v>0</v>
      </c>
      <c r="AU32" s="141">
        <v>0</v>
      </c>
      <c r="AV32" s="141">
        <v>0</v>
      </c>
      <c r="AW32" s="141">
        <v>0</v>
      </c>
      <c r="AX32" s="141">
        <v>0</v>
      </c>
      <c r="AY32" s="141">
        <v>0</v>
      </c>
    </row>
    <row r="33" spans="1:51" x14ac:dyDescent="0.2">
      <c r="A33" s="147" t="s">
        <v>134</v>
      </c>
      <c r="B33" s="135">
        <v>1</v>
      </c>
      <c r="C33" s="126" t="s">
        <v>293</v>
      </c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  <c r="AS33" s="123"/>
      <c r="AT33" s="123"/>
      <c r="AU33" s="123"/>
      <c r="AV33" s="123"/>
      <c r="AW33" s="123"/>
      <c r="AX33" s="123"/>
      <c r="AY33" s="123"/>
    </row>
    <row r="34" spans="1:51" x14ac:dyDescent="0.2">
      <c r="A34" s="126"/>
      <c r="B34" s="135">
        <v>2</v>
      </c>
      <c r="C34" s="126" t="s">
        <v>293</v>
      </c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</row>
    <row r="35" spans="1:51" x14ac:dyDescent="0.2">
      <c r="A35" s="126"/>
      <c r="B35" s="135">
        <v>3</v>
      </c>
      <c r="C35" s="126" t="s">
        <v>293</v>
      </c>
      <c r="D35" s="123"/>
      <c r="E35" s="123"/>
      <c r="F35" s="123"/>
      <c r="G35" s="123"/>
      <c r="H35" s="123"/>
      <c r="I35" s="123"/>
      <c r="J35" s="123"/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  <c r="AS35" s="123"/>
      <c r="AT35" s="123"/>
      <c r="AU35" s="123"/>
      <c r="AV35" s="123"/>
      <c r="AW35" s="123"/>
      <c r="AX35" s="123"/>
      <c r="AY35" s="123"/>
    </row>
    <row r="36" spans="1:51" x14ac:dyDescent="0.2">
      <c r="A36" s="126"/>
      <c r="B36" s="136">
        <v>4</v>
      </c>
      <c r="C36" s="126" t="s">
        <v>293</v>
      </c>
      <c r="D36" s="123"/>
      <c r="E36" s="123"/>
      <c r="F36" s="123"/>
      <c r="G36" s="123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  <c r="AS36" s="123"/>
      <c r="AT36" s="123"/>
      <c r="AU36" s="123"/>
      <c r="AV36" s="123"/>
      <c r="AW36" s="123"/>
      <c r="AX36" s="123"/>
      <c r="AY36" s="123"/>
    </row>
    <row r="37" spans="1:51" x14ac:dyDescent="0.2">
      <c r="A37" s="126"/>
      <c r="B37" s="136">
        <v>5</v>
      </c>
      <c r="C37" s="126" t="s">
        <v>293</v>
      </c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  <c r="AS37" s="123"/>
      <c r="AT37" s="123"/>
      <c r="AU37" s="123"/>
      <c r="AV37" s="123"/>
      <c r="AW37" s="123"/>
      <c r="AX37" s="123"/>
      <c r="AY37" s="123"/>
    </row>
    <row r="38" spans="1:51" x14ac:dyDescent="0.2">
      <c r="A38" s="126"/>
      <c r="B38" s="136">
        <v>6</v>
      </c>
      <c r="C38" s="126" t="s">
        <v>293</v>
      </c>
      <c r="D38" s="123"/>
      <c r="E38" s="123"/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>
        <v>227.49515044523881</v>
      </c>
      <c r="U38" s="123"/>
      <c r="V38" s="123">
        <v>8.6016580795450235</v>
      </c>
      <c r="W38" s="123"/>
      <c r="X38" s="123">
        <v>150.97887022204722</v>
      </c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  <c r="AS38" s="123"/>
      <c r="AT38" s="123"/>
      <c r="AU38" s="123"/>
      <c r="AV38" s="123"/>
      <c r="AW38" s="123"/>
      <c r="AX38" s="123"/>
      <c r="AY38" s="123"/>
    </row>
    <row r="39" spans="1:51" x14ac:dyDescent="0.2">
      <c r="A39" s="126"/>
      <c r="B39" s="143">
        <v>7</v>
      </c>
      <c r="C39" s="126" t="s">
        <v>293</v>
      </c>
      <c r="D39" s="123"/>
      <c r="E39" s="123"/>
      <c r="F39" s="123"/>
      <c r="G39" s="123"/>
      <c r="H39" s="123"/>
      <c r="I39" s="123"/>
      <c r="J39" s="123">
        <v>348.70224585445339</v>
      </c>
      <c r="K39" s="123">
        <v>2113.4687186783021</v>
      </c>
      <c r="L39" s="123">
        <v>3146.3310489507712</v>
      </c>
      <c r="M39" s="123">
        <v>2827.0148337616156</v>
      </c>
      <c r="N39" s="123">
        <v>3979.0735738536782</v>
      </c>
      <c r="O39" s="123">
        <v>3137.7822760629197</v>
      </c>
      <c r="P39" s="123">
        <v>3621.1102897153451</v>
      </c>
      <c r="Q39" s="123">
        <v>3786.9806964590789</v>
      </c>
      <c r="R39" s="123">
        <v>3664.7818800654541</v>
      </c>
      <c r="S39" s="123">
        <v>3215.8295114221223</v>
      </c>
      <c r="T39" s="123">
        <v>3713.7381444024845</v>
      </c>
      <c r="U39" s="123">
        <v>3223.7567350999711</v>
      </c>
      <c r="V39" s="123">
        <v>3528.2040170747737</v>
      </c>
      <c r="W39" s="123">
        <v>2958.3328723257623</v>
      </c>
      <c r="X39" s="123">
        <v>4305.4858057655838</v>
      </c>
      <c r="Y39" s="123">
        <v>3091.548817323207</v>
      </c>
      <c r="Z39" s="123">
        <v>3660.8638468117092</v>
      </c>
      <c r="AA39" s="123">
        <v>2996.6380468052726</v>
      </c>
      <c r="AB39" s="123">
        <v>3639.7287714577096</v>
      </c>
      <c r="AC39" s="123">
        <v>2949.2320257955812</v>
      </c>
      <c r="AD39" s="123">
        <v>3767.1049648364633</v>
      </c>
      <c r="AE39" s="123">
        <v>3382.6935252241442</v>
      </c>
      <c r="AF39" s="123">
        <v>3705.065522631819</v>
      </c>
      <c r="AG39" s="123">
        <v>3446.4514436351046</v>
      </c>
      <c r="AH39" s="123">
        <v>3661.6905127094792</v>
      </c>
      <c r="AI39" s="123">
        <v>3005.7822740481629</v>
      </c>
      <c r="AJ39" s="123">
        <v>3455.7109494510341</v>
      </c>
      <c r="AK39" s="123">
        <v>3319.3301767629887</v>
      </c>
      <c r="AL39" s="123">
        <v>2747.8313882413486</v>
      </c>
      <c r="AM39" s="123">
        <v>3969.5604513915755</v>
      </c>
      <c r="AN39" s="123">
        <v>3705.548817323207</v>
      </c>
      <c r="AO39" s="123">
        <v>3178.3075099716357</v>
      </c>
      <c r="AP39" s="123">
        <v>3724.2620156909416</v>
      </c>
      <c r="AQ39" s="123">
        <v>3156.5535957863203</v>
      </c>
      <c r="AR39" s="123">
        <v>2795.8521330052431</v>
      </c>
      <c r="AS39" s="123">
        <v>3672.8992085715772</v>
      </c>
      <c r="AT39" s="123">
        <v>3353.9768685614827</v>
      </c>
      <c r="AU39" s="123">
        <v>3339.325413980614</v>
      </c>
      <c r="AV39" s="123">
        <v>2637.1207660849313</v>
      </c>
      <c r="AW39" s="123">
        <v>3950.025545276349</v>
      </c>
      <c r="AX39" s="123">
        <v>3054.4287898146117</v>
      </c>
      <c r="AY39" s="123">
        <v>3297.2399234273826</v>
      </c>
    </row>
    <row r="40" spans="1:51" x14ac:dyDescent="0.2">
      <c r="A40" s="126"/>
      <c r="B40" s="143">
        <v>8</v>
      </c>
      <c r="C40" s="126" t="s">
        <v>293</v>
      </c>
      <c r="D40" s="123"/>
      <c r="E40" s="123"/>
      <c r="F40" s="123"/>
      <c r="G40" s="123"/>
      <c r="H40" s="123"/>
      <c r="I40" s="123">
        <v>814.35094438116801</v>
      </c>
      <c r="J40" s="123">
        <v>2096.1429997988671</v>
      </c>
      <c r="K40" s="123">
        <v>657.11981215975175</v>
      </c>
      <c r="L40" s="123">
        <v>183.6678279945022</v>
      </c>
      <c r="M40" s="123">
        <v>0</v>
      </c>
      <c r="N40" s="123">
        <v>0</v>
      </c>
      <c r="O40" s="123">
        <v>0</v>
      </c>
      <c r="P40" s="123">
        <v>0</v>
      </c>
      <c r="Q40" s="123">
        <v>0</v>
      </c>
      <c r="R40" s="123">
        <v>0</v>
      </c>
      <c r="S40" s="123">
        <v>0</v>
      </c>
      <c r="T40" s="123">
        <v>0</v>
      </c>
      <c r="U40" s="123">
        <v>0</v>
      </c>
      <c r="V40" s="123">
        <v>0</v>
      </c>
      <c r="W40" s="123">
        <v>0</v>
      </c>
      <c r="X40" s="123">
        <v>0</v>
      </c>
      <c r="Y40" s="123">
        <v>0</v>
      </c>
      <c r="Z40" s="123">
        <v>0</v>
      </c>
      <c r="AA40" s="123">
        <v>0</v>
      </c>
      <c r="AB40" s="123">
        <v>0</v>
      </c>
      <c r="AC40" s="123">
        <v>0</v>
      </c>
      <c r="AD40" s="123">
        <v>0</v>
      </c>
      <c r="AE40" s="123">
        <v>0</v>
      </c>
      <c r="AF40" s="123">
        <v>0</v>
      </c>
      <c r="AG40" s="123">
        <v>0</v>
      </c>
      <c r="AH40" s="123">
        <v>0</v>
      </c>
      <c r="AI40" s="123">
        <v>0</v>
      </c>
      <c r="AJ40" s="123">
        <v>0</v>
      </c>
      <c r="AK40" s="123">
        <v>0</v>
      </c>
      <c r="AL40" s="123">
        <v>0</v>
      </c>
      <c r="AM40" s="123">
        <v>0</v>
      </c>
      <c r="AN40" s="123">
        <v>0</v>
      </c>
      <c r="AO40" s="123">
        <v>0</v>
      </c>
      <c r="AP40" s="123">
        <v>0</v>
      </c>
      <c r="AQ40" s="123">
        <v>0</v>
      </c>
      <c r="AR40" s="123">
        <v>0</v>
      </c>
      <c r="AS40" s="123">
        <v>0</v>
      </c>
      <c r="AT40" s="123">
        <v>0</v>
      </c>
      <c r="AU40" s="123">
        <v>0</v>
      </c>
      <c r="AV40" s="123">
        <v>0</v>
      </c>
      <c r="AW40" s="123">
        <v>0</v>
      </c>
      <c r="AX40" s="123">
        <v>0</v>
      </c>
      <c r="AY40" s="123">
        <v>0</v>
      </c>
    </row>
    <row r="41" spans="1:51" x14ac:dyDescent="0.2">
      <c r="A41" s="126"/>
      <c r="B41" s="143">
        <v>9</v>
      </c>
      <c r="C41" s="126" t="s">
        <v>293</v>
      </c>
      <c r="D41" s="123">
        <v>74.346208582102179</v>
      </c>
      <c r="E41" s="123">
        <v>298.7791288172391</v>
      </c>
      <c r="F41" s="123">
        <v>990.52835961371113</v>
      </c>
      <c r="G41" s="123">
        <v>1460.5557829211491</v>
      </c>
      <c r="H41" s="123">
        <v>1418.3032862754389</v>
      </c>
      <c r="I41" s="123">
        <v>1250.8733057169379</v>
      </c>
      <c r="J41" s="123">
        <v>0</v>
      </c>
      <c r="K41" s="123">
        <v>0</v>
      </c>
      <c r="L41" s="123">
        <v>0</v>
      </c>
      <c r="M41" s="123">
        <v>0</v>
      </c>
      <c r="N41" s="123">
        <v>0</v>
      </c>
      <c r="O41" s="123">
        <v>0</v>
      </c>
      <c r="P41" s="123">
        <v>0</v>
      </c>
      <c r="Q41" s="123">
        <v>0</v>
      </c>
      <c r="R41" s="123">
        <v>0</v>
      </c>
      <c r="S41" s="123">
        <v>0</v>
      </c>
      <c r="T41" s="123">
        <v>0</v>
      </c>
      <c r="U41" s="123">
        <v>0</v>
      </c>
      <c r="V41" s="123">
        <v>0</v>
      </c>
      <c r="W41" s="123">
        <v>0</v>
      </c>
      <c r="X41" s="123">
        <v>0</v>
      </c>
      <c r="Y41" s="123">
        <v>0</v>
      </c>
      <c r="Z41" s="123">
        <v>0</v>
      </c>
      <c r="AA41" s="123">
        <v>0</v>
      </c>
      <c r="AB41" s="123">
        <v>0</v>
      </c>
      <c r="AC41" s="123">
        <v>0</v>
      </c>
      <c r="AD41" s="123">
        <v>0</v>
      </c>
      <c r="AE41" s="123">
        <v>0</v>
      </c>
      <c r="AF41" s="123">
        <v>0</v>
      </c>
      <c r="AG41" s="123">
        <v>0</v>
      </c>
      <c r="AH41" s="123">
        <v>0</v>
      </c>
      <c r="AI41" s="123">
        <v>0</v>
      </c>
      <c r="AJ41" s="123">
        <v>0</v>
      </c>
      <c r="AK41" s="123">
        <v>0</v>
      </c>
      <c r="AL41" s="123">
        <v>0</v>
      </c>
      <c r="AM41" s="123">
        <v>0</v>
      </c>
      <c r="AN41" s="123">
        <v>0</v>
      </c>
      <c r="AO41" s="123">
        <v>0</v>
      </c>
      <c r="AP41" s="123">
        <v>0</v>
      </c>
      <c r="AQ41" s="123">
        <v>0</v>
      </c>
      <c r="AR41" s="123">
        <v>0</v>
      </c>
      <c r="AS41" s="123">
        <v>0</v>
      </c>
      <c r="AT41" s="123">
        <v>0</v>
      </c>
      <c r="AU41" s="123">
        <v>0</v>
      </c>
      <c r="AV41" s="123">
        <v>0</v>
      </c>
      <c r="AW41" s="123">
        <v>0</v>
      </c>
      <c r="AX41" s="123">
        <v>0</v>
      </c>
      <c r="AY41" s="123">
        <v>0</v>
      </c>
    </row>
    <row r="42" spans="1:51" x14ac:dyDescent="0.2">
      <c r="A42" s="126"/>
      <c r="B42" s="146">
        <v>10</v>
      </c>
      <c r="C42" s="126" t="s">
        <v>293</v>
      </c>
      <c r="D42" s="123">
        <v>1234.7912326291842</v>
      </c>
      <c r="E42" s="123">
        <v>1143.223481055019</v>
      </c>
      <c r="F42" s="123">
        <v>1297.957809168277</v>
      </c>
      <c r="G42" s="123">
        <v>246.39625890658681</v>
      </c>
      <c r="H42" s="123">
        <v>0</v>
      </c>
      <c r="I42" s="123">
        <v>0</v>
      </c>
      <c r="J42" s="123">
        <v>0</v>
      </c>
      <c r="K42" s="123">
        <v>0</v>
      </c>
      <c r="L42" s="123">
        <v>0</v>
      </c>
      <c r="M42" s="123">
        <v>0</v>
      </c>
      <c r="N42" s="123">
        <v>0</v>
      </c>
      <c r="O42" s="123">
        <v>0</v>
      </c>
      <c r="P42" s="123">
        <v>0</v>
      </c>
      <c r="Q42" s="123">
        <v>0</v>
      </c>
      <c r="R42" s="123">
        <v>0</v>
      </c>
      <c r="S42" s="123">
        <v>0</v>
      </c>
      <c r="T42" s="123">
        <v>0</v>
      </c>
      <c r="U42" s="123">
        <v>0</v>
      </c>
      <c r="V42" s="123">
        <v>0</v>
      </c>
      <c r="W42" s="123">
        <v>0</v>
      </c>
      <c r="X42" s="123">
        <v>0</v>
      </c>
      <c r="Y42" s="123">
        <v>0</v>
      </c>
      <c r="Z42" s="123">
        <v>0</v>
      </c>
      <c r="AA42" s="123">
        <v>0</v>
      </c>
      <c r="AB42" s="123">
        <v>0</v>
      </c>
      <c r="AC42" s="123">
        <v>0</v>
      </c>
      <c r="AD42" s="123">
        <v>0</v>
      </c>
      <c r="AE42" s="123">
        <v>0</v>
      </c>
      <c r="AF42" s="123">
        <v>0</v>
      </c>
      <c r="AG42" s="123">
        <v>0</v>
      </c>
      <c r="AH42" s="123">
        <v>0</v>
      </c>
      <c r="AI42" s="123">
        <v>0</v>
      </c>
      <c r="AJ42" s="123">
        <v>0</v>
      </c>
      <c r="AK42" s="123">
        <v>0</v>
      </c>
      <c r="AL42" s="123">
        <v>0</v>
      </c>
      <c r="AM42" s="123">
        <v>0</v>
      </c>
      <c r="AN42" s="123">
        <v>0</v>
      </c>
      <c r="AO42" s="123">
        <v>0</v>
      </c>
      <c r="AP42" s="123">
        <v>0</v>
      </c>
      <c r="AQ42" s="123">
        <v>0</v>
      </c>
      <c r="AR42" s="123">
        <v>0</v>
      </c>
      <c r="AS42" s="123">
        <v>0</v>
      </c>
      <c r="AT42" s="123">
        <v>0</v>
      </c>
      <c r="AU42" s="123">
        <v>0</v>
      </c>
      <c r="AV42" s="123">
        <v>0</v>
      </c>
      <c r="AW42" s="123">
        <v>0</v>
      </c>
      <c r="AX42" s="123">
        <v>0</v>
      </c>
      <c r="AY42" s="123">
        <v>0</v>
      </c>
    </row>
    <row r="43" spans="1:51" x14ac:dyDescent="0.2">
      <c r="A43" s="126"/>
      <c r="B43" s="146">
        <v>11</v>
      </c>
      <c r="C43" s="126" t="s">
        <v>293</v>
      </c>
      <c r="D43" s="123">
        <v>0</v>
      </c>
      <c r="E43" s="123">
        <v>0</v>
      </c>
      <c r="F43" s="123">
        <v>0</v>
      </c>
      <c r="G43" s="123">
        <v>0</v>
      </c>
      <c r="H43" s="123">
        <v>0</v>
      </c>
      <c r="I43" s="123">
        <v>0</v>
      </c>
      <c r="J43" s="123">
        <v>0</v>
      </c>
      <c r="K43" s="123">
        <v>0</v>
      </c>
      <c r="L43" s="123">
        <v>0</v>
      </c>
      <c r="M43" s="123">
        <v>0</v>
      </c>
      <c r="N43" s="123">
        <v>0</v>
      </c>
      <c r="O43" s="123">
        <v>0</v>
      </c>
      <c r="P43" s="123">
        <v>0</v>
      </c>
      <c r="Q43" s="123">
        <v>0</v>
      </c>
      <c r="R43" s="123">
        <v>0</v>
      </c>
      <c r="S43" s="123">
        <v>0</v>
      </c>
      <c r="T43" s="123">
        <v>0</v>
      </c>
      <c r="U43" s="123">
        <v>0</v>
      </c>
      <c r="V43" s="123">
        <v>0</v>
      </c>
      <c r="W43" s="123">
        <v>0</v>
      </c>
      <c r="X43" s="123">
        <v>0</v>
      </c>
      <c r="Y43" s="123">
        <v>0</v>
      </c>
      <c r="Z43" s="123">
        <v>0</v>
      </c>
      <c r="AA43" s="123">
        <v>0</v>
      </c>
      <c r="AB43" s="123">
        <v>0</v>
      </c>
      <c r="AC43" s="123">
        <v>0</v>
      </c>
      <c r="AD43" s="123">
        <v>0</v>
      </c>
      <c r="AE43" s="123">
        <v>0</v>
      </c>
      <c r="AF43" s="123">
        <v>0</v>
      </c>
      <c r="AG43" s="123">
        <v>0</v>
      </c>
      <c r="AH43" s="123">
        <v>0</v>
      </c>
      <c r="AI43" s="123">
        <v>0</v>
      </c>
      <c r="AJ43" s="123">
        <v>0</v>
      </c>
      <c r="AK43" s="123">
        <v>0</v>
      </c>
      <c r="AL43" s="123">
        <v>0</v>
      </c>
      <c r="AM43" s="123">
        <v>0</v>
      </c>
      <c r="AN43" s="123">
        <v>0</v>
      </c>
      <c r="AO43" s="123">
        <v>0</v>
      </c>
      <c r="AP43" s="123">
        <v>0</v>
      </c>
      <c r="AQ43" s="123">
        <v>0</v>
      </c>
      <c r="AR43" s="123">
        <v>0</v>
      </c>
      <c r="AS43" s="123">
        <v>0</v>
      </c>
      <c r="AT43" s="123">
        <v>0</v>
      </c>
      <c r="AU43" s="123">
        <v>0</v>
      </c>
      <c r="AV43" s="123">
        <v>0</v>
      </c>
      <c r="AW43" s="123">
        <v>0</v>
      </c>
      <c r="AX43" s="123">
        <v>0</v>
      </c>
      <c r="AY43" s="123">
        <v>0</v>
      </c>
    </row>
    <row r="44" spans="1:51" x14ac:dyDescent="0.2">
      <c r="A44" s="126"/>
      <c r="B44" s="146">
        <v>12</v>
      </c>
      <c r="C44" s="144" t="s">
        <v>293</v>
      </c>
      <c r="D44" s="123">
        <v>0</v>
      </c>
      <c r="E44" s="123">
        <v>0</v>
      </c>
      <c r="F44" s="123">
        <v>0</v>
      </c>
      <c r="G44" s="123">
        <v>0</v>
      </c>
      <c r="H44" s="123">
        <v>0</v>
      </c>
      <c r="I44" s="123">
        <v>0</v>
      </c>
      <c r="J44" s="123">
        <v>0</v>
      </c>
      <c r="K44" s="123">
        <v>0</v>
      </c>
      <c r="L44" s="123">
        <v>0</v>
      </c>
      <c r="M44" s="123">
        <v>0</v>
      </c>
      <c r="N44" s="123">
        <v>0</v>
      </c>
      <c r="O44" s="123">
        <v>0</v>
      </c>
      <c r="P44" s="123">
        <v>0</v>
      </c>
      <c r="Q44" s="123">
        <v>0</v>
      </c>
      <c r="R44" s="123">
        <v>0</v>
      </c>
      <c r="S44" s="123">
        <v>0</v>
      </c>
      <c r="T44" s="123">
        <v>0</v>
      </c>
      <c r="U44" s="123">
        <v>0</v>
      </c>
      <c r="V44" s="123">
        <v>0</v>
      </c>
      <c r="W44" s="123">
        <v>0</v>
      </c>
      <c r="X44" s="123">
        <v>0</v>
      </c>
      <c r="Y44" s="123">
        <v>0</v>
      </c>
      <c r="Z44" s="123">
        <v>0</v>
      </c>
      <c r="AA44" s="123">
        <v>0</v>
      </c>
      <c r="AB44" s="123">
        <v>0</v>
      </c>
      <c r="AC44" s="123">
        <v>0</v>
      </c>
      <c r="AD44" s="123">
        <v>0</v>
      </c>
      <c r="AE44" s="123">
        <v>0</v>
      </c>
      <c r="AF44" s="123">
        <v>0</v>
      </c>
      <c r="AG44" s="123">
        <v>0</v>
      </c>
      <c r="AH44" s="123">
        <v>0</v>
      </c>
      <c r="AI44" s="123">
        <v>0</v>
      </c>
      <c r="AJ44" s="123">
        <v>0</v>
      </c>
      <c r="AK44" s="123">
        <v>0</v>
      </c>
      <c r="AL44" s="123">
        <v>0</v>
      </c>
      <c r="AM44" s="123">
        <v>0</v>
      </c>
      <c r="AN44" s="123">
        <v>0</v>
      </c>
      <c r="AO44" s="123">
        <v>0</v>
      </c>
      <c r="AP44" s="123">
        <v>0</v>
      </c>
      <c r="AQ44" s="123">
        <v>0</v>
      </c>
      <c r="AR44" s="123">
        <v>0</v>
      </c>
      <c r="AS44" s="123">
        <v>0</v>
      </c>
      <c r="AT44" s="123">
        <v>0</v>
      </c>
      <c r="AU44" s="123">
        <v>0</v>
      </c>
      <c r="AV44" s="123">
        <v>0</v>
      </c>
      <c r="AW44" s="123">
        <v>0</v>
      </c>
      <c r="AX44" s="123">
        <v>0</v>
      </c>
      <c r="AY44" s="123">
        <v>0</v>
      </c>
    </row>
    <row r="45" spans="1:51" x14ac:dyDescent="0.2">
      <c r="A45" s="142" t="s">
        <v>123</v>
      </c>
      <c r="B45" s="139">
        <v>1</v>
      </c>
      <c r="C45" s="126" t="s">
        <v>293</v>
      </c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</row>
    <row r="46" spans="1:51" x14ac:dyDescent="0.2">
      <c r="A46" s="126"/>
      <c r="B46" s="135">
        <v>2</v>
      </c>
      <c r="C46" s="126" t="s">
        <v>293</v>
      </c>
      <c r="D46" s="127"/>
      <c r="E46" s="127"/>
      <c r="F46" s="127"/>
      <c r="G46" s="127"/>
      <c r="H46" s="127"/>
      <c r="I46" s="127"/>
      <c r="J46" s="127"/>
      <c r="K46" s="127"/>
      <c r="L46" s="127"/>
      <c r="M46" s="127"/>
      <c r="N46" s="127"/>
      <c r="O46" s="127"/>
      <c r="P46" s="127"/>
      <c r="Q46" s="127"/>
      <c r="R46" s="127"/>
      <c r="S46" s="127"/>
      <c r="T46" s="127"/>
      <c r="U46" s="127"/>
      <c r="V46" s="127"/>
      <c r="W46" s="127"/>
      <c r="X46" s="127"/>
      <c r="Y46" s="127"/>
      <c r="Z46" s="127"/>
      <c r="AA46" s="127"/>
      <c r="AB46" s="127"/>
      <c r="AC46" s="127"/>
      <c r="AD46" s="127"/>
      <c r="AE46" s="127"/>
      <c r="AF46" s="127"/>
      <c r="AG46" s="127"/>
      <c r="AH46" s="127"/>
      <c r="AI46" s="127"/>
      <c r="AJ46" s="127"/>
      <c r="AK46" s="127"/>
      <c r="AL46" s="127"/>
      <c r="AM46" s="127"/>
      <c r="AN46" s="127"/>
      <c r="AO46" s="127"/>
      <c r="AP46" s="127"/>
      <c r="AQ46" s="127"/>
      <c r="AR46" s="127"/>
      <c r="AS46" s="127"/>
      <c r="AT46" s="127"/>
      <c r="AU46" s="127"/>
      <c r="AV46" s="127"/>
      <c r="AW46" s="127"/>
      <c r="AX46" s="127"/>
      <c r="AY46" s="127"/>
    </row>
    <row r="47" spans="1:51" x14ac:dyDescent="0.2">
      <c r="A47" s="126"/>
      <c r="B47" s="135">
        <v>3</v>
      </c>
      <c r="C47" s="126" t="s">
        <v>293</v>
      </c>
      <c r="D47" s="127"/>
      <c r="E47" s="127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127"/>
      <c r="T47" s="127"/>
      <c r="U47" s="127"/>
      <c r="V47" s="127"/>
      <c r="W47" s="127"/>
      <c r="X47" s="127"/>
      <c r="Y47" s="127"/>
      <c r="Z47" s="127"/>
      <c r="AA47" s="127"/>
      <c r="AB47" s="127"/>
      <c r="AC47" s="127"/>
      <c r="AD47" s="127"/>
      <c r="AE47" s="127"/>
      <c r="AF47" s="127"/>
      <c r="AG47" s="127"/>
      <c r="AH47" s="127"/>
      <c r="AI47" s="127"/>
      <c r="AJ47" s="127"/>
      <c r="AK47" s="127"/>
      <c r="AL47" s="127"/>
      <c r="AM47" s="127"/>
      <c r="AN47" s="127"/>
      <c r="AO47" s="127"/>
      <c r="AP47" s="127"/>
      <c r="AQ47" s="127"/>
      <c r="AR47" s="127"/>
      <c r="AS47" s="127"/>
      <c r="AT47" s="127"/>
      <c r="AU47" s="127"/>
      <c r="AV47" s="127"/>
      <c r="AW47" s="127"/>
      <c r="AX47" s="127"/>
      <c r="AY47" s="127"/>
    </row>
    <row r="48" spans="1:51" x14ac:dyDescent="0.2">
      <c r="A48" s="126"/>
      <c r="B48" s="135">
        <v>4</v>
      </c>
      <c r="C48" s="126" t="s">
        <v>293</v>
      </c>
      <c r="D48" s="127"/>
      <c r="E48" s="127"/>
      <c r="F48" s="127"/>
      <c r="G48" s="127"/>
      <c r="H48" s="127"/>
      <c r="I48" s="127"/>
      <c r="J48" s="127"/>
      <c r="K48" s="127"/>
      <c r="L48" s="127"/>
      <c r="M48" s="127"/>
      <c r="N48" s="127"/>
      <c r="O48" s="127"/>
      <c r="P48" s="127"/>
      <c r="Q48" s="127"/>
      <c r="R48" s="127"/>
      <c r="S48" s="127"/>
      <c r="T48" s="127"/>
      <c r="U48" s="127"/>
      <c r="V48" s="127"/>
      <c r="W48" s="127"/>
      <c r="X48" s="127"/>
      <c r="Y48" s="127"/>
      <c r="Z48" s="127"/>
      <c r="AA48" s="127"/>
      <c r="AB48" s="127"/>
      <c r="AC48" s="127"/>
      <c r="AD48" s="127"/>
      <c r="AE48" s="127"/>
      <c r="AF48" s="127"/>
      <c r="AG48" s="127"/>
      <c r="AH48" s="127"/>
      <c r="AI48" s="127"/>
      <c r="AJ48" s="127"/>
      <c r="AK48" s="127"/>
      <c r="AL48" s="127"/>
      <c r="AM48" s="127"/>
      <c r="AN48" s="127"/>
      <c r="AO48" s="127"/>
      <c r="AP48" s="127"/>
      <c r="AQ48" s="127"/>
      <c r="AR48" s="127"/>
      <c r="AS48" s="127"/>
      <c r="AT48" s="127"/>
      <c r="AU48" s="127"/>
      <c r="AV48" s="127"/>
      <c r="AW48" s="127"/>
      <c r="AX48" s="127"/>
      <c r="AY48" s="127"/>
    </row>
    <row r="49" spans="1:51" x14ac:dyDescent="0.2">
      <c r="A49" s="126"/>
      <c r="B49" s="135">
        <v>5</v>
      </c>
      <c r="C49" s="126" t="s">
        <v>293</v>
      </c>
      <c r="D49" s="127"/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27"/>
      <c r="R49" s="127"/>
      <c r="S49" s="127"/>
      <c r="T49" s="127"/>
      <c r="U49" s="127"/>
      <c r="V49" s="127"/>
      <c r="W49" s="127"/>
      <c r="X49" s="127"/>
      <c r="Y49" s="127"/>
      <c r="Z49" s="127"/>
      <c r="AA49" s="127"/>
      <c r="AB49" s="127"/>
      <c r="AC49" s="127"/>
      <c r="AD49" s="127"/>
      <c r="AE49" s="127"/>
      <c r="AF49" s="127"/>
      <c r="AG49" s="127"/>
      <c r="AH49" s="127"/>
      <c r="AI49" s="127"/>
      <c r="AJ49" s="127"/>
      <c r="AK49" s="127"/>
      <c r="AL49" s="127"/>
      <c r="AM49" s="127"/>
      <c r="AN49" s="127"/>
      <c r="AO49" s="127"/>
      <c r="AP49" s="127"/>
      <c r="AQ49" s="127"/>
      <c r="AR49" s="127"/>
      <c r="AS49" s="127"/>
      <c r="AT49" s="127"/>
      <c r="AU49" s="127"/>
      <c r="AV49" s="127"/>
      <c r="AW49" s="127"/>
      <c r="AX49" s="127"/>
      <c r="AY49" s="127"/>
    </row>
    <row r="50" spans="1:51" x14ac:dyDescent="0.2">
      <c r="A50" s="126"/>
      <c r="B50" s="135">
        <v>6</v>
      </c>
      <c r="C50" s="126" t="s">
        <v>293</v>
      </c>
      <c r="D50" s="127"/>
      <c r="E50" s="127"/>
      <c r="F50" s="127"/>
      <c r="G50" s="127"/>
      <c r="H50" s="127"/>
      <c r="I50" s="127"/>
      <c r="J50" s="127"/>
      <c r="K50" s="127"/>
      <c r="L50" s="127"/>
      <c r="M50" s="127"/>
      <c r="N50" s="127"/>
      <c r="O50" s="127"/>
      <c r="P50" s="127"/>
      <c r="Q50" s="127"/>
      <c r="R50" s="127"/>
      <c r="S50" s="127"/>
      <c r="T50" s="127"/>
      <c r="U50" s="127"/>
      <c r="V50" s="127"/>
      <c r="W50" s="127"/>
      <c r="X50" s="127"/>
      <c r="Y50" s="127"/>
      <c r="Z50" s="127"/>
      <c r="AA50" s="127"/>
      <c r="AB50" s="127"/>
      <c r="AC50" s="127"/>
      <c r="AD50" s="127"/>
      <c r="AE50" s="127"/>
      <c r="AF50" s="127"/>
      <c r="AG50" s="127"/>
      <c r="AH50" s="127"/>
      <c r="AI50" s="127"/>
      <c r="AJ50" s="127"/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7"/>
      <c r="AW50" s="127"/>
      <c r="AX50" s="127"/>
      <c r="AY50" s="127"/>
    </row>
    <row r="51" spans="1:51" x14ac:dyDescent="0.2">
      <c r="A51" s="126"/>
      <c r="B51" s="135">
        <v>7</v>
      </c>
      <c r="C51" s="126" t="s">
        <v>293</v>
      </c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  <c r="Q51" s="127"/>
      <c r="R51" s="127"/>
      <c r="S51" s="127"/>
      <c r="T51" s="127"/>
      <c r="U51" s="127"/>
      <c r="V51" s="127"/>
      <c r="W51" s="127"/>
      <c r="X51" s="127"/>
      <c r="Y51" s="127"/>
      <c r="Z51" s="127"/>
      <c r="AA51" s="127"/>
      <c r="AB51" s="127"/>
      <c r="AC51" s="127"/>
      <c r="AD51" s="127"/>
      <c r="AE51" s="127"/>
      <c r="AF51" s="127"/>
      <c r="AG51" s="127"/>
      <c r="AH51" s="127"/>
      <c r="AI51" s="127"/>
      <c r="AJ51" s="127"/>
      <c r="AK51" s="127"/>
      <c r="AL51" s="127"/>
      <c r="AM51" s="127"/>
      <c r="AN51" s="127"/>
      <c r="AO51" s="127"/>
      <c r="AP51" s="127"/>
      <c r="AQ51" s="127"/>
      <c r="AR51" s="127"/>
      <c r="AS51" s="127"/>
      <c r="AT51" s="127"/>
      <c r="AU51" s="127"/>
      <c r="AV51" s="127"/>
      <c r="AW51" s="127"/>
      <c r="AX51" s="127"/>
      <c r="AY51" s="127"/>
    </row>
    <row r="52" spans="1:51" x14ac:dyDescent="0.2">
      <c r="A52" s="126"/>
      <c r="B52" s="135">
        <v>8</v>
      </c>
      <c r="C52" s="126" t="s">
        <v>293</v>
      </c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</row>
    <row r="53" spans="1:51" x14ac:dyDescent="0.2">
      <c r="A53" s="126"/>
      <c r="B53" s="135">
        <v>9</v>
      </c>
      <c r="C53" s="126" t="s">
        <v>293</v>
      </c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  <c r="Q53" s="127"/>
      <c r="R53" s="127"/>
      <c r="S53" s="127"/>
      <c r="T53" s="127"/>
      <c r="U53" s="127"/>
      <c r="V53" s="127"/>
      <c r="W53" s="127"/>
      <c r="X53" s="127"/>
      <c r="Y53" s="127"/>
      <c r="Z53" s="127"/>
      <c r="AA53" s="127"/>
      <c r="AB53" s="127"/>
      <c r="AC53" s="127"/>
      <c r="AD53" s="127"/>
      <c r="AE53" s="127"/>
      <c r="AF53" s="127"/>
      <c r="AG53" s="127"/>
      <c r="AH53" s="127"/>
      <c r="AI53" s="127"/>
      <c r="AJ53" s="127"/>
      <c r="AK53" s="127"/>
      <c r="AL53" s="127"/>
      <c r="AM53" s="127"/>
      <c r="AN53" s="127"/>
      <c r="AO53" s="127"/>
      <c r="AP53" s="127"/>
      <c r="AQ53" s="127"/>
      <c r="AR53" s="127"/>
      <c r="AS53" s="127"/>
      <c r="AT53" s="127"/>
      <c r="AU53" s="127"/>
      <c r="AV53" s="127"/>
      <c r="AW53" s="127"/>
      <c r="AX53" s="127"/>
      <c r="AY53" s="127"/>
    </row>
    <row r="54" spans="1:51" x14ac:dyDescent="0.2">
      <c r="A54" s="126"/>
      <c r="B54" s="135">
        <v>10</v>
      </c>
      <c r="C54" s="126" t="s">
        <v>293</v>
      </c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  <c r="Q54" s="127"/>
      <c r="R54" s="127"/>
      <c r="S54" s="127"/>
      <c r="T54" s="127"/>
      <c r="U54" s="127"/>
      <c r="V54" s="127"/>
      <c r="W54" s="127"/>
      <c r="X54" s="127"/>
      <c r="Y54" s="127"/>
      <c r="Z54" s="127"/>
      <c r="AA54" s="127"/>
      <c r="AB54" s="127"/>
      <c r="AC54" s="127"/>
      <c r="AD54" s="127"/>
      <c r="AE54" s="127"/>
      <c r="AF54" s="127"/>
      <c r="AG54" s="127"/>
      <c r="AH54" s="127"/>
      <c r="AI54" s="127"/>
      <c r="AJ54" s="127"/>
      <c r="AK54" s="127"/>
      <c r="AL54" s="127"/>
      <c r="AM54" s="127"/>
      <c r="AN54" s="127"/>
      <c r="AO54" s="127"/>
      <c r="AP54" s="127"/>
      <c r="AQ54" s="127"/>
      <c r="AR54" s="127"/>
      <c r="AS54" s="127"/>
      <c r="AT54" s="127"/>
      <c r="AU54" s="127"/>
      <c r="AV54" s="127"/>
      <c r="AW54" s="127"/>
      <c r="AX54" s="127"/>
      <c r="AY54" s="127"/>
    </row>
    <row r="55" spans="1:51" x14ac:dyDescent="0.2">
      <c r="A55" s="126"/>
      <c r="B55" s="135">
        <v>11</v>
      </c>
      <c r="C55" s="126" t="s">
        <v>293</v>
      </c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  <c r="Q55" s="127"/>
      <c r="R55" s="127"/>
      <c r="S55" s="127"/>
      <c r="T55" s="127"/>
      <c r="U55" s="127"/>
      <c r="V55" s="127"/>
      <c r="W55" s="127"/>
      <c r="X55" s="127"/>
      <c r="Y55" s="127"/>
      <c r="Z55" s="127"/>
      <c r="AA55" s="127"/>
      <c r="AB55" s="127"/>
      <c r="AC55" s="127"/>
      <c r="AD55" s="127"/>
      <c r="AE55" s="127"/>
      <c r="AF55" s="127"/>
      <c r="AG55" s="127"/>
      <c r="AH55" s="127"/>
      <c r="AI55" s="127"/>
      <c r="AJ55" s="127"/>
      <c r="AK55" s="127"/>
      <c r="AL55" s="127"/>
      <c r="AM55" s="127"/>
      <c r="AN55" s="127"/>
      <c r="AO55" s="127"/>
      <c r="AP55" s="127"/>
      <c r="AQ55" s="127"/>
      <c r="AR55" s="127"/>
      <c r="AS55" s="127"/>
      <c r="AT55" s="127"/>
      <c r="AU55" s="127"/>
      <c r="AV55" s="127"/>
      <c r="AW55" s="127"/>
      <c r="AX55" s="127"/>
      <c r="AY55" s="127"/>
    </row>
    <row r="56" spans="1:51" x14ac:dyDescent="0.2">
      <c r="A56" s="126"/>
      <c r="B56" s="135">
        <v>12</v>
      </c>
      <c r="C56" s="126" t="s">
        <v>293</v>
      </c>
      <c r="D56" s="127"/>
      <c r="E56" s="127"/>
      <c r="F56" s="127"/>
      <c r="G56" s="127"/>
      <c r="H56" s="127"/>
      <c r="I56" s="127"/>
      <c r="J56" s="127"/>
      <c r="K56" s="127"/>
      <c r="L56" s="127"/>
      <c r="M56" s="127"/>
      <c r="N56" s="127"/>
      <c r="O56" s="127"/>
      <c r="P56" s="127"/>
      <c r="Q56" s="127"/>
      <c r="R56" s="127"/>
      <c r="S56" s="127"/>
      <c r="T56" s="127"/>
      <c r="U56" s="127"/>
      <c r="V56" s="127"/>
      <c r="W56" s="127"/>
      <c r="X56" s="127"/>
      <c r="Y56" s="127"/>
      <c r="Z56" s="127"/>
      <c r="AA56" s="127"/>
      <c r="AB56" s="127"/>
      <c r="AC56" s="127"/>
      <c r="AD56" s="127"/>
      <c r="AE56" s="127"/>
      <c r="AF56" s="127"/>
      <c r="AG56" s="127"/>
      <c r="AH56" s="127"/>
      <c r="AI56" s="127"/>
      <c r="AJ56" s="127"/>
      <c r="AK56" s="127"/>
      <c r="AL56" s="127"/>
      <c r="AM56" s="127"/>
      <c r="AN56" s="127"/>
      <c r="AO56" s="127"/>
      <c r="AP56" s="127"/>
      <c r="AQ56" s="127"/>
      <c r="AR56" s="127"/>
      <c r="AS56" s="127"/>
      <c r="AT56" s="127"/>
      <c r="AU56" s="127"/>
      <c r="AV56" s="127"/>
      <c r="AW56" s="127"/>
      <c r="AX56" s="127"/>
      <c r="AY56" s="127"/>
    </row>
    <row r="57" spans="1:51" x14ac:dyDescent="0.2">
      <c r="A57" s="126"/>
      <c r="B57" s="136">
        <v>13</v>
      </c>
      <c r="C57" s="126" t="s">
        <v>293</v>
      </c>
      <c r="D57" s="127"/>
      <c r="E57" s="127"/>
      <c r="F57" s="127"/>
      <c r="G57" s="127"/>
      <c r="H57" s="127"/>
      <c r="I57" s="127"/>
      <c r="J57" s="127"/>
      <c r="K57" s="127"/>
      <c r="L57" s="127"/>
      <c r="M57" s="127"/>
      <c r="N57" s="127"/>
      <c r="O57" s="127"/>
      <c r="P57" s="127"/>
      <c r="Q57" s="127"/>
      <c r="R57" s="127"/>
      <c r="S57" s="127"/>
      <c r="T57" s="127"/>
      <c r="U57" s="127"/>
      <c r="V57" s="127"/>
      <c r="W57" s="127"/>
      <c r="X57" s="127"/>
      <c r="Y57" s="127"/>
      <c r="Z57" s="127"/>
      <c r="AA57" s="127"/>
      <c r="AB57" s="127"/>
      <c r="AC57" s="127"/>
      <c r="AD57" s="127"/>
      <c r="AE57" s="127"/>
      <c r="AF57" s="127"/>
      <c r="AG57" s="127"/>
      <c r="AH57" s="127"/>
      <c r="AI57" s="127"/>
      <c r="AJ57" s="127"/>
      <c r="AK57" s="127"/>
      <c r="AL57" s="127"/>
      <c r="AM57" s="127"/>
      <c r="AN57" s="127"/>
      <c r="AO57" s="127"/>
      <c r="AP57" s="127"/>
      <c r="AQ57" s="127"/>
      <c r="AR57" s="127"/>
      <c r="AS57" s="127"/>
      <c r="AT57" s="127"/>
      <c r="AU57" s="127"/>
      <c r="AV57" s="127"/>
      <c r="AW57" s="127"/>
      <c r="AX57" s="127"/>
      <c r="AY57" s="127"/>
    </row>
    <row r="58" spans="1:51" x14ac:dyDescent="0.2">
      <c r="A58" s="126"/>
      <c r="B58" s="136">
        <v>14</v>
      </c>
      <c r="C58" s="126" t="s">
        <v>293</v>
      </c>
      <c r="D58" s="127"/>
      <c r="E58" s="127"/>
      <c r="F58" s="127"/>
      <c r="G58" s="127"/>
      <c r="H58" s="127"/>
      <c r="I58" s="127"/>
      <c r="J58" s="127"/>
      <c r="K58" s="127"/>
      <c r="L58" s="127"/>
      <c r="M58" s="127"/>
      <c r="N58" s="127"/>
      <c r="O58" s="127"/>
      <c r="P58" s="127"/>
      <c r="Q58" s="127"/>
      <c r="R58" s="127"/>
      <c r="S58" s="127"/>
      <c r="T58" s="127"/>
      <c r="U58" s="127"/>
      <c r="V58" s="127"/>
      <c r="W58" s="127"/>
      <c r="X58" s="127"/>
      <c r="Y58" s="127"/>
      <c r="Z58" s="127"/>
      <c r="AA58" s="127"/>
      <c r="AB58" s="127"/>
      <c r="AC58" s="127"/>
      <c r="AD58" s="127"/>
      <c r="AE58" s="127"/>
      <c r="AF58" s="127"/>
      <c r="AG58" s="127"/>
      <c r="AH58" s="127"/>
      <c r="AI58" s="127"/>
      <c r="AJ58" s="127"/>
      <c r="AK58" s="127"/>
      <c r="AL58" s="127"/>
      <c r="AM58" s="127"/>
      <c r="AN58" s="127"/>
      <c r="AO58" s="127"/>
      <c r="AP58" s="127"/>
      <c r="AQ58" s="127"/>
      <c r="AR58" s="127"/>
      <c r="AS58" s="127"/>
      <c r="AT58" s="127"/>
      <c r="AU58" s="127"/>
      <c r="AV58" s="127"/>
      <c r="AW58" s="127"/>
      <c r="AX58" s="127"/>
      <c r="AY58" s="127"/>
    </row>
    <row r="59" spans="1:51" x14ac:dyDescent="0.2">
      <c r="A59" s="126"/>
      <c r="B59" s="136">
        <v>15</v>
      </c>
      <c r="C59" s="126" t="s">
        <v>293</v>
      </c>
      <c r="D59" s="127"/>
      <c r="E59" s="127"/>
      <c r="F59" s="127"/>
      <c r="G59" s="127"/>
      <c r="H59" s="127"/>
      <c r="I59" s="127"/>
      <c r="J59" s="127"/>
      <c r="K59" s="127"/>
      <c r="L59" s="127"/>
      <c r="M59" s="127"/>
      <c r="N59" s="127"/>
      <c r="O59" s="127"/>
      <c r="P59" s="127"/>
      <c r="Q59" s="127"/>
      <c r="R59" s="127"/>
      <c r="S59" s="127"/>
      <c r="T59" s="127"/>
      <c r="U59" s="127"/>
      <c r="V59" s="127"/>
      <c r="W59" s="127"/>
      <c r="X59" s="127"/>
      <c r="Y59" s="127"/>
      <c r="Z59" s="127"/>
      <c r="AA59" s="127"/>
      <c r="AB59" s="127"/>
      <c r="AC59" s="127"/>
      <c r="AD59" s="127"/>
      <c r="AE59" s="127"/>
      <c r="AF59" s="127"/>
      <c r="AG59" s="127"/>
      <c r="AH59" s="127"/>
      <c r="AI59" s="127"/>
      <c r="AJ59" s="127"/>
      <c r="AK59" s="127"/>
      <c r="AL59" s="127"/>
      <c r="AM59" s="127"/>
      <c r="AN59" s="127"/>
      <c r="AO59" s="127"/>
      <c r="AP59" s="127"/>
      <c r="AQ59" s="127"/>
      <c r="AR59" s="127"/>
      <c r="AS59" s="127"/>
      <c r="AT59" s="127"/>
      <c r="AU59" s="127"/>
      <c r="AV59" s="127"/>
      <c r="AW59" s="127"/>
      <c r="AX59" s="127"/>
      <c r="AY59" s="127"/>
    </row>
    <row r="60" spans="1:51" x14ac:dyDescent="0.2">
      <c r="A60" s="126"/>
      <c r="B60" s="136">
        <v>16</v>
      </c>
      <c r="C60" s="126" t="s">
        <v>293</v>
      </c>
      <c r="D60" s="127"/>
      <c r="E60" s="127"/>
      <c r="F60" s="127"/>
      <c r="G60" s="127"/>
      <c r="H60" s="127"/>
      <c r="I60" s="127"/>
      <c r="J60" s="127"/>
      <c r="K60" s="127"/>
      <c r="L60" s="127"/>
      <c r="M60" s="127"/>
      <c r="N60" s="127"/>
      <c r="O60" s="127"/>
      <c r="P60" s="127"/>
      <c r="Q60" s="127"/>
      <c r="R60" s="127"/>
      <c r="S60" s="127"/>
      <c r="T60" s="127"/>
      <c r="U60" s="127"/>
      <c r="V60" s="127"/>
      <c r="W60" s="127"/>
      <c r="X60" s="127"/>
      <c r="Y60" s="127"/>
      <c r="Z60" s="127"/>
      <c r="AA60" s="127"/>
      <c r="AB60" s="127"/>
      <c r="AC60" s="127"/>
      <c r="AD60" s="127"/>
      <c r="AE60" s="127"/>
      <c r="AF60" s="127"/>
      <c r="AG60" s="127"/>
      <c r="AH60" s="127"/>
      <c r="AI60" s="127"/>
      <c r="AJ60" s="127"/>
      <c r="AK60" s="127"/>
      <c r="AL60" s="127"/>
      <c r="AM60" s="127"/>
      <c r="AN60" s="127"/>
      <c r="AO60" s="127"/>
      <c r="AP60" s="127"/>
      <c r="AQ60" s="127"/>
      <c r="AR60" s="127"/>
      <c r="AS60" s="127"/>
      <c r="AT60" s="127"/>
      <c r="AU60" s="127"/>
      <c r="AV60" s="127"/>
      <c r="AW60" s="127"/>
      <c r="AX60" s="127"/>
      <c r="AY60" s="127"/>
    </row>
    <row r="61" spans="1:51" x14ac:dyDescent="0.2">
      <c r="A61" s="126"/>
      <c r="B61" s="136">
        <v>17</v>
      </c>
      <c r="C61" s="126" t="s">
        <v>293</v>
      </c>
      <c r="D61" s="127"/>
      <c r="E61" s="127"/>
      <c r="F61" s="127"/>
      <c r="G61" s="127"/>
      <c r="H61" s="127"/>
      <c r="I61" s="127"/>
      <c r="J61" s="127"/>
      <c r="K61" s="127"/>
      <c r="L61" s="127"/>
      <c r="M61" s="127"/>
      <c r="N61" s="127"/>
      <c r="O61" s="127"/>
      <c r="P61" s="127"/>
      <c r="Q61" s="127"/>
      <c r="R61" s="127"/>
      <c r="S61" s="127"/>
      <c r="T61" s="127"/>
      <c r="U61" s="127"/>
      <c r="V61" s="127"/>
      <c r="W61" s="127"/>
      <c r="X61" s="127"/>
      <c r="Y61" s="127"/>
      <c r="Z61" s="127"/>
      <c r="AA61" s="127"/>
      <c r="AB61" s="127"/>
      <c r="AC61" s="127"/>
      <c r="AD61" s="127"/>
      <c r="AE61" s="127"/>
      <c r="AF61" s="127"/>
      <c r="AG61" s="127"/>
      <c r="AH61" s="127"/>
      <c r="AI61" s="127"/>
      <c r="AJ61" s="127"/>
      <c r="AK61" s="127"/>
      <c r="AL61" s="127"/>
      <c r="AM61" s="127"/>
      <c r="AN61" s="127"/>
      <c r="AO61" s="127"/>
      <c r="AP61" s="127"/>
      <c r="AQ61" s="127"/>
      <c r="AR61" s="127"/>
      <c r="AS61" s="127"/>
      <c r="AT61" s="127"/>
      <c r="AU61" s="127"/>
      <c r="AV61" s="127"/>
      <c r="AW61" s="127"/>
      <c r="AX61" s="127"/>
      <c r="AY61" s="127"/>
    </row>
    <row r="62" spans="1:51" x14ac:dyDescent="0.2">
      <c r="A62" s="126"/>
      <c r="B62" s="136">
        <v>18</v>
      </c>
      <c r="C62" s="126" t="s">
        <v>293</v>
      </c>
      <c r="D62" s="127"/>
      <c r="E62" s="127"/>
      <c r="F62" s="127"/>
      <c r="G62" s="127"/>
      <c r="H62" s="127"/>
      <c r="I62" s="127"/>
      <c r="J62" s="127"/>
      <c r="K62" s="127"/>
      <c r="L62" s="127"/>
      <c r="M62" s="127"/>
      <c r="N62" s="127"/>
      <c r="O62" s="127"/>
      <c r="P62" s="127"/>
      <c r="Q62" s="127"/>
      <c r="R62" s="127"/>
      <c r="S62" s="127"/>
      <c r="T62" s="127"/>
      <c r="U62" s="127"/>
      <c r="V62" s="127"/>
      <c r="W62" s="127"/>
      <c r="X62" s="127"/>
      <c r="Y62" s="127"/>
      <c r="Z62" s="127"/>
      <c r="AA62" s="127"/>
      <c r="AB62" s="127"/>
      <c r="AC62" s="127"/>
      <c r="AD62" s="127"/>
      <c r="AE62" s="127"/>
      <c r="AF62" s="127"/>
      <c r="AG62" s="127"/>
      <c r="AH62" s="127"/>
      <c r="AI62" s="127"/>
      <c r="AJ62" s="127"/>
      <c r="AK62" s="127"/>
      <c r="AL62" s="127"/>
      <c r="AM62" s="127"/>
      <c r="AN62" s="127"/>
      <c r="AO62" s="127"/>
      <c r="AP62" s="127"/>
      <c r="AQ62" s="127"/>
      <c r="AR62" s="127"/>
      <c r="AS62" s="127"/>
      <c r="AT62" s="127"/>
      <c r="AU62" s="127"/>
      <c r="AV62" s="127"/>
      <c r="AW62" s="127"/>
      <c r="AX62" s="127"/>
      <c r="AY62" s="127"/>
    </row>
    <row r="63" spans="1:51" x14ac:dyDescent="0.2">
      <c r="A63" s="126"/>
      <c r="B63" s="136">
        <v>19</v>
      </c>
      <c r="C63" s="126" t="s">
        <v>293</v>
      </c>
      <c r="D63" s="127"/>
      <c r="E63" s="127"/>
      <c r="F63" s="127"/>
      <c r="G63" s="127"/>
      <c r="H63" s="127"/>
      <c r="I63" s="127"/>
      <c r="J63" s="127"/>
      <c r="K63" s="127"/>
      <c r="L63" s="127"/>
      <c r="M63" s="127"/>
      <c r="N63" s="127"/>
      <c r="O63" s="127"/>
      <c r="P63" s="127"/>
      <c r="Q63" s="127"/>
      <c r="R63" s="127"/>
      <c r="S63" s="127"/>
      <c r="T63" s="127"/>
      <c r="U63" s="127"/>
      <c r="V63" s="127"/>
      <c r="W63" s="127"/>
      <c r="X63" s="127"/>
      <c r="Y63" s="127"/>
      <c r="Z63" s="127"/>
      <c r="AA63" s="127"/>
      <c r="AB63" s="127"/>
      <c r="AC63" s="127"/>
      <c r="AD63" s="127"/>
      <c r="AE63" s="127"/>
      <c r="AF63" s="127"/>
      <c r="AG63" s="127"/>
      <c r="AH63" s="127"/>
      <c r="AI63" s="127"/>
      <c r="AJ63" s="127"/>
      <c r="AK63" s="127"/>
      <c r="AL63" s="127"/>
      <c r="AM63" s="127"/>
      <c r="AN63" s="127"/>
      <c r="AO63" s="127"/>
      <c r="AP63" s="127"/>
      <c r="AQ63" s="127"/>
      <c r="AR63" s="127"/>
      <c r="AS63" s="127"/>
      <c r="AT63" s="127"/>
      <c r="AU63" s="127"/>
      <c r="AV63" s="127"/>
      <c r="AW63" s="127"/>
      <c r="AX63" s="127"/>
      <c r="AY63" s="127"/>
    </row>
    <row r="64" spans="1:51" x14ac:dyDescent="0.2">
      <c r="A64" s="126"/>
      <c r="B64" s="136">
        <v>20</v>
      </c>
      <c r="C64" s="126" t="s">
        <v>293</v>
      </c>
      <c r="D64" s="127"/>
      <c r="E64" s="127"/>
      <c r="F64" s="127"/>
      <c r="G64" s="127"/>
      <c r="H64" s="127"/>
      <c r="I64" s="127"/>
      <c r="J64" s="127"/>
      <c r="K64" s="127"/>
      <c r="L64" s="127"/>
      <c r="M64" s="127"/>
      <c r="N64" s="127"/>
      <c r="O64" s="127"/>
      <c r="P64" s="127"/>
      <c r="Q64" s="127"/>
      <c r="R64" s="127"/>
      <c r="S64" s="127"/>
      <c r="T64" s="127"/>
      <c r="U64" s="127"/>
      <c r="V64" s="127"/>
      <c r="W64" s="127"/>
      <c r="X64" s="127"/>
      <c r="Y64" s="127"/>
      <c r="Z64" s="127"/>
      <c r="AA64" s="127"/>
      <c r="AB64" s="127"/>
      <c r="AC64" s="127"/>
      <c r="AD64" s="127"/>
      <c r="AE64" s="127"/>
      <c r="AF64" s="127"/>
      <c r="AG64" s="127"/>
      <c r="AH64" s="127"/>
      <c r="AI64" s="127"/>
      <c r="AJ64" s="127"/>
      <c r="AK64" s="127"/>
      <c r="AL64" s="127"/>
      <c r="AM64" s="127"/>
      <c r="AN64" s="127"/>
      <c r="AO64" s="127"/>
      <c r="AP64" s="127"/>
      <c r="AQ64" s="127"/>
      <c r="AR64" s="127"/>
      <c r="AS64" s="127"/>
      <c r="AT64" s="127"/>
      <c r="AU64" s="127"/>
      <c r="AV64" s="127"/>
      <c r="AW64" s="127"/>
      <c r="AX64" s="127"/>
      <c r="AY64" s="127"/>
    </row>
    <row r="65" spans="1:51" x14ac:dyDescent="0.2">
      <c r="A65" s="126"/>
      <c r="B65" s="136">
        <v>21</v>
      </c>
      <c r="C65" s="126" t="s">
        <v>293</v>
      </c>
      <c r="D65" s="127"/>
      <c r="E65" s="127"/>
      <c r="F65" s="127"/>
      <c r="G65" s="127"/>
      <c r="H65" s="127"/>
      <c r="I65" s="127"/>
      <c r="J65" s="127"/>
      <c r="K65" s="127"/>
      <c r="L65" s="127"/>
      <c r="M65" s="127"/>
      <c r="N65" s="127"/>
      <c r="O65" s="127"/>
      <c r="P65" s="127"/>
      <c r="Q65" s="127"/>
      <c r="R65" s="127"/>
      <c r="S65" s="127"/>
      <c r="T65" s="127"/>
      <c r="U65" s="127"/>
      <c r="V65" s="127"/>
      <c r="W65" s="127"/>
      <c r="X65" s="127"/>
      <c r="Y65" s="127"/>
      <c r="Z65" s="127"/>
      <c r="AA65" s="127"/>
      <c r="AB65" s="127"/>
      <c r="AC65" s="127"/>
      <c r="AD65" s="127"/>
      <c r="AE65" s="127"/>
      <c r="AF65" s="127"/>
      <c r="AG65" s="127"/>
      <c r="AH65" s="127"/>
      <c r="AI65" s="127"/>
      <c r="AJ65" s="127"/>
      <c r="AK65" s="127"/>
      <c r="AL65" s="127"/>
      <c r="AM65" s="127"/>
      <c r="AN65" s="127"/>
      <c r="AO65" s="127"/>
      <c r="AP65" s="127"/>
      <c r="AQ65" s="127"/>
      <c r="AR65" s="127"/>
      <c r="AS65" s="127"/>
      <c r="AT65" s="127"/>
      <c r="AU65" s="127"/>
      <c r="AV65" s="127"/>
      <c r="AW65" s="127"/>
      <c r="AX65" s="127"/>
      <c r="AY65" s="127"/>
    </row>
    <row r="66" spans="1:51" x14ac:dyDescent="0.2">
      <c r="A66" s="126"/>
      <c r="B66" s="136">
        <v>22</v>
      </c>
      <c r="C66" s="126" t="s">
        <v>293</v>
      </c>
      <c r="D66" s="127"/>
      <c r="E66" s="127"/>
      <c r="F66" s="127"/>
      <c r="G66" s="127"/>
      <c r="H66" s="127"/>
      <c r="I66" s="127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</row>
    <row r="67" spans="1:51" x14ac:dyDescent="0.2">
      <c r="A67" s="126"/>
      <c r="B67" s="136">
        <v>23</v>
      </c>
      <c r="C67" s="126" t="s">
        <v>293</v>
      </c>
      <c r="D67" s="127"/>
      <c r="E67" s="127"/>
      <c r="F67" s="127"/>
      <c r="G67" s="127"/>
      <c r="H67" s="127"/>
      <c r="I67" s="127"/>
      <c r="J67" s="127"/>
      <c r="K67" s="127"/>
      <c r="L67" s="127"/>
      <c r="M67" s="127"/>
      <c r="N67" s="127"/>
      <c r="O67" s="127"/>
      <c r="P67" s="127"/>
      <c r="Q67" s="127"/>
      <c r="R67" s="127"/>
      <c r="S67" s="127"/>
      <c r="T67" s="127"/>
      <c r="U67" s="127"/>
      <c r="V67" s="127"/>
      <c r="W67" s="127"/>
      <c r="X67" s="127"/>
      <c r="Y67" s="127"/>
      <c r="Z67" s="127"/>
      <c r="AA67" s="127"/>
      <c r="AB67" s="127"/>
      <c r="AC67" s="127"/>
      <c r="AD67" s="127"/>
      <c r="AE67" s="127"/>
      <c r="AF67" s="127"/>
      <c r="AG67" s="127"/>
      <c r="AH67" s="127"/>
      <c r="AI67" s="127"/>
      <c r="AJ67" s="127"/>
      <c r="AK67" s="127"/>
      <c r="AL67" s="127"/>
      <c r="AM67" s="127"/>
      <c r="AN67" s="127"/>
      <c r="AO67" s="127"/>
      <c r="AP67" s="127"/>
      <c r="AQ67" s="127"/>
      <c r="AR67" s="127"/>
      <c r="AS67" s="127"/>
      <c r="AT67" s="127"/>
      <c r="AU67" s="127"/>
      <c r="AV67" s="127"/>
      <c r="AW67" s="127"/>
      <c r="AX67" s="127"/>
      <c r="AY67" s="127"/>
    </row>
    <row r="68" spans="1:51" x14ac:dyDescent="0.2">
      <c r="A68" s="126"/>
      <c r="B68" s="136">
        <v>24</v>
      </c>
      <c r="C68" s="126" t="s">
        <v>293</v>
      </c>
      <c r="D68" s="127"/>
      <c r="E68" s="127"/>
      <c r="F68" s="127"/>
      <c r="G68" s="127"/>
      <c r="H68" s="127"/>
      <c r="I68" s="127"/>
      <c r="J68" s="127"/>
      <c r="K68" s="127"/>
      <c r="L68" s="127"/>
      <c r="M68" s="127"/>
      <c r="N68" s="127"/>
      <c r="O68" s="127"/>
      <c r="P68" s="127"/>
      <c r="Q68" s="127"/>
      <c r="R68" s="127"/>
      <c r="S68" s="127"/>
      <c r="T68" s="127"/>
      <c r="U68" s="127"/>
      <c r="V68" s="127"/>
      <c r="W68" s="127"/>
      <c r="X68" s="127"/>
      <c r="Y68" s="127"/>
      <c r="Z68" s="127"/>
      <c r="AA68" s="127"/>
      <c r="AB68" s="127"/>
      <c r="AC68" s="127"/>
      <c r="AD68" s="127"/>
      <c r="AE68" s="127"/>
      <c r="AF68" s="127"/>
      <c r="AG68" s="127"/>
      <c r="AH68" s="127"/>
      <c r="AI68" s="127"/>
      <c r="AJ68" s="127"/>
      <c r="AK68" s="127"/>
      <c r="AL68" s="127"/>
      <c r="AM68" s="127"/>
      <c r="AN68" s="127"/>
      <c r="AO68" s="127"/>
      <c r="AP68" s="127"/>
      <c r="AQ68" s="127"/>
      <c r="AR68" s="127"/>
      <c r="AS68" s="127"/>
      <c r="AT68" s="127"/>
      <c r="AU68" s="127"/>
      <c r="AV68" s="127"/>
      <c r="AW68" s="127"/>
      <c r="AX68" s="127"/>
      <c r="AY68" s="127"/>
    </row>
    <row r="69" spans="1:51" x14ac:dyDescent="0.2">
      <c r="A69" s="126"/>
      <c r="B69" s="143">
        <v>25</v>
      </c>
      <c r="C69" s="126" t="s">
        <v>293</v>
      </c>
      <c r="D69" s="127"/>
      <c r="E69" s="127"/>
      <c r="F69" s="127"/>
      <c r="G69" s="127"/>
      <c r="H69" s="127"/>
      <c r="I69" s="127"/>
      <c r="J69" s="127"/>
      <c r="K69" s="127"/>
      <c r="L69" s="127"/>
      <c r="M69" s="127"/>
      <c r="N69" s="127"/>
      <c r="O69" s="127"/>
      <c r="P69" s="127"/>
      <c r="Q69" s="127"/>
      <c r="R69" s="127"/>
      <c r="S69" s="127"/>
      <c r="T69" s="127"/>
      <c r="U69" s="127"/>
      <c r="V69" s="127"/>
      <c r="W69" s="127"/>
      <c r="X69" s="127"/>
      <c r="Y69" s="127"/>
      <c r="Z69" s="127"/>
      <c r="AA69" s="127"/>
      <c r="AB69" s="127"/>
      <c r="AC69" s="127"/>
      <c r="AD69" s="127"/>
      <c r="AE69" s="127"/>
      <c r="AF69" s="127"/>
      <c r="AG69" s="127"/>
      <c r="AH69" s="127"/>
      <c r="AI69" s="127"/>
      <c r="AJ69" s="127"/>
      <c r="AK69" s="127"/>
      <c r="AL69" s="127"/>
      <c r="AM69" s="127"/>
      <c r="AN69" s="127"/>
      <c r="AO69" s="127"/>
      <c r="AP69" s="127"/>
      <c r="AQ69" s="127"/>
      <c r="AR69" s="127"/>
      <c r="AS69" s="127"/>
      <c r="AT69" s="127"/>
      <c r="AU69" s="127"/>
      <c r="AV69" s="127"/>
      <c r="AW69" s="127"/>
      <c r="AX69" s="127"/>
      <c r="AY69" s="127"/>
    </row>
    <row r="70" spans="1:51" x14ac:dyDescent="0.2">
      <c r="A70" s="126"/>
      <c r="B70" s="143">
        <v>26</v>
      </c>
      <c r="C70" s="126" t="s">
        <v>293</v>
      </c>
      <c r="D70" s="127"/>
      <c r="E70" s="127"/>
      <c r="F70" s="127"/>
      <c r="G70" s="127"/>
      <c r="H70" s="127"/>
      <c r="I70" s="127"/>
      <c r="J70" s="127"/>
      <c r="K70" s="127"/>
      <c r="L70" s="127"/>
      <c r="M70" s="127"/>
      <c r="N70" s="127"/>
      <c r="O70" s="127"/>
      <c r="P70" s="127"/>
      <c r="Q70" s="127"/>
      <c r="R70" s="127"/>
      <c r="S70" s="127"/>
      <c r="T70" s="127"/>
      <c r="U70" s="127"/>
      <c r="V70" s="127"/>
      <c r="W70" s="127"/>
      <c r="X70" s="127"/>
      <c r="Y70" s="127"/>
      <c r="Z70" s="127"/>
      <c r="AA70" s="127"/>
      <c r="AB70" s="127"/>
      <c r="AC70" s="127"/>
      <c r="AD70" s="127"/>
      <c r="AE70" s="127"/>
      <c r="AF70" s="127"/>
      <c r="AG70" s="127"/>
      <c r="AH70" s="127"/>
      <c r="AI70" s="127"/>
      <c r="AJ70" s="127"/>
      <c r="AK70" s="127"/>
      <c r="AL70" s="127"/>
      <c r="AM70" s="127"/>
      <c r="AN70" s="127"/>
      <c r="AO70" s="127"/>
      <c r="AP70" s="127"/>
      <c r="AQ70" s="127"/>
      <c r="AR70" s="127"/>
      <c r="AS70" s="127"/>
      <c r="AT70" s="127"/>
      <c r="AU70" s="127"/>
      <c r="AV70" s="127"/>
      <c r="AW70" s="127"/>
      <c r="AX70" s="127"/>
      <c r="AY70" s="127"/>
    </row>
    <row r="71" spans="1:51" x14ac:dyDescent="0.2">
      <c r="A71" s="126"/>
      <c r="B71" s="143">
        <v>27</v>
      </c>
      <c r="C71" s="126" t="s">
        <v>293</v>
      </c>
      <c r="D71" s="127"/>
      <c r="E71" s="127"/>
      <c r="F71" s="127"/>
      <c r="G71" s="127"/>
      <c r="H71" s="127"/>
      <c r="I71" s="127"/>
      <c r="J71" s="127"/>
      <c r="K71" s="127"/>
      <c r="L71" s="127"/>
      <c r="M71" s="127"/>
      <c r="N71" s="127"/>
      <c r="O71" s="127"/>
      <c r="P71" s="127"/>
      <c r="Q71" s="127"/>
      <c r="R71" s="127"/>
      <c r="S71" s="127"/>
      <c r="T71" s="127"/>
      <c r="U71" s="127"/>
      <c r="V71" s="127"/>
      <c r="W71" s="127"/>
      <c r="X71" s="127"/>
      <c r="Y71" s="127"/>
      <c r="Z71" s="127"/>
      <c r="AA71" s="127"/>
      <c r="AB71" s="127"/>
      <c r="AC71" s="127"/>
      <c r="AD71" s="127"/>
      <c r="AE71" s="127"/>
      <c r="AF71" s="127"/>
      <c r="AG71" s="127"/>
      <c r="AH71" s="127"/>
      <c r="AI71" s="127"/>
      <c r="AJ71" s="127"/>
      <c r="AK71" s="127"/>
      <c r="AL71" s="127"/>
      <c r="AM71" s="127"/>
      <c r="AN71" s="127"/>
      <c r="AO71" s="127"/>
      <c r="AP71" s="127"/>
      <c r="AQ71" s="127"/>
      <c r="AR71" s="127"/>
      <c r="AS71" s="127"/>
      <c r="AT71" s="127"/>
      <c r="AU71" s="127"/>
      <c r="AV71" s="127"/>
      <c r="AW71" s="127"/>
      <c r="AX71" s="127"/>
      <c r="AY71" s="127"/>
    </row>
    <row r="72" spans="1:51" x14ac:dyDescent="0.2">
      <c r="A72" s="126"/>
      <c r="B72" s="143">
        <v>28</v>
      </c>
      <c r="C72" s="126" t="s">
        <v>293</v>
      </c>
      <c r="D72" s="127"/>
      <c r="E72" s="127"/>
      <c r="F72" s="127"/>
      <c r="G72" s="127"/>
      <c r="H72" s="127"/>
      <c r="I72" s="127"/>
      <c r="J72" s="127"/>
      <c r="K72" s="127"/>
      <c r="L72" s="127"/>
      <c r="M72" s="127"/>
      <c r="N72" s="127"/>
      <c r="O72" s="127"/>
      <c r="P72" s="127"/>
      <c r="Q72" s="127"/>
      <c r="R72" s="127"/>
      <c r="S72" s="127"/>
      <c r="T72" s="127"/>
      <c r="U72" s="127"/>
      <c r="V72" s="127"/>
      <c r="W72" s="127"/>
      <c r="X72" s="127"/>
      <c r="Y72" s="127"/>
      <c r="Z72" s="127"/>
      <c r="AA72" s="127"/>
      <c r="AB72" s="127"/>
      <c r="AC72" s="127"/>
      <c r="AD72" s="127"/>
      <c r="AE72" s="127"/>
      <c r="AF72" s="127"/>
      <c r="AG72" s="127"/>
      <c r="AH72" s="127"/>
      <c r="AI72" s="127"/>
      <c r="AJ72" s="127"/>
      <c r="AK72" s="127"/>
      <c r="AL72" s="127"/>
      <c r="AM72" s="127"/>
      <c r="AN72" s="127"/>
      <c r="AO72" s="127"/>
      <c r="AP72" s="127"/>
      <c r="AQ72" s="127"/>
      <c r="AR72" s="127"/>
      <c r="AS72" s="127"/>
      <c r="AT72" s="127"/>
      <c r="AU72" s="127"/>
      <c r="AV72" s="127"/>
      <c r="AW72" s="127"/>
      <c r="AX72" s="127"/>
      <c r="AY72" s="127"/>
    </row>
    <row r="73" spans="1:51" x14ac:dyDescent="0.2">
      <c r="A73" s="126"/>
      <c r="B73" s="143">
        <v>29</v>
      </c>
      <c r="C73" s="126" t="s">
        <v>293</v>
      </c>
      <c r="D73" s="127"/>
      <c r="E73" s="127"/>
      <c r="F73" s="127"/>
      <c r="G73" s="127"/>
      <c r="H73" s="127"/>
      <c r="I73" s="127"/>
      <c r="J73" s="127"/>
      <c r="K73" s="127"/>
      <c r="L73" s="127"/>
      <c r="M73" s="127"/>
      <c r="N73" s="127"/>
      <c r="O73" s="127"/>
      <c r="P73" s="127"/>
      <c r="Q73" s="127"/>
      <c r="R73" s="127"/>
      <c r="S73" s="127"/>
      <c r="T73" s="127"/>
      <c r="U73" s="127"/>
      <c r="V73" s="127"/>
      <c r="W73" s="127"/>
      <c r="X73" s="127"/>
      <c r="Y73" s="127"/>
      <c r="Z73" s="127"/>
      <c r="AA73" s="127"/>
      <c r="AB73" s="127"/>
      <c r="AC73" s="127"/>
      <c r="AD73" s="127"/>
      <c r="AE73" s="127"/>
      <c r="AF73" s="127"/>
      <c r="AG73" s="127"/>
      <c r="AH73" s="127"/>
      <c r="AI73" s="127"/>
      <c r="AJ73" s="127"/>
      <c r="AK73" s="127"/>
      <c r="AL73" s="127"/>
      <c r="AM73" s="127"/>
      <c r="AN73" s="127"/>
      <c r="AO73" s="127"/>
      <c r="AP73" s="127"/>
      <c r="AQ73" s="127"/>
      <c r="AR73" s="127"/>
      <c r="AS73" s="127"/>
      <c r="AT73" s="127"/>
      <c r="AU73" s="127"/>
      <c r="AV73" s="127"/>
      <c r="AW73" s="127"/>
      <c r="AX73" s="127"/>
      <c r="AY73" s="127"/>
    </row>
    <row r="74" spans="1:51" x14ac:dyDescent="0.2">
      <c r="A74" s="126"/>
      <c r="B74" s="143">
        <v>30</v>
      </c>
      <c r="C74" s="126" t="s">
        <v>293</v>
      </c>
      <c r="D74" s="127"/>
      <c r="E74" s="127"/>
      <c r="F74" s="127"/>
      <c r="G74" s="127"/>
      <c r="H74" s="127"/>
      <c r="I74" s="127"/>
      <c r="J74" s="127"/>
      <c r="K74" s="127"/>
      <c r="L74" s="127"/>
      <c r="M74" s="127"/>
      <c r="N74" s="127"/>
      <c r="O74" s="127"/>
      <c r="P74" s="127"/>
      <c r="Q74" s="127"/>
      <c r="R74" s="127"/>
      <c r="S74" s="127"/>
      <c r="T74" s="127"/>
      <c r="U74" s="127"/>
      <c r="V74" s="127"/>
      <c r="W74" s="127"/>
      <c r="X74" s="127"/>
      <c r="Y74" s="127"/>
      <c r="Z74" s="127"/>
      <c r="AA74" s="127"/>
      <c r="AB74" s="127"/>
      <c r="AC74" s="127"/>
      <c r="AD74" s="127"/>
      <c r="AE74" s="127"/>
      <c r="AF74" s="127"/>
      <c r="AG74" s="127"/>
      <c r="AH74" s="127"/>
      <c r="AI74" s="127"/>
      <c r="AJ74" s="127"/>
      <c r="AK74" s="127"/>
      <c r="AL74" s="127"/>
      <c r="AM74" s="127"/>
      <c r="AN74" s="127"/>
      <c r="AO74" s="127"/>
      <c r="AP74" s="127"/>
      <c r="AQ74" s="127"/>
      <c r="AR74" s="127"/>
      <c r="AS74" s="127"/>
      <c r="AT74" s="127"/>
      <c r="AU74" s="127"/>
      <c r="AV74" s="127"/>
      <c r="AW74" s="127"/>
      <c r="AX74" s="127"/>
      <c r="AY74" s="127"/>
    </row>
    <row r="75" spans="1:51" x14ac:dyDescent="0.2">
      <c r="A75" s="126"/>
      <c r="B75" s="143">
        <v>31</v>
      </c>
      <c r="C75" s="126" t="s">
        <v>293</v>
      </c>
      <c r="D75" s="127"/>
      <c r="E75" s="127"/>
      <c r="F75" s="127"/>
      <c r="G75" s="127"/>
      <c r="H75" s="127"/>
      <c r="I75" s="127"/>
      <c r="J75" s="127"/>
      <c r="K75" s="127"/>
      <c r="L75" s="127"/>
      <c r="M75" s="127"/>
      <c r="N75" s="127"/>
      <c r="O75" s="127"/>
      <c r="P75" s="127"/>
      <c r="Q75" s="127"/>
      <c r="R75" s="127"/>
      <c r="S75" s="127"/>
      <c r="T75" s="127"/>
      <c r="U75" s="127"/>
      <c r="V75" s="127"/>
      <c r="W75" s="127"/>
      <c r="X75" s="127"/>
      <c r="Y75" s="127"/>
      <c r="Z75" s="127"/>
      <c r="AA75" s="127"/>
      <c r="AB75" s="127"/>
      <c r="AC75" s="127"/>
      <c r="AD75" s="127"/>
      <c r="AE75" s="127"/>
      <c r="AF75" s="127"/>
      <c r="AG75" s="127"/>
      <c r="AH75" s="127"/>
      <c r="AI75" s="127"/>
      <c r="AJ75" s="127"/>
      <c r="AK75" s="127"/>
      <c r="AL75" s="127"/>
      <c r="AM75" s="127"/>
      <c r="AN75" s="127"/>
      <c r="AO75" s="127"/>
      <c r="AP75" s="127"/>
      <c r="AQ75" s="127"/>
      <c r="AR75" s="127"/>
      <c r="AS75" s="127"/>
      <c r="AT75" s="127"/>
      <c r="AU75" s="127"/>
      <c r="AV75" s="127"/>
      <c r="AW75" s="127"/>
      <c r="AX75" s="127"/>
      <c r="AY75" s="127"/>
    </row>
    <row r="76" spans="1:51" x14ac:dyDescent="0.2">
      <c r="A76" s="126"/>
      <c r="B76" s="143">
        <v>32</v>
      </c>
      <c r="C76" s="126" t="s">
        <v>293</v>
      </c>
      <c r="D76" s="127"/>
      <c r="E76" s="127"/>
      <c r="F76" s="127"/>
      <c r="G76" s="127"/>
      <c r="H76" s="127"/>
      <c r="I76" s="127"/>
      <c r="J76" s="127"/>
      <c r="K76" s="127"/>
      <c r="L76" s="127"/>
      <c r="M76" s="127"/>
      <c r="N76" s="127"/>
      <c r="O76" s="127"/>
      <c r="P76" s="127"/>
      <c r="Q76" s="127"/>
      <c r="R76" s="127"/>
      <c r="S76" s="127"/>
      <c r="T76" s="127"/>
      <c r="U76" s="127"/>
      <c r="V76" s="127"/>
      <c r="W76" s="127"/>
      <c r="X76" s="127"/>
      <c r="Y76" s="127"/>
      <c r="Z76" s="127"/>
      <c r="AA76" s="127"/>
      <c r="AB76" s="127"/>
      <c r="AC76" s="127"/>
      <c r="AD76" s="127"/>
      <c r="AE76" s="127"/>
      <c r="AF76" s="127"/>
      <c r="AG76" s="127"/>
      <c r="AH76" s="127"/>
      <c r="AI76" s="127"/>
      <c r="AJ76" s="127"/>
      <c r="AK76" s="127"/>
      <c r="AL76" s="127"/>
      <c r="AM76" s="127"/>
      <c r="AN76" s="127"/>
      <c r="AO76" s="127"/>
      <c r="AP76" s="127"/>
      <c r="AQ76" s="127"/>
      <c r="AR76" s="127"/>
      <c r="AS76" s="127"/>
      <c r="AT76" s="127"/>
      <c r="AU76" s="127"/>
      <c r="AV76" s="127"/>
      <c r="AW76" s="127"/>
      <c r="AX76" s="127"/>
      <c r="AY76" s="127"/>
    </row>
    <row r="77" spans="1:51" x14ac:dyDescent="0.2">
      <c r="A77" s="126"/>
      <c r="B77" s="143">
        <v>33</v>
      </c>
      <c r="C77" s="126" t="s">
        <v>293</v>
      </c>
      <c r="D77" s="127"/>
      <c r="E77" s="127"/>
      <c r="F77" s="127"/>
      <c r="G77" s="127"/>
      <c r="H77" s="127"/>
      <c r="I77" s="127"/>
      <c r="J77" s="127"/>
      <c r="K77" s="127"/>
      <c r="L77" s="127"/>
      <c r="M77" s="127"/>
      <c r="N77" s="127"/>
      <c r="O77" s="127"/>
      <c r="P77" s="127"/>
      <c r="Q77" s="127"/>
      <c r="R77" s="127"/>
      <c r="S77" s="127"/>
      <c r="T77" s="127"/>
      <c r="U77" s="127"/>
      <c r="V77" s="127"/>
      <c r="W77" s="127"/>
      <c r="X77" s="127"/>
      <c r="Y77" s="127"/>
      <c r="Z77" s="127"/>
      <c r="AA77" s="127"/>
      <c r="AB77" s="127"/>
      <c r="AC77" s="127"/>
      <c r="AD77" s="127"/>
      <c r="AE77" s="127"/>
      <c r="AF77" s="127"/>
      <c r="AG77" s="127"/>
      <c r="AH77" s="127"/>
      <c r="AI77" s="127"/>
      <c r="AJ77" s="127"/>
      <c r="AK77" s="127"/>
      <c r="AL77" s="127"/>
      <c r="AM77" s="127"/>
      <c r="AN77" s="127"/>
      <c r="AO77" s="127"/>
      <c r="AP77" s="127"/>
      <c r="AQ77" s="127"/>
      <c r="AR77" s="127"/>
      <c r="AS77" s="127"/>
      <c r="AT77" s="127"/>
      <c r="AU77" s="127"/>
      <c r="AV77" s="127"/>
      <c r="AW77" s="127"/>
      <c r="AX77" s="127"/>
      <c r="AY77" s="127"/>
    </row>
    <row r="78" spans="1:51" x14ac:dyDescent="0.2">
      <c r="A78" s="126"/>
      <c r="B78" s="143">
        <v>34</v>
      </c>
      <c r="C78" s="126" t="s">
        <v>293</v>
      </c>
      <c r="D78" s="127"/>
      <c r="E78" s="127"/>
      <c r="F78" s="127"/>
      <c r="G78" s="127"/>
      <c r="H78" s="127"/>
      <c r="I78" s="127"/>
      <c r="J78" s="127"/>
      <c r="K78" s="127"/>
      <c r="L78" s="127"/>
      <c r="M78" s="127"/>
      <c r="N78" s="127"/>
      <c r="O78" s="127"/>
      <c r="P78" s="127"/>
      <c r="Q78" s="127"/>
      <c r="R78" s="127"/>
      <c r="S78" s="127"/>
      <c r="T78" s="127"/>
      <c r="U78" s="127"/>
      <c r="V78" s="127"/>
      <c r="W78" s="127"/>
      <c r="X78" s="127"/>
      <c r="Y78" s="127"/>
      <c r="Z78" s="127"/>
      <c r="AA78" s="127"/>
      <c r="AB78" s="127"/>
      <c r="AC78" s="127"/>
      <c r="AD78" s="127"/>
      <c r="AE78" s="127"/>
      <c r="AF78" s="127"/>
      <c r="AG78" s="127"/>
      <c r="AH78" s="127"/>
      <c r="AI78" s="127"/>
      <c r="AJ78" s="127"/>
      <c r="AK78" s="127"/>
      <c r="AL78" s="127"/>
      <c r="AM78" s="127"/>
      <c r="AN78" s="127"/>
      <c r="AO78" s="127"/>
      <c r="AP78" s="127"/>
      <c r="AQ78" s="127"/>
      <c r="AR78" s="127"/>
      <c r="AS78" s="127"/>
      <c r="AT78" s="127"/>
      <c r="AU78" s="127"/>
      <c r="AV78" s="127"/>
      <c r="AW78" s="127"/>
      <c r="AX78" s="127"/>
      <c r="AY78" s="127"/>
    </row>
    <row r="79" spans="1:51" x14ac:dyDescent="0.2">
      <c r="A79" s="126"/>
      <c r="B79" s="143">
        <v>35</v>
      </c>
      <c r="C79" s="126" t="s">
        <v>293</v>
      </c>
      <c r="D79" s="127"/>
      <c r="E79" s="127"/>
      <c r="F79" s="127"/>
      <c r="G79" s="127"/>
      <c r="H79" s="127"/>
      <c r="I79" s="127"/>
      <c r="J79" s="127"/>
      <c r="K79" s="127"/>
      <c r="L79" s="127"/>
      <c r="M79" s="127"/>
      <c r="N79" s="127"/>
      <c r="O79" s="127"/>
      <c r="P79" s="127"/>
      <c r="Q79" s="127"/>
      <c r="R79" s="127"/>
      <c r="S79" s="127"/>
      <c r="T79" s="127"/>
      <c r="U79" s="127"/>
      <c r="V79" s="127"/>
      <c r="W79" s="127"/>
      <c r="X79" s="127"/>
      <c r="Y79" s="127"/>
      <c r="Z79" s="127"/>
      <c r="AA79" s="127"/>
      <c r="AB79" s="127"/>
      <c r="AC79" s="127"/>
      <c r="AD79" s="127"/>
      <c r="AE79" s="127"/>
      <c r="AF79" s="127"/>
      <c r="AG79" s="127"/>
      <c r="AH79" s="127"/>
      <c r="AI79" s="127"/>
      <c r="AJ79" s="127"/>
      <c r="AK79" s="127"/>
      <c r="AL79" s="127"/>
      <c r="AM79" s="127"/>
      <c r="AN79" s="127"/>
      <c r="AO79" s="127"/>
      <c r="AP79" s="127"/>
      <c r="AQ79" s="127"/>
      <c r="AR79" s="127"/>
      <c r="AS79" s="127"/>
      <c r="AT79" s="127"/>
      <c r="AU79" s="127"/>
      <c r="AV79" s="127"/>
      <c r="AW79" s="127"/>
      <c r="AX79" s="127"/>
      <c r="AY79" s="127"/>
    </row>
    <row r="80" spans="1:51" x14ac:dyDescent="0.2">
      <c r="A80" s="126"/>
      <c r="B80" s="143">
        <v>36</v>
      </c>
      <c r="C80" s="126" t="s">
        <v>293</v>
      </c>
      <c r="D80" s="127"/>
      <c r="E80" s="127"/>
      <c r="F80" s="127"/>
      <c r="G80" s="127"/>
      <c r="H80" s="127"/>
      <c r="I80" s="127"/>
      <c r="J80" s="127"/>
      <c r="K80" s="127"/>
      <c r="L80" s="127"/>
      <c r="M80" s="127"/>
      <c r="N80" s="127"/>
      <c r="O80" s="127"/>
      <c r="P80" s="127"/>
      <c r="Q80" s="127"/>
      <c r="R80" s="127"/>
      <c r="S80" s="127"/>
      <c r="T80" s="127"/>
      <c r="U80" s="127"/>
      <c r="V80" s="127"/>
      <c r="W80" s="127"/>
      <c r="X80" s="127"/>
      <c r="Y80" s="127"/>
      <c r="Z80" s="127"/>
      <c r="AA80" s="127"/>
      <c r="AB80" s="127"/>
      <c r="AC80" s="127"/>
      <c r="AD80" s="127"/>
      <c r="AE80" s="127"/>
      <c r="AF80" s="127"/>
      <c r="AG80" s="127"/>
      <c r="AH80" s="127"/>
      <c r="AI80" s="127"/>
      <c r="AJ80" s="127"/>
      <c r="AK80" s="127"/>
      <c r="AL80" s="127"/>
      <c r="AM80" s="127"/>
      <c r="AN80" s="127"/>
      <c r="AO80" s="127"/>
      <c r="AP80" s="127"/>
      <c r="AQ80" s="127"/>
      <c r="AR80" s="127"/>
      <c r="AS80" s="127"/>
      <c r="AT80" s="127"/>
      <c r="AU80" s="127"/>
      <c r="AV80" s="127"/>
      <c r="AW80" s="127"/>
      <c r="AX80" s="127"/>
      <c r="AY80" s="127"/>
    </row>
    <row r="81" spans="1:52" x14ac:dyDescent="0.2">
      <c r="A81" s="126"/>
      <c r="B81" s="146">
        <v>37</v>
      </c>
      <c r="C81" s="126" t="s">
        <v>293</v>
      </c>
      <c r="D81" s="127"/>
      <c r="E81" s="127"/>
      <c r="F81" s="127"/>
      <c r="G81" s="127"/>
      <c r="H81" s="127"/>
      <c r="I81" s="127"/>
      <c r="J81" s="127"/>
      <c r="K81" s="127"/>
      <c r="L81" s="127"/>
      <c r="M81" s="127"/>
      <c r="N81" s="127"/>
      <c r="O81" s="127"/>
      <c r="P81" s="127"/>
      <c r="Q81" s="127"/>
      <c r="R81" s="127"/>
      <c r="S81" s="127"/>
      <c r="T81" s="127"/>
      <c r="U81" s="127"/>
      <c r="V81" s="127"/>
      <c r="W81" s="127"/>
      <c r="X81" s="127"/>
      <c r="Y81" s="127"/>
      <c r="Z81" s="127"/>
      <c r="AA81" s="127"/>
      <c r="AB81" s="127"/>
      <c r="AC81" s="127"/>
      <c r="AD81" s="127"/>
      <c r="AE81" s="127"/>
      <c r="AF81" s="127"/>
      <c r="AG81" s="127"/>
      <c r="AH81" s="127"/>
      <c r="AI81" s="127"/>
      <c r="AJ81" s="127"/>
      <c r="AK81" s="127"/>
      <c r="AL81" s="127"/>
      <c r="AM81" s="127"/>
      <c r="AN81" s="127"/>
      <c r="AO81" s="127"/>
      <c r="AP81" s="127"/>
      <c r="AQ81" s="127"/>
      <c r="AR81" s="127"/>
      <c r="AS81" s="127"/>
      <c r="AT81" s="127"/>
      <c r="AU81" s="127"/>
      <c r="AV81" s="127"/>
      <c r="AW81" s="127"/>
      <c r="AX81" s="127"/>
      <c r="AY81" s="127"/>
    </row>
    <row r="82" spans="1:52" x14ac:dyDescent="0.2">
      <c r="A82" s="126"/>
      <c r="B82" s="146">
        <v>38</v>
      </c>
      <c r="C82" s="126" t="s">
        <v>293</v>
      </c>
      <c r="D82" s="127"/>
      <c r="E82" s="127"/>
      <c r="F82" s="127"/>
      <c r="G82" s="127"/>
      <c r="H82" s="127"/>
      <c r="I82" s="127"/>
      <c r="J82" s="127"/>
      <c r="K82" s="127"/>
      <c r="L82" s="127"/>
      <c r="M82" s="127"/>
      <c r="N82" s="127"/>
      <c r="O82" s="127"/>
      <c r="P82" s="127"/>
      <c r="Q82" s="127"/>
      <c r="R82" s="127"/>
      <c r="S82" s="127"/>
      <c r="T82" s="127"/>
      <c r="U82" s="127"/>
      <c r="V82" s="127"/>
      <c r="W82" s="127"/>
      <c r="X82" s="127"/>
      <c r="Y82" s="127"/>
      <c r="Z82" s="127"/>
      <c r="AA82" s="127"/>
      <c r="AB82" s="127"/>
      <c r="AC82" s="127"/>
      <c r="AD82" s="127"/>
      <c r="AE82" s="127"/>
      <c r="AF82" s="127"/>
      <c r="AG82" s="127"/>
      <c r="AH82" s="127"/>
      <c r="AI82" s="127"/>
      <c r="AJ82" s="127"/>
      <c r="AK82" s="127"/>
      <c r="AL82" s="127"/>
      <c r="AM82" s="127"/>
      <c r="AN82" s="127"/>
      <c r="AO82" s="127"/>
      <c r="AP82" s="127"/>
      <c r="AQ82" s="127"/>
      <c r="AR82" s="127"/>
      <c r="AS82" s="127"/>
      <c r="AT82" s="127"/>
      <c r="AU82" s="127"/>
      <c r="AV82" s="127"/>
      <c r="AW82" s="127"/>
      <c r="AX82" s="127"/>
      <c r="AY82" s="127"/>
    </row>
    <row r="83" spans="1:52" x14ac:dyDescent="0.2">
      <c r="A83" s="126"/>
      <c r="B83" s="146">
        <v>39</v>
      </c>
      <c r="C83" s="126" t="s">
        <v>293</v>
      </c>
      <c r="D83" s="127"/>
      <c r="E83" s="127"/>
      <c r="F83" s="127"/>
      <c r="G83" s="127"/>
      <c r="H83" s="127"/>
      <c r="I83" s="127"/>
      <c r="J83" s="127"/>
      <c r="K83" s="127"/>
      <c r="L83" s="127"/>
      <c r="M83" s="127"/>
      <c r="N83" s="127"/>
      <c r="O83" s="127"/>
      <c r="P83" s="127"/>
      <c r="Q83" s="127"/>
      <c r="R83" s="127"/>
      <c r="S83" s="127"/>
      <c r="T83" s="127"/>
      <c r="U83" s="127"/>
      <c r="V83" s="127"/>
      <c r="W83" s="127"/>
      <c r="X83" s="127"/>
      <c r="Y83" s="127"/>
      <c r="Z83" s="127"/>
      <c r="AA83" s="127"/>
      <c r="AB83" s="127"/>
      <c r="AC83" s="127"/>
      <c r="AD83" s="127"/>
      <c r="AE83" s="127"/>
      <c r="AF83" s="127"/>
      <c r="AG83" s="127"/>
      <c r="AH83" s="127"/>
      <c r="AI83" s="127"/>
      <c r="AJ83" s="127"/>
      <c r="AK83" s="127"/>
      <c r="AL83" s="127"/>
      <c r="AM83" s="127"/>
      <c r="AN83" s="127"/>
      <c r="AO83" s="127"/>
      <c r="AP83" s="127"/>
      <c r="AQ83" s="127"/>
      <c r="AR83" s="127"/>
      <c r="AS83" s="127"/>
      <c r="AT83" s="127"/>
      <c r="AU83" s="127"/>
      <c r="AV83" s="127"/>
      <c r="AW83" s="127"/>
      <c r="AX83" s="127"/>
      <c r="AY83" s="127"/>
    </row>
    <row r="84" spans="1:52" x14ac:dyDescent="0.2">
      <c r="A84" s="126"/>
      <c r="B84" s="146">
        <v>40</v>
      </c>
      <c r="C84" s="126" t="s">
        <v>293</v>
      </c>
      <c r="D84" s="127"/>
      <c r="E84" s="127"/>
      <c r="F84" s="127"/>
      <c r="G84" s="127"/>
      <c r="H84" s="127"/>
      <c r="I84" s="127"/>
      <c r="J84" s="127"/>
      <c r="K84" s="127"/>
      <c r="L84" s="127"/>
      <c r="M84" s="127"/>
      <c r="N84" s="127"/>
      <c r="O84" s="127"/>
      <c r="P84" s="127"/>
      <c r="Q84" s="127"/>
      <c r="R84" s="127"/>
      <c r="S84" s="127"/>
      <c r="T84" s="127"/>
      <c r="U84" s="127"/>
      <c r="V84" s="127"/>
      <c r="W84" s="127"/>
      <c r="X84" s="127"/>
      <c r="Y84" s="127"/>
      <c r="Z84" s="127"/>
      <c r="AA84" s="127"/>
      <c r="AB84" s="127"/>
      <c r="AC84" s="127"/>
      <c r="AD84" s="127"/>
      <c r="AE84" s="127"/>
      <c r="AF84" s="127"/>
      <c r="AG84" s="127"/>
      <c r="AH84" s="127"/>
      <c r="AI84" s="127"/>
      <c r="AJ84" s="127"/>
      <c r="AK84" s="127"/>
      <c r="AL84" s="127"/>
      <c r="AM84" s="127"/>
      <c r="AN84" s="127"/>
      <c r="AO84" s="127"/>
      <c r="AP84" s="127"/>
      <c r="AQ84" s="127"/>
      <c r="AR84" s="127"/>
      <c r="AS84" s="127"/>
      <c r="AT84" s="127"/>
      <c r="AU84" s="127"/>
      <c r="AV84" s="127"/>
      <c r="AW84" s="127"/>
      <c r="AX84" s="127"/>
      <c r="AY84" s="127"/>
    </row>
    <row r="85" spans="1:52" x14ac:dyDescent="0.2">
      <c r="A85" s="126"/>
      <c r="B85" s="146">
        <v>41</v>
      </c>
      <c r="C85" s="126" t="s">
        <v>293</v>
      </c>
      <c r="D85" s="127"/>
      <c r="E85" s="127"/>
      <c r="F85" s="127"/>
      <c r="G85" s="127"/>
      <c r="H85" s="127"/>
      <c r="I85" s="127"/>
      <c r="J85" s="127"/>
      <c r="K85" s="127"/>
      <c r="L85" s="127"/>
      <c r="M85" s="127"/>
      <c r="N85" s="127"/>
      <c r="O85" s="127"/>
      <c r="P85" s="127"/>
      <c r="Q85" s="127"/>
      <c r="R85" s="127"/>
      <c r="S85" s="127"/>
      <c r="T85" s="127"/>
      <c r="U85" s="127"/>
      <c r="V85" s="127"/>
      <c r="W85" s="127"/>
      <c r="X85" s="127"/>
      <c r="Y85" s="127"/>
      <c r="Z85" s="127"/>
      <c r="AA85" s="127"/>
      <c r="AB85" s="127"/>
      <c r="AC85" s="127"/>
      <c r="AD85" s="127"/>
      <c r="AE85" s="127"/>
      <c r="AF85" s="127"/>
      <c r="AG85" s="127"/>
      <c r="AH85" s="127"/>
      <c r="AI85" s="127"/>
      <c r="AJ85" s="127"/>
      <c r="AK85" s="127"/>
      <c r="AL85" s="127"/>
      <c r="AM85" s="127"/>
      <c r="AN85" s="127"/>
      <c r="AO85" s="127"/>
      <c r="AP85" s="127"/>
      <c r="AQ85" s="127"/>
      <c r="AR85" s="127"/>
      <c r="AS85" s="127"/>
      <c r="AT85" s="127"/>
      <c r="AU85" s="127"/>
      <c r="AV85" s="127"/>
      <c r="AW85" s="127"/>
      <c r="AX85" s="127"/>
      <c r="AY85" s="127"/>
    </row>
    <row r="86" spans="1:52" x14ac:dyDescent="0.2">
      <c r="A86" s="126"/>
      <c r="B86" s="146">
        <v>42</v>
      </c>
      <c r="C86" s="126" t="s">
        <v>293</v>
      </c>
      <c r="D86" s="127"/>
      <c r="E86" s="127"/>
      <c r="F86" s="127"/>
      <c r="G86" s="127"/>
      <c r="H86" s="127"/>
      <c r="I86" s="127"/>
      <c r="J86" s="127"/>
      <c r="K86" s="127"/>
      <c r="L86" s="127"/>
      <c r="M86" s="127"/>
      <c r="N86" s="127"/>
      <c r="O86" s="127"/>
      <c r="P86" s="127"/>
      <c r="Q86" s="127"/>
      <c r="R86" s="127"/>
      <c r="S86" s="127"/>
      <c r="T86" s="127">
        <v>0</v>
      </c>
      <c r="U86" s="127"/>
      <c r="V86" s="127">
        <v>0</v>
      </c>
      <c r="W86" s="127"/>
      <c r="X86" s="127">
        <v>0</v>
      </c>
      <c r="Y86" s="127"/>
      <c r="Z86" s="127"/>
      <c r="AA86" s="127"/>
      <c r="AB86" s="127"/>
      <c r="AC86" s="127"/>
      <c r="AD86" s="127"/>
      <c r="AE86" s="127"/>
      <c r="AF86" s="127"/>
      <c r="AG86" s="127"/>
      <c r="AH86" s="127"/>
      <c r="AI86" s="127"/>
      <c r="AJ86" s="127"/>
      <c r="AK86" s="127"/>
      <c r="AL86" s="127"/>
      <c r="AM86" s="127"/>
      <c r="AN86" s="127"/>
      <c r="AO86" s="127"/>
      <c r="AP86" s="127"/>
      <c r="AQ86" s="127"/>
      <c r="AR86" s="127"/>
      <c r="AS86" s="127"/>
      <c r="AT86" s="127"/>
      <c r="AU86" s="127"/>
      <c r="AV86" s="127"/>
      <c r="AW86" s="127"/>
      <c r="AX86" s="127"/>
      <c r="AY86" s="127"/>
    </row>
    <row r="87" spans="1:52" x14ac:dyDescent="0.2">
      <c r="A87" s="126"/>
      <c r="B87" s="146">
        <v>43</v>
      </c>
      <c r="C87" s="126" t="s">
        <v>293</v>
      </c>
      <c r="D87" s="127"/>
      <c r="E87" s="127"/>
      <c r="F87" s="127"/>
      <c r="G87" s="127"/>
      <c r="H87" s="127"/>
      <c r="I87" s="127"/>
      <c r="J87" s="127">
        <v>0</v>
      </c>
      <c r="K87" s="127">
        <v>0</v>
      </c>
      <c r="L87" s="127">
        <v>0</v>
      </c>
      <c r="M87" s="127">
        <v>0</v>
      </c>
      <c r="N87" s="127">
        <v>0</v>
      </c>
      <c r="O87" s="127">
        <v>0</v>
      </c>
      <c r="P87" s="127">
        <v>0</v>
      </c>
      <c r="Q87" s="127">
        <v>0</v>
      </c>
      <c r="R87" s="127">
        <v>0</v>
      </c>
      <c r="S87" s="127">
        <v>0</v>
      </c>
      <c r="T87" s="127">
        <v>0</v>
      </c>
      <c r="U87" s="127">
        <v>0</v>
      </c>
      <c r="V87" s="127">
        <v>0</v>
      </c>
      <c r="W87" s="127">
        <v>0</v>
      </c>
      <c r="X87" s="127">
        <v>0</v>
      </c>
      <c r="Y87" s="127">
        <v>0</v>
      </c>
      <c r="Z87" s="127">
        <v>0</v>
      </c>
      <c r="AA87" s="127">
        <v>0</v>
      </c>
      <c r="AB87" s="127">
        <v>0</v>
      </c>
      <c r="AC87" s="127">
        <v>0</v>
      </c>
      <c r="AD87" s="127">
        <v>0</v>
      </c>
      <c r="AE87" s="127">
        <v>0</v>
      </c>
      <c r="AF87" s="127">
        <v>0</v>
      </c>
      <c r="AG87" s="127">
        <v>0</v>
      </c>
      <c r="AH87" s="127">
        <v>0</v>
      </c>
      <c r="AI87" s="127">
        <v>0</v>
      </c>
      <c r="AJ87" s="127">
        <v>0</v>
      </c>
      <c r="AK87" s="127">
        <v>0</v>
      </c>
      <c r="AL87" s="127">
        <v>0</v>
      </c>
      <c r="AM87" s="127">
        <v>0</v>
      </c>
      <c r="AN87" s="127">
        <v>0</v>
      </c>
      <c r="AO87" s="127">
        <v>0</v>
      </c>
      <c r="AP87" s="127">
        <v>0</v>
      </c>
      <c r="AQ87" s="127">
        <v>0</v>
      </c>
      <c r="AR87" s="127">
        <v>0</v>
      </c>
      <c r="AS87" s="127">
        <v>0</v>
      </c>
      <c r="AT87" s="127">
        <v>0</v>
      </c>
      <c r="AU87" s="127">
        <v>0</v>
      </c>
      <c r="AV87" s="127">
        <v>0</v>
      </c>
      <c r="AW87" s="127">
        <v>0</v>
      </c>
      <c r="AX87" s="127">
        <v>0</v>
      </c>
      <c r="AY87" s="127">
        <v>0</v>
      </c>
    </row>
    <row r="88" spans="1:52" x14ac:dyDescent="0.2">
      <c r="A88" s="126"/>
      <c r="B88" s="146">
        <v>44</v>
      </c>
      <c r="C88" s="126" t="s">
        <v>293</v>
      </c>
      <c r="D88" s="127"/>
      <c r="E88" s="127"/>
      <c r="F88" s="127"/>
      <c r="G88" s="127"/>
      <c r="H88" s="127"/>
      <c r="I88" s="127">
        <v>0</v>
      </c>
      <c r="J88" s="127">
        <v>0</v>
      </c>
      <c r="K88" s="127">
        <v>0</v>
      </c>
      <c r="L88" s="127">
        <v>0</v>
      </c>
      <c r="M88" s="127">
        <v>0</v>
      </c>
      <c r="N88" s="127">
        <v>0</v>
      </c>
      <c r="O88" s="127">
        <v>0</v>
      </c>
      <c r="P88" s="127">
        <v>0</v>
      </c>
      <c r="Q88" s="127">
        <v>0</v>
      </c>
      <c r="R88" s="127">
        <v>0</v>
      </c>
      <c r="S88" s="127">
        <v>0</v>
      </c>
      <c r="T88" s="127">
        <v>0</v>
      </c>
      <c r="U88" s="127">
        <v>0</v>
      </c>
      <c r="V88" s="127">
        <v>0</v>
      </c>
      <c r="W88" s="127">
        <v>0</v>
      </c>
      <c r="X88" s="127">
        <v>0</v>
      </c>
      <c r="Y88" s="127">
        <v>0</v>
      </c>
      <c r="Z88" s="127">
        <v>0</v>
      </c>
      <c r="AA88" s="127">
        <v>0</v>
      </c>
      <c r="AB88" s="127">
        <v>0</v>
      </c>
      <c r="AC88" s="127">
        <v>0</v>
      </c>
      <c r="AD88" s="127">
        <v>0</v>
      </c>
      <c r="AE88" s="127">
        <v>0</v>
      </c>
      <c r="AF88" s="127">
        <v>0</v>
      </c>
      <c r="AG88" s="127">
        <v>0</v>
      </c>
      <c r="AH88" s="127">
        <v>0</v>
      </c>
      <c r="AI88" s="127">
        <v>0</v>
      </c>
      <c r="AJ88" s="127">
        <v>0</v>
      </c>
      <c r="AK88" s="127">
        <v>0</v>
      </c>
      <c r="AL88" s="127">
        <v>0</v>
      </c>
      <c r="AM88" s="127">
        <v>0</v>
      </c>
      <c r="AN88" s="127">
        <v>0</v>
      </c>
      <c r="AO88" s="127">
        <v>0</v>
      </c>
      <c r="AP88" s="127">
        <v>0</v>
      </c>
      <c r="AQ88" s="127">
        <v>0</v>
      </c>
      <c r="AR88" s="127">
        <v>0</v>
      </c>
      <c r="AS88" s="127">
        <v>0</v>
      </c>
      <c r="AT88" s="127">
        <v>0</v>
      </c>
      <c r="AU88" s="127">
        <v>0</v>
      </c>
      <c r="AV88" s="127">
        <v>0</v>
      </c>
      <c r="AW88" s="127">
        <v>0</v>
      </c>
      <c r="AX88" s="127">
        <v>0</v>
      </c>
      <c r="AY88" s="127">
        <v>0</v>
      </c>
    </row>
    <row r="89" spans="1:52" x14ac:dyDescent="0.2">
      <c r="A89" s="126"/>
      <c r="B89" s="146">
        <v>45</v>
      </c>
      <c r="C89" s="126" t="s">
        <v>293</v>
      </c>
      <c r="D89" s="127">
        <v>0</v>
      </c>
      <c r="E89" s="127">
        <v>0</v>
      </c>
      <c r="F89" s="127">
        <v>0</v>
      </c>
      <c r="G89" s="127">
        <v>0</v>
      </c>
      <c r="H89" s="127">
        <v>0</v>
      </c>
      <c r="I89" s="127">
        <v>0</v>
      </c>
      <c r="J89" s="127">
        <v>0</v>
      </c>
      <c r="K89" s="127">
        <v>0</v>
      </c>
      <c r="L89" s="127">
        <v>0</v>
      </c>
      <c r="M89" s="127">
        <v>0</v>
      </c>
      <c r="N89" s="127">
        <v>0</v>
      </c>
      <c r="O89" s="127">
        <v>0</v>
      </c>
      <c r="P89" s="127">
        <v>0</v>
      </c>
      <c r="Q89" s="127">
        <v>0</v>
      </c>
      <c r="R89" s="127">
        <v>0</v>
      </c>
      <c r="S89" s="127">
        <v>0</v>
      </c>
      <c r="T89" s="127">
        <v>0</v>
      </c>
      <c r="U89" s="127">
        <v>0</v>
      </c>
      <c r="V89" s="127">
        <v>0</v>
      </c>
      <c r="W89" s="127">
        <v>0</v>
      </c>
      <c r="X89" s="127">
        <v>0</v>
      </c>
      <c r="Y89" s="127">
        <v>0</v>
      </c>
      <c r="Z89" s="127">
        <v>0</v>
      </c>
      <c r="AA89" s="127">
        <v>0</v>
      </c>
      <c r="AB89" s="127">
        <v>0</v>
      </c>
      <c r="AC89" s="127">
        <v>0</v>
      </c>
      <c r="AD89" s="127">
        <v>0</v>
      </c>
      <c r="AE89" s="127">
        <v>0</v>
      </c>
      <c r="AF89" s="127">
        <v>0</v>
      </c>
      <c r="AG89" s="127">
        <v>0</v>
      </c>
      <c r="AH89" s="127">
        <v>0</v>
      </c>
      <c r="AI89" s="127">
        <v>0</v>
      </c>
      <c r="AJ89" s="127">
        <v>0</v>
      </c>
      <c r="AK89" s="127">
        <v>0</v>
      </c>
      <c r="AL89" s="127">
        <v>0</v>
      </c>
      <c r="AM89" s="127">
        <v>0</v>
      </c>
      <c r="AN89" s="127">
        <v>0</v>
      </c>
      <c r="AO89" s="127">
        <v>0</v>
      </c>
      <c r="AP89" s="127">
        <v>0</v>
      </c>
      <c r="AQ89" s="127">
        <v>0</v>
      </c>
      <c r="AR89" s="127">
        <v>0</v>
      </c>
      <c r="AS89" s="127">
        <v>0</v>
      </c>
      <c r="AT89" s="127">
        <v>0</v>
      </c>
      <c r="AU89" s="127">
        <v>0</v>
      </c>
      <c r="AV89" s="127">
        <v>0</v>
      </c>
      <c r="AW89" s="127">
        <v>0</v>
      </c>
      <c r="AX89" s="127">
        <v>0</v>
      </c>
      <c r="AY89" s="127">
        <v>0</v>
      </c>
    </row>
    <row r="90" spans="1:52" x14ac:dyDescent="0.2">
      <c r="A90" s="126"/>
      <c r="B90" s="146">
        <v>46</v>
      </c>
      <c r="C90" s="126" t="s">
        <v>293</v>
      </c>
      <c r="D90" s="127">
        <v>0</v>
      </c>
      <c r="E90" s="127">
        <v>0</v>
      </c>
      <c r="F90" s="127">
        <v>0</v>
      </c>
      <c r="G90" s="127">
        <v>0</v>
      </c>
      <c r="H90" s="127">
        <v>0</v>
      </c>
      <c r="I90" s="127">
        <v>0</v>
      </c>
      <c r="J90" s="127">
        <v>0</v>
      </c>
      <c r="K90" s="127">
        <v>0</v>
      </c>
      <c r="L90" s="127">
        <v>0</v>
      </c>
      <c r="M90" s="127">
        <v>0</v>
      </c>
      <c r="N90" s="127">
        <v>0</v>
      </c>
      <c r="O90" s="127">
        <v>0</v>
      </c>
      <c r="P90" s="127">
        <v>0</v>
      </c>
      <c r="Q90" s="127">
        <v>0</v>
      </c>
      <c r="R90" s="127">
        <v>0</v>
      </c>
      <c r="S90" s="127">
        <v>0</v>
      </c>
      <c r="T90" s="127">
        <v>0</v>
      </c>
      <c r="U90" s="127">
        <v>0</v>
      </c>
      <c r="V90" s="127">
        <v>0</v>
      </c>
      <c r="W90" s="127">
        <v>0</v>
      </c>
      <c r="X90" s="127">
        <v>0</v>
      </c>
      <c r="Y90" s="127">
        <v>0</v>
      </c>
      <c r="Z90" s="127">
        <v>0</v>
      </c>
      <c r="AA90" s="127">
        <v>0</v>
      </c>
      <c r="AB90" s="127">
        <v>0</v>
      </c>
      <c r="AC90" s="127">
        <v>0</v>
      </c>
      <c r="AD90" s="127">
        <v>0</v>
      </c>
      <c r="AE90" s="127">
        <v>0</v>
      </c>
      <c r="AF90" s="127">
        <v>0</v>
      </c>
      <c r="AG90" s="127">
        <v>0</v>
      </c>
      <c r="AH90" s="127">
        <v>0</v>
      </c>
      <c r="AI90" s="127">
        <v>0</v>
      </c>
      <c r="AJ90" s="127">
        <v>0</v>
      </c>
      <c r="AK90" s="127">
        <v>0</v>
      </c>
      <c r="AL90" s="127">
        <v>0</v>
      </c>
      <c r="AM90" s="127">
        <v>0</v>
      </c>
      <c r="AN90" s="127">
        <v>0</v>
      </c>
      <c r="AO90" s="127">
        <v>0</v>
      </c>
      <c r="AP90" s="127">
        <v>0</v>
      </c>
      <c r="AQ90" s="127">
        <v>0</v>
      </c>
      <c r="AR90" s="127">
        <v>0</v>
      </c>
      <c r="AS90" s="127">
        <v>0</v>
      </c>
      <c r="AT90" s="127">
        <v>0</v>
      </c>
      <c r="AU90" s="127">
        <v>0</v>
      </c>
      <c r="AV90" s="127">
        <v>0</v>
      </c>
      <c r="AW90" s="127">
        <v>0</v>
      </c>
      <c r="AX90" s="127">
        <v>0</v>
      </c>
      <c r="AY90" s="127">
        <v>0</v>
      </c>
    </row>
    <row r="91" spans="1:52" x14ac:dyDescent="0.2">
      <c r="A91" s="126"/>
      <c r="B91" s="146">
        <v>47</v>
      </c>
      <c r="C91" s="126" t="s">
        <v>293</v>
      </c>
      <c r="D91" s="127">
        <v>0</v>
      </c>
      <c r="E91" s="127">
        <v>0</v>
      </c>
      <c r="F91" s="127">
        <v>0</v>
      </c>
      <c r="G91" s="127">
        <v>0</v>
      </c>
      <c r="H91" s="127">
        <v>0</v>
      </c>
      <c r="I91" s="127">
        <v>0</v>
      </c>
      <c r="J91" s="127">
        <v>0</v>
      </c>
      <c r="K91" s="127">
        <v>0</v>
      </c>
      <c r="L91" s="127">
        <v>0</v>
      </c>
      <c r="M91" s="127">
        <v>0</v>
      </c>
      <c r="N91" s="127">
        <v>0</v>
      </c>
      <c r="O91" s="127">
        <v>0</v>
      </c>
      <c r="P91" s="127">
        <v>0</v>
      </c>
      <c r="Q91" s="127">
        <v>0</v>
      </c>
      <c r="R91" s="127">
        <v>0</v>
      </c>
      <c r="S91" s="127">
        <v>0</v>
      </c>
      <c r="T91" s="127">
        <v>0</v>
      </c>
      <c r="U91" s="127">
        <v>0</v>
      </c>
      <c r="V91" s="127">
        <v>0</v>
      </c>
      <c r="W91" s="127">
        <v>0</v>
      </c>
      <c r="X91" s="127">
        <v>0</v>
      </c>
      <c r="Y91" s="127">
        <v>0</v>
      </c>
      <c r="Z91" s="127">
        <v>0</v>
      </c>
      <c r="AA91" s="127">
        <v>0</v>
      </c>
      <c r="AB91" s="127">
        <v>0</v>
      </c>
      <c r="AC91" s="127">
        <v>0</v>
      </c>
      <c r="AD91" s="127">
        <v>0</v>
      </c>
      <c r="AE91" s="127">
        <v>0</v>
      </c>
      <c r="AF91" s="127">
        <v>0</v>
      </c>
      <c r="AG91" s="127">
        <v>0</v>
      </c>
      <c r="AH91" s="127">
        <v>0</v>
      </c>
      <c r="AI91" s="127">
        <v>0</v>
      </c>
      <c r="AJ91" s="127">
        <v>0</v>
      </c>
      <c r="AK91" s="127">
        <v>0</v>
      </c>
      <c r="AL91" s="127">
        <v>0</v>
      </c>
      <c r="AM91" s="127">
        <v>0</v>
      </c>
      <c r="AN91" s="127">
        <v>0</v>
      </c>
      <c r="AO91" s="127">
        <v>0</v>
      </c>
      <c r="AP91" s="127">
        <v>0</v>
      </c>
      <c r="AQ91" s="127">
        <v>0</v>
      </c>
      <c r="AR91" s="127">
        <v>0</v>
      </c>
      <c r="AS91" s="127">
        <v>0</v>
      </c>
      <c r="AT91" s="127">
        <v>0</v>
      </c>
      <c r="AU91" s="127">
        <v>0</v>
      </c>
      <c r="AV91" s="127">
        <v>0</v>
      </c>
      <c r="AW91" s="127">
        <v>0</v>
      </c>
      <c r="AX91" s="127">
        <v>0</v>
      </c>
      <c r="AY91" s="127">
        <v>0</v>
      </c>
    </row>
    <row r="92" spans="1:52" x14ac:dyDescent="0.2">
      <c r="A92" s="144"/>
      <c r="B92" s="145">
        <v>48</v>
      </c>
      <c r="C92" s="144" t="s">
        <v>293</v>
      </c>
      <c r="D92" s="141">
        <v>0</v>
      </c>
      <c r="E92" s="141">
        <v>0</v>
      </c>
      <c r="F92" s="141">
        <v>0</v>
      </c>
      <c r="G92" s="141">
        <v>0</v>
      </c>
      <c r="H92" s="141">
        <v>0</v>
      </c>
      <c r="I92" s="141">
        <v>0</v>
      </c>
      <c r="J92" s="141">
        <v>0</v>
      </c>
      <c r="K92" s="141">
        <v>0</v>
      </c>
      <c r="L92" s="141">
        <v>0</v>
      </c>
      <c r="M92" s="141">
        <v>0</v>
      </c>
      <c r="N92" s="141">
        <v>0</v>
      </c>
      <c r="O92" s="141">
        <v>0</v>
      </c>
      <c r="P92" s="141">
        <v>0</v>
      </c>
      <c r="Q92" s="141">
        <v>0</v>
      </c>
      <c r="R92" s="141">
        <v>0</v>
      </c>
      <c r="S92" s="141">
        <v>0</v>
      </c>
      <c r="T92" s="141">
        <v>0</v>
      </c>
      <c r="U92" s="141">
        <v>0</v>
      </c>
      <c r="V92" s="141">
        <v>0</v>
      </c>
      <c r="W92" s="141">
        <v>0</v>
      </c>
      <c r="X92" s="141">
        <v>0</v>
      </c>
      <c r="Y92" s="141">
        <v>0</v>
      </c>
      <c r="Z92" s="141">
        <v>0</v>
      </c>
      <c r="AA92" s="141">
        <v>0</v>
      </c>
      <c r="AB92" s="141">
        <v>0</v>
      </c>
      <c r="AC92" s="141">
        <v>0</v>
      </c>
      <c r="AD92" s="141">
        <v>0</v>
      </c>
      <c r="AE92" s="141">
        <v>0</v>
      </c>
      <c r="AF92" s="141">
        <v>0</v>
      </c>
      <c r="AG92" s="141">
        <v>0</v>
      </c>
      <c r="AH92" s="141">
        <v>0</v>
      </c>
      <c r="AI92" s="141">
        <v>0</v>
      </c>
      <c r="AJ92" s="141">
        <v>0</v>
      </c>
      <c r="AK92" s="141">
        <v>0</v>
      </c>
      <c r="AL92" s="141">
        <v>0</v>
      </c>
      <c r="AM92" s="141">
        <v>0</v>
      </c>
      <c r="AN92" s="141">
        <v>0</v>
      </c>
      <c r="AO92" s="141">
        <v>0</v>
      </c>
      <c r="AP92" s="141">
        <v>0</v>
      </c>
      <c r="AQ92" s="141">
        <v>0</v>
      </c>
      <c r="AR92" s="141">
        <v>0</v>
      </c>
      <c r="AS92" s="141">
        <v>0</v>
      </c>
      <c r="AT92" s="141">
        <v>0</v>
      </c>
      <c r="AU92" s="141">
        <v>0</v>
      </c>
      <c r="AV92" s="141">
        <v>0</v>
      </c>
      <c r="AW92" s="141">
        <v>0</v>
      </c>
      <c r="AX92" s="141">
        <v>0</v>
      </c>
      <c r="AY92" s="141">
        <v>0</v>
      </c>
      <c r="AZ92" s="124">
        <f>SUM(D21:AY92)</f>
        <v>437289.4449954608</v>
      </c>
    </row>
    <row r="94" spans="1:52" x14ac:dyDescent="0.2">
      <c r="A94" s="1" t="s">
        <v>295</v>
      </c>
      <c r="B94" s="123"/>
      <c r="C94" s="123"/>
      <c r="D94" s="130"/>
      <c r="E94" s="130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  <c r="V94" s="130"/>
      <c r="W94" s="130"/>
      <c r="X94" s="130"/>
      <c r="Y94" s="130"/>
      <c r="Z94" s="130"/>
      <c r="AA94" s="130"/>
      <c r="AB94" s="130"/>
      <c r="AC94" s="130"/>
      <c r="AD94" s="130"/>
      <c r="AE94" s="130"/>
      <c r="AF94" s="130"/>
      <c r="AG94" s="130"/>
      <c r="AH94" s="130"/>
      <c r="AI94" s="130"/>
      <c r="AJ94" s="130"/>
      <c r="AK94" s="130"/>
      <c r="AL94" s="130"/>
      <c r="AM94" s="130"/>
      <c r="AN94" s="130"/>
      <c r="AO94" s="130"/>
      <c r="AP94" s="130"/>
      <c r="AQ94" s="130"/>
      <c r="AR94" s="130"/>
      <c r="AS94" s="130"/>
      <c r="AT94" s="130"/>
      <c r="AU94" s="130"/>
      <c r="AV94" s="130"/>
      <c r="AW94" s="130"/>
      <c r="AX94" s="130"/>
      <c r="AY94" s="130"/>
    </row>
    <row r="95" spans="1:52" x14ac:dyDescent="0.2">
      <c r="A95" s="142" t="s">
        <v>125</v>
      </c>
      <c r="B95" s="139">
        <v>1</v>
      </c>
      <c r="C95" s="140">
        <v>7299.298511752274</v>
      </c>
      <c r="D95" s="127">
        <v>5260.5764479426616</v>
      </c>
      <c r="E95" s="127">
        <v>4799.3148571100282</v>
      </c>
      <c r="F95" s="127">
        <v>3115.7324725071894</v>
      </c>
      <c r="G95" s="127">
        <v>1676.0913506612683</v>
      </c>
      <c r="H95" s="127">
        <v>728.24058943327327</v>
      </c>
      <c r="I95" s="127">
        <v>0</v>
      </c>
      <c r="J95" s="127">
        <v>0</v>
      </c>
      <c r="K95" s="127">
        <v>0</v>
      </c>
      <c r="L95" s="127">
        <v>0</v>
      </c>
      <c r="M95" s="127">
        <v>0</v>
      </c>
      <c r="N95" s="127">
        <v>0</v>
      </c>
      <c r="O95" s="127">
        <v>0</v>
      </c>
      <c r="P95" s="127">
        <v>0</v>
      </c>
      <c r="Q95" s="127">
        <v>0</v>
      </c>
      <c r="R95" s="127">
        <v>0</v>
      </c>
      <c r="S95" s="127">
        <v>0</v>
      </c>
      <c r="T95" s="127">
        <v>0</v>
      </c>
      <c r="U95" s="127">
        <v>0</v>
      </c>
      <c r="V95" s="127">
        <v>0</v>
      </c>
      <c r="W95" s="127">
        <v>0</v>
      </c>
      <c r="X95" s="127">
        <v>0</v>
      </c>
      <c r="Y95" s="127">
        <v>0</v>
      </c>
      <c r="Z95" s="127">
        <v>0</v>
      </c>
      <c r="AA95" s="127">
        <v>0</v>
      </c>
      <c r="AB95" s="127">
        <v>0</v>
      </c>
      <c r="AC95" s="127">
        <v>0</v>
      </c>
      <c r="AD95" s="127">
        <v>0</v>
      </c>
      <c r="AE95" s="127">
        <v>0</v>
      </c>
      <c r="AF95" s="127">
        <v>0</v>
      </c>
      <c r="AG95" s="127">
        <v>0</v>
      </c>
      <c r="AH95" s="127">
        <v>0</v>
      </c>
      <c r="AI95" s="127">
        <v>0</v>
      </c>
      <c r="AJ95" s="127">
        <v>0</v>
      </c>
      <c r="AK95" s="127">
        <v>0</v>
      </c>
      <c r="AL95" s="127">
        <v>0</v>
      </c>
      <c r="AM95" s="127">
        <v>0</v>
      </c>
      <c r="AN95" s="127">
        <v>0</v>
      </c>
      <c r="AO95" s="127">
        <v>0</v>
      </c>
      <c r="AP95" s="127">
        <v>0</v>
      </c>
      <c r="AQ95" s="127">
        <v>0</v>
      </c>
      <c r="AR95" s="127">
        <v>0</v>
      </c>
      <c r="AS95" s="127">
        <v>0</v>
      </c>
      <c r="AT95" s="127">
        <v>0</v>
      </c>
      <c r="AU95" s="127">
        <v>0</v>
      </c>
      <c r="AV95" s="127">
        <v>0</v>
      </c>
      <c r="AW95" s="127">
        <v>0</v>
      </c>
      <c r="AX95" s="127">
        <v>0</v>
      </c>
      <c r="AY95" s="127">
        <v>0</v>
      </c>
    </row>
    <row r="96" spans="1:52" x14ac:dyDescent="0.2">
      <c r="A96" s="126"/>
      <c r="B96" s="136">
        <v>2</v>
      </c>
      <c r="C96" s="127">
        <v>1126.1771262813918</v>
      </c>
      <c r="D96" s="127">
        <v>0</v>
      </c>
      <c r="E96" s="127">
        <v>0</v>
      </c>
      <c r="F96" s="127">
        <v>0</v>
      </c>
      <c r="G96" s="127">
        <v>0</v>
      </c>
      <c r="H96" s="127">
        <v>0</v>
      </c>
      <c r="I96" s="127">
        <v>0</v>
      </c>
      <c r="J96" s="127">
        <v>0</v>
      </c>
      <c r="K96" s="127">
        <v>0</v>
      </c>
      <c r="L96" s="127">
        <v>0</v>
      </c>
      <c r="M96" s="127">
        <v>0</v>
      </c>
      <c r="N96" s="127">
        <v>0</v>
      </c>
      <c r="O96" s="127">
        <v>0</v>
      </c>
      <c r="P96" s="127">
        <v>0</v>
      </c>
      <c r="Q96" s="127">
        <v>0</v>
      </c>
      <c r="R96" s="127">
        <v>0</v>
      </c>
      <c r="S96" s="127">
        <v>0</v>
      </c>
      <c r="T96" s="127">
        <v>0</v>
      </c>
      <c r="U96" s="127">
        <v>0</v>
      </c>
      <c r="V96" s="127">
        <v>0</v>
      </c>
      <c r="W96" s="127">
        <v>0</v>
      </c>
      <c r="X96" s="127">
        <v>0</v>
      </c>
      <c r="Y96" s="127">
        <v>0</v>
      </c>
      <c r="Z96" s="127">
        <v>0</v>
      </c>
      <c r="AA96" s="127">
        <v>0</v>
      </c>
      <c r="AB96" s="127">
        <v>0</v>
      </c>
      <c r="AC96" s="127">
        <v>0</v>
      </c>
      <c r="AD96" s="127">
        <v>0</v>
      </c>
      <c r="AE96" s="127">
        <v>0</v>
      </c>
      <c r="AF96" s="127">
        <v>0</v>
      </c>
      <c r="AG96" s="127">
        <v>0</v>
      </c>
      <c r="AH96" s="127">
        <v>0</v>
      </c>
      <c r="AI96" s="127">
        <v>0</v>
      </c>
      <c r="AJ96" s="127">
        <v>0</v>
      </c>
      <c r="AK96" s="127">
        <v>0</v>
      </c>
      <c r="AL96" s="127">
        <v>0</v>
      </c>
      <c r="AM96" s="127">
        <v>0</v>
      </c>
      <c r="AN96" s="127">
        <v>0</v>
      </c>
      <c r="AO96" s="127">
        <v>0</v>
      </c>
      <c r="AP96" s="127">
        <v>0</v>
      </c>
      <c r="AQ96" s="127">
        <v>0</v>
      </c>
      <c r="AR96" s="127">
        <v>0</v>
      </c>
      <c r="AS96" s="127">
        <v>0</v>
      </c>
      <c r="AT96" s="127">
        <v>0</v>
      </c>
      <c r="AU96" s="127">
        <v>0</v>
      </c>
      <c r="AV96" s="127">
        <v>0</v>
      </c>
      <c r="AW96" s="127">
        <v>0</v>
      </c>
      <c r="AX96" s="127">
        <v>0</v>
      </c>
      <c r="AY96" s="127">
        <v>0</v>
      </c>
    </row>
    <row r="97" spans="1:52" x14ac:dyDescent="0.2">
      <c r="A97" s="126"/>
      <c r="B97" s="143">
        <v>3</v>
      </c>
      <c r="C97" s="127">
        <v>0</v>
      </c>
      <c r="D97" s="127">
        <v>0</v>
      </c>
      <c r="E97" s="127">
        <v>0</v>
      </c>
      <c r="F97" s="127">
        <v>0</v>
      </c>
      <c r="G97" s="127">
        <v>0</v>
      </c>
      <c r="H97" s="127">
        <v>0</v>
      </c>
      <c r="I97" s="127">
        <v>0</v>
      </c>
      <c r="J97" s="127">
        <v>0</v>
      </c>
      <c r="K97" s="127">
        <v>0</v>
      </c>
      <c r="L97" s="127">
        <v>0</v>
      </c>
      <c r="M97" s="127">
        <v>0</v>
      </c>
      <c r="N97" s="127">
        <v>0</v>
      </c>
      <c r="O97" s="127">
        <v>0</v>
      </c>
      <c r="P97" s="127">
        <v>0</v>
      </c>
      <c r="Q97" s="127">
        <v>0</v>
      </c>
      <c r="R97" s="127">
        <v>0</v>
      </c>
      <c r="S97" s="127">
        <v>0</v>
      </c>
      <c r="T97" s="127">
        <v>0</v>
      </c>
      <c r="U97" s="127">
        <v>0</v>
      </c>
      <c r="V97" s="127">
        <v>0</v>
      </c>
      <c r="W97" s="127">
        <v>0</v>
      </c>
      <c r="X97" s="127">
        <v>0</v>
      </c>
      <c r="Y97" s="127">
        <v>0</v>
      </c>
      <c r="Z97" s="127">
        <v>0</v>
      </c>
      <c r="AA97" s="127">
        <v>0</v>
      </c>
      <c r="AB97" s="127">
        <v>0</v>
      </c>
      <c r="AC97" s="127">
        <v>0</v>
      </c>
      <c r="AD97" s="127">
        <v>0</v>
      </c>
      <c r="AE97" s="127">
        <v>0</v>
      </c>
      <c r="AF97" s="127">
        <v>0</v>
      </c>
      <c r="AG97" s="127">
        <v>0</v>
      </c>
      <c r="AH97" s="127">
        <v>0</v>
      </c>
      <c r="AI97" s="127">
        <v>0</v>
      </c>
      <c r="AJ97" s="127">
        <v>0</v>
      </c>
      <c r="AK97" s="127">
        <v>0</v>
      </c>
      <c r="AL97" s="127">
        <v>0</v>
      </c>
      <c r="AM97" s="127">
        <v>0</v>
      </c>
      <c r="AN97" s="127">
        <v>0</v>
      </c>
      <c r="AO97" s="127">
        <v>0</v>
      </c>
      <c r="AP97" s="127">
        <v>0</v>
      </c>
      <c r="AQ97" s="127">
        <v>0</v>
      </c>
      <c r="AR97" s="127">
        <v>0</v>
      </c>
      <c r="AS97" s="127">
        <v>0</v>
      </c>
      <c r="AT97" s="127">
        <v>0</v>
      </c>
      <c r="AU97" s="127">
        <v>0</v>
      </c>
      <c r="AV97" s="127">
        <v>0</v>
      </c>
      <c r="AW97" s="127">
        <v>0</v>
      </c>
      <c r="AX97" s="127">
        <v>0</v>
      </c>
      <c r="AY97" s="127">
        <v>0</v>
      </c>
    </row>
    <row r="98" spans="1:52" x14ac:dyDescent="0.2">
      <c r="A98" s="126"/>
      <c r="B98" s="146">
        <v>4</v>
      </c>
      <c r="C98" s="123">
        <v>0</v>
      </c>
      <c r="D98" s="127">
        <v>0</v>
      </c>
      <c r="E98" s="127">
        <v>0</v>
      </c>
      <c r="F98" s="127">
        <v>0</v>
      </c>
      <c r="G98" s="127">
        <v>0</v>
      </c>
      <c r="H98" s="127">
        <v>0</v>
      </c>
      <c r="I98" s="127">
        <v>0</v>
      </c>
      <c r="J98" s="127">
        <v>0</v>
      </c>
      <c r="K98" s="127">
        <v>0</v>
      </c>
      <c r="L98" s="127">
        <v>0</v>
      </c>
      <c r="M98" s="127">
        <v>0</v>
      </c>
      <c r="N98" s="127">
        <v>0</v>
      </c>
      <c r="O98" s="127">
        <v>0</v>
      </c>
      <c r="P98" s="127">
        <v>0</v>
      </c>
      <c r="Q98" s="127">
        <v>0</v>
      </c>
      <c r="R98" s="127">
        <v>0</v>
      </c>
      <c r="S98" s="127">
        <v>0</v>
      </c>
      <c r="T98" s="127">
        <v>0</v>
      </c>
      <c r="U98" s="127">
        <v>0</v>
      </c>
      <c r="V98" s="127">
        <v>0</v>
      </c>
      <c r="W98" s="127">
        <v>0</v>
      </c>
      <c r="X98" s="127">
        <v>0</v>
      </c>
      <c r="Y98" s="127">
        <v>0</v>
      </c>
      <c r="Z98" s="127">
        <v>0</v>
      </c>
      <c r="AA98" s="127">
        <v>0</v>
      </c>
      <c r="AB98" s="127">
        <v>0</v>
      </c>
      <c r="AC98" s="127">
        <v>0</v>
      </c>
      <c r="AD98" s="127">
        <v>0</v>
      </c>
      <c r="AE98" s="127">
        <v>0</v>
      </c>
      <c r="AF98" s="127">
        <v>0</v>
      </c>
      <c r="AG98" s="127">
        <v>0</v>
      </c>
      <c r="AH98" s="127">
        <v>0</v>
      </c>
      <c r="AI98" s="127">
        <v>0</v>
      </c>
      <c r="AJ98" s="127">
        <v>0</v>
      </c>
      <c r="AK98" s="127">
        <v>0</v>
      </c>
      <c r="AL98" s="127">
        <v>0</v>
      </c>
      <c r="AM98" s="127">
        <v>0</v>
      </c>
      <c r="AN98" s="127">
        <v>0</v>
      </c>
      <c r="AO98" s="127">
        <v>0</v>
      </c>
      <c r="AP98" s="127">
        <v>0</v>
      </c>
      <c r="AQ98" s="127">
        <v>0</v>
      </c>
      <c r="AR98" s="127">
        <v>0</v>
      </c>
      <c r="AS98" s="127">
        <v>0</v>
      </c>
      <c r="AT98" s="127">
        <v>0</v>
      </c>
      <c r="AU98" s="127">
        <v>0</v>
      </c>
      <c r="AV98" s="127">
        <v>0</v>
      </c>
      <c r="AW98" s="127">
        <v>0</v>
      </c>
      <c r="AX98" s="127">
        <v>0</v>
      </c>
      <c r="AY98" s="127">
        <v>0</v>
      </c>
    </row>
    <row r="99" spans="1:52" x14ac:dyDescent="0.2">
      <c r="A99" s="144"/>
      <c r="B99" s="148" t="s">
        <v>296</v>
      </c>
      <c r="C99" s="141">
        <v>0</v>
      </c>
      <c r="D99" s="141">
        <v>0</v>
      </c>
      <c r="E99" s="141">
        <v>0</v>
      </c>
      <c r="F99" s="141">
        <v>0</v>
      </c>
      <c r="G99" s="141">
        <v>0</v>
      </c>
      <c r="H99" s="141">
        <v>0</v>
      </c>
      <c r="I99" s="141">
        <v>0</v>
      </c>
      <c r="J99" s="141">
        <v>0</v>
      </c>
      <c r="K99" s="141">
        <v>0</v>
      </c>
      <c r="L99" s="141">
        <v>0</v>
      </c>
      <c r="M99" s="141">
        <v>0</v>
      </c>
      <c r="N99" s="141">
        <v>0</v>
      </c>
      <c r="O99" s="141">
        <v>0</v>
      </c>
      <c r="P99" s="141">
        <v>0</v>
      </c>
      <c r="Q99" s="141">
        <v>0</v>
      </c>
      <c r="R99" s="141">
        <v>0</v>
      </c>
      <c r="S99" s="141">
        <v>0</v>
      </c>
      <c r="T99" s="141">
        <v>0</v>
      </c>
      <c r="U99" s="141">
        <v>0</v>
      </c>
      <c r="V99" s="141">
        <v>0</v>
      </c>
      <c r="W99" s="141">
        <v>0</v>
      </c>
      <c r="X99" s="141">
        <v>0</v>
      </c>
      <c r="Y99" s="141">
        <v>0</v>
      </c>
      <c r="Z99" s="141">
        <v>0</v>
      </c>
      <c r="AA99" s="141">
        <v>0</v>
      </c>
      <c r="AB99" s="141">
        <v>0</v>
      </c>
      <c r="AC99" s="141">
        <v>0</v>
      </c>
      <c r="AD99" s="141">
        <v>0</v>
      </c>
      <c r="AE99" s="141">
        <v>0</v>
      </c>
      <c r="AF99" s="141">
        <v>0</v>
      </c>
      <c r="AG99" s="141">
        <v>0</v>
      </c>
      <c r="AH99" s="141">
        <v>0</v>
      </c>
      <c r="AI99" s="141">
        <v>0</v>
      </c>
      <c r="AJ99" s="141">
        <v>0</v>
      </c>
      <c r="AK99" s="141">
        <v>0</v>
      </c>
      <c r="AL99" s="141">
        <v>0</v>
      </c>
      <c r="AM99" s="141">
        <v>0</v>
      </c>
      <c r="AN99" s="141">
        <v>0</v>
      </c>
      <c r="AO99" s="141">
        <v>0</v>
      </c>
      <c r="AP99" s="141">
        <v>0</v>
      </c>
      <c r="AQ99" s="141">
        <v>0</v>
      </c>
      <c r="AR99" s="141">
        <v>0</v>
      </c>
      <c r="AS99" s="141">
        <v>0</v>
      </c>
      <c r="AT99" s="141">
        <v>0</v>
      </c>
      <c r="AU99" s="141">
        <v>0</v>
      </c>
      <c r="AV99" s="141">
        <v>0</v>
      </c>
      <c r="AW99" s="141">
        <v>0</v>
      </c>
      <c r="AX99" s="141">
        <v>0</v>
      </c>
      <c r="AY99" s="141">
        <v>0</v>
      </c>
      <c r="AZ99" s="124">
        <f>SUM($D99:$AY99)</f>
        <v>0</v>
      </c>
    </row>
    <row r="100" spans="1:52" x14ac:dyDescent="0.2">
      <c r="A100" s="147" t="s">
        <v>133</v>
      </c>
      <c r="B100" s="135">
        <v>1</v>
      </c>
      <c r="C100" s="123">
        <v>845</v>
      </c>
      <c r="D100" s="123">
        <v>2458.0972481128438</v>
      </c>
      <c r="E100" s="123">
        <v>0</v>
      </c>
      <c r="F100" s="123">
        <v>1143.4280512382779</v>
      </c>
      <c r="G100" s="123">
        <v>913.42805123827782</v>
      </c>
      <c r="H100" s="123">
        <v>1143.4280512382779</v>
      </c>
      <c r="I100" s="123">
        <v>913.42805123827782</v>
      </c>
      <c r="J100" s="123">
        <v>1143.4280512382782</v>
      </c>
      <c r="K100" s="123">
        <v>913.42805123827816</v>
      </c>
      <c r="L100" s="123">
        <v>1143.4280512382782</v>
      </c>
      <c r="M100" s="123">
        <v>540</v>
      </c>
      <c r="N100" s="123">
        <v>1143.4280512382782</v>
      </c>
      <c r="O100" s="123">
        <v>540</v>
      </c>
      <c r="P100" s="123">
        <v>1143.4280512382782</v>
      </c>
      <c r="Q100" s="123">
        <v>913.42805123827816</v>
      </c>
      <c r="R100" s="123">
        <v>1143.4280512382782</v>
      </c>
      <c r="S100" s="123">
        <v>540</v>
      </c>
      <c r="T100" s="123">
        <v>1143.4280512382782</v>
      </c>
      <c r="U100" s="123">
        <v>913.42805123827816</v>
      </c>
      <c r="V100" s="123">
        <v>1143.4280512382782</v>
      </c>
      <c r="W100" s="123">
        <v>120</v>
      </c>
      <c r="X100" s="123">
        <v>1936.8561024765563</v>
      </c>
      <c r="Y100" s="123">
        <v>793.42805123827816</v>
      </c>
      <c r="Z100" s="123">
        <v>1143.4280512382782</v>
      </c>
      <c r="AA100" s="123">
        <v>540</v>
      </c>
      <c r="AB100" s="123">
        <v>1143.4280512382782</v>
      </c>
      <c r="AC100" s="123">
        <v>540</v>
      </c>
      <c r="AD100" s="123">
        <v>1143.4280512382782</v>
      </c>
      <c r="AE100" s="123">
        <v>913.42805123827816</v>
      </c>
      <c r="AF100" s="123">
        <v>1143.4280512382782</v>
      </c>
      <c r="AG100" s="123">
        <v>913.42805123827816</v>
      </c>
      <c r="AH100" s="123">
        <v>1143.4280512382782</v>
      </c>
      <c r="AI100" s="123">
        <v>540</v>
      </c>
      <c r="AJ100" s="123">
        <v>1143.4280512382782</v>
      </c>
      <c r="AK100" s="123">
        <v>913.42805123827816</v>
      </c>
      <c r="AL100" s="123">
        <v>350</v>
      </c>
      <c r="AM100" s="123">
        <v>1706.8561024765563</v>
      </c>
      <c r="AN100" s="123">
        <v>1143.4280512382782</v>
      </c>
      <c r="AO100" s="123">
        <v>913.42805123827816</v>
      </c>
      <c r="AP100" s="123">
        <v>1143.4280512382782</v>
      </c>
      <c r="AQ100" s="123">
        <v>913.42805123827816</v>
      </c>
      <c r="AR100" s="123">
        <v>350</v>
      </c>
      <c r="AS100" s="123">
        <v>1380</v>
      </c>
      <c r="AT100" s="123">
        <v>350</v>
      </c>
      <c r="AU100" s="123">
        <v>1586.8561024765563</v>
      </c>
      <c r="AV100" s="123">
        <v>350</v>
      </c>
      <c r="AW100" s="123">
        <v>913.42805123827816</v>
      </c>
      <c r="AX100" s="123">
        <v>1143.4280512382782</v>
      </c>
      <c r="AY100" s="123">
        <v>793.42805123827816</v>
      </c>
    </row>
    <row r="101" spans="1:52" x14ac:dyDescent="0.2">
      <c r="A101" s="126"/>
      <c r="B101" s="135">
        <v>2</v>
      </c>
      <c r="C101" s="123">
        <v>1395.2751615314546</v>
      </c>
      <c r="D101" s="123">
        <v>845</v>
      </c>
      <c r="E101" s="123">
        <v>2808.0972481128438</v>
      </c>
      <c r="F101" s="123">
        <v>993.23964486176965</v>
      </c>
      <c r="G101" s="123">
        <v>1143.4280512382779</v>
      </c>
      <c r="H101" s="123">
        <v>1143.4280512382779</v>
      </c>
      <c r="I101" s="123">
        <v>1143.4280512382779</v>
      </c>
      <c r="J101" s="123">
        <v>1143.4280512382779</v>
      </c>
      <c r="K101" s="123">
        <v>1143.4280512382782</v>
      </c>
      <c r="L101" s="123">
        <v>1143.4280512382782</v>
      </c>
      <c r="M101" s="123">
        <v>1143.4280512382782</v>
      </c>
      <c r="N101" s="123">
        <v>1143.4280512382782</v>
      </c>
      <c r="O101" s="123">
        <v>1143.4280512382782</v>
      </c>
      <c r="P101" s="123">
        <v>770</v>
      </c>
      <c r="Q101" s="123">
        <v>1143.4280512382782</v>
      </c>
      <c r="R101" s="123">
        <v>913.42805123827816</v>
      </c>
      <c r="S101" s="123">
        <v>1143.4280512382782</v>
      </c>
      <c r="T101" s="123">
        <v>1088.449046706932</v>
      </c>
      <c r="U101" s="123">
        <v>1143.4280512382782</v>
      </c>
      <c r="V101" s="123">
        <v>911.76992479135652</v>
      </c>
      <c r="W101" s="123">
        <v>1143.4280512382782</v>
      </c>
      <c r="X101" s="123">
        <v>338.89788969660668</v>
      </c>
      <c r="Y101" s="123">
        <v>1318.7539921731629</v>
      </c>
      <c r="Z101" s="123">
        <v>793.42805123827816</v>
      </c>
      <c r="AA101" s="123">
        <v>1143.4280512382782</v>
      </c>
      <c r="AB101" s="123">
        <v>770</v>
      </c>
      <c r="AC101" s="123">
        <v>1117.0504102313362</v>
      </c>
      <c r="AD101" s="123">
        <v>913.42805123827816</v>
      </c>
      <c r="AE101" s="123">
        <v>1143.4280512382782</v>
      </c>
      <c r="AF101" s="123">
        <v>1143.4280512382782</v>
      </c>
      <c r="AG101" s="123">
        <v>1143.4280512382782</v>
      </c>
      <c r="AH101" s="123">
        <v>913.42805123827816</v>
      </c>
      <c r="AI101" s="123">
        <v>1143.4280512382782</v>
      </c>
      <c r="AJ101" s="123">
        <v>913.42805123827816</v>
      </c>
      <c r="AK101" s="123">
        <v>1143.4280512382782</v>
      </c>
      <c r="AL101" s="123">
        <v>1143.4280512382782</v>
      </c>
      <c r="AM101" s="123">
        <v>350</v>
      </c>
      <c r="AN101" s="123">
        <v>1272.1752180247715</v>
      </c>
      <c r="AO101" s="123">
        <v>1143.4280512382782</v>
      </c>
      <c r="AP101" s="123">
        <v>1143.4280512382782</v>
      </c>
      <c r="AQ101" s="123">
        <v>1143.4280512382782</v>
      </c>
      <c r="AR101" s="123">
        <v>1143.4280512382782</v>
      </c>
      <c r="AS101" s="123">
        <v>350</v>
      </c>
      <c r="AT101" s="123">
        <v>1451.7300043406608</v>
      </c>
      <c r="AU101" s="123">
        <v>350</v>
      </c>
      <c r="AV101" s="123">
        <v>1127.934652236341</v>
      </c>
      <c r="AW101" s="123">
        <v>1143.4280512382782</v>
      </c>
      <c r="AX101" s="123">
        <v>913.42805123827816</v>
      </c>
      <c r="AY101" s="123">
        <v>1143.4280512382782</v>
      </c>
    </row>
    <row r="102" spans="1:52" x14ac:dyDescent="0.2">
      <c r="A102" s="126"/>
      <c r="B102" s="136">
        <v>3</v>
      </c>
      <c r="C102" s="123">
        <v>1395.156490272153</v>
      </c>
      <c r="D102" s="123">
        <v>1395.2751615314546</v>
      </c>
      <c r="E102" s="123">
        <v>845</v>
      </c>
      <c r="F102" s="123">
        <v>2808.0972481128438</v>
      </c>
      <c r="G102" s="123">
        <v>993.23964486176965</v>
      </c>
      <c r="H102" s="123">
        <v>1143.4280512382779</v>
      </c>
      <c r="I102" s="123">
        <v>1143.4280512382779</v>
      </c>
      <c r="J102" s="123">
        <v>966.83489234671924</v>
      </c>
      <c r="K102" s="123">
        <v>487.30265709983667</v>
      </c>
      <c r="L102" s="123">
        <v>215.18076796018829</v>
      </c>
      <c r="M102" s="123">
        <v>200.50288687514359</v>
      </c>
      <c r="N102" s="123">
        <v>61.027643405610206</v>
      </c>
      <c r="O102" s="123">
        <v>96.117204621876624</v>
      </c>
      <c r="P102" s="123">
        <v>60.106728252285507</v>
      </c>
      <c r="Q102" s="123">
        <v>15.53860738815257</v>
      </c>
      <c r="R102" s="123">
        <v>6.1997213686830719</v>
      </c>
      <c r="S102" s="123">
        <v>22.336517944142372</v>
      </c>
      <c r="T102" s="123">
        <v>0</v>
      </c>
      <c r="U102" s="123">
        <v>2.6569644836957877</v>
      </c>
      <c r="V102" s="123">
        <v>0</v>
      </c>
      <c r="W102" s="123">
        <v>10.9820310321875</v>
      </c>
      <c r="X102" s="123">
        <v>0</v>
      </c>
      <c r="Y102" s="123">
        <v>0</v>
      </c>
      <c r="Z102" s="123">
        <v>37.069021661665374</v>
      </c>
      <c r="AA102" s="123">
        <v>12.014353620277419</v>
      </c>
      <c r="AB102" s="123">
        <v>35.622358993058128</v>
      </c>
      <c r="AC102" s="123">
        <v>70.111259710645186</v>
      </c>
      <c r="AD102" s="123">
        <v>53.289766216954661</v>
      </c>
      <c r="AE102" s="123">
        <v>28.862525356169897</v>
      </c>
      <c r="AF102" s="123">
        <v>47.80728190305274</v>
      </c>
      <c r="AG102" s="123">
        <v>68.137959453221129</v>
      </c>
      <c r="AH102" s="123">
        <v>45.707706077771263</v>
      </c>
      <c r="AI102" s="123">
        <v>107.79726527928125</v>
      </c>
      <c r="AJ102" s="123">
        <v>66.959397407103268</v>
      </c>
      <c r="AK102" s="123">
        <v>38.168808085163448</v>
      </c>
      <c r="AL102" s="123">
        <v>107.30748147985145</v>
      </c>
      <c r="AM102" s="123">
        <v>47.319115548215223</v>
      </c>
      <c r="AN102" s="123">
        <v>0</v>
      </c>
      <c r="AO102" s="123">
        <v>45.93391067320033</v>
      </c>
      <c r="AP102" s="123">
        <v>2.0751602792132644</v>
      </c>
      <c r="AQ102" s="123">
        <v>11.507989980597699</v>
      </c>
      <c r="AR102" s="123">
        <v>71.667408139187842</v>
      </c>
      <c r="AS102" s="123">
        <v>43.873901864104425</v>
      </c>
      <c r="AT102" s="123">
        <v>0</v>
      </c>
      <c r="AU102" s="123">
        <v>84.078549759784664</v>
      </c>
      <c r="AV102" s="123">
        <v>0</v>
      </c>
      <c r="AW102" s="123">
        <v>20.983328951199979</v>
      </c>
      <c r="AX102" s="123">
        <v>60.291352680882881</v>
      </c>
      <c r="AY102" s="123">
        <v>65.410510023329152</v>
      </c>
    </row>
    <row r="103" spans="1:52" x14ac:dyDescent="0.2">
      <c r="A103" s="126"/>
      <c r="B103" s="136">
        <v>4</v>
      </c>
      <c r="C103" s="123">
        <v>1826.5486240564219</v>
      </c>
      <c r="D103" s="123">
        <v>1395.156490272153</v>
      </c>
      <c r="E103" s="123">
        <v>1395.2751615314546</v>
      </c>
      <c r="F103" s="123">
        <v>845</v>
      </c>
      <c r="G103" s="123">
        <v>2808.0972481128438</v>
      </c>
      <c r="H103" s="123">
        <v>993.23964486176965</v>
      </c>
      <c r="I103" s="123">
        <v>708.68236154005706</v>
      </c>
      <c r="J103" s="123">
        <v>0</v>
      </c>
      <c r="K103" s="123">
        <v>0</v>
      </c>
      <c r="L103" s="123">
        <v>0</v>
      </c>
      <c r="M103" s="123">
        <v>0</v>
      </c>
      <c r="N103" s="123">
        <v>0</v>
      </c>
      <c r="O103" s="123">
        <v>0</v>
      </c>
      <c r="P103" s="123">
        <v>0</v>
      </c>
      <c r="Q103" s="123">
        <v>0</v>
      </c>
      <c r="R103" s="123">
        <v>0</v>
      </c>
      <c r="S103" s="123">
        <v>0</v>
      </c>
      <c r="T103" s="123">
        <v>0</v>
      </c>
      <c r="U103" s="123">
        <v>0</v>
      </c>
      <c r="V103" s="123">
        <v>0</v>
      </c>
      <c r="W103" s="123">
        <v>0</v>
      </c>
      <c r="X103" s="123">
        <v>0</v>
      </c>
      <c r="Y103" s="123">
        <v>0</v>
      </c>
      <c r="Z103" s="123">
        <v>0</v>
      </c>
      <c r="AA103" s="123">
        <v>0</v>
      </c>
      <c r="AB103" s="123">
        <v>0</v>
      </c>
      <c r="AC103" s="123">
        <v>0</v>
      </c>
      <c r="AD103" s="123">
        <v>0</v>
      </c>
      <c r="AE103" s="123">
        <v>0</v>
      </c>
      <c r="AF103" s="123">
        <v>0</v>
      </c>
      <c r="AG103" s="123">
        <v>0</v>
      </c>
      <c r="AH103" s="123">
        <v>0</v>
      </c>
      <c r="AI103" s="123">
        <v>0</v>
      </c>
      <c r="AJ103" s="123">
        <v>0</v>
      </c>
      <c r="AK103" s="123">
        <v>0</v>
      </c>
      <c r="AL103" s="123">
        <v>0</v>
      </c>
      <c r="AM103" s="123">
        <v>0</v>
      </c>
      <c r="AN103" s="123">
        <v>0</v>
      </c>
      <c r="AO103" s="123">
        <v>0</v>
      </c>
      <c r="AP103" s="123">
        <v>0</v>
      </c>
      <c r="AQ103" s="123">
        <v>0</v>
      </c>
      <c r="AR103" s="123">
        <v>0</v>
      </c>
      <c r="AS103" s="123">
        <v>0</v>
      </c>
      <c r="AT103" s="123">
        <v>0</v>
      </c>
      <c r="AU103" s="123">
        <v>0</v>
      </c>
      <c r="AV103" s="123">
        <v>0</v>
      </c>
      <c r="AW103" s="123">
        <v>0</v>
      </c>
      <c r="AX103" s="123">
        <v>0</v>
      </c>
      <c r="AY103" s="123">
        <v>0</v>
      </c>
    </row>
    <row r="104" spans="1:52" x14ac:dyDescent="0.2">
      <c r="A104" s="126"/>
      <c r="B104" s="143">
        <v>5</v>
      </c>
      <c r="C104" s="123">
        <v>1137.1293998039775</v>
      </c>
      <c r="D104" s="123">
        <v>1741.4966409649114</v>
      </c>
      <c r="E104" s="123">
        <v>1235.7965658570247</v>
      </c>
      <c r="F104" s="123">
        <v>802.35181858831925</v>
      </c>
      <c r="G104" s="123">
        <v>261.39616493876974</v>
      </c>
      <c r="H104" s="123">
        <v>313.09864323183365</v>
      </c>
      <c r="I104" s="123">
        <v>0</v>
      </c>
      <c r="J104" s="123">
        <v>0</v>
      </c>
      <c r="K104" s="123">
        <v>0</v>
      </c>
      <c r="L104" s="123">
        <v>0</v>
      </c>
      <c r="M104" s="123">
        <v>0</v>
      </c>
      <c r="N104" s="123">
        <v>0</v>
      </c>
      <c r="O104" s="123">
        <v>0</v>
      </c>
      <c r="P104" s="123">
        <v>0</v>
      </c>
      <c r="Q104" s="123">
        <v>0</v>
      </c>
      <c r="R104" s="123">
        <v>0</v>
      </c>
      <c r="S104" s="123">
        <v>0</v>
      </c>
      <c r="T104" s="123">
        <v>0</v>
      </c>
      <c r="U104" s="123">
        <v>0</v>
      </c>
      <c r="V104" s="123">
        <v>0</v>
      </c>
      <c r="W104" s="123">
        <v>0</v>
      </c>
      <c r="X104" s="123">
        <v>0</v>
      </c>
      <c r="Y104" s="123">
        <v>0</v>
      </c>
      <c r="Z104" s="123">
        <v>0</v>
      </c>
      <c r="AA104" s="123">
        <v>0</v>
      </c>
      <c r="AB104" s="123">
        <v>0</v>
      </c>
      <c r="AC104" s="123">
        <v>0</v>
      </c>
      <c r="AD104" s="123">
        <v>0</v>
      </c>
      <c r="AE104" s="123">
        <v>0</v>
      </c>
      <c r="AF104" s="123">
        <v>0</v>
      </c>
      <c r="AG104" s="123">
        <v>0</v>
      </c>
      <c r="AH104" s="123">
        <v>0</v>
      </c>
      <c r="AI104" s="123">
        <v>0</v>
      </c>
      <c r="AJ104" s="123">
        <v>0</v>
      </c>
      <c r="AK104" s="123">
        <v>0</v>
      </c>
      <c r="AL104" s="123">
        <v>0</v>
      </c>
      <c r="AM104" s="123">
        <v>0</v>
      </c>
      <c r="AN104" s="123">
        <v>0</v>
      </c>
      <c r="AO104" s="123">
        <v>0</v>
      </c>
      <c r="AP104" s="123">
        <v>0</v>
      </c>
      <c r="AQ104" s="123">
        <v>0</v>
      </c>
      <c r="AR104" s="123">
        <v>0</v>
      </c>
      <c r="AS104" s="123">
        <v>0</v>
      </c>
      <c r="AT104" s="123">
        <v>0</v>
      </c>
      <c r="AU104" s="123">
        <v>0</v>
      </c>
      <c r="AV104" s="123">
        <v>0</v>
      </c>
      <c r="AW104" s="123">
        <v>0</v>
      </c>
      <c r="AX104" s="123">
        <v>0</v>
      </c>
      <c r="AY104" s="123">
        <v>0</v>
      </c>
    </row>
    <row r="105" spans="1:52" x14ac:dyDescent="0.2">
      <c r="A105" s="126"/>
      <c r="B105" s="143">
        <v>6</v>
      </c>
      <c r="C105" s="123">
        <v>0</v>
      </c>
      <c r="D105" s="123">
        <v>0</v>
      </c>
      <c r="E105" s="123">
        <v>0</v>
      </c>
      <c r="F105" s="123">
        <v>0</v>
      </c>
      <c r="G105" s="123">
        <v>0</v>
      </c>
      <c r="H105" s="123">
        <v>0</v>
      </c>
      <c r="I105" s="123">
        <v>0</v>
      </c>
      <c r="J105" s="123">
        <v>0</v>
      </c>
      <c r="K105" s="123">
        <v>0</v>
      </c>
      <c r="L105" s="123">
        <v>0</v>
      </c>
      <c r="M105" s="123">
        <v>0</v>
      </c>
      <c r="N105" s="123">
        <v>0</v>
      </c>
      <c r="O105" s="123">
        <v>0</v>
      </c>
      <c r="P105" s="123">
        <v>0</v>
      </c>
      <c r="Q105" s="123">
        <v>0</v>
      </c>
      <c r="R105" s="123">
        <v>0</v>
      </c>
      <c r="S105" s="123">
        <v>0</v>
      </c>
      <c r="T105" s="123">
        <v>0</v>
      </c>
      <c r="U105" s="123">
        <v>0</v>
      </c>
      <c r="V105" s="123">
        <v>0</v>
      </c>
      <c r="W105" s="123">
        <v>0</v>
      </c>
      <c r="X105" s="123">
        <v>0</v>
      </c>
      <c r="Y105" s="123">
        <v>0</v>
      </c>
      <c r="Z105" s="123">
        <v>0</v>
      </c>
      <c r="AA105" s="123">
        <v>0</v>
      </c>
      <c r="AB105" s="123">
        <v>0</v>
      </c>
      <c r="AC105" s="123">
        <v>0</v>
      </c>
      <c r="AD105" s="123">
        <v>0</v>
      </c>
      <c r="AE105" s="123">
        <v>0</v>
      </c>
      <c r="AF105" s="123">
        <v>0</v>
      </c>
      <c r="AG105" s="123">
        <v>0</v>
      </c>
      <c r="AH105" s="123">
        <v>0</v>
      </c>
      <c r="AI105" s="123">
        <v>0</v>
      </c>
      <c r="AJ105" s="123">
        <v>0</v>
      </c>
      <c r="AK105" s="123">
        <v>0</v>
      </c>
      <c r="AL105" s="123">
        <v>0</v>
      </c>
      <c r="AM105" s="123">
        <v>0</v>
      </c>
      <c r="AN105" s="123">
        <v>0</v>
      </c>
      <c r="AO105" s="123">
        <v>0</v>
      </c>
      <c r="AP105" s="123">
        <v>0</v>
      </c>
      <c r="AQ105" s="123">
        <v>0</v>
      </c>
      <c r="AR105" s="123">
        <v>0</v>
      </c>
      <c r="AS105" s="123">
        <v>0</v>
      </c>
      <c r="AT105" s="123">
        <v>0</v>
      </c>
      <c r="AU105" s="123">
        <v>0</v>
      </c>
      <c r="AV105" s="123">
        <v>0</v>
      </c>
      <c r="AW105" s="123">
        <v>0</v>
      </c>
      <c r="AX105" s="123">
        <v>0</v>
      </c>
      <c r="AY105" s="123">
        <v>0</v>
      </c>
    </row>
    <row r="106" spans="1:52" x14ac:dyDescent="0.2">
      <c r="A106" s="126"/>
      <c r="B106" s="146">
        <v>7</v>
      </c>
      <c r="C106" s="123">
        <v>0</v>
      </c>
      <c r="D106" s="123">
        <v>0</v>
      </c>
      <c r="E106" s="123">
        <v>0</v>
      </c>
      <c r="F106" s="123">
        <v>0</v>
      </c>
      <c r="G106" s="123">
        <v>0</v>
      </c>
      <c r="H106" s="123">
        <v>0</v>
      </c>
      <c r="I106" s="123">
        <v>0</v>
      </c>
      <c r="J106" s="123">
        <v>0</v>
      </c>
      <c r="K106" s="123">
        <v>0</v>
      </c>
      <c r="L106" s="123">
        <v>0</v>
      </c>
      <c r="M106" s="123">
        <v>0</v>
      </c>
      <c r="N106" s="123">
        <v>0</v>
      </c>
      <c r="O106" s="123">
        <v>0</v>
      </c>
      <c r="P106" s="123">
        <v>0</v>
      </c>
      <c r="Q106" s="123">
        <v>0</v>
      </c>
      <c r="R106" s="123">
        <v>0</v>
      </c>
      <c r="S106" s="123">
        <v>0</v>
      </c>
      <c r="T106" s="123">
        <v>0</v>
      </c>
      <c r="U106" s="123">
        <v>0</v>
      </c>
      <c r="V106" s="123">
        <v>0</v>
      </c>
      <c r="W106" s="123">
        <v>0</v>
      </c>
      <c r="X106" s="123">
        <v>0</v>
      </c>
      <c r="Y106" s="123">
        <v>0</v>
      </c>
      <c r="Z106" s="123">
        <v>0</v>
      </c>
      <c r="AA106" s="123">
        <v>0</v>
      </c>
      <c r="AB106" s="123">
        <v>0</v>
      </c>
      <c r="AC106" s="123">
        <v>0</v>
      </c>
      <c r="AD106" s="123">
        <v>0</v>
      </c>
      <c r="AE106" s="123">
        <v>0</v>
      </c>
      <c r="AF106" s="123">
        <v>0</v>
      </c>
      <c r="AG106" s="123">
        <v>0</v>
      </c>
      <c r="AH106" s="123">
        <v>0</v>
      </c>
      <c r="AI106" s="123">
        <v>0</v>
      </c>
      <c r="AJ106" s="123">
        <v>0</v>
      </c>
      <c r="AK106" s="123">
        <v>0</v>
      </c>
      <c r="AL106" s="123">
        <v>0</v>
      </c>
      <c r="AM106" s="123">
        <v>0</v>
      </c>
      <c r="AN106" s="123">
        <v>0</v>
      </c>
      <c r="AO106" s="123">
        <v>0</v>
      </c>
      <c r="AP106" s="123">
        <v>0</v>
      </c>
      <c r="AQ106" s="123">
        <v>0</v>
      </c>
      <c r="AR106" s="123">
        <v>0</v>
      </c>
      <c r="AS106" s="123">
        <v>0</v>
      </c>
      <c r="AT106" s="123">
        <v>0</v>
      </c>
      <c r="AU106" s="123">
        <v>0</v>
      </c>
      <c r="AV106" s="123">
        <v>0</v>
      </c>
      <c r="AW106" s="123">
        <v>0</v>
      </c>
      <c r="AX106" s="123">
        <v>0</v>
      </c>
      <c r="AY106" s="123">
        <v>0</v>
      </c>
    </row>
    <row r="107" spans="1:52" x14ac:dyDescent="0.2">
      <c r="A107" s="126"/>
      <c r="B107" s="146">
        <v>8</v>
      </c>
      <c r="C107" s="123">
        <v>0</v>
      </c>
      <c r="D107" s="123">
        <v>0</v>
      </c>
      <c r="E107" s="123">
        <v>0</v>
      </c>
      <c r="F107" s="123">
        <v>0</v>
      </c>
      <c r="G107" s="123">
        <v>0</v>
      </c>
      <c r="H107" s="123">
        <v>0</v>
      </c>
      <c r="I107" s="123">
        <v>0</v>
      </c>
      <c r="J107" s="123">
        <v>0</v>
      </c>
      <c r="K107" s="123">
        <v>0</v>
      </c>
      <c r="L107" s="123">
        <v>0</v>
      </c>
      <c r="M107" s="123">
        <v>0</v>
      </c>
      <c r="N107" s="123">
        <v>0</v>
      </c>
      <c r="O107" s="123">
        <v>0</v>
      </c>
      <c r="P107" s="123">
        <v>0</v>
      </c>
      <c r="Q107" s="123">
        <v>0</v>
      </c>
      <c r="R107" s="123">
        <v>0</v>
      </c>
      <c r="S107" s="123">
        <v>0</v>
      </c>
      <c r="T107" s="123">
        <v>0</v>
      </c>
      <c r="U107" s="123">
        <v>0</v>
      </c>
      <c r="V107" s="123">
        <v>0</v>
      </c>
      <c r="W107" s="123">
        <v>0</v>
      </c>
      <c r="X107" s="123">
        <v>0</v>
      </c>
      <c r="Y107" s="123">
        <v>0</v>
      </c>
      <c r="Z107" s="123">
        <v>0</v>
      </c>
      <c r="AA107" s="123">
        <v>0</v>
      </c>
      <c r="AB107" s="123">
        <v>0</v>
      </c>
      <c r="AC107" s="123">
        <v>0</v>
      </c>
      <c r="AD107" s="123">
        <v>0</v>
      </c>
      <c r="AE107" s="123">
        <v>0</v>
      </c>
      <c r="AF107" s="123">
        <v>0</v>
      </c>
      <c r="AG107" s="123">
        <v>0</v>
      </c>
      <c r="AH107" s="123">
        <v>0</v>
      </c>
      <c r="AI107" s="123">
        <v>0</v>
      </c>
      <c r="AJ107" s="123">
        <v>0</v>
      </c>
      <c r="AK107" s="123">
        <v>0</v>
      </c>
      <c r="AL107" s="123">
        <v>0</v>
      </c>
      <c r="AM107" s="123">
        <v>0</v>
      </c>
      <c r="AN107" s="123">
        <v>0</v>
      </c>
      <c r="AO107" s="123">
        <v>0</v>
      </c>
      <c r="AP107" s="123">
        <v>0</v>
      </c>
      <c r="AQ107" s="123">
        <v>0</v>
      </c>
      <c r="AR107" s="123">
        <v>0</v>
      </c>
      <c r="AS107" s="123">
        <v>0</v>
      </c>
      <c r="AT107" s="123">
        <v>0</v>
      </c>
      <c r="AU107" s="123">
        <v>0</v>
      </c>
      <c r="AV107" s="123">
        <v>0</v>
      </c>
      <c r="AW107" s="123">
        <v>0</v>
      </c>
      <c r="AX107" s="123">
        <v>0</v>
      </c>
      <c r="AY107" s="123">
        <v>0</v>
      </c>
    </row>
    <row r="108" spans="1:52" x14ac:dyDescent="0.2">
      <c r="A108" s="144"/>
      <c r="B108" s="148" t="s">
        <v>296</v>
      </c>
      <c r="C108" s="130">
        <v>0</v>
      </c>
      <c r="D108" s="141">
        <v>0</v>
      </c>
      <c r="E108" s="141">
        <v>0</v>
      </c>
      <c r="F108" s="141">
        <v>0</v>
      </c>
      <c r="G108" s="141">
        <v>0</v>
      </c>
      <c r="H108" s="141">
        <v>0</v>
      </c>
      <c r="I108" s="141">
        <v>0</v>
      </c>
      <c r="J108" s="141">
        <v>0</v>
      </c>
      <c r="K108" s="141">
        <v>0</v>
      </c>
      <c r="L108" s="141">
        <v>0</v>
      </c>
      <c r="M108" s="141">
        <v>0</v>
      </c>
      <c r="N108" s="141">
        <v>0</v>
      </c>
      <c r="O108" s="141">
        <v>0</v>
      </c>
      <c r="P108" s="141">
        <v>0</v>
      </c>
      <c r="Q108" s="141">
        <v>0</v>
      </c>
      <c r="R108" s="141">
        <v>0</v>
      </c>
      <c r="S108" s="141">
        <v>0</v>
      </c>
      <c r="T108" s="141">
        <v>0</v>
      </c>
      <c r="U108" s="141">
        <v>0</v>
      </c>
      <c r="V108" s="141">
        <v>0</v>
      </c>
      <c r="W108" s="141">
        <v>0</v>
      </c>
      <c r="X108" s="141">
        <v>0</v>
      </c>
      <c r="Y108" s="141">
        <v>0</v>
      </c>
      <c r="Z108" s="141">
        <v>0</v>
      </c>
      <c r="AA108" s="141">
        <v>0</v>
      </c>
      <c r="AB108" s="141">
        <v>0</v>
      </c>
      <c r="AC108" s="141">
        <v>0</v>
      </c>
      <c r="AD108" s="141">
        <v>0</v>
      </c>
      <c r="AE108" s="141">
        <v>0</v>
      </c>
      <c r="AF108" s="141">
        <v>0</v>
      </c>
      <c r="AG108" s="141">
        <v>0</v>
      </c>
      <c r="AH108" s="141">
        <v>0</v>
      </c>
      <c r="AI108" s="141">
        <v>0</v>
      </c>
      <c r="AJ108" s="141">
        <v>0</v>
      </c>
      <c r="AK108" s="141">
        <v>0</v>
      </c>
      <c r="AL108" s="141">
        <v>0</v>
      </c>
      <c r="AM108" s="141">
        <v>0</v>
      </c>
      <c r="AN108" s="141">
        <v>0</v>
      </c>
      <c r="AO108" s="141">
        <v>0</v>
      </c>
      <c r="AP108" s="141">
        <v>0</v>
      </c>
      <c r="AQ108" s="141">
        <v>0</v>
      </c>
      <c r="AR108" s="141">
        <v>0</v>
      </c>
      <c r="AS108" s="141">
        <v>0</v>
      </c>
      <c r="AT108" s="141">
        <v>0</v>
      </c>
      <c r="AU108" s="141">
        <v>0</v>
      </c>
      <c r="AV108" s="141">
        <v>0</v>
      </c>
      <c r="AW108" s="141">
        <v>0</v>
      </c>
      <c r="AX108" s="141">
        <v>0</v>
      </c>
      <c r="AY108" s="141">
        <v>0</v>
      </c>
      <c r="AZ108" s="124">
        <f>SUM($D108:$AY108)</f>
        <v>0</v>
      </c>
    </row>
    <row r="109" spans="1:52" x14ac:dyDescent="0.2">
      <c r="A109" s="147" t="s">
        <v>134</v>
      </c>
      <c r="B109" s="135">
        <v>1</v>
      </c>
      <c r="C109" s="123">
        <v>2230.6631326907482</v>
      </c>
      <c r="D109" s="123">
        <v>2257.8220580142051</v>
      </c>
      <c r="E109" s="123">
        <v>3683.1365466728043</v>
      </c>
      <c r="F109" s="123">
        <v>4104.5505500494128</v>
      </c>
      <c r="G109" s="123">
        <v>4324.4072321429103</v>
      </c>
      <c r="H109" s="123">
        <v>4472.1183750408791</v>
      </c>
      <c r="I109" s="123">
        <v>4586.8792836376197</v>
      </c>
      <c r="J109" s="123">
        <v>4599.5110469675983</v>
      </c>
      <c r="K109" s="123">
        <v>4585.302740232185</v>
      </c>
      <c r="L109" s="123">
        <v>4641.093590056229</v>
      </c>
      <c r="M109" s="123">
        <v>4685.5639169471369</v>
      </c>
      <c r="N109" s="123">
        <v>4681.215519619499</v>
      </c>
      <c r="O109" s="123">
        <v>4731.3395132763635</v>
      </c>
      <c r="P109" s="123">
        <v>4730.1163893436205</v>
      </c>
      <c r="Q109" s="123">
        <v>4738.4780525053184</v>
      </c>
      <c r="R109" s="123">
        <v>4783.9422836655722</v>
      </c>
      <c r="S109" s="123">
        <v>4759.6901069849291</v>
      </c>
      <c r="T109" s="123">
        <v>4744.6537574429303</v>
      </c>
      <c r="U109" s="123">
        <v>4752.8112207268914</v>
      </c>
      <c r="V109" s="123">
        <v>4715.3088479629469</v>
      </c>
      <c r="W109" s="123">
        <v>4734.2373768493017</v>
      </c>
      <c r="X109" s="123">
        <v>4759.6530647588415</v>
      </c>
      <c r="Y109" s="123">
        <v>4715.370791262756</v>
      </c>
      <c r="Z109" s="123">
        <v>4694.755781695183</v>
      </c>
      <c r="AA109" s="123">
        <v>4732.5144757632879</v>
      </c>
      <c r="AB109" s="123">
        <v>4706.5248660855132</v>
      </c>
      <c r="AC109" s="123">
        <v>4696.4913080852921</v>
      </c>
      <c r="AD109" s="123">
        <v>4668.610502125156</v>
      </c>
      <c r="AE109" s="123">
        <v>4634.6044024298708</v>
      </c>
      <c r="AF109" s="123">
        <v>4653.8006206187938</v>
      </c>
      <c r="AG109" s="123">
        <v>4608.3222758959273</v>
      </c>
      <c r="AH109" s="123">
        <v>4648.905702167749</v>
      </c>
      <c r="AI109" s="123">
        <v>4705.2274264562793</v>
      </c>
      <c r="AJ109" s="123">
        <v>4682.7668955151667</v>
      </c>
      <c r="AK109" s="123">
        <v>4662.7613663316779</v>
      </c>
      <c r="AL109" s="123">
        <v>4686.0779382379142</v>
      </c>
      <c r="AM109" s="123">
        <v>4689.8942128197814</v>
      </c>
      <c r="AN109" s="123">
        <v>4737.8603030605391</v>
      </c>
      <c r="AO109" s="123">
        <v>4704.5192790098081</v>
      </c>
      <c r="AP109" s="123">
        <v>4746.5478440983552</v>
      </c>
      <c r="AQ109" s="123">
        <v>4736.8855544532553</v>
      </c>
      <c r="AR109" s="123">
        <v>4772.6949348732924</v>
      </c>
      <c r="AS109" s="123">
        <v>4670.6367507337154</v>
      </c>
      <c r="AT109" s="123">
        <v>4715.6606765671777</v>
      </c>
      <c r="AU109" s="123">
        <v>4699.8755105839246</v>
      </c>
      <c r="AV109" s="123">
        <v>4641.448707674308</v>
      </c>
      <c r="AW109" s="123">
        <v>4684.2640898703448</v>
      </c>
      <c r="AX109" s="123">
        <v>4681.1696268318883</v>
      </c>
      <c r="AY109" s="123">
        <v>4660.251059748045</v>
      </c>
    </row>
    <row r="110" spans="1:52" x14ac:dyDescent="0.2">
      <c r="A110" s="126"/>
      <c r="B110" s="135">
        <v>2</v>
      </c>
      <c r="C110" s="123">
        <v>2141.830811489287</v>
      </c>
      <c r="D110" s="123">
        <v>2230.6631326907482</v>
      </c>
      <c r="E110" s="123">
        <v>2257.8220580142051</v>
      </c>
      <c r="F110" s="123">
        <v>3683.1365466728043</v>
      </c>
      <c r="G110" s="123">
        <v>4104.5505500494128</v>
      </c>
      <c r="H110" s="123">
        <v>4324.4072321429103</v>
      </c>
      <c r="I110" s="123">
        <v>4472.1183750408791</v>
      </c>
      <c r="J110" s="123">
        <v>4586.8792836376197</v>
      </c>
      <c r="K110" s="123">
        <v>4599.5110469675983</v>
      </c>
      <c r="L110" s="123">
        <v>4585.302740232185</v>
      </c>
      <c r="M110" s="123">
        <v>4641.093590056229</v>
      </c>
      <c r="N110" s="123">
        <v>4685.5639169471369</v>
      </c>
      <c r="O110" s="123">
        <v>4681.215519619499</v>
      </c>
      <c r="P110" s="123">
        <v>4731.3395132763635</v>
      </c>
      <c r="Q110" s="123">
        <v>4730.1163893436205</v>
      </c>
      <c r="R110" s="123">
        <v>4738.4780525053184</v>
      </c>
      <c r="S110" s="123">
        <v>4783.9422836655722</v>
      </c>
      <c r="T110" s="123">
        <v>4759.6901069849291</v>
      </c>
      <c r="U110" s="123">
        <v>4744.6537574429303</v>
      </c>
      <c r="V110" s="123">
        <v>4752.8112207268914</v>
      </c>
      <c r="W110" s="123">
        <v>4715.3088479629469</v>
      </c>
      <c r="X110" s="123">
        <v>4734.2373768493017</v>
      </c>
      <c r="Y110" s="123">
        <v>4759.6530647588415</v>
      </c>
      <c r="Z110" s="123">
        <v>4715.370791262756</v>
      </c>
      <c r="AA110" s="123">
        <v>4694.755781695183</v>
      </c>
      <c r="AB110" s="123">
        <v>4732.5144757632879</v>
      </c>
      <c r="AC110" s="123">
        <v>4706.5248660855132</v>
      </c>
      <c r="AD110" s="123">
        <v>4696.4913080852921</v>
      </c>
      <c r="AE110" s="123">
        <v>4668.610502125156</v>
      </c>
      <c r="AF110" s="123">
        <v>4634.6044024298708</v>
      </c>
      <c r="AG110" s="123">
        <v>4653.8006206187938</v>
      </c>
      <c r="AH110" s="123">
        <v>4608.3222758959273</v>
      </c>
      <c r="AI110" s="123">
        <v>4648.905702167749</v>
      </c>
      <c r="AJ110" s="123">
        <v>4705.2274264562793</v>
      </c>
      <c r="AK110" s="123">
        <v>4682.7668955151667</v>
      </c>
      <c r="AL110" s="123">
        <v>4662.7613663316779</v>
      </c>
      <c r="AM110" s="123">
        <v>4686.0779382379142</v>
      </c>
      <c r="AN110" s="123">
        <v>4689.8942128197814</v>
      </c>
      <c r="AO110" s="123">
        <v>4737.8603030605391</v>
      </c>
      <c r="AP110" s="123">
        <v>4704.5192790098081</v>
      </c>
      <c r="AQ110" s="123">
        <v>4746.5478440983552</v>
      </c>
      <c r="AR110" s="123">
        <v>4736.8855544532553</v>
      </c>
      <c r="AS110" s="123">
        <v>4772.6949348732924</v>
      </c>
      <c r="AT110" s="123">
        <v>4670.6367507337154</v>
      </c>
      <c r="AU110" s="123">
        <v>4715.6606765671777</v>
      </c>
      <c r="AV110" s="123">
        <v>4699.8755105839246</v>
      </c>
      <c r="AW110" s="123">
        <v>4641.448707674308</v>
      </c>
      <c r="AX110" s="123">
        <v>4684.2640898703448</v>
      </c>
      <c r="AY110" s="123">
        <v>4681.1696268318883</v>
      </c>
    </row>
    <row r="111" spans="1:52" x14ac:dyDescent="0.2">
      <c r="A111" s="126"/>
      <c r="B111" s="135">
        <v>3</v>
      </c>
      <c r="C111" s="123">
        <v>2029.6441912247492</v>
      </c>
      <c r="D111" s="123">
        <v>2141.830811489287</v>
      </c>
      <c r="E111" s="123">
        <v>2230.6631326907482</v>
      </c>
      <c r="F111" s="123">
        <v>2257.8220580142051</v>
      </c>
      <c r="G111" s="123">
        <v>3683.1365466728043</v>
      </c>
      <c r="H111" s="123">
        <v>4104.5505500494128</v>
      </c>
      <c r="I111" s="123">
        <v>4324.4072321429103</v>
      </c>
      <c r="J111" s="123">
        <v>4472.1183750408791</v>
      </c>
      <c r="K111" s="123">
        <v>4586.8792836376197</v>
      </c>
      <c r="L111" s="123">
        <v>4599.5110469675983</v>
      </c>
      <c r="M111" s="123">
        <v>4585.302740232185</v>
      </c>
      <c r="N111" s="123">
        <v>4641.093590056229</v>
      </c>
      <c r="O111" s="123">
        <v>4685.5639169471369</v>
      </c>
      <c r="P111" s="123">
        <v>4681.215519619499</v>
      </c>
      <c r="Q111" s="123">
        <v>4731.3395132763635</v>
      </c>
      <c r="R111" s="123">
        <v>4730.1163893436205</v>
      </c>
      <c r="S111" s="123">
        <v>4738.4780525053184</v>
      </c>
      <c r="T111" s="123">
        <v>4783.9422836655722</v>
      </c>
      <c r="U111" s="123">
        <v>4759.6901069849291</v>
      </c>
      <c r="V111" s="123">
        <v>4744.6537574429303</v>
      </c>
      <c r="W111" s="123">
        <v>4752.8112207268914</v>
      </c>
      <c r="X111" s="123">
        <v>4715.3088479629469</v>
      </c>
      <c r="Y111" s="123">
        <v>4734.2373768493017</v>
      </c>
      <c r="Z111" s="123">
        <v>4759.6530647588415</v>
      </c>
      <c r="AA111" s="123">
        <v>4715.370791262756</v>
      </c>
      <c r="AB111" s="123">
        <v>4694.755781695183</v>
      </c>
      <c r="AC111" s="123">
        <v>4732.5144757632879</v>
      </c>
      <c r="AD111" s="123">
        <v>4706.5248660855132</v>
      </c>
      <c r="AE111" s="123">
        <v>4696.4913080852921</v>
      </c>
      <c r="AF111" s="123">
        <v>4668.610502125156</v>
      </c>
      <c r="AG111" s="123">
        <v>4634.6044024298708</v>
      </c>
      <c r="AH111" s="123">
        <v>4653.8006206187938</v>
      </c>
      <c r="AI111" s="123">
        <v>4608.3222758959273</v>
      </c>
      <c r="AJ111" s="123">
        <v>4648.905702167749</v>
      </c>
      <c r="AK111" s="123">
        <v>4705.2274264562793</v>
      </c>
      <c r="AL111" s="123">
        <v>4682.7668955151667</v>
      </c>
      <c r="AM111" s="123">
        <v>4662.7613663316779</v>
      </c>
      <c r="AN111" s="123">
        <v>4686.0779382379142</v>
      </c>
      <c r="AO111" s="123">
        <v>4689.8942128197814</v>
      </c>
      <c r="AP111" s="123">
        <v>4737.8603030605391</v>
      </c>
      <c r="AQ111" s="123">
        <v>4704.5192790098081</v>
      </c>
      <c r="AR111" s="123">
        <v>4746.5478440983552</v>
      </c>
      <c r="AS111" s="123">
        <v>4736.8855544532553</v>
      </c>
      <c r="AT111" s="123">
        <v>4772.6949348732924</v>
      </c>
      <c r="AU111" s="123">
        <v>4670.6367507337154</v>
      </c>
      <c r="AV111" s="123">
        <v>4715.6606765671777</v>
      </c>
      <c r="AW111" s="123">
        <v>4699.8755105839246</v>
      </c>
      <c r="AX111" s="123">
        <v>4641.448707674308</v>
      </c>
      <c r="AY111" s="123">
        <v>4684.2640898703448</v>
      </c>
    </row>
    <row r="112" spans="1:52" x14ac:dyDescent="0.2">
      <c r="A112" s="126"/>
      <c r="B112" s="136">
        <v>4</v>
      </c>
      <c r="C112" s="123">
        <v>2009.3494475410182</v>
      </c>
      <c r="D112" s="123">
        <v>2029.6441912247492</v>
      </c>
      <c r="E112" s="123">
        <v>2141.830811489287</v>
      </c>
      <c r="F112" s="123">
        <v>2230.6631326907482</v>
      </c>
      <c r="G112" s="123">
        <v>2257.8220580142051</v>
      </c>
      <c r="H112" s="123">
        <v>3683.1365466728043</v>
      </c>
      <c r="I112" s="123">
        <v>4104.5505500494128</v>
      </c>
      <c r="J112" s="123">
        <v>4324.4072321429103</v>
      </c>
      <c r="K112" s="123">
        <v>4472.1183750408791</v>
      </c>
      <c r="L112" s="123">
        <v>4586.8792836376197</v>
      </c>
      <c r="M112" s="123">
        <v>4599.5110469675983</v>
      </c>
      <c r="N112" s="123">
        <v>4585.302740232185</v>
      </c>
      <c r="O112" s="123">
        <v>4641.093590056229</v>
      </c>
      <c r="P112" s="123">
        <v>4685.5639169471369</v>
      </c>
      <c r="Q112" s="123">
        <v>4681.215519619499</v>
      </c>
      <c r="R112" s="123">
        <v>4731.3395132763635</v>
      </c>
      <c r="S112" s="123">
        <v>4730.1163893436205</v>
      </c>
      <c r="T112" s="123">
        <v>4738.4780525053184</v>
      </c>
      <c r="U112" s="123">
        <v>4783.9422836655722</v>
      </c>
      <c r="V112" s="123">
        <v>4759.6901069849291</v>
      </c>
      <c r="W112" s="123">
        <v>4744.6537574429303</v>
      </c>
      <c r="X112" s="123">
        <v>4752.8112207268914</v>
      </c>
      <c r="Y112" s="123">
        <v>4715.3088479629469</v>
      </c>
      <c r="Z112" s="123">
        <v>4734.2373768493017</v>
      </c>
      <c r="AA112" s="123">
        <v>4759.6530647588415</v>
      </c>
      <c r="AB112" s="123">
        <v>4715.370791262756</v>
      </c>
      <c r="AC112" s="123">
        <v>4694.755781695183</v>
      </c>
      <c r="AD112" s="123">
        <v>4732.5144757632879</v>
      </c>
      <c r="AE112" s="123">
        <v>4706.5248660855132</v>
      </c>
      <c r="AF112" s="123">
        <v>4696.4913080852921</v>
      </c>
      <c r="AG112" s="123">
        <v>4668.610502125156</v>
      </c>
      <c r="AH112" s="123">
        <v>4634.6044024298708</v>
      </c>
      <c r="AI112" s="123">
        <v>4653.8006206187938</v>
      </c>
      <c r="AJ112" s="123">
        <v>4608.3222758959273</v>
      </c>
      <c r="AK112" s="123">
        <v>4648.905702167749</v>
      </c>
      <c r="AL112" s="123">
        <v>4705.2274264562793</v>
      </c>
      <c r="AM112" s="123">
        <v>4682.7668955151667</v>
      </c>
      <c r="AN112" s="123">
        <v>4662.7613663316779</v>
      </c>
      <c r="AO112" s="123">
        <v>4686.0779382379142</v>
      </c>
      <c r="AP112" s="123">
        <v>4689.8942128197814</v>
      </c>
      <c r="AQ112" s="123">
        <v>4737.8603030605391</v>
      </c>
      <c r="AR112" s="123">
        <v>4704.5192790098081</v>
      </c>
      <c r="AS112" s="123">
        <v>4746.5478440983552</v>
      </c>
      <c r="AT112" s="123">
        <v>4736.8855544532553</v>
      </c>
      <c r="AU112" s="123">
        <v>4772.6949348732924</v>
      </c>
      <c r="AV112" s="123">
        <v>4670.6367507337154</v>
      </c>
      <c r="AW112" s="123">
        <v>4715.6606765671777</v>
      </c>
      <c r="AX112" s="123">
        <v>4699.8755105839246</v>
      </c>
      <c r="AY112" s="123">
        <v>4641.448707674308</v>
      </c>
    </row>
    <row r="113" spans="1:52" x14ac:dyDescent="0.2">
      <c r="A113" s="126"/>
      <c r="B113" s="136">
        <v>5</v>
      </c>
      <c r="C113" s="123">
        <v>2114.7387361477586</v>
      </c>
      <c r="D113" s="123">
        <v>2009.3494475410182</v>
      </c>
      <c r="E113" s="123">
        <v>2029.6441912247492</v>
      </c>
      <c r="F113" s="123">
        <v>2141.830811489287</v>
      </c>
      <c r="G113" s="123">
        <v>2230.6631326907482</v>
      </c>
      <c r="H113" s="123">
        <v>2257.8220580142051</v>
      </c>
      <c r="I113" s="123">
        <v>3683.1365466728043</v>
      </c>
      <c r="J113" s="123">
        <v>4104.5505500494128</v>
      </c>
      <c r="K113" s="123">
        <v>4324.4072321429103</v>
      </c>
      <c r="L113" s="123">
        <v>4472.1183750408791</v>
      </c>
      <c r="M113" s="123">
        <v>4586.8792836376197</v>
      </c>
      <c r="N113" s="123">
        <v>4599.5110469675983</v>
      </c>
      <c r="O113" s="123">
        <v>4585.302740232185</v>
      </c>
      <c r="P113" s="123">
        <v>4641.093590056229</v>
      </c>
      <c r="Q113" s="123">
        <v>4685.5639169471369</v>
      </c>
      <c r="R113" s="123">
        <v>4681.215519619499</v>
      </c>
      <c r="S113" s="123">
        <v>4731.3395132763635</v>
      </c>
      <c r="T113" s="123">
        <v>4730.1163893436205</v>
      </c>
      <c r="U113" s="123">
        <v>4738.4780525053184</v>
      </c>
      <c r="V113" s="123">
        <v>4783.9422836655722</v>
      </c>
      <c r="W113" s="123">
        <v>4759.6901069849291</v>
      </c>
      <c r="X113" s="123">
        <v>4744.6537574429303</v>
      </c>
      <c r="Y113" s="123">
        <v>4752.8112207268914</v>
      </c>
      <c r="Z113" s="123">
        <v>4715.3088479629469</v>
      </c>
      <c r="AA113" s="123">
        <v>4734.2373768493017</v>
      </c>
      <c r="AB113" s="123">
        <v>4759.6530647588415</v>
      </c>
      <c r="AC113" s="123">
        <v>4715.370791262756</v>
      </c>
      <c r="AD113" s="123">
        <v>4694.755781695183</v>
      </c>
      <c r="AE113" s="123">
        <v>4732.5144757632879</v>
      </c>
      <c r="AF113" s="123">
        <v>4706.5248660855132</v>
      </c>
      <c r="AG113" s="123">
        <v>4696.4913080852921</v>
      </c>
      <c r="AH113" s="123">
        <v>4668.610502125156</v>
      </c>
      <c r="AI113" s="123">
        <v>4634.6044024298708</v>
      </c>
      <c r="AJ113" s="123">
        <v>4653.8006206187938</v>
      </c>
      <c r="AK113" s="123">
        <v>4608.3222758959273</v>
      </c>
      <c r="AL113" s="123">
        <v>4648.905702167749</v>
      </c>
      <c r="AM113" s="123">
        <v>4705.2274264562793</v>
      </c>
      <c r="AN113" s="123">
        <v>4682.7668955151667</v>
      </c>
      <c r="AO113" s="123">
        <v>4662.7613663316779</v>
      </c>
      <c r="AP113" s="123">
        <v>4686.0779382379142</v>
      </c>
      <c r="AQ113" s="123">
        <v>4689.8942128197814</v>
      </c>
      <c r="AR113" s="123">
        <v>4737.8603030605391</v>
      </c>
      <c r="AS113" s="123">
        <v>4704.5192790098081</v>
      </c>
      <c r="AT113" s="123">
        <v>4746.5478440983552</v>
      </c>
      <c r="AU113" s="123">
        <v>4736.8855544532553</v>
      </c>
      <c r="AV113" s="123">
        <v>4772.6949348732924</v>
      </c>
      <c r="AW113" s="123">
        <v>4670.6367507337154</v>
      </c>
      <c r="AX113" s="123">
        <v>4715.6606765671777</v>
      </c>
      <c r="AY113" s="123">
        <v>4699.8755105839246</v>
      </c>
    </row>
    <row r="114" spans="1:52" x14ac:dyDescent="0.2">
      <c r="A114" s="126"/>
      <c r="B114" s="136">
        <v>6</v>
      </c>
      <c r="C114" s="123">
        <v>2330.9246185202978</v>
      </c>
      <c r="D114" s="123">
        <v>2114.7387361477586</v>
      </c>
      <c r="E114" s="123">
        <v>2009.3494475410182</v>
      </c>
      <c r="F114" s="123">
        <v>2029.6441912247492</v>
      </c>
      <c r="G114" s="123">
        <v>2141.830811489287</v>
      </c>
      <c r="H114" s="123">
        <v>2230.6631326907482</v>
      </c>
      <c r="I114" s="123">
        <v>2257.8220580142051</v>
      </c>
      <c r="J114" s="123">
        <v>3683.1365466728043</v>
      </c>
      <c r="K114" s="123">
        <v>4104.5505500494128</v>
      </c>
      <c r="L114" s="123">
        <v>4324.4072321429103</v>
      </c>
      <c r="M114" s="123">
        <v>4472.1183750408791</v>
      </c>
      <c r="N114" s="123">
        <v>4586.8792836376197</v>
      </c>
      <c r="O114" s="123">
        <v>4599.5110469675983</v>
      </c>
      <c r="P114" s="123">
        <v>4585.302740232185</v>
      </c>
      <c r="Q114" s="123">
        <v>4641.093590056229</v>
      </c>
      <c r="R114" s="123">
        <v>4685.5639169471369</v>
      </c>
      <c r="S114" s="123">
        <v>4681.215519619499</v>
      </c>
      <c r="T114" s="123">
        <v>4503.8443628311243</v>
      </c>
      <c r="U114" s="123">
        <v>4730.1163893436205</v>
      </c>
      <c r="V114" s="123">
        <v>4729.8763944257735</v>
      </c>
      <c r="W114" s="123">
        <v>4783.9422836655722</v>
      </c>
      <c r="X114" s="123">
        <v>4608.7112367628815</v>
      </c>
      <c r="Y114" s="123">
        <v>4744.6537574429303</v>
      </c>
      <c r="Z114" s="123">
        <v>4752.8112207268914</v>
      </c>
      <c r="AA114" s="123">
        <v>4715.3088479629469</v>
      </c>
      <c r="AB114" s="123">
        <v>4734.2373768493017</v>
      </c>
      <c r="AC114" s="123">
        <v>4759.6530647588415</v>
      </c>
      <c r="AD114" s="123">
        <v>4715.370791262756</v>
      </c>
      <c r="AE114" s="123">
        <v>4694.755781695183</v>
      </c>
      <c r="AF114" s="123">
        <v>4732.5144757632879</v>
      </c>
      <c r="AG114" s="123">
        <v>4706.5248660855132</v>
      </c>
      <c r="AH114" s="123">
        <v>4696.4913080852921</v>
      </c>
      <c r="AI114" s="123">
        <v>4668.610502125156</v>
      </c>
      <c r="AJ114" s="123">
        <v>4634.6044024298708</v>
      </c>
      <c r="AK114" s="123">
        <v>4653.8006206187938</v>
      </c>
      <c r="AL114" s="123">
        <v>4608.3222758959273</v>
      </c>
      <c r="AM114" s="123">
        <v>4648.905702167749</v>
      </c>
      <c r="AN114" s="123">
        <v>4705.2274264562793</v>
      </c>
      <c r="AO114" s="123">
        <v>4682.7668955151667</v>
      </c>
      <c r="AP114" s="123">
        <v>4662.7613663316779</v>
      </c>
      <c r="AQ114" s="123">
        <v>4686.0779382379142</v>
      </c>
      <c r="AR114" s="123">
        <v>4689.8942128197814</v>
      </c>
      <c r="AS114" s="123">
        <v>4737.8603030605391</v>
      </c>
      <c r="AT114" s="123">
        <v>4704.5192790098081</v>
      </c>
      <c r="AU114" s="123">
        <v>4746.5478440983552</v>
      </c>
      <c r="AV114" s="123">
        <v>4736.8855544532553</v>
      </c>
      <c r="AW114" s="123">
        <v>4772.6949348732924</v>
      </c>
      <c r="AX114" s="123">
        <v>4670.6367507337154</v>
      </c>
      <c r="AY114" s="123">
        <v>4715.6606765671777</v>
      </c>
    </row>
    <row r="115" spans="1:52" x14ac:dyDescent="0.2">
      <c r="A115" s="126"/>
      <c r="B115" s="143">
        <v>7</v>
      </c>
      <c r="C115" s="123">
        <v>2615.7369379855163</v>
      </c>
      <c r="D115" s="123">
        <v>2330.9246185202978</v>
      </c>
      <c r="E115" s="123">
        <v>2114.7387361477586</v>
      </c>
      <c r="F115" s="123">
        <v>2009.3494475410182</v>
      </c>
      <c r="G115" s="123">
        <v>2029.6441912247492</v>
      </c>
      <c r="H115" s="123">
        <v>2141.830811489287</v>
      </c>
      <c r="I115" s="123">
        <v>2230.6631326907482</v>
      </c>
      <c r="J115" s="123">
        <v>1909.1198121597517</v>
      </c>
      <c r="K115" s="123">
        <v>1569.6678279945022</v>
      </c>
      <c r="L115" s="123">
        <v>958.21950109864156</v>
      </c>
      <c r="M115" s="123">
        <v>1226.6118994799363</v>
      </c>
      <c r="N115" s="123">
        <v>421.6567006671371</v>
      </c>
      <c r="O115" s="123">
        <v>848.7537082418371</v>
      </c>
      <c r="P115" s="123">
        <v>502.15446549408989</v>
      </c>
      <c r="Q115" s="123">
        <v>130.47650926719598</v>
      </c>
      <c r="R115" s="123">
        <v>60.788219257970923</v>
      </c>
      <c r="S115" s="123">
        <v>383.52262478298553</v>
      </c>
      <c r="T115" s="123">
        <v>0</v>
      </c>
      <c r="U115" s="123">
        <v>22.087627731153134</v>
      </c>
      <c r="V115" s="123">
        <v>0</v>
      </c>
      <c r="W115" s="123">
        <v>709.54352210001116</v>
      </c>
      <c r="X115" s="123">
        <v>0</v>
      </c>
      <c r="Y115" s="123">
        <v>111.16241943967452</v>
      </c>
      <c r="Z115" s="123">
        <v>199.95233007089564</v>
      </c>
      <c r="AA115" s="123">
        <v>567.1255039925145</v>
      </c>
      <c r="AB115" s="123">
        <v>348.70558049775173</v>
      </c>
      <c r="AC115" s="123">
        <v>681.71093155147219</v>
      </c>
      <c r="AD115" s="123">
        <v>479.25903147385088</v>
      </c>
      <c r="AE115" s="123">
        <v>533.93629751246272</v>
      </c>
      <c r="AF115" s="123">
        <v>445.62655657582627</v>
      </c>
      <c r="AG115" s="123">
        <v>672.68958870400911</v>
      </c>
      <c r="AH115" s="123">
        <v>604.52394208004307</v>
      </c>
      <c r="AI115" s="123">
        <v>966.23297611717226</v>
      </c>
      <c r="AJ115" s="123">
        <v>672.13252879129413</v>
      </c>
      <c r="AK115" s="123">
        <v>611.40675445817624</v>
      </c>
      <c r="AL115" s="123">
        <v>1063.3759868356215</v>
      </c>
      <c r="AM115" s="123">
        <v>352.13781133997281</v>
      </c>
      <c r="AN115" s="123">
        <v>39.494696184514851</v>
      </c>
      <c r="AO115" s="123">
        <v>242.41461266915849</v>
      </c>
      <c r="AP115" s="123">
        <v>17.919492493383586</v>
      </c>
      <c r="AQ115" s="123">
        <v>70.127263038741148</v>
      </c>
      <c r="AR115" s="123">
        <v>755.35306827141221</v>
      </c>
      <c r="AS115" s="123">
        <v>447.34807251961593</v>
      </c>
      <c r="AT115" s="123">
        <v>483.23150701867235</v>
      </c>
      <c r="AU115" s="123">
        <v>422.4253720478664</v>
      </c>
      <c r="AV115" s="123">
        <v>957.85245006129026</v>
      </c>
      <c r="AW115" s="123">
        <v>418.71245923819652</v>
      </c>
      <c r="AX115" s="123">
        <v>525.97860429687717</v>
      </c>
      <c r="AY115" s="123">
        <v>688.37543160321002</v>
      </c>
    </row>
    <row r="116" spans="1:52" x14ac:dyDescent="0.2">
      <c r="A116" s="126"/>
      <c r="B116" s="143">
        <v>8</v>
      </c>
      <c r="C116" s="123">
        <v>2555.569689637121</v>
      </c>
      <c r="D116" s="123">
        <v>2615.7369379855163</v>
      </c>
      <c r="E116" s="123">
        <v>2330.9246185202978</v>
      </c>
      <c r="F116" s="123">
        <v>2114.7387361477586</v>
      </c>
      <c r="G116" s="123">
        <v>2009.3494475410182</v>
      </c>
      <c r="H116" s="123">
        <v>2029.6441912247492</v>
      </c>
      <c r="I116" s="123">
        <v>1327.4798671081189</v>
      </c>
      <c r="J116" s="123">
        <v>0</v>
      </c>
      <c r="K116" s="123">
        <v>0</v>
      </c>
      <c r="L116" s="123">
        <v>0</v>
      </c>
      <c r="M116" s="123">
        <v>0</v>
      </c>
      <c r="N116" s="123">
        <v>0</v>
      </c>
      <c r="O116" s="123">
        <v>0</v>
      </c>
      <c r="P116" s="123">
        <v>0</v>
      </c>
      <c r="Q116" s="123">
        <v>0</v>
      </c>
      <c r="R116" s="123">
        <v>0</v>
      </c>
      <c r="S116" s="123">
        <v>0</v>
      </c>
      <c r="T116" s="123">
        <v>0</v>
      </c>
      <c r="U116" s="123">
        <v>0</v>
      </c>
      <c r="V116" s="123">
        <v>0</v>
      </c>
      <c r="W116" s="123">
        <v>0</v>
      </c>
      <c r="X116" s="123">
        <v>0</v>
      </c>
      <c r="Y116" s="123">
        <v>0</v>
      </c>
      <c r="Z116" s="123">
        <v>0</v>
      </c>
      <c r="AA116" s="123">
        <v>0</v>
      </c>
      <c r="AB116" s="123">
        <v>0</v>
      </c>
      <c r="AC116" s="123">
        <v>0</v>
      </c>
      <c r="AD116" s="123">
        <v>0</v>
      </c>
      <c r="AE116" s="123">
        <v>0</v>
      </c>
      <c r="AF116" s="123">
        <v>0</v>
      </c>
      <c r="AG116" s="123">
        <v>0</v>
      </c>
      <c r="AH116" s="123">
        <v>0</v>
      </c>
      <c r="AI116" s="123">
        <v>0</v>
      </c>
      <c r="AJ116" s="123">
        <v>0</v>
      </c>
      <c r="AK116" s="123">
        <v>0</v>
      </c>
      <c r="AL116" s="123">
        <v>0</v>
      </c>
      <c r="AM116" s="123">
        <v>0</v>
      </c>
      <c r="AN116" s="123">
        <v>0</v>
      </c>
      <c r="AO116" s="123">
        <v>0</v>
      </c>
      <c r="AP116" s="123">
        <v>0</v>
      </c>
      <c r="AQ116" s="123">
        <v>0</v>
      </c>
      <c r="AR116" s="123">
        <v>0</v>
      </c>
      <c r="AS116" s="123">
        <v>0</v>
      </c>
      <c r="AT116" s="123">
        <v>0</v>
      </c>
      <c r="AU116" s="123">
        <v>0</v>
      </c>
      <c r="AV116" s="123">
        <v>0</v>
      </c>
      <c r="AW116" s="123">
        <v>0</v>
      </c>
      <c r="AX116" s="123">
        <v>0</v>
      </c>
      <c r="AY116" s="123">
        <v>0</v>
      </c>
    </row>
    <row r="117" spans="1:52" x14ac:dyDescent="0.2">
      <c r="A117" s="126"/>
      <c r="B117" s="143">
        <v>9</v>
      </c>
      <c r="C117" s="123">
        <v>2482.7486930279692</v>
      </c>
      <c r="D117" s="123">
        <v>2481.223481055019</v>
      </c>
      <c r="E117" s="123">
        <v>2316.957809168277</v>
      </c>
      <c r="F117" s="123">
        <v>1340.3962589065868</v>
      </c>
      <c r="G117" s="123">
        <v>654.18295322660947</v>
      </c>
      <c r="H117" s="123">
        <v>220.22911449218873</v>
      </c>
      <c r="I117" s="123">
        <v>0</v>
      </c>
      <c r="J117" s="123">
        <v>0</v>
      </c>
      <c r="K117" s="123">
        <v>0</v>
      </c>
      <c r="L117" s="123">
        <v>0</v>
      </c>
      <c r="M117" s="123">
        <v>0</v>
      </c>
      <c r="N117" s="123">
        <v>0</v>
      </c>
      <c r="O117" s="123">
        <v>0</v>
      </c>
      <c r="P117" s="123">
        <v>0</v>
      </c>
      <c r="Q117" s="123">
        <v>0</v>
      </c>
      <c r="R117" s="123">
        <v>0</v>
      </c>
      <c r="S117" s="123">
        <v>0</v>
      </c>
      <c r="T117" s="123">
        <v>0</v>
      </c>
      <c r="U117" s="123">
        <v>0</v>
      </c>
      <c r="V117" s="123">
        <v>0</v>
      </c>
      <c r="W117" s="123">
        <v>0</v>
      </c>
      <c r="X117" s="123">
        <v>0</v>
      </c>
      <c r="Y117" s="123">
        <v>0</v>
      </c>
      <c r="Z117" s="123">
        <v>0</v>
      </c>
      <c r="AA117" s="123">
        <v>0</v>
      </c>
      <c r="AB117" s="123">
        <v>0</v>
      </c>
      <c r="AC117" s="123">
        <v>0</v>
      </c>
      <c r="AD117" s="123">
        <v>0</v>
      </c>
      <c r="AE117" s="123">
        <v>0</v>
      </c>
      <c r="AF117" s="123">
        <v>0</v>
      </c>
      <c r="AG117" s="123">
        <v>0</v>
      </c>
      <c r="AH117" s="123">
        <v>0</v>
      </c>
      <c r="AI117" s="123">
        <v>0</v>
      </c>
      <c r="AJ117" s="123">
        <v>0</v>
      </c>
      <c r="AK117" s="123">
        <v>0</v>
      </c>
      <c r="AL117" s="123">
        <v>0</v>
      </c>
      <c r="AM117" s="123">
        <v>0</v>
      </c>
      <c r="AN117" s="123">
        <v>0</v>
      </c>
      <c r="AO117" s="123">
        <v>0</v>
      </c>
      <c r="AP117" s="123">
        <v>0</v>
      </c>
      <c r="AQ117" s="123">
        <v>0</v>
      </c>
      <c r="AR117" s="123">
        <v>0</v>
      </c>
      <c r="AS117" s="123">
        <v>0</v>
      </c>
      <c r="AT117" s="123">
        <v>0</v>
      </c>
      <c r="AU117" s="123">
        <v>0</v>
      </c>
      <c r="AV117" s="123">
        <v>0</v>
      </c>
      <c r="AW117" s="123">
        <v>0</v>
      </c>
      <c r="AX117" s="123">
        <v>0</v>
      </c>
      <c r="AY117" s="123">
        <v>0</v>
      </c>
    </row>
    <row r="118" spans="1:52" x14ac:dyDescent="0.2">
      <c r="A118" s="126"/>
      <c r="B118" s="146">
        <v>10</v>
      </c>
      <c r="C118" s="123">
        <v>2.0425396012149228</v>
      </c>
      <c r="D118" s="123">
        <v>0</v>
      </c>
      <c r="E118" s="123">
        <v>0</v>
      </c>
      <c r="F118" s="123">
        <v>0</v>
      </c>
      <c r="G118" s="123">
        <v>0</v>
      </c>
      <c r="H118" s="123">
        <v>0</v>
      </c>
      <c r="I118" s="123">
        <v>0</v>
      </c>
      <c r="J118" s="123">
        <v>0</v>
      </c>
      <c r="K118" s="123">
        <v>0</v>
      </c>
      <c r="L118" s="123">
        <v>0</v>
      </c>
      <c r="M118" s="123">
        <v>0</v>
      </c>
      <c r="N118" s="123">
        <v>0</v>
      </c>
      <c r="O118" s="123">
        <v>0</v>
      </c>
      <c r="P118" s="123">
        <v>0</v>
      </c>
      <c r="Q118" s="123">
        <v>0</v>
      </c>
      <c r="R118" s="123">
        <v>0</v>
      </c>
      <c r="S118" s="123">
        <v>0</v>
      </c>
      <c r="T118" s="123">
        <v>0</v>
      </c>
      <c r="U118" s="123">
        <v>0</v>
      </c>
      <c r="V118" s="123">
        <v>0</v>
      </c>
      <c r="W118" s="123">
        <v>0</v>
      </c>
      <c r="X118" s="123">
        <v>0</v>
      </c>
      <c r="Y118" s="123">
        <v>0</v>
      </c>
      <c r="Z118" s="123">
        <v>0</v>
      </c>
      <c r="AA118" s="123">
        <v>0</v>
      </c>
      <c r="AB118" s="123">
        <v>0</v>
      </c>
      <c r="AC118" s="123">
        <v>0</v>
      </c>
      <c r="AD118" s="123">
        <v>0</v>
      </c>
      <c r="AE118" s="123">
        <v>0</v>
      </c>
      <c r="AF118" s="123">
        <v>0</v>
      </c>
      <c r="AG118" s="123">
        <v>0</v>
      </c>
      <c r="AH118" s="123">
        <v>0</v>
      </c>
      <c r="AI118" s="123">
        <v>0</v>
      </c>
      <c r="AJ118" s="123">
        <v>0</v>
      </c>
      <c r="AK118" s="123">
        <v>0</v>
      </c>
      <c r="AL118" s="123">
        <v>0</v>
      </c>
      <c r="AM118" s="123">
        <v>0</v>
      </c>
      <c r="AN118" s="123">
        <v>0</v>
      </c>
      <c r="AO118" s="123">
        <v>0</v>
      </c>
      <c r="AP118" s="123">
        <v>0</v>
      </c>
      <c r="AQ118" s="123">
        <v>0</v>
      </c>
      <c r="AR118" s="123">
        <v>0</v>
      </c>
      <c r="AS118" s="123">
        <v>0</v>
      </c>
      <c r="AT118" s="123">
        <v>0</v>
      </c>
      <c r="AU118" s="123">
        <v>0</v>
      </c>
      <c r="AV118" s="123">
        <v>0</v>
      </c>
      <c r="AW118" s="123">
        <v>0</v>
      </c>
      <c r="AX118" s="123">
        <v>0</v>
      </c>
      <c r="AY118" s="123">
        <v>0</v>
      </c>
    </row>
    <row r="119" spans="1:52" x14ac:dyDescent="0.2">
      <c r="A119" s="126"/>
      <c r="B119" s="146">
        <v>11</v>
      </c>
      <c r="C119" s="123">
        <v>0</v>
      </c>
      <c r="D119" s="123">
        <v>0</v>
      </c>
      <c r="E119" s="123">
        <v>0</v>
      </c>
      <c r="F119" s="123">
        <v>0</v>
      </c>
      <c r="G119" s="123">
        <v>0</v>
      </c>
      <c r="H119" s="123">
        <v>0</v>
      </c>
      <c r="I119" s="123">
        <v>0</v>
      </c>
      <c r="J119" s="123">
        <v>0</v>
      </c>
      <c r="K119" s="123">
        <v>0</v>
      </c>
      <c r="L119" s="123">
        <v>0</v>
      </c>
      <c r="M119" s="123">
        <v>0</v>
      </c>
      <c r="N119" s="123">
        <v>0</v>
      </c>
      <c r="O119" s="123">
        <v>0</v>
      </c>
      <c r="P119" s="123">
        <v>0</v>
      </c>
      <c r="Q119" s="123">
        <v>0</v>
      </c>
      <c r="R119" s="123">
        <v>0</v>
      </c>
      <c r="S119" s="123">
        <v>0</v>
      </c>
      <c r="T119" s="123">
        <v>0</v>
      </c>
      <c r="U119" s="123">
        <v>0</v>
      </c>
      <c r="V119" s="123">
        <v>0</v>
      </c>
      <c r="W119" s="123">
        <v>0</v>
      </c>
      <c r="X119" s="123">
        <v>0</v>
      </c>
      <c r="Y119" s="123">
        <v>0</v>
      </c>
      <c r="Z119" s="123">
        <v>0</v>
      </c>
      <c r="AA119" s="123">
        <v>0</v>
      </c>
      <c r="AB119" s="123">
        <v>0</v>
      </c>
      <c r="AC119" s="123">
        <v>0</v>
      </c>
      <c r="AD119" s="123">
        <v>0</v>
      </c>
      <c r="AE119" s="123">
        <v>0</v>
      </c>
      <c r="AF119" s="123">
        <v>0</v>
      </c>
      <c r="AG119" s="123">
        <v>0</v>
      </c>
      <c r="AH119" s="123">
        <v>0</v>
      </c>
      <c r="AI119" s="123">
        <v>0</v>
      </c>
      <c r="AJ119" s="123">
        <v>0</v>
      </c>
      <c r="AK119" s="123">
        <v>0</v>
      </c>
      <c r="AL119" s="123">
        <v>0</v>
      </c>
      <c r="AM119" s="123">
        <v>0</v>
      </c>
      <c r="AN119" s="123">
        <v>0</v>
      </c>
      <c r="AO119" s="123">
        <v>0</v>
      </c>
      <c r="AP119" s="123">
        <v>0</v>
      </c>
      <c r="AQ119" s="123">
        <v>0</v>
      </c>
      <c r="AR119" s="123">
        <v>0</v>
      </c>
      <c r="AS119" s="123">
        <v>0</v>
      </c>
      <c r="AT119" s="123">
        <v>0</v>
      </c>
      <c r="AU119" s="123">
        <v>0</v>
      </c>
      <c r="AV119" s="123">
        <v>0</v>
      </c>
      <c r="AW119" s="123">
        <v>0</v>
      </c>
      <c r="AX119" s="123">
        <v>0</v>
      </c>
      <c r="AY119" s="123">
        <v>0</v>
      </c>
    </row>
    <row r="120" spans="1:52" x14ac:dyDescent="0.2">
      <c r="A120" s="126"/>
      <c r="B120" s="146">
        <v>12</v>
      </c>
      <c r="C120" s="123">
        <v>0</v>
      </c>
      <c r="D120" s="123">
        <v>0</v>
      </c>
      <c r="E120" s="123">
        <v>0</v>
      </c>
      <c r="F120" s="123">
        <v>0</v>
      </c>
      <c r="G120" s="123">
        <v>0</v>
      </c>
      <c r="H120" s="123">
        <v>0</v>
      </c>
      <c r="I120" s="123">
        <v>0</v>
      </c>
      <c r="J120" s="123">
        <v>0</v>
      </c>
      <c r="K120" s="123">
        <v>0</v>
      </c>
      <c r="L120" s="123">
        <v>0</v>
      </c>
      <c r="M120" s="123">
        <v>0</v>
      </c>
      <c r="N120" s="123">
        <v>0</v>
      </c>
      <c r="O120" s="123">
        <v>0</v>
      </c>
      <c r="P120" s="123">
        <v>0</v>
      </c>
      <c r="Q120" s="123">
        <v>0</v>
      </c>
      <c r="R120" s="123">
        <v>0</v>
      </c>
      <c r="S120" s="123">
        <v>0</v>
      </c>
      <c r="T120" s="123">
        <v>0</v>
      </c>
      <c r="U120" s="123">
        <v>0</v>
      </c>
      <c r="V120" s="123">
        <v>0</v>
      </c>
      <c r="W120" s="123">
        <v>0</v>
      </c>
      <c r="X120" s="123">
        <v>0</v>
      </c>
      <c r="Y120" s="123">
        <v>0</v>
      </c>
      <c r="Z120" s="123">
        <v>0</v>
      </c>
      <c r="AA120" s="123">
        <v>0</v>
      </c>
      <c r="AB120" s="123">
        <v>0</v>
      </c>
      <c r="AC120" s="123">
        <v>0</v>
      </c>
      <c r="AD120" s="123">
        <v>0</v>
      </c>
      <c r="AE120" s="123">
        <v>0</v>
      </c>
      <c r="AF120" s="123">
        <v>0</v>
      </c>
      <c r="AG120" s="123">
        <v>0</v>
      </c>
      <c r="AH120" s="123">
        <v>0</v>
      </c>
      <c r="AI120" s="123">
        <v>0</v>
      </c>
      <c r="AJ120" s="123">
        <v>0</v>
      </c>
      <c r="AK120" s="123">
        <v>0</v>
      </c>
      <c r="AL120" s="123">
        <v>0</v>
      </c>
      <c r="AM120" s="123">
        <v>0</v>
      </c>
      <c r="AN120" s="123">
        <v>0</v>
      </c>
      <c r="AO120" s="123">
        <v>0</v>
      </c>
      <c r="AP120" s="123">
        <v>0</v>
      </c>
      <c r="AQ120" s="123">
        <v>0</v>
      </c>
      <c r="AR120" s="123">
        <v>0</v>
      </c>
      <c r="AS120" s="123">
        <v>0</v>
      </c>
      <c r="AT120" s="123">
        <v>0</v>
      </c>
      <c r="AU120" s="123">
        <v>0</v>
      </c>
      <c r="AV120" s="123">
        <v>0</v>
      </c>
      <c r="AW120" s="123">
        <v>0</v>
      </c>
      <c r="AX120" s="123">
        <v>0</v>
      </c>
      <c r="AY120" s="123">
        <v>0</v>
      </c>
    </row>
    <row r="121" spans="1:52" x14ac:dyDescent="0.2">
      <c r="A121" s="144"/>
      <c r="B121" s="148" t="s">
        <v>296</v>
      </c>
      <c r="C121" s="130">
        <v>0</v>
      </c>
      <c r="D121" s="141">
        <v>0</v>
      </c>
      <c r="E121" s="141">
        <v>0</v>
      </c>
      <c r="F121" s="141">
        <v>0</v>
      </c>
      <c r="G121" s="141">
        <v>0</v>
      </c>
      <c r="H121" s="141">
        <v>0</v>
      </c>
      <c r="I121" s="141">
        <v>0</v>
      </c>
      <c r="J121" s="141">
        <v>0</v>
      </c>
      <c r="K121" s="141">
        <v>0</v>
      </c>
      <c r="L121" s="141">
        <v>0</v>
      </c>
      <c r="M121" s="141">
        <v>0</v>
      </c>
      <c r="N121" s="141">
        <v>0</v>
      </c>
      <c r="O121" s="141">
        <v>0</v>
      </c>
      <c r="P121" s="141">
        <v>0</v>
      </c>
      <c r="Q121" s="141">
        <v>0</v>
      </c>
      <c r="R121" s="141">
        <v>0</v>
      </c>
      <c r="S121" s="141">
        <v>0</v>
      </c>
      <c r="T121" s="141">
        <v>0</v>
      </c>
      <c r="U121" s="141">
        <v>0</v>
      </c>
      <c r="V121" s="141">
        <v>0</v>
      </c>
      <c r="W121" s="141">
        <v>0</v>
      </c>
      <c r="X121" s="141">
        <v>0</v>
      </c>
      <c r="Y121" s="141">
        <v>0</v>
      </c>
      <c r="Z121" s="141">
        <v>0</v>
      </c>
      <c r="AA121" s="141">
        <v>0</v>
      </c>
      <c r="AB121" s="141">
        <v>0</v>
      </c>
      <c r="AC121" s="141">
        <v>0</v>
      </c>
      <c r="AD121" s="141">
        <v>0</v>
      </c>
      <c r="AE121" s="141">
        <v>0</v>
      </c>
      <c r="AF121" s="141">
        <v>0</v>
      </c>
      <c r="AG121" s="141">
        <v>0</v>
      </c>
      <c r="AH121" s="141">
        <v>0</v>
      </c>
      <c r="AI121" s="141">
        <v>0</v>
      </c>
      <c r="AJ121" s="141">
        <v>0</v>
      </c>
      <c r="AK121" s="141">
        <v>0</v>
      </c>
      <c r="AL121" s="141">
        <v>0</v>
      </c>
      <c r="AM121" s="141">
        <v>0</v>
      </c>
      <c r="AN121" s="141">
        <v>0</v>
      </c>
      <c r="AO121" s="141">
        <v>0</v>
      </c>
      <c r="AP121" s="141">
        <v>0</v>
      </c>
      <c r="AQ121" s="141">
        <v>0</v>
      </c>
      <c r="AR121" s="141">
        <v>0</v>
      </c>
      <c r="AS121" s="141">
        <v>0</v>
      </c>
      <c r="AT121" s="141">
        <v>0</v>
      </c>
      <c r="AU121" s="141">
        <v>0</v>
      </c>
      <c r="AV121" s="141">
        <v>0</v>
      </c>
      <c r="AW121" s="141">
        <v>0</v>
      </c>
      <c r="AX121" s="141">
        <v>0</v>
      </c>
      <c r="AY121" s="141">
        <v>0</v>
      </c>
      <c r="AZ121" s="124">
        <f>SUM($D121:$AY121)</f>
        <v>0</v>
      </c>
    </row>
    <row r="122" spans="1:52" x14ac:dyDescent="0.2">
      <c r="A122" s="147" t="s">
        <v>123</v>
      </c>
      <c r="B122" s="135">
        <v>1</v>
      </c>
      <c r="C122" s="123">
        <v>3440.4241505689879</v>
      </c>
      <c r="D122" s="123">
        <v>5629.1207660849332</v>
      </c>
      <c r="E122" s="123">
        <v>5629.1207660849332</v>
      </c>
      <c r="F122" s="123">
        <v>5629.1207660849332</v>
      </c>
      <c r="G122" s="123">
        <v>5629.1207660849332</v>
      </c>
      <c r="H122" s="123">
        <v>5629.1207660849332</v>
      </c>
      <c r="I122" s="123">
        <v>5629.1207660849332</v>
      </c>
      <c r="J122" s="123">
        <v>5629.1207660849332</v>
      </c>
      <c r="K122" s="123">
        <v>5629.1207660849332</v>
      </c>
      <c r="L122" s="123">
        <v>5629.1207660849332</v>
      </c>
      <c r="M122" s="123">
        <v>5629.1207660849332</v>
      </c>
      <c r="N122" s="123">
        <v>5629.1207660849332</v>
      </c>
      <c r="O122" s="123">
        <v>5629.1207660849332</v>
      </c>
      <c r="P122" s="123">
        <v>5629.1207660849332</v>
      </c>
      <c r="Q122" s="123">
        <v>5629.1207660849332</v>
      </c>
      <c r="R122" s="123">
        <v>5629.1207660849332</v>
      </c>
      <c r="S122" s="123">
        <v>5629.1207660849332</v>
      </c>
      <c r="T122" s="123">
        <v>5629.1207660849332</v>
      </c>
      <c r="U122" s="123">
        <v>5629.1207660849332</v>
      </c>
      <c r="V122" s="123">
        <v>5629.1207660849332</v>
      </c>
      <c r="W122" s="123">
        <v>5629.1207660849332</v>
      </c>
      <c r="X122" s="123">
        <v>5629.1207660849332</v>
      </c>
      <c r="Y122" s="123">
        <v>5629.1207660849332</v>
      </c>
      <c r="Z122" s="123">
        <v>5629.1207660849332</v>
      </c>
      <c r="AA122" s="123">
        <v>5629.1207660849332</v>
      </c>
      <c r="AB122" s="123">
        <v>5629.1207660849332</v>
      </c>
      <c r="AC122" s="123">
        <v>5629.1207660849332</v>
      </c>
      <c r="AD122" s="123">
        <v>5629.1207660849332</v>
      </c>
      <c r="AE122" s="123">
        <v>5629.1207660849332</v>
      </c>
      <c r="AF122" s="123">
        <v>5629.1207660849332</v>
      </c>
      <c r="AG122" s="123">
        <v>5629.1207660849332</v>
      </c>
      <c r="AH122" s="123">
        <v>5629.1207660849332</v>
      </c>
      <c r="AI122" s="123">
        <v>5629.1207660849332</v>
      </c>
      <c r="AJ122" s="123">
        <v>5629.1207660849332</v>
      </c>
      <c r="AK122" s="123">
        <v>5629.1207660849332</v>
      </c>
      <c r="AL122" s="123">
        <v>5629.1207660849332</v>
      </c>
      <c r="AM122" s="123">
        <v>5629.1207660849332</v>
      </c>
      <c r="AN122" s="123">
        <v>5629.1207660849332</v>
      </c>
      <c r="AO122" s="123">
        <v>5629.1207660849332</v>
      </c>
      <c r="AP122" s="123">
        <v>5629.1207660849332</v>
      </c>
      <c r="AQ122" s="123">
        <v>5629.1207660849332</v>
      </c>
      <c r="AR122" s="123">
        <v>5629.1207660849332</v>
      </c>
      <c r="AS122" s="123">
        <v>5629.1207660849332</v>
      </c>
      <c r="AT122" s="123">
        <v>5629.1207660849332</v>
      </c>
      <c r="AU122" s="123">
        <v>5629.1207660849332</v>
      </c>
      <c r="AV122" s="123">
        <v>5629.1207660849332</v>
      </c>
      <c r="AW122" s="123">
        <v>5629.1207660849332</v>
      </c>
      <c r="AX122" s="123">
        <v>5629.1207660849332</v>
      </c>
      <c r="AY122" s="123">
        <v>5629.1207660849332</v>
      </c>
    </row>
    <row r="123" spans="1:52" x14ac:dyDescent="0.2">
      <c r="A123" s="126"/>
      <c r="B123" s="135">
        <v>2</v>
      </c>
      <c r="C123" s="123">
        <v>2399.4575395055022</v>
      </c>
      <c r="D123" s="123">
        <v>2399.4575395055022</v>
      </c>
      <c r="E123" s="123">
        <v>3490.0548749726586</v>
      </c>
      <c r="F123" s="123">
        <v>3490.0548749726586</v>
      </c>
      <c r="G123" s="123">
        <v>3490.0548749726586</v>
      </c>
      <c r="H123" s="123">
        <v>3490.0548749726586</v>
      </c>
      <c r="I123" s="123">
        <v>3490.0548749726586</v>
      </c>
      <c r="J123" s="123">
        <v>3490.0548749726586</v>
      </c>
      <c r="K123" s="123">
        <v>3490.0548749726586</v>
      </c>
      <c r="L123" s="123">
        <v>3490.0548749726586</v>
      </c>
      <c r="M123" s="123">
        <v>3490.0548749726586</v>
      </c>
      <c r="N123" s="123">
        <v>3490.0548749726586</v>
      </c>
      <c r="O123" s="123">
        <v>3490.0548749726586</v>
      </c>
      <c r="P123" s="123">
        <v>3490.0548749726586</v>
      </c>
      <c r="Q123" s="123">
        <v>3490.0548749726586</v>
      </c>
      <c r="R123" s="123">
        <v>3490.0548749726586</v>
      </c>
      <c r="S123" s="123">
        <v>3490.0548749726586</v>
      </c>
      <c r="T123" s="123">
        <v>3490.0548749726586</v>
      </c>
      <c r="U123" s="123">
        <v>3490.0548749726586</v>
      </c>
      <c r="V123" s="123">
        <v>3490.0548749726586</v>
      </c>
      <c r="W123" s="123">
        <v>3490.0548749726586</v>
      </c>
      <c r="X123" s="123">
        <v>3490.0548749726586</v>
      </c>
      <c r="Y123" s="123">
        <v>3490.0548749726586</v>
      </c>
      <c r="Z123" s="123">
        <v>3490.0548749726586</v>
      </c>
      <c r="AA123" s="123">
        <v>3490.0548749726586</v>
      </c>
      <c r="AB123" s="123">
        <v>3490.0548749726586</v>
      </c>
      <c r="AC123" s="123">
        <v>3490.0548749726586</v>
      </c>
      <c r="AD123" s="123">
        <v>3490.0548749726586</v>
      </c>
      <c r="AE123" s="123">
        <v>3490.0548749726586</v>
      </c>
      <c r="AF123" s="123">
        <v>3490.0548749726586</v>
      </c>
      <c r="AG123" s="123">
        <v>3490.0548749726586</v>
      </c>
      <c r="AH123" s="123">
        <v>3490.0548749726586</v>
      </c>
      <c r="AI123" s="123">
        <v>3490.0548749726586</v>
      </c>
      <c r="AJ123" s="123">
        <v>3490.0548749726586</v>
      </c>
      <c r="AK123" s="123">
        <v>3490.0548749726586</v>
      </c>
      <c r="AL123" s="123">
        <v>3490.0548749726586</v>
      </c>
      <c r="AM123" s="123">
        <v>3490.0548749726586</v>
      </c>
      <c r="AN123" s="123">
        <v>3490.0548749726586</v>
      </c>
      <c r="AO123" s="123">
        <v>3490.0548749726586</v>
      </c>
      <c r="AP123" s="123">
        <v>3490.0548749726586</v>
      </c>
      <c r="AQ123" s="123">
        <v>3490.0548749726586</v>
      </c>
      <c r="AR123" s="123">
        <v>3490.0548749726586</v>
      </c>
      <c r="AS123" s="123">
        <v>3490.0548749726586</v>
      </c>
      <c r="AT123" s="123">
        <v>3490.0548749726586</v>
      </c>
      <c r="AU123" s="123">
        <v>3490.0548749726586</v>
      </c>
      <c r="AV123" s="123">
        <v>3490.0548749726586</v>
      </c>
      <c r="AW123" s="123">
        <v>3490.0548749726586</v>
      </c>
      <c r="AX123" s="123">
        <v>3490.0548749726586</v>
      </c>
      <c r="AY123" s="123">
        <v>3490.0548749726586</v>
      </c>
    </row>
    <row r="124" spans="1:52" x14ac:dyDescent="0.2">
      <c r="A124" s="126"/>
      <c r="B124" s="135">
        <v>3</v>
      </c>
      <c r="C124" s="123">
        <v>1622.2841983621609</v>
      </c>
      <c r="D124" s="123">
        <v>1663.8862909169436</v>
      </c>
      <c r="E124" s="123">
        <v>1487.6636744934112</v>
      </c>
      <c r="F124" s="123">
        <v>2163.8340224830481</v>
      </c>
      <c r="G124" s="123">
        <v>2163.8340224830481</v>
      </c>
      <c r="H124" s="123">
        <v>2163.8340224830481</v>
      </c>
      <c r="I124" s="123">
        <v>2163.8340224830481</v>
      </c>
      <c r="J124" s="123">
        <v>2163.8340224830481</v>
      </c>
      <c r="K124" s="123">
        <v>2163.8340224830481</v>
      </c>
      <c r="L124" s="123">
        <v>2163.8340224830481</v>
      </c>
      <c r="M124" s="123">
        <v>2163.8340224830481</v>
      </c>
      <c r="N124" s="123">
        <v>2163.8340224830481</v>
      </c>
      <c r="O124" s="123">
        <v>2163.8340224830481</v>
      </c>
      <c r="P124" s="123">
        <v>2163.8340224830481</v>
      </c>
      <c r="Q124" s="123">
        <v>2163.8340224830481</v>
      </c>
      <c r="R124" s="123">
        <v>2163.8340224830481</v>
      </c>
      <c r="S124" s="123">
        <v>2163.8340224830481</v>
      </c>
      <c r="T124" s="123">
        <v>2163.8340224830481</v>
      </c>
      <c r="U124" s="123">
        <v>2163.8340224830481</v>
      </c>
      <c r="V124" s="123">
        <v>2163.8340224830481</v>
      </c>
      <c r="W124" s="123">
        <v>2163.8340224830481</v>
      </c>
      <c r="X124" s="123">
        <v>2163.8340224830481</v>
      </c>
      <c r="Y124" s="123">
        <v>2163.8340224830481</v>
      </c>
      <c r="Z124" s="123">
        <v>2163.8340224830481</v>
      </c>
      <c r="AA124" s="123">
        <v>2163.8340224830481</v>
      </c>
      <c r="AB124" s="123">
        <v>2163.8340224830481</v>
      </c>
      <c r="AC124" s="123">
        <v>2163.8340224830481</v>
      </c>
      <c r="AD124" s="123">
        <v>2163.8340224830481</v>
      </c>
      <c r="AE124" s="123">
        <v>2163.8340224830481</v>
      </c>
      <c r="AF124" s="123">
        <v>2163.8340224830481</v>
      </c>
      <c r="AG124" s="123">
        <v>2163.8340224830481</v>
      </c>
      <c r="AH124" s="123">
        <v>2163.8340224830481</v>
      </c>
      <c r="AI124" s="123">
        <v>2163.8340224830481</v>
      </c>
      <c r="AJ124" s="123">
        <v>2163.8340224830481</v>
      </c>
      <c r="AK124" s="123">
        <v>2163.8340224830481</v>
      </c>
      <c r="AL124" s="123">
        <v>2163.8340224830481</v>
      </c>
      <c r="AM124" s="123">
        <v>2163.8340224830481</v>
      </c>
      <c r="AN124" s="123">
        <v>2163.8340224830481</v>
      </c>
      <c r="AO124" s="123">
        <v>2163.8340224830481</v>
      </c>
      <c r="AP124" s="123">
        <v>2163.8340224830481</v>
      </c>
      <c r="AQ124" s="123">
        <v>2163.8340224830481</v>
      </c>
      <c r="AR124" s="123">
        <v>2163.8340224830481</v>
      </c>
      <c r="AS124" s="123">
        <v>2163.8340224830481</v>
      </c>
      <c r="AT124" s="123">
        <v>2163.8340224830481</v>
      </c>
      <c r="AU124" s="123">
        <v>2163.8340224830481</v>
      </c>
      <c r="AV124" s="123">
        <v>2163.8340224830481</v>
      </c>
      <c r="AW124" s="123">
        <v>2163.8340224830481</v>
      </c>
      <c r="AX124" s="123">
        <v>2163.8340224830481</v>
      </c>
      <c r="AY124" s="123">
        <v>2163.8340224830481</v>
      </c>
    </row>
    <row r="125" spans="1:52" x14ac:dyDescent="0.2">
      <c r="A125" s="126"/>
      <c r="B125" s="135">
        <v>4</v>
      </c>
      <c r="C125" s="123">
        <v>0</v>
      </c>
      <c r="D125" s="123">
        <v>0</v>
      </c>
      <c r="E125" s="123">
        <v>194.609500368505</v>
      </c>
      <c r="F125" s="123">
        <v>97.009368414388064</v>
      </c>
      <c r="G125" s="123">
        <v>485.72290235641026</v>
      </c>
      <c r="H125" s="123">
        <v>787.72529340046412</v>
      </c>
      <c r="I125" s="123">
        <v>820.9667758477774</v>
      </c>
      <c r="J125" s="123">
        <v>783.57649496511169</v>
      </c>
      <c r="K125" s="123">
        <v>930.39452081785896</v>
      </c>
      <c r="L125" s="123">
        <v>1047.4216968465621</v>
      </c>
      <c r="M125" s="123">
        <v>1035.9785459843583</v>
      </c>
      <c r="N125" s="123">
        <v>1167.8837924497918</v>
      </c>
      <c r="O125" s="123">
        <v>1164.6650452583608</v>
      </c>
      <c r="P125" s="123">
        <v>1186.6694219996734</v>
      </c>
      <c r="Q125" s="123">
        <v>1306.3121355792873</v>
      </c>
      <c r="R125" s="123">
        <v>1242.4906179986478</v>
      </c>
      <c r="S125" s="123">
        <v>1202.9212770986514</v>
      </c>
      <c r="T125" s="123">
        <v>1224.3882857406536</v>
      </c>
      <c r="U125" s="123">
        <v>1125.6978310986949</v>
      </c>
      <c r="V125" s="123">
        <v>1175.5097492206805</v>
      </c>
      <c r="W125" s="123">
        <v>1242.3931384563116</v>
      </c>
      <c r="X125" s="123">
        <v>1125.8608397824028</v>
      </c>
      <c r="Y125" s="123">
        <v>1071.6108146045794</v>
      </c>
      <c r="Z125" s="123">
        <v>1170.9757989943291</v>
      </c>
      <c r="AA125" s="123">
        <v>1102.5820893159739</v>
      </c>
      <c r="AB125" s="123">
        <v>1076.1779893153935</v>
      </c>
      <c r="AC125" s="123">
        <v>1002.8074473150336</v>
      </c>
      <c r="AD125" s="123">
        <v>913.31771127481056</v>
      </c>
      <c r="AE125" s="123">
        <v>963.83407492987226</v>
      </c>
      <c r="AF125" s="123">
        <v>844.15422039601049</v>
      </c>
      <c r="AG125" s="123">
        <v>950.95271058501623</v>
      </c>
      <c r="AH125" s="123">
        <v>1099.1677745021998</v>
      </c>
      <c r="AI125" s="123">
        <v>1040.0611141308536</v>
      </c>
      <c r="AJ125" s="123">
        <v>987.41498470061902</v>
      </c>
      <c r="AK125" s="123">
        <v>1048.7743844538736</v>
      </c>
      <c r="AL125" s="123">
        <v>1058.8172123008912</v>
      </c>
      <c r="AM125" s="123">
        <v>1185.0437655660421</v>
      </c>
      <c r="AN125" s="123">
        <v>1097.3042285904357</v>
      </c>
      <c r="AO125" s="123">
        <v>1207.9057156655599</v>
      </c>
      <c r="AP125" s="123">
        <v>1182.478637652137</v>
      </c>
      <c r="AQ125" s="123">
        <v>1276.7138492838146</v>
      </c>
      <c r="AR125" s="123">
        <v>1008.1396804954547</v>
      </c>
      <c r="AS125" s="123">
        <v>1126.6236958466716</v>
      </c>
      <c r="AT125" s="123">
        <v>1085.0837853644261</v>
      </c>
      <c r="AU125" s="123">
        <v>931.32904086543397</v>
      </c>
      <c r="AV125" s="123">
        <v>1044.0010992760588</v>
      </c>
      <c r="AW125" s="123">
        <v>1035.8577754906462</v>
      </c>
      <c r="AX125" s="123">
        <v>980.80891474369037</v>
      </c>
      <c r="AY125" s="123">
        <v>943.67862108057773</v>
      </c>
    </row>
    <row r="126" spans="1:52" x14ac:dyDescent="0.2">
      <c r="A126" s="126"/>
      <c r="B126" s="135">
        <v>5</v>
      </c>
      <c r="C126" s="123">
        <v>0</v>
      </c>
      <c r="D126" s="123">
        <v>0</v>
      </c>
      <c r="E126" s="123">
        <v>0</v>
      </c>
      <c r="F126" s="123">
        <v>0</v>
      </c>
      <c r="G126" s="123">
        <v>0</v>
      </c>
      <c r="H126" s="123">
        <v>0</v>
      </c>
      <c r="I126" s="123">
        <v>0</v>
      </c>
      <c r="J126" s="123">
        <v>0</v>
      </c>
      <c r="K126" s="123">
        <v>0</v>
      </c>
      <c r="L126" s="123">
        <v>0</v>
      </c>
      <c r="M126" s="123">
        <v>0</v>
      </c>
      <c r="N126" s="123">
        <v>0</v>
      </c>
      <c r="O126" s="123">
        <v>0</v>
      </c>
      <c r="P126" s="123">
        <v>0</v>
      </c>
      <c r="Q126" s="123">
        <v>0</v>
      </c>
      <c r="R126" s="123">
        <v>0</v>
      </c>
      <c r="S126" s="123">
        <v>0</v>
      </c>
      <c r="T126" s="123">
        <v>0</v>
      </c>
      <c r="U126" s="123">
        <v>0</v>
      </c>
      <c r="V126" s="123">
        <v>0</v>
      </c>
      <c r="W126" s="123">
        <v>0</v>
      </c>
      <c r="X126" s="123">
        <v>0</v>
      </c>
      <c r="Y126" s="123">
        <v>0</v>
      </c>
      <c r="Z126" s="123">
        <v>0</v>
      </c>
      <c r="AA126" s="123">
        <v>0</v>
      </c>
      <c r="AB126" s="123">
        <v>0</v>
      </c>
      <c r="AC126" s="123">
        <v>0</v>
      </c>
      <c r="AD126" s="123">
        <v>0</v>
      </c>
      <c r="AE126" s="123">
        <v>0</v>
      </c>
      <c r="AF126" s="123">
        <v>0</v>
      </c>
      <c r="AG126" s="123">
        <v>0</v>
      </c>
      <c r="AH126" s="123">
        <v>0</v>
      </c>
      <c r="AI126" s="123">
        <v>0</v>
      </c>
      <c r="AJ126" s="123">
        <v>0</v>
      </c>
      <c r="AK126" s="123">
        <v>0</v>
      </c>
      <c r="AL126" s="123">
        <v>0</v>
      </c>
      <c r="AM126" s="123">
        <v>0</v>
      </c>
      <c r="AN126" s="123">
        <v>0</v>
      </c>
      <c r="AO126" s="123">
        <v>0</v>
      </c>
      <c r="AP126" s="123">
        <v>0</v>
      </c>
      <c r="AQ126" s="123">
        <v>0</v>
      </c>
      <c r="AR126" s="123">
        <v>0</v>
      </c>
      <c r="AS126" s="123">
        <v>0</v>
      </c>
      <c r="AT126" s="123">
        <v>0</v>
      </c>
      <c r="AU126" s="123">
        <v>0</v>
      </c>
      <c r="AV126" s="123">
        <v>0</v>
      </c>
      <c r="AW126" s="123">
        <v>0</v>
      </c>
      <c r="AX126" s="123">
        <v>0</v>
      </c>
      <c r="AY126" s="123">
        <v>0</v>
      </c>
    </row>
    <row r="127" spans="1:52" x14ac:dyDescent="0.2">
      <c r="A127" s="126"/>
      <c r="B127" s="135">
        <v>6</v>
      </c>
      <c r="C127" s="123">
        <v>0</v>
      </c>
      <c r="D127" s="123">
        <v>0</v>
      </c>
      <c r="E127" s="123">
        <v>0</v>
      </c>
      <c r="F127" s="123">
        <v>0</v>
      </c>
      <c r="G127" s="123">
        <v>0</v>
      </c>
      <c r="H127" s="123">
        <v>0</v>
      </c>
      <c r="I127" s="123">
        <v>0</v>
      </c>
      <c r="J127" s="123">
        <v>0</v>
      </c>
      <c r="K127" s="123">
        <v>0</v>
      </c>
      <c r="L127" s="123">
        <v>0</v>
      </c>
      <c r="M127" s="123">
        <v>0</v>
      </c>
      <c r="N127" s="123">
        <v>0</v>
      </c>
      <c r="O127" s="123">
        <v>0</v>
      </c>
      <c r="P127" s="123">
        <v>0</v>
      </c>
      <c r="Q127" s="123">
        <v>0</v>
      </c>
      <c r="R127" s="123">
        <v>0</v>
      </c>
      <c r="S127" s="123">
        <v>0</v>
      </c>
      <c r="T127" s="123">
        <v>0</v>
      </c>
      <c r="U127" s="123">
        <v>0</v>
      </c>
      <c r="V127" s="123">
        <v>0</v>
      </c>
      <c r="W127" s="123">
        <v>0</v>
      </c>
      <c r="X127" s="123">
        <v>0</v>
      </c>
      <c r="Y127" s="123">
        <v>0</v>
      </c>
      <c r="Z127" s="123">
        <v>0</v>
      </c>
      <c r="AA127" s="123">
        <v>0</v>
      </c>
      <c r="AB127" s="123">
        <v>0</v>
      </c>
      <c r="AC127" s="123">
        <v>0</v>
      </c>
      <c r="AD127" s="123">
        <v>0</v>
      </c>
      <c r="AE127" s="123">
        <v>0</v>
      </c>
      <c r="AF127" s="123">
        <v>0</v>
      </c>
      <c r="AG127" s="123">
        <v>0</v>
      </c>
      <c r="AH127" s="123">
        <v>0</v>
      </c>
      <c r="AI127" s="123">
        <v>0</v>
      </c>
      <c r="AJ127" s="123">
        <v>0</v>
      </c>
      <c r="AK127" s="123">
        <v>0</v>
      </c>
      <c r="AL127" s="123">
        <v>0</v>
      </c>
      <c r="AM127" s="123">
        <v>0</v>
      </c>
      <c r="AN127" s="123">
        <v>0</v>
      </c>
      <c r="AO127" s="123">
        <v>0</v>
      </c>
      <c r="AP127" s="123">
        <v>0</v>
      </c>
      <c r="AQ127" s="123">
        <v>0</v>
      </c>
      <c r="AR127" s="123">
        <v>0</v>
      </c>
      <c r="AS127" s="123">
        <v>0</v>
      </c>
      <c r="AT127" s="123">
        <v>0</v>
      </c>
      <c r="AU127" s="123">
        <v>0</v>
      </c>
      <c r="AV127" s="123">
        <v>0</v>
      </c>
      <c r="AW127" s="123">
        <v>0</v>
      </c>
      <c r="AX127" s="123">
        <v>0</v>
      </c>
      <c r="AY127" s="123">
        <v>0</v>
      </c>
    </row>
    <row r="128" spans="1:52" x14ac:dyDescent="0.2">
      <c r="A128" s="126"/>
      <c r="B128" s="135">
        <v>7</v>
      </c>
      <c r="C128" s="123">
        <v>0</v>
      </c>
      <c r="D128" s="123">
        <v>0</v>
      </c>
      <c r="E128" s="123">
        <v>0</v>
      </c>
      <c r="F128" s="123">
        <v>0</v>
      </c>
      <c r="G128" s="123">
        <v>0</v>
      </c>
      <c r="H128" s="123">
        <v>0</v>
      </c>
      <c r="I128" s="123">
        <v>0</v>
      </c>
      <c r="J128" s="123">
        <v>0</v>
      </c>
      <c r="K128" s="123">
        <v>0</v>
      </c>
      <c r="L128" s="123">
        <v>0</v>
      </c>
      <c r="M128" s="123">
        <v>0</v>
      </c>
      <c r="N128" s="123">
        <v>0</v>
      </c>
      <c r="O128" s="123">
        <v>0</v>
      </c>
      <c r="P128" s="123">
        <v>0</v>
      </c>
      <c r="Q128" s="123">
        <v>0</v>
      </c>
      <c r="R128" s="123">
        <v>0</v>
      </c>
      <c r="S128" s="123">
        <v>0</v>
      </c>
      <c r="T128" s="123">
        <v>0</v>
      </c>
      <c r="U128" s="123">
        <v>0</v>
      </c>
      <c r="V128" s="123">
        <v>0</v>
      </c>
      <c r="W128" s="123">
        <v>0</v>
      </c>
      <c r="X128" s="123">
        <v>0</v>
      </c>
      <c r="Y128" s="123">
        <v>0</v>
      </c>
      <c r="Z128" s="123">
        <v>0</v>
      </c>
      <c r="AA128" s="123">
        <v>0</v>
      </c>
      <c r="AB128" s="123">
        <v>0</v>
      </c>
      <c r="AC128" s="123">
        <v>0</v>
      </c>
      <c r="AD128" s="123">
        <v>0</v>
      </c>
      <c r="AE128" s="123">
        <v>0</v>
      </c>
      <c r="AF128" s="123">
        <v>0</v>
      </c>
      <c r="AG128" s="123">
        <v>0</v>
      </c>
      <c r="AH128" s="123">
        <v>0</v>
      </c>
      <c r="AI128" s="123">
        <v>0</v>
      </c>
      <c r="AJ128" s="123">
        <v>0</v>
      </c>
      <c r="AK128" s="123">
        <v>0</v>
      </c>
      <c r="AL128" s="123">
        <v>0</v>
      </c>
      <c r="AM128" s="123">
        <v>0</v>
      </c>
      <c r="AN128" s="123">
        <v>0</v>
      </c>
      <c r="AO128" s="123">
        <v>0</v>
      </c>
      <c r="AP128" s="123">
        <v>0</v>
      </c>
      <c r="AQ128" s="123">
        <v>0</v>
      </c>
      <c r="AR128" s="123">
        <v>0</v>
      </c>
      <c r="AS128" s="123">
        <v>0</v>
      </c>
      <c r="AT128" s="123">
        <v>0</v>
      </c>
      <c r="AU128" s="123">
        <v>0</v>
      </c>
      <c r="AV128" s="123">
        <v>0</v>
      </c>
      <c r="AW128" s="123">
        <v>0</v>
      </c>
      <c r="AX128" s="123">
        <v>0</v>
      </c>
      <c r="AY128" s="123">
        <v>0</v>
      </c>
    </row>
    <row r="129" spans="1:51" x14ac:dyDescent="0.2">
      <c r="A129" s="126"/>
      <c r="B129" s="135">
        <v>8</v>
      </c>
      <c r="C129" s="123">
        <v>0</v>
      </c>
      <c r="D129" s="123">
        <v>0</v>
      </c>
      <c r="E129" s="123">
        <v>0</v>
      </c>
      <c r="F129" s="123">
        <v>0</v>
      </c>
      <c r="G129" s="123">
        <v>0</v>
      </c>
      <c r="H129" s="123">
        <v>0</v>
      </c>
      <c r="I129" s="123">
        <v>0</v>
      </c>
      <c r="J129" s="123">
        <v>0</v>
      </c>
      <c r="K129" s="123">
        <v>0</v>
      </c>
      <c r="L129" s="123">
        <v>0</v>
      </c>
      <c r="M129" s="123">
        <v>0</v>
      </c>
      <c r="N129" s="123">
        <v>0</v>
      </c>
      <c r="O129" s="123">
        <v>0</v>
      </c>
      <c r="P129" s="123">
        <v>0</v>
      </c>
      <c r="Q129" s="123">
        <v>0</v>
      </c>
      <c r="R129" s="123">
        <v>0</v>
      </c>
      <c r="S129" s="123">
        <v>0</v>
      </c>
      <c r="T129" s="123">
        <v>0</v>
      </c>
      <c r="U129" s="123">
        <v>0</v>
      </c>
      <c r="V129" s="123">
        <v>0</v>
      </c>
      <c r="W129" s="123">
        <v>0</v>
      </c>
      <c r="X129" s="123">
        <v>0</v>
      </c>
      <c r="Y129" s="123">
        <v>0</v>
      </c>
      <c r="Z129" s="123">
        <v>0</v>
      </c>
      <c r="AA129" s="123">
        <v>0</v>
      </c>
      <c r="AB129" s="123">
        <v>0</v>
      </c>
      <c r="AC129" s="123">
        <v>0</v>
      </c>
      <c r="AD129" s="123">
        <v>0</v>
      </c>
      <c r="AE129" s="123">
        <v>0</v>
      </c>
      <c r="AF129" s="123">
        <v>0</v>
      </c>
      <c r="AG129" s="123">
        <v>0</v>
      </c>
      <c r="AH129" s="123">
        <v>0</v>
      </c>
      <c r="AI129" s="123">
        <v>0</v>
      </c>
      <c r="AJ129" s="123">
        <v>0</v>
      </c>
      <c r="AK129" s="123">
        <v>0</v>
      </c>
      <c r="AL129" s="123">
        <v>0</v>
      </c>
      <c r="AM129" s="123">
        <v>0</v>
      </c>
      <c r="AN129" s="123">
        <v>0</v>
      </c>
      <c r="AO129" s="123">
        <v>0</v>
      </c>
      <c r="AP129" s="123">
        <v>0</v>
      </c>
      <c r="AQ129" s="123">
        <v>0</v>
      </c>
      <c r="AR129" s="123">
        <v>0</v>
      </c>
      <c r="AS129" s="123">
        <v>0</v>
      </c>
      <c r="AT129" s="123">
        <v>0</v>
      </c>
      <c r="AU129" s="123">
        <v>0</v>
      </c>
      <c r="AV129" s="123">
        <v>0</v>
      </c>
      <c r="AW129" s="123">
        <v>0</v>
      </c>
      <c r="AX129" s="123">
        <v>0</v>
      </c>
      <c r="AY129" s="123">
        <v>0</v>
      </c>
    </row>
    <row r="130" spans="1:51" x14ac:dyDescent="0.2">
      <c r="A130" s="126"/>
      <c r="B130" s="135">
        <v>9</v>
      </c>
      <c r="C130" s="123">
        <v>0</v>
      </c>
      <c r="D130" s="123">
        <v>0</v>
      </c>
      <c r="E130" s="123">
        <v>0</v>
      </c>
      <c r="F130" s="123">
        <v>0</v>
      </c>
      <c r="G130" s="123">
        <v>0</v>
      </c>
      <c r="H130" s="123">
        <v>0</v>
      </c>
      <c r="I130" s="123">
        <v>0</v>
      </c>
      <c r="J130" s="123">
        <v>0</v>
      </c>
      <c r="K130" s="123">
        <v>0</v>
      </c>
      <c r="L130" s="123">
        <v>0</v>
      </c>
      <c r="M130" s="123">
        <v>0</v>
      </c>
      <c r="N130" s="123">
        <v>0</v>
      </c>
      <c r="O130" s="123">
        <v>0</v>
      </c>
      <c r="P130" s="123">
        <v>0</v>
      </c>
      <c r="Q130" s="123">
        <v>0</v>
      </c>
      <c r="R130" s="123">
        <v>0</v>
      </c>
      <c r="S130" s="123">
        <v>0</v>
      </c>
      <c r="T130" s="123">
        <v>0</v>
      </c>
      <c r="U130" s="123">
        <v>0</v>
      </c>
      <c r="V130" s="123">
        <v>0</v>
      </c>
      <c r="W130" s="123">
        <v>0</v>
      </c>
      <c r="X130" s="123">
        <v>0</v>
      </c>
      <c r="Y130" s="123">
        <v>0</v>
      </c>
      <c r="Z130" s="123">
        <v>0</v>
      </c>
      <c r="AA130" s="123">
        <v>0</v>
      </c>
      <c r="AB130" s="123">
        <v>0</v>
      </c>
      <c r="AC130" s="123">
        <v>0</v>
      </c>
      <c r="AD130" s="123">
        <v>0</v>
      </c>
      <c r="AE130" s="123">
        <v>0</v>
      </c>
      <c r="AF130" s="123">
        <v>0</v>
      </c>
      <c r="AG130" s="123">
        <v>0</v>
      </c>
      <c r="AH130" s="123">
        <v>0</v>
      </c>
      <c r="AI130" s="123">
        <v>0</v>
      </c>
      <c r="AJ130" s="123">
        <v>0</v>
      </c>
      <c r="AK130" s="123">
        <v>0</v>
      </c>
      <c r="AL130" s="123">
        <v>0</v>
      </c>
      <c r="AM130" s="123">
        <v>0</v>
      </c>
      <c r="AN130" s="123">
        <v>0</v>
      </c>
      <c r="AO130" s="123">
        <v>0</v>
      </c>
      <c r="AP130" s="123">
        <v>0</v>
      </c>
      <c r="AQ130" s="123">
        <v>0</v>
      </c>
      <c r="AR130" s="123">
        <v>0</v>
      </c>
      <c r="AS130" s="123">
        <v>0</v>
      </c>
      <c r="AT130" s="123">
        <v>0</v>
      </c>
      <c r="AU130" s="123">
        <v>0</v>
      </c>
      <c r="AV130" s="123">
        <v>0</v>
      </c>
      <c r="AW130" s="123">
        <v>0</v>
      </c>
      <c r="AX130" s="123">
        <v>0</v>
      </c>
      <c r="AY130" s="123">
        <v>0</v>
      </c>
    </row>
    <row r="131" spans="1:51" x14ac:dyDescent="0.2">
      <c r="A131" s="126"/>
      <c r="B131" s="135">
        <v>10</v>
      </c>
      <c r="C131" s="123">
        <v>0</v>
      </c>
      <c r="D131" s="123">
        <v>0</v>
      </c>
      <c r="E131" s="123">
        <v>0</v>
      </c>
      <c r="F131" s="123">
        <v>0</v>
      </c>
      <c r="G131" s="123">
        <v>0</v>
      </c>
      <c r="H131" s="123">
        <v>0</v>
      </c>
      <c r="I131" s="123">
        <v>0</v>
      </c>
      <c r="J131" s="123">
        <v>0</v>
      </c>
      <c r="K131" s="123">
        <v>0</v>
      </c>
      <c r="L131" s="123">
        <v>0</v>
      </c>
      <c r="M131" s="123">
        <v>0</v>
      </c>
      <c r="N131" s="123">
        <v>0</v>
      </c>
      <c r="O131" s="123">
        <v>0</v>
      </c>
      <c r="P131" s="123">
        <v>0</v>
      </c>
      <c r="Q131" s="123">
        <v>0</v>
      </c>
      <c r="R131" s="123">
        <v>0</v>
      </c>
      <c r="S131" s="123">
        <v>0</v>
      </c>
      <c r="T131" s="123">
        <v>0</v>
      </c>
      <c r="U131" s="123">
        <v>0</v>
      </c>
      <c r="V131" s="123">
        <v>0</v>
      </c>
      <c r="W131" s="123">
        <v>0</v>
      </c>
      <c r="X131" s="123">
        <v>0</v>
      </c>
      <c r="Y131" s="123">
        <v>0</v>
      </c>
      <c r="Z131" s="123">
        <v>0</v>
      </c>
      <c r="AA131" s="123">
        <v>0</v>
      </c>
      <c r="AB131" s="123">
        <v>0</v>
      </c>
      <c r="AC131" s="123">
        <v>0</v>
      </c>
      <c r="AD131" s="123">
        <v>0</v>
      </c>
      <c r="AE131" s="123">
        <v>0</v>
      </c>
      <c r="AF131" s="123">
        <v>0</v>
      </c>
      <c r="AG131" s="123">
        <v>0</v>
      </c>
      <c r="AH131" s="123">
        <v>0</v>
      </c>
      <c r="AI131" s="123">
        <v>0</v>
      </c>
      <c r="AJ131" s="123">
        <v>0</v>
      </c>
      <c r="AK131" s="123">
        <v>0</v>
      </c>
      <c r="AL131" s="123">
        <v>0</v>
      </c>
      <c r="AM131" s="123">
        <v>0</v>
      </c>
      <c r="AN131" s="123">
        <v>0</v>
      </c>
      <c r="AO131" s="123">
        <v>0</v>
      </c>
      <c r="AP131" s="123">
        <v>0</v>
      </c>
      <c r="AQ131" s="123">
        <v>0</v>
      </c>
      <c r="AR131" s="123">
        <v>0</v>
      </c>
      <c r="AS131" s="123">
        <v>0</v>
      </c>
      <c r="AT131" s="123">
        <v>0</v>
      </c>
      <c r="AU131" s="123">
        <v>0</v>
      </c>
      <c r="AV131" s="123">
        <v>0</v>
      </c>
      <c r="AW131" s="123">
        <v>0</v>
      </c>
      <c r="AX131" s="123">
        <v>0</v>
      </c>
      <c r="AY131" s="123">
        <v>0</v>
      </c>
    </row>
    <row r="132" spans="1:51" x14ac:dyDescent="0.2">
      <c r="A132" s="126"/>
      <c r="B132" s="135">
        <v>11</v>
      </c>
      <c r="C132" s="123">
        <v>0</v>
      </c>
      <c r="D132" s="123">
        <v>0</v>
      </c>
      <c r="E132" s="123">
        <v>0</v>
      </c>
      <c r="F132" s="123">
        <v>0</v>
      </c>
      <c r="G132" s="123">
        <v>0</v>
      </c>
      <c r="H132" s="123">
        <v>0</v>
      </c>
      <c r="I132" s="123">
        <v>0</v>
      </c>
      <c r="J132" s="123">
        <v>0</v>
      </c>
      <c r="K132" s="123">
        <v>0</v>
      </c>
      <c r="L132" s="123">
        <v>0</v>
      </c>
      <c r="M132" s="123">
        <v>0</v>
      </c>
      <c r="N132" s="123">
        <v>0</v>
      </c>
      <c r="O132" s="123">
        <v>0</v>
      </c>
      <c r="P132" s="123">
        <v>0</v>
      </c>
      <c r="Q132" s="123">
        <v>0</v>
      </c>
      <c r="R132" s="123">
        <v>0</v>
      </c>
      <c r="S132" s="123">
        <v>0</v>
      </c>
      <c r="T132" s="123">
        <v>0</v>
      </c>
      <c r="U132" s="123">
        <v>0</v>
      </c>
      <c r="V132" s="123">
        <v>0</v>
      </c>
      <c r="W132" s="123">
        <v>0</v>
      </c>
      <c r="X132" s="123">
        <v>0</v>
      </c>
      <c r="Y132" s="123">
        <v>0</v>
      </c>
      <c r="Z132" s="123">
        <v>0</v>
      </c>
      <c r="AA132" s="123">
        <v>0</v>
      </c>
      <c r="AB132" s="123">
        <v>0</v>
      </c>
      <c r="AC132" s="123">
        <v>0</v>
      </c>
      <c r="AD132" s="123">
        <v>0</v>
      </c>
      <c r="AE132" s="123">
        <v>0</v>
      </c>
      <c r="AF132" s="123">
        <v>0</v>
      </c>
      <c r="AG132" s="123">
        <v>0</v>
      </c>
      <c r="AH132" s="123">
        <v>0</v>
      </c>
      <c r="AI132" s="123">
        <v>0</v>
      </c>
      <c r="AJ132" s="123">
        <v>0</v>
      </c>
      <c r="AK132" s="123">
        <v>0</v>
      </c>
      <c r="AL132" s="123">
        <v>0</v>
      </c>
      <c r="AM132" s="123">
        <v>0</v>
      </c>
      <c r="AN132" s="123">
        <v>0</v>
      </c>
      <c r="AO132" s="123">
        <v>0</v>
      </c>
      <c r="AP132" s="123">
        <v>0</v>
      </c>
      <c r="AQ132" s="123">
        <v>0</v>
      </c>
      <c r="AR132" s="123">
        <v>0</v>
      </c>
      <c r="AS132" s="123">
        <v>0</v>
      </c>
      <c r="AT132" s="123">
        <v>0</v>
      </c>
      <c r="AU132" s="123">
        <v>0</v>
      </c>
      <c r="AV132" s="123">
        <v>0</v>
      </c>
      <c r="AW132" s="123">
        <v>0</v>
      </c>
      <c r="AX132" s="123">
        <v>0</v>
      </c>
      <c r="AY132" s="123">
        <v>0</v>
      </c>
    </row>
    <row r="133" spans="1:51" x14ac:dyDescent="0.2">
      <c r="A133" s="126"/>
      <c r="B133" s="135">
        <v>12</v>
      </c>
      <c r="C133" s="123">
        <v>0</v>
      </c>
      <c r="D133" s="123">
        <v>0</v>
      </c>
      <c r="E133" s="123">
        <v>0</v>
      </c>
      <c r="F133" s="123">
        <v>0</v>
      </c>
      <c r="G133" s="123">
        <v>0</v>
      </c>
      <c r="H133" s="123">
        <v>0</v>
      </c>
      <c r="I133" s="123">
        <v>0</v>
      </c>
      <c r="J133" s="123">
        <v>0</v>
      </c>
      <c r="K133" s="123">
        <v>0</v>
      </c>
      <c r="L133" s="123">
        <v>0</v>
      </c>
      <c r="M133" s="123">
        <v>0</v>
      </c>
      <c r="N133" s="123">
        <v>0</v>
      </c>
      <c r="O133" s="123">
        <v>0</v>
      </c>
      <c r="P133" s="123">
        <v>0</v>
      </c>
      <c r="Q133" s="123">
        <v>0</v>
      </c>
      <c r="R133" s="123">
        <v>0</v>
      </c>
      <c r="S133" s="123">
        <v>0</v>
      </c>
      <c r="T133" s="123">
        <v>0</v>
      </c>
      <c r="U133" s="123">
        <v>0</v>
      </c>
      <c r="V133" s="123">
        <v>0</v>
      </c>
      <c r="W133" s="123">
        <v>0</v>
      </c>
      <c r="X133" s="123">
        <v>0</v>
      </c>
      <c r="Y133" s="123">
        <v>0</v>
      </c>
      <c r="Z133" s="123">
        <v>0</v>
      </c>
      <c r="AA133" s="123">
        <v>0</v>
      </c>
      <c r="AB133" s="123">
        <v>0</v>
      </c>
      <c r="AC133" s="123">
        <v>0</v>
      </c>
      <c r="AD133" s="123">
        <v>0</v>
      </c>
      <c r="AE133" s="123">
        <v>0</v>
      </c>
      <c r="AF133" s="123">
        <v>0</v>
      </c>
      <c r="AG133" s="123">
        <v>0</v>
      </c>
      <c r="AH133" s="123">
        <v>0</v>
      </c>
      <c r="AI133" s="123">
        <v>0</v>
      </c>
      <c r="AJ133" s="123">
        <v>0</v>
      </c>
      <c r="AK133" s="123">
        <v>0</v>
      </c>
      <c r="AL133" s="123">
        <v>0</v>
      </c>
      <c r="AM133" s="123">
        <v>0</v>
      </c>
      <c r="AN133" s="123">
        <v>0</v>
      </c>
      <c r="AO133" s="123">
        <v>0</v>
      </c>
      <c r="AP133" s="123">
        <v>0</v>
      </c>
      <c r="AQ133" s="123">
        <v>0</v>
      </c>
      <c r="AR133" s="123">
        <v>0</v>
      </c>
      <c r="AS133" s="123">
        <v>0</v>
      </c>
      <c r="AT133" s="123">
        <v>0</v>
      </c>
      <c r="AU133" s="123">
        <v>0</v>
      </c>
      <c r="AV133" s="123">
        <v>0</v>
      </c>
      <c r="AW133" s="123">
        <v>0</v>
      </c>
      <c r="AX133" s="123">
        <v>0</v>
      </c>
      <c r="AY133" s="123">
        <v>0</v>
      </c>
    </row>
    <row r="134" spans="1:51" x14ac:dyDescent="0.2">
      <c r="A134" s="126"/>
      <c r="B134" s="136">
        <v>13</v>
      </c>
      <c r="C134" s="123">
        <v>0</v>
      </c>
      <c r="D134" s="123">
        <v>0</v>
      </c>
      <c r="E134" s="123">
        <v>0</v>
      </c>
      <c r="F134" s="123">
        <v>0</v>
      </c>
      <c r="G134" s="123">
        <v>0</v>
      </c>
      <c r="H134" s="123">
        <v>0</v>
      </c>
      <c r="I134" s="123">
        <v>0</v>
      </c>
      <c r="J134" s="123">
        <v>0</v>
      </c>
      <c r="K134" s="123">
        <v>0</v>
      </c>
      <c r="L134" s="123">
        <v>0</v>
      </c>
      <c r="M134" s="123">
        <v>0</v>
      </c>
      <c r="N134" s="123">
        <v>0</v>
      </c>
      <c r="O134" s="123">
        <v>0</v>
      </c>
      <c r="P134" s="123">
        <v>0</v>
      </c>
      <c r="Q134" s="123">
        <v>0</v>
      </c>
      <c r="R134" s="123">
        <v>0</v>
      </c>
      <c r="S134" s="123">
        <v>0</v>
      </c>
      <c r="T134" s="123">
        <v>0</v>
      </c>
      <c r="U134" s="123">
        <v>0</v>
      </c>
      <c r="V134" s="123">
        <v>0</v>
      </c>
      <c r="W134" s="123">
        <v>0</v>
      </c>
      <c r="X134" s="123">
        <v>0</v>
      </c>
      <c r="Y134" s="123">
        <v>0</v>
      </c>
      <c r="Z134" s="123">
        <v>0</v>
      </c>
      <c r="AA134" s="123">
        <v>0</v>
      </c>
      <c r="AB134" s="123">
        <v>0</v>
      </c>
      <c r="AC134" s="123">
        <v>0</v>
      </c>
      <c r="AD134" s="123">
        <v>0</v>
      </c>
      <c r="AE134" s="123">
        <v>0</v>
      </c>
      <c r="AF134" s="123">
        <v>0</v>
      </c>
      <c r="AG134" s="123">
        <v>0</v>
      </c>
      <c r="AH134" s="123">
        <v>0</v>
      </c>
      <c r="AI134" s="123">
        <v>0</v>
      </c>
      <c r="AJ134" s="123">
        <v>0</v>
      </c>
      <c r="AK134" s="123">
        <v>0</v>
      </c>
      <c r="AL134" s="123">
        <v>0</v>
      </c>
      <c r="AM134" s="123">
        <v>0</v>
      </c>
      <c r="AN134" s="123">
        <v>0</v>
      </c>
      <c r="AO134" s="123">
        <v>0</v>
      </c>
      <c r="AP134" s="123">
        <v>0</v>
      </c>
      <c r="AQ134" s="123">
        <v>0</v>
      </c>
      <c r="AR134" s="123">
        <v>0</v>
      </c>
      <c r="AS134" s="123">
        <v>0</v>
      </c>
      <c r="AT134" s="123">
        <v>0</v>
      </c>
      <c r="AU134" s="123">
        <v>0</v>
      </c>
      <c r="AV134" s="123">
        <v>0</v>
      </c>
      <c r="AW134" s="123">
        <v>0</v>
      </c>
      <c r="AX134" s="123">
        <v>0</v>
      </c>
      <c r="AY134" s="123">
        <v>0</v>
      </c>
    </row>
    <row r="135" spans="1:51" x14ac:dyDescent="0.2">
      <c r="A135" s="126"/>
      <c r="B135" s="136">
        <v>14</v>
      </c>
      <c r="C135" s="123">
        <v>0</v>
      </c>
      <c r="D135" s="123">
        <v>0</v>
      </c>
      <c r="E135" s="123">
        <v>0</v>
      </c>
      <c r="F135" s="123">
        <v>0</v>
      </c>
      <c r="G135" s="123">
        <v>0</v>
      </c>
      <c r="H135" s="123">
        <v>0</v>
      </c>
      <c r="I135" s="123">
        <v>0</v>
      </c>
      <c r="J135" s="123">
        <v>0</v>
      </c>
      <c r="K135" s="123">
        <v>0</v>
      </c>
      <c r="L135" s="123">
        <v>0</v>
      </c>
      <c r="M135" s="123">
        <v>0</v>
      </c>
      <c r="N135" s="123">
        <v>0</v>
      </c>
      <c r="O135" s="123">
        <v>0</v>
      </c>
      <c r="P135" s="123">
        <v>0</v>
      </c>
      <c r="Q135" s="123">
        <v>0</v>
      </c>
      <c r="R135" s="123">
        <v>0</v>
      </c>
      <c r="S135" s="123">
        <v>0</v>
      </c>
      <c r="T135" s="123">
        <v>0</v>
      </c>
      <c r="U135" s="123">
        <v>0</v>
      </c>
      <c r="V135" s="123">
        <v>0</v>
      </c>
      <c r="W135" s="123">
        <v>0</v>
      </c>
      <c r="X135" s="123">
        <v>0</v>
      </c>
      <c r="Y135" s="123">
        <v>0</v>
      </c>
      <c r="Z135" s="123">
        <v>0</v>
      </c>
      <c r="AA135" s="123">
        <v>0</v>
      </c>
      <c r="AB135" s="123">
        <v>0</v>
      </c>
      <c r="AC135" s="123">
        <v>0</v>
      </c>
      <c r="AD135" s="123">
        <v>0</v>
      </c>
      <c r="AE135" s="123">
        <v>0</v>
      </c>
      <c r="AF135" s="123">
        <v>0</v>
      </c>
      <c r="AG135" s="123">
        <v>0</v>
      </c>
      <c r="AH135" s="123">
        <v>0</v>
      </c>
      <c r="AI135" s="123">
        <v>0</v>
      </c>
      <c r="AJ135" s="123">
        <v>0</v>
      </c>
      <c r="AK135" s="123">
        <v>0</v>
      </c>
      <c r="AL135" s="123">
        <v>0</v>
      </c>
      <c r="AM135" s="123">
        <v>0</v>
      </c>
      <c r="AN135" s="123">
        <v>0</v>
      </c>
      <c r="AO135" s="123">
        <v>0</v>
      </c>
      <c r="AP135" s="123">
        <v>0</v>
      </c>
      <c r="AQ135" s="123">
        <v>0</v>
      </c>
      <c r="AR135" s="123">
        <v>0</v>
      </c>
      <c r="AS135" s="123">
        <v>0</v>
      </c>
      <c r="AT135" s="123">
        <v>0</v>
      </c>
      <c r="AU135" s="123">
        <v>0</v>
      </c>
      <c r="AV135" s="123">
        <v>0</v>
      </c>
      <c r="AW135" s="123">
        <v>0</v>
      </c>
      <c r="AX135" s="123">
        <v>0</v>
      </c>
      <c r="AY135" s="123">
        <v>0</v>
      </c>
    </row>
    <row r="136" spans="1:51" x14ac:dyDescent="0.2">
      <c r="A136" s="126"/>
      <c r="B136" s="136">
        <v>15</v>
      </c>
      <c r="C136" s="123">
        <v>0</v>
      </c>
      <c r="D136" s="123">
        <v>0</v>
      </c>
      <c r="E136" s="123">
        <v>0</v>
      </c>
      <c r="F136" s="123">
        <v>0</v>
      </c>
      <c r="G136" s="123">
        <v>0</v>
      </c>
      <c r="H136" s="123">
        <v>0</v>
      </c>
      <c r="I136" s="123">
        <v>0</v>
      </c>
      <c r="J136" s="123">
        <v>0</v>
      </c>
      <c r="K136" s="123">
        <v>0</v>
      </c>
      <c r="L136" s="123">
        <v>0</v>
      </c>
      <c r="M136" s="123">
        <v>0</v>
      </c>
      <c r="N136" s="123">
        <v>0</v>
      </c>
      <c r="O136" s="123">
        <v>0</v>
      </c>
      <c r="P136" s="123">
        <v>0</v>
      </c>
      <c r="Q136" s="123">
        <v>0</v>
      </c>
      <c r="R136" s="123">
        <v>0</v>
      </c>
      <c r="S136" s="123">
        <v>0</v>
      </c>
      <c r="T136" s="123">
        <v>0</v>
      </c>
      <c r="U136" s="123">
        <v>0</v>
      </c>
      <c r="V136" s="123">
        <v>0</v>
      </c>
      <c r="W136" s="123">
        <v>0</v>
      </c>
      <c r="X136" s="123">
        <v>0</v>
      </c>
      <c r="Y136" s="123">
        <v>0</v>
      </c>
      <c r="Z136" s="123">
        <v>0</v>
      </c>
      <c r="AA136" s="123">
        <v>0</v>
      </c>
      <c r="AB136" s="123">
        <v>0</v>
      </c>
      <c r="AC136" s="123">
        <v>0</v>
      </c>
      <c r="AD136" s="123">
        <v>0</v>
      </c>
      <c r="AE136" s="123">
        <v>0</v>
      </c>
      <c r="AF136" s="123">
        <v>0</v>
      </c>
      <c r="AG136" s="123">
        <v>0</v>
      </c>
      <c r="AH136" s="123">
        <v>0</v>
      </c>
      <c r="AI136" s="123">
        <v>0</v>
      </c>
      <c r="AJ136" s="123">
        <v>0</v>
      </c>
      <c r="AK136" s="123">
        <v>0</v>
      </c>
      <c r="AL136" s="123">
        <v>0</v>
      </c>
      <c r="AM136" s="123">
        <v>0</v>
      </c>
      <c r="AN136" s="123">
        <v>0</v>
      </c>
      <c r="AO136" s="123">
        <v>0</v>
      </c>
      <c r="AP136" s="123">
        <v>0</v>
      </c>
      <c r="AQ136" s="123">
        <v>0</v>
      </c>
      <c r="AR136" s="123">
        <v>0</v>
      </c>
      <c r="AS136" s="123">
        <v>0</v>
      </c>
      <c r="AT136" s="123">
        <v>0</v>
      </c>
      <c r="AU136" s="123">
        <v>0</v>
      </c>
      <c r="AV136" s="123">
        <v>0</v>
      </c>
      <c r="AW136" s="123">
        <v>0</v>
      </c>
      <c r="AX136" s="123">
        <v>0</v>
      </c>
      <c r="AY136" s="123">
        <v>0</v>
      </c>
    </row>
    <row r="137" spans="1:51" x14ac:dyDescent="0.2">
      <c r="A137" s="126"/>
      <c r="B137" s="136">
        <v>16</v>
      </c>
      <c r="C137" s="123">
        <v>0</v>
      </c>
      <c r="D137" s="123">
        <v>0</v>
      </c>
      <c r="E137" s="123">
        <v>0</v>
      </c>
      <c r="F137" s="123">
        <v>0</v>
      </c>
      <c r="G137" s="123">
        <v>0</v>
      </c>
      <c r="H137" s="123">
        <v>0</v>
      </c>
      <c r="I137" s="123">
        <v>0</v>
      </c>
      <c r="J137" s="123">
        <v>0</v>
      </c>
      <c r="K137" s="123">
        <v>0</v>
      </c>
      <c r="L137" s="123">
        <v>0</v>
      </c>
      <c r="M137" s="123">
        <v>0</v>
      </c>
      <c r="N137" s="123">
        <v>0</v>
      </c>
      <c r="O137" s="123">
        <v>0</v>
      </c>
      <c r="P137" s="123">
        <v>0</v>
      </c>
      <c r="Q137" s="123">
        <v>0</v>
      </c>
      <c r="R137" s="123">
        <v>0</v>
      </c>
      <c r="S137" s="123">
        <v>0</v>
      </c>
      <c r="T137" s="123">
        <v>0</v>
      </c>
      <c r="U137" s="123">
        <v>0</v>
      </c>
      <c r="V137" s="123">
        <v>0</v>
      </c>
      <c r="W137" s="123">
        <v>0</v>
      </c>
      <c r="X137" s="123">
        <v>0</v>
      </c>
      <c r="Y137" s="123">
        <v>0</v>
      </c>
      <c r="Z137" s="123">
        <v>0</v>
      </c>
      <c r="AA137" s="123">
        <v>0</v>
      </c>
      <c r="AB137" s="123">
        <v>0</v>
      </c>
      <c r="AC137" s="123">
        <v>0</v>
      </c>
      <c r="AD137" s="123">
        <v>0</v>
      </c>
      <c r="AE137" s="123">
        <v>0</v>
      </c>
      <c r="AF137" s="123">
        <v>0</v>
      </c>
      <c r="AG137" s="123">
        <v>0</v>
      </c>
      <c r="AH137" s="123">
        <v>0</v>
      </c>
      <c r="AI137" s="123">
        <v>0</v>
      </c>
      <c r="AJ137" s="123">
        <v>0</v>
      </c>
      <c r="AK137" s="123">
        <v>0</v>
      </c>
      <c r="AL137" s="123">
        <v>0</v>
      </c>
      <c r="AM137" s="123">
        <v>0</v>
      </c>
      <c r="AN137" s="123">
        <v>0</v>
      </c>
      <c r="AO137" s="123">
        <v>0</v>
      </c>
      <c r="AP137" s="123">
        <v>0</v>
      </c>
      <c r="AQ137" s="123">
        <v>0</v>
      </c>
      <c r="AR137" s="123">
        <v>0</v>
      </c>
      <c r="AS137" s="123">
        <v>0</v>
      </c>
      <c r="AT137" s="123">
        <v>0</v>
      </c>
      <c r="AU137" s="123">
        <v>0</v>
      </c>
      <c r="AV137" s="123">
        <v>0</v>
      </c>
      <c r="AW137" s="123">
        <v>0</v>
      </c>
      <c r="AX137" s="123">
        <v>0</v>
      </c>
      <c r="AY137" s="123">
        <v>0</v>
      </c>
    </row>
    <row r="138" spans="1:51" x14ac:dyDescent="0.2">
      <c r="A138" s="126"/>
      <c r="B138" s="136">
        <v>17</v>
      </c>
      <c r="C138" s="123">
        <v>0</v>
      </c>
      <c r="D138" s="123">
        <v>0</v>
      </c>
      <c r="E138" s="123">
        <v>0</v>
      </c>
      <c r="F138" s="123">
        <v>0</v>
      </c>
      <c r="G138" s="123">
        <v>0</v>
      </c>
      <c r="H138" s="123">
        <v>0</v>
      </c>
      <c r="I138" s="123">
        <v>0</v>
      </c>
      <c r="J138" s="123">
        <v>0</v>
      </c>
      <c r="K138" s="123">
        <v>0</v>
      </c>
      <c r="L138" s="123">
        <v>0</v>
      </c>
      <c r="M138" s="123">
        <v>0</v>
      </c>
      <c r="N138" s="123">
        <v>0</v>
      </c>
      <c r="O138" s="123">
        <v>0</v>
      </c>
      <c r="P138" s="123">
        <v>0</v>
      </c>
      <c r="Q138" s="123">
        <v>0</v>
      </c>
      <c r="R138" s="123">
        <v>0</v>
      </c>
      <c r="S138" s="123">
        <v>0</v>
      </c>
      <c r="T138" s="123">
        <v>0</v>
      </c>
      <c r="U138" s="123">
        <v>0</v>
      </c>
      <c r="V138" s="123">
        <v>0</v>
      </c>
      <c r="W138" s="123">
        <v>0</v>
      </c>
      <c r="X138" s="123">
        <v>0</v>
      </c>
      <c r="Y138" s="123">
        <v>0</v>
      </c>
      <c r="Z138" s="123">
        <v>0</v>
      </c>
      <c r="AA138" s="123">
        <v>0</v>
      </c>
      <c r="AB138" s="123">
        <v>0</v>
      </c>
      <c r="AC138" s="123">
        <v>0</v>
      </c>
      <c r="AD138" s="123">
        <v>0</v>
      </c>
      <c r="AE138" s="123">
        <v>0</v>
      </c>
      <c r="AF138" s="123">
        <v>0</v>
      </c>
      <c r="AG138" s="123">
        <v>0</v>
      </c>
      <c r="AH138" s="123">
        <v>0</v>
      </c>
      <c r="AI138" s="123">
        <v>0</v>
      </c>
      <c r="AJ138" s="123">
        <v>0</v>
      </c>
      <c r="AK138" s="123">
        <v>0</v>
      </c>
      <c r="AL138" s="123">
        <v>0</v>
      </c>
      <c r="AM138" s="123">
        <v>0</v>
      </c>
      <c r="AN138" s="123">
        <v>0</v>
      </c>
      <c r="AO138" s="123">
        <v>0</v>
      </c>
      <c r="AP138" s="123">
        <v>0</v>
      </c>
      <c r="AQ138" s="123">
        <v>0</v>
      </c>
      <c r="AR138" s="123">
        <v>0</v>
      </c>
      <c r="AS138" s="123">
        <v>0</v>
      </c>
      <c r="AT138" s="123">
        <v>0</v>
      </c>
      <c r="AU138" s="123">
        <v>0</v>
      </c>
      <c r="AV138" s="123">
        <v>0</v>
      </c>
      <c r="AW138" s="123">
        <v>0</v>
      </c>
      <c r="AX138" s="123">
        <v>0</v>
      </c>
      <c r="AY138" s="123">
        <v>0</v>
      </c>
    </row>
    <row r="139" spans="1:51" x14ac:dyDescent="0.2">
      <c r="A139" s="126"/>
      <c r="B139" s="136">
        <v>18</v>
      </c>
      <c r="C139" s="123">
        <v>0</v>
      </c>
      <c r="D139" s="123">
        <v>0</v>
      </c>
      <c r="E139" s="123">
        <v>0</v>
      </c>
      <c r="F139" s="123">
        <v>0</v>
      </c>
      <c r="G139" s="123">
        <v>0</v>
      </c>
      <c r="H139" s="123">
        <v>0</v>
      </c>
      <c r="I139" s="123">
        <v>0</v>
      </c>
      <c r="J139" s="123">
        <v>0</v>
      </c>
      <c r="K139" s="123">
        <v>0</v>
      </c>
      <c r="L139" s="123">
        <v>0</v>
      </c>
      <c r="M139" s="123">
        <v>0</v>
      </c>
      <c r="N139" s="123">
        <v>0</v>
      </c>
      <c r="O139" s="123">
        <v>0</v>
      </c>
      <c r="P139" s="123">
        <v>0</v>
      </c>
      <c r="Q139" s="123">
        <v>0</v>
      </c>
      <c r="R139" s="123">
        <v>0</v>
      </c>
      <c r="S139" s="123">
        <v>0</v>
      </c>
      <c r="T139" s="123">
        <v>0</v>
      </c>
      <c r="U139" s="123">
        <v>0</v>
      </c>
      <c r="V139" s="123">
        <v>0</v>
      </c>
      <c r="W139" s="123">
        <v>0</v>
      </c>
      <c r="X139" s="123">
        <v>0</v>
      </c>
      <c r="Y139" s="123">
        <v>0</v>
      </c>
      <c r="Z139" s="123">
        <v>0</v>
      </c>
      <c r="AA139" s="123">
        <v>0</v>
      </c>
      <c r="AB139" s="123">
        <v>0</v>
      </c>
      <c r="AC139" s="123">
        <v>0</v>
      </c>
      <c r="AD139" s="123">
        <v>0</v>
      </c>
      <c r="AE139" s="123">
        <v>0</v>
      </c>
      <c r="AF139" s="123">
        <v>0</v>
      </c>
      <c r="AG139" s="123">
        <v>0</v>
      </c>
      <c r="AH139" s="123">
        <v>0</v>
      </c>
      <c r="AI139" s="123">
        <v>0</v>
      </c>
      <c r="AJ139" s="123">
        <v>0</v>
      </c>
      <c r="AK139" s="123">
        <v>0</v>
      </c>
      <c r="AL139" s="123">
        <v>0</v>
      </c>
      <c r="AM139" s="123">
        <v>0</v>
      </c>
      <c r="AN139" s="123">
        <v>0</v>
      </c>
      <c r="AO139" s="123">
        <v>0</v>
      </c>
      <c r="AP139" s="123">
        <v>0</v>
      </c>
      <c r="AQ139" s="123">
        <v>0</v>
      </c>
      <c r="AR139" s="123">
        <v>0</v>
      </c>
      <c r="AS139" s="123">
        <v>0</v>
      </c>
      <c r="AT139" s="123">
        <v>0</v>
      </c>
      <c r="AU139" s="123">
        <v>0</v>
      </c>
      <c r="AV139" s="123">
        <v>0</v>
      </c>
      <c r="AW139" s="123">
        <v>0</v>
      </c>
      <c r="AX139" s="123">
        <v>0</v>
      </c>
      <c r="AY139" s="123">
        <v>0</v>
      </c>
    </row>
    <row r="140" spans="1:51" x14ac:dyDescent="0.2">
      <c r="A140" s="126"/>
      <c r="B140" s="136">
        <v>19</v>
      </c>
      <c r="C140" s="123">
        <v>0</v>
      </c>
      <c r="D140" s="123">
        <v>0</v>
      </c>
      <c r="E140" s="123">
        <v>0</v>
      </c>
      <c r="F140" s="123">
        <v>0</v>
      </c>
      <c r="G140" s="123">
        <v>0</v>
      </c>
      <c r="H140" s="123">
        <v>0</v>
      </c>
      <c r="I140" s="123">
        <v>0</v>
      </c>
      <c r="J140" s="123">
        <v>0</v>
      </c>
      <c r="K140" s="123">
        <v>0</v>
      </c>
      <c r="L140" s="123">
        <v>0</v>
      </c>
      <c r="M140" s="123">
        <v>0</v>
      </c>
      <c r="N140" s="123">
        <v>0</v>
      </c>
      <c r="O140" s="123">
        <v>0</v>
      </c>
      <c r="P140" s="123">
        <v>0</v>
      </c>
      <c r="Q140" s="123">
        <v>0</v>
      </c>
      <c r="R140" s="123">
        <v>0</v>
      </c>
      <c r="S140" s="123">
        <v>0</v>
      </c>
      <c r="T140" s="123">
        <v>0</v>
      </c>
      <c r="U140" s="123">
        <v>0</v>
      </c>
      <c r="V140" s="123">
        <v>0</v>
      </c>
      <c r="W140" s="123">
        <v>0</v>
      </c>
      <c r="X140" s="123">
        <v>0</v>
      </c>
      <c r="Y140" s="123">
        <v>0</v>
      </c>
      <c r="Z140" s="123">
        <v>0</v>
      </c>
      <c r="AA140" s="123">
        <v>0</v>
      </c>
      <c r="AB140" s="123">
        <v>0</v>
      </c>
      <c r="AC140" s="123">
        <v>0</v>
      </c>
      <c r="AD140" s="123">
        <v>0</v>
      </c>
      <c r="AE140" s="123">
        <v>0</v>
      </c>
      <c r="AF140" s="123">
        <v>0</v>
      </c>
      <c r="AG140" s="123">
        <v>0</v>
      </c>
      <c r="AH140" s="123">
        <v>0</v>
      </c>
      <c r="AI140" s="123">
        <v>0</v>
      </c>
      <c r="AJ140" s="123">
        <v>0</v>
      </c>
      <c r="AK140" s="123">
        <v>0</v>
      </c>
      <c r="AL140" s="123">
        <v>0</v>
      </c>
      <c r="AM140" s="123">
        <v>0</v>
      </c>
      <c r="AN140" s="123">
        <v>0</v>
      </c>
      <c r="AO140" s="123">
        <v>0</v>
      </c>
      <c r="AP140" s="123">
        <v>0</v>
      </c>
      <c r="AQ140" s="123">
        <v>0</v>
      </c>
      <c r="AR140" s="123">
        <v>0</v>
      </c>
      <c r="AS140" s="123">
        <v>0</v>
      </c>
      <c r="AT140" s="123">
        <v>0</v>
      </c>
      <c r="AU140" s="123">
        <v>0</v>
      </c>
      <c r="AV140" s="123">
        <v>0</v>
      </c>
      <c r="AW140" s="123">
        <v>0</v>
      </c>
      <c r="AX140" s="123">
        <v>0</v>
      </c>
      <c r="AY140" s="123">
        <v>0</v>
      </c>
    </row>
    <row r="141" spans="1:51" x14ac:dyDescent="0.2">
      <c r="A141" s="126"/>
      <c r="B141" s="136">
        <v>20</v>
      </c>
      <c r="C141" s="123">
        <v>0</v>
      </c>
      <c r="D141" s="123">
        <v>0</v>
      </c>
      <c r="E141" s="123">
        <v>0</v>
      </c>
      <c r="F141" s="123">
        <v>0</v>
      </c>
      <c r="G141" s="123">
        <v>0</v>
      </c>
      <c r="H141" s="123">
        <v>0</v>
      </c>
      <c r="I141" s="123">
        <v>0</v>
      </c>
      <c r="J141" s="123">
        <v>0</v>
      </c>
      <c r="K141" s="123">
        <v>0</v>
      </c>
      <c r="L141" s="123">
        <v>0</v>
      </c>
      <c r="M141" s="123">
        <v>0</v>
      </c>
      <c r="N141" s="123">
        <v>0</v>
      </c>
      <c r="O141" s="123">
        <v>0</v>
      </c>
      <c r="P141" s="123">
        <v>0</v>
      </c>
      <c r="Q141" s="123">
        <v>0</v>
      </c>
      <c r="R141" s="123">
        <v>0</v>
      </c>
      <c r="S141" s="123">
        <v>0</v>
      </c>
      <c r="T141" s="123">
        <v>0</v>
      </c>
      <c r="U141" s="123">
        <v>0</v>
      </c>
      <c r="V141" s="123">
        <v>0</v>
      </c>
      <c r="W141" s="123">
        <v>0</v>
      </c>
      <c r="X141" s="123">
        <v>0</v>
      </c>
      <c r="Y141" s="123">
        <v>0</v>
      </c>
      <c r="Z141" s="123">
        <v>0</v>
      </c>
      <c r="AA141" s="123">
        <v>0</v>
      </c>
      <c r="AB141" s="123">
        <v>0</v>
      </c>
      <c r="AC141" s="123">
        <v>0</v>
      </c>
      <c r="AD141" s="123">
        <v>0</v>
      </c>
      <c r="AE141" s="123">
        <v>0</v>
      </c>
      <c r="AF141" s="123">
        <v>0</v>
      </c>
      <c r="AG141" s="123">
        <v>0</v>
      </c>
      <c r="AH141" s="123">
        <v>0</v>
      </c>
      <c r="AI141" s="123">
        <v>0</v>
      </c>
      <c r="AJ141" s="123">
        <v>0</v>
      </c>
      <c r="AK141" s="123">
        <v>0</v>
      </c>
      <c r="AL141" s="123">
        <v>0</v>
      </c>
      <c r="AM141" s="123">
        <v>0</v>
      </c>
      <c r="AN141" s="123">
        <v>0</v>
      </c>
      <c r="AO141" s="123">
        <v>0</v>
      </c>
      <c r="AP141" s="123">
        <v>0</v>
      </c>
      <c r="AQ141" s="123">
        <v>0</v>
      </c>
      <c r="AR141" s="123">
        <v>0</v>
      </c>
      <c r="AS141" s="123">
        <v>0</v>
      </c>
      <c r="AT141" s="123">
        <v>0</v>
      </c>
      <c r="AU141" s="123">
        <v>0</v>
      </c>
      <c r="AV141" s="123">
        <v>0</v>
      </c>
      <c r="AW141" s="123">
        <v>0</v>
      </c>
      <c r="AX141" s="123">
        <v>0</v>
      </c>
      <c r="AY141" s="123">
        <v>0</v>
      </c>
    </row>
    <row r="142" spans="1:51" x14ac:dyDescent="0.2">
      <c r="A142" s="126"/>
      <c r="B142" s="136">
        <v>21</v>
      </c>
      <c r="C142" s="123">
        <v>0</v>
      </c>
      <c r="D142" s="123">
        <v>0</v>
      </c>
      <c r="E142" s="123">
        <v>0</v>
      </c>
      <c r="F142" s="123">
        <v>0</v>
      </c>
      <c r="G142" s="123">
        <v>0</v>
      </c>
      <c r="H142" s="123">
        <v>0</v>
      </c>
      <c r="I142" s="123">
        <v>0</v>
      </c>
      <c r="J142" s="123">
        <v>0</v>
      </c>
      <c r="K142" s="123">
        <v>0</v>
      </c>
      <c r="L142" s="123">
        <v>0</v>
      </c>
      <c r="M142" s="123">
        <v>0</v>
      </c>
      <c r="N142" s="123">
        <v>0</v>
      </c>
      <c r="O142" s="123">
        <v>0</v>
      </c>
      <c r="P142" s="123">
        <v>0</v>
      </c>
      <c r="Q142" s="123">
        <v>0</v>
      </c>
      <c r="R142" s="123">
        <v>0</v>
      </c>
      <c r="S142" s="123">
        <v>0</v>
      </c>
      <c r="T142" s="123">
        <v>0</v>
      </c>
      <c r="U142" s="123">
        <v>0</v>
      </c>
      <c r="V142" s="123">
        <v>0</v>
      </c>
      <c r="W142" s="123">
        <v>0</v>
      </c>
      <c r="X142" s="123">
        <v>0</v>
      </c>
      <c r="Y142" s="123">
        <v>0</v>
      </c>
      <c r="Z142" s="123">
        <v>0</v>
      </c>
      <c r="AA142" s="123">
        <v>0</v>
      </c>
      <c r="AB142" s="123">
        <v>0</v>
      </c>
      <c r="AC142" s="123">
        <v>0</v>
      </c>
      <c r="AD142" s="123">
        <v>0</v>
      </c>
      <c r="AE142" s="123">
        <v>0</v>
      </c>
      <c r="AF142" s="123">
        <v>0</v>
      </c>
      <c r="AG142" s="123">
        <v>0</v>
      </c>
      <c r="AH142" s="123">
        <v>0</v>
      </c>
      <c r="AI142" s="123">
        <v>0</v>
      </c>
      <c r="AJ142" s="123">
        <v>0</v>
      </c>
      <c r="AK142" s="123">
        <v>0</v>
      </c>
      <c r="AL142" s="123">
        <v>0</v>
      </c>
      <c r="AM142" s="123">
        <v>0</v>
      </c>
      <c r="AN142" s="123">
        <v>0</v>
      </c>
      <c r="AO142" s="123">
        <v>0</v>
      </c>
      <c r="AP142" s="123">
        <v>0</v>
      </c>
      <c r="AQ142" s="123">
        <v>0</v>
      </c>
      <c r="AR142" s="123">
        <v>0</v>
      </c>
      <c r="AS142" s="123">
        <v>0</v>
      </c>
      <c r="AT142" s="123">
        <v>0</v>
      </c>
      <c r="AU142" s="123">
        <v>0</v>
      </c>
      <c r="AV142" s="123">
        <v>0</v>
      </c>
      <c r="AW142" s="123">
        <v>0</v>
      </c>
      <c r="AX142" s="123">
        <v>0</v>
      </c>
      <c r="AY142" s="123">
        <v>0</v>
      </c>
    </row>
    <row r="143" spans="1:51" x14ac:dyDescent="0.2">
      <c r="A143" s="126"/>
      <c r="B143" s="136">
        <v>22</v>
      </c>
      <c r="C143" s="123">
        <v>0</v>
      </c>
      <c r="D143" s="123">
        <v>0</v>
      </c>
      <c r="E143" s="123">
        <v>0</v>
      </c>
      <c r="F143" s="123">
        <v>0</v>
      </c>
      <c r="G143" s="123">
        <v>0</v>
      </c>
      <c r="H143" s="123">
        <v>0</v>
      </c>
      <c r="I143" s="123">
        <v>0</v>
      </c>
      <c r="J143" s="123">
        <v>0</v>
      </c>
      <c r="K143" s="123">
        <v>0</v>
      </c>
      <c r="L143" s="123">
        <v>0</v>
      </c>
      <c r="M143" s="123">
        <v>0</v>
      </c>
      <c r="N143" s="123">
        <v>0</v>
      </c>
      <c r="O143" s="123">
        <v>0</v>
      </c>
      <c r="P143" s="123">
        <v>0</v>
      </c>
      <c r="Q143" s="123">
        <v>0</v>
      </c>
      <c r="R143" s="123">
        <v>0</v>
      </c>
      <c r="S143" s="123">
        <v>0</v>
      </c>
      <c r="T143" s="123">
        <v>0</v>
      </c>
      <c r="U143" s="123">
        <v>0</v>
      </c>
      <c r="V143" s="123">
        <v>0</v>
      </c>
      <c r="W143" s="123">
        <v>0</v>
      </c>
      <c r="X143" s="123">
        <v>0</v>
      </c>
      <c r="Y143" s="123">
        <v>0</v>
      </c>
      <c r="Z143" s="123">
        <v>0</v>
      </c>
      <c r="AA143" s="123">
        <v>0</v>
      </c>
      <c r="AB143" s="123">
        <v>0</v>
      </c>
      <c r="AC143" s="123">
        <v>0</v>
      </c>
      <c r="AD143" s="123">
        <v>0</v>
      </c>
      <c r="AE143" s="123">
        <v>0</v>
      </c>
      <c r="AF143" s="123">
        <v>0</v>
      </c>
      <c r="AG143" s="123">
        <v>0</v>
      </c>
      <c r="AH143" s="123">
        <v>0</v>
      </c>
      <c r="AI143" s="123">
        <v>0</v>
      </c>
      <c r="AJ143" s="123">
        <v>0</v>
      </c>
      <c r="AK143" s="123">
        <v>0</v>
      </c>
      <c r="AL143" s="123">
        <v>0</v>
      </c>
      <c r="AM143" s="123">
        <v>0</v>
      </c>
      <c r="AN143" s="123">
        <v>0</v>
      </c>
      <c r="AO143" s="123">
        <v>0</v>
      </c>
      <c r="AP143" s="123">
        <v>0</v>
      </c>
      <c r="AQ143" s="123">
        <v>0</v>
      </c>
      <c r="AR143" s="123">
        <v>0</v>
      </c>
      <c r="AS143" s="123">
        <v>0</v>
      </c>
      <c r="AT143" s="123">
        <v>0</v>
      </c>
      <c r="AU143" s="123">
        <v>0</v>
      </c>
      <c r="AV143" s="123">
        <v>0</v>
      </c>
      <c r="AW143" s="123">
        <v>0</v>
      </c>
      <c r="AX143" s="123">
        <v>0</v>
      </c>
      <c r="AY143" s="123">
        <v>0</v>
      </c>
    </row>
    <row r="144" spans="1:51" x14ac:dyDescent="0.2">
      <c r="A144" s="126"/>
      <c r="B144" s="136">
        <v>23</v>
      </c>
      <c r="C144" s="123">
        <v>0</v>
      </c>
      <c r="D144" s="123">
        <v>0</v>
      </c>
      <c r="E144" s="123">
        <v>0</v>
      </c>
      <c r="F144" s="123">
        <v>0</v>
      </c>
      <c r="G144" s="123">
        <v>0</v>
      </c>
      <c r="H144" s="123">
        <v>0</v>
      </c>
      <c r="I144" s="123">
        <v>0</v>
      </c>
      <c r="J144" s="123">
        <v>0</v>
      </c>
      <c r="K144" s="123">
        <v>0</v>
      </c>
      <c r="L144" s="123">
        <v>0</v>
      </c>
      <c r="M144" s="123">
        <v>0</v>
      </c>
      <c r="N144" s="123">
        <v>0</v>
      </c>
      <c r="O144" s="123">
        <v>0</v>
      </c>
      <c r="P144" s="123">
        <v>0</v>
      </c>
      <c r="Q144" s="123">
        <v>0</v>
      </c>
      <c r="R144" s="123">
        <v>0</v>
      </c>
      <c r="S144" s="123">
        <v>0</v>
      </c>
      <c r="T144" s="123">
        <v>0</v>
      </c>
      <c r="U144" s="123">
        <v>0</v>
      </c>
      <c r="V144" s="123">
        <v>0</v>
      </c>
      <c r="W144" s="123">
        <v>0</v>
      </c>
      <c r="X144" s="123">
        <v>0</v>
      </c>
      <c r="Y144" s="123">
        <v>0</v>
      </c>
      <c r="Z144" s="123">
        <v>0</v>
      </c>
      <c r="AA144" s="123">
        <v>0</v>
      </c>
      <c r="AB144" s="123">
        <v>0</v>
      </c>
      <c r="AC144" s="123">
        <v>0</v>
      </c>
      <c r="AD144" s="123">
        <v>0</v>
      </c>
      <c r="AE144" s="123">
        <v>0</v>
      </c>
      <c r="AF144" s="123">
        <v>0</v>
      </c>
      <c r="AG144" s="123">
        <v>0</v>
      </c>
      <c r="AH144" s="123">
        <v>0</v>
      </c>
      <c r="AI144" s="123">
        <v>0</v>
      </c>
      <c r="AJ144" s="123">
        <v>0</v>
      </c>
      <c r="AK144" s="123">
        <v>0</v>
      </c>
      <c r="AL144" s="123">
        <v>0</v>
      </c>
      <c r="AM144" s="123">
        <v>0</v>
      </c>
      <c r="AN144" s="123">
        <v>0</v>
      </c>
      <c r="AO144" s="123">
        <v>0</v>
      </c>
      <c r="AP144" s="123">
        <v>0</v>
      </c>
      <c r="AQ144" s="123">
        <v>0</v>
      </c>
      <c r="AR144" s="123">
        <v>0</v>
      </c>
      <c r="AS144" s="123">
        <v>0</v>
      </c>
      <c r="AT144" s="123">
        <v>0</v>
      </c>
      <c r="AU144" s="123">
        <v>0</v>
      </c>
      <c r="AV144" s="123">
        <v>0</v>
      </c>
      <c r="AW144" s="123">
        <v>0</v>
      </c>
      <c r="AX144" s="123">
        <v>0</v>
      </c>
      <c r="AY144" s="123">
        <v>0</v>
      </c>
    </row>
    <row r="145" spans="1:51" x14ac:dyDescent="0.2">
      <c r="A145" s="126"/>
      <c r="B145" s="136">
        <v>24</v>
      </c>
      <c r="C145" s="123">
        <v>0</v>
      </c>
      <c r="D145" s="123">
        <v>0</v>
      </c>
      <c r="E145" s="123">
        <v>0</v>
      </c>
      <c r="F145" s="123">
        <v>0</v>
      </c>
      <c r="G145" s="123">
        <v>0</v>
      </c>
      <c r="H145" s="123">
        <v>0</v>
      </c>
      <c r="I145" s="123">
        <v>0</v>
      </c>
      <c r="J145" s="123">
        <v>0</v>
      </c>
      <c r="K145" s="123">
        <v>0</v>
      </c>
      <c r="L145" s="123">
        <v>0</v>
      </c>
      <c r="M145" s="123">
        <v>0</v>
      </c>
      <c r="N145" s="123">
        <v>0</v>
      </c>
      <c r="O145" s="123">
        <v>0</v>
      </c>
      <c r="P145" s="123">
        <v>0</v>
      </c>
      <c r="Q145" s="123">
        <v>0</v>
      </c>
      <c r="R145" s="123">
        <v>0</v>
      </c>
      <c r="S145" s="123">
        <v>0</v>
      </c>
      <c r="T145" s="123">
        <v>0</v>
      </c>
      <c r="U145" s="123">
        <v>0</v>
      </c>
      <c r="V145" s="123">
        <v>0</v>
      </c>
      <c r="W145" s="123">
        <v>0</v>
      </c>
      <c r="X145" s="123">
        <v>0</v>
      </c>
      <c r="Y145" s="123">
        <v>0</v>
      </c>
      <c r="Z145" s="123">
        <v>0</v>
      </c>
      <c r="AA145" s="123">
        <v>0</v>
      </c>
      <c r="AB145" s="123">
        <v>0</v>
      </c>
      <c r="AC145" s="123">
        <v>0</v>
      </c>
      <c r="AD145" s="123">
        <v>0</v>
      </c>
      <c r="AE145" s="123">
        <v>0</v>
      </c>
      <c r="AF145" s="123">
        <v>0</v>
      </c>
      <c r="AG145" s="123">
        <v>0</v>
      </c>
      <c r="AH145" s="123">
        <v>0</v>
      </c>
      <c r="AI145" s="123">
        <v>0</v>
      </c>
      <c r="AJ145" s="123">
        <v>0</v>
      </c>
      <c r="AK145" s="123">
        <v>0</v>
      </c>
      <c r="AL145" s="123">
        <v>0</v>
      </c>
      <c r="AM145" s="123">
        <v>0</v>
      </c>
      <c r="AN145" s="123">
        <v>0</v>
      </c>
      <c r="AO145" s="123">
        <v>0</v>
      </c>
      <c r="AP145" s="123">
        <v>0</v>
      </c>
      <c r="AQ145" s="123">
        <v>0</v>
      </c>
      <c r="AR145" s="123">
        <v>0</v>
      </c>
      <c r="AS145" s="123">
        <v>0</v>
      </c>
      <c r="AT145" s="123">
        <v>0</v>
      </c>
      <c r="AU145" s="123">
        <v>0</v>
      </c>
      <c r="AV145" s="123">
        <v>0</v>
      </c>
      <c r="AW145" s="123">
        <v>0</v>
      </c>
      <c r="AX145" s="123">
        <v>0</v>
      </c>
      <c r="AY145" s="123">
        <v>0</v>
      </c>
    </row>
    <row r="146" spans="1:51" x14ac:dyDescent="0.2">
      <c r="A146" s="126"/>
      <c r="B146" s="143">
        <v>25</v>
      </c>
      <c r="C146" s="123">
        <v>0</v>
      </c>
      <c r="D146" s="123">
        <v>0</v>
      </c>
      <c r="E146" s="123">
        <v>0</v>
      </c>
      <c r="F146" s="123">
        <v>0</v>
      </c>
      <c r="G146" s="123">
        <v>0</v>
      </c>
      <c r="H146" s="123">
        <v>0</v>
      </c>
      <c r="I146" s="123">
        <v>0</v>
      </c>
      <c r="J146" s="123">
        <v>0</v>
      </c>
      <c r="K146" s="123">
        <v>0</v>
      </c>
      <c r="L146" s="123">
        <v>0</v>
      </c>
      <c r="M146" s="123">
        <v>0</v>
      </c>
      <c r="N146" s="123">
        <v>0</v>
      </c>
      <c r="O146" s="123">
        <v>0</v>
      </c>
      <c r="P146" s="123">
        <v>0</v>
      </c>
      <c r="Q146" s="123">
        <v>0</v>
      </c>
      <c r="R146" s="123">
        <v>0</v>
      </c>
      <c r="S146" s="123">
        <v>0</v>
      </c>
      <c r="T146" s="123">
        <v>0</v>
      </c>
      <c r="U146" s="123">
        <v>0</v>
      </c>
      <c r="V146" s="123">
        <v>0</v>
      </c>
      <c r="W146" s="123">
        <v>0</v>
      </c>
      <c r="X146" s="123">
        <v>0</v>
      </c>
      <c r="Y146" s="123">
        <v>0</v>
      </c>
      <c r="Z146" s="123">
        <v>0</v>
      </c>
      <c r="AA146" s="123">
        <v>0</v>
      </c>
      <c r="AB146" s="123">
        <v>0</v>
      </c>
      <c r="AC146" s="123">
        <v>0</v>
      </c>
      <c r="AD146" s="123">
        <v>0</v>
      </c>
      <c r="AE146" s="123">
        <v>0</v>
      </c>
      <c r="AF146" s="123">
        <v>0</v>
      </c>
      <c r="AG146" s="123">
        <v>0</v>
      </c>
      <c r="AH146" s="123">
        <v>0</v>
      </c>
      <c r="AI146" s="123">
        <v>0</v>
      </c>
      <c r="AJ146" s="123">
        <v>0</v>
      </c>
      <c r="AK146" s="123">
        <v>0</v>
      </c>
      <c r="AL146" s="123">
        <v>0</v>
      </c>
      <c r="AM146" s="123">
        <v>0</v>
      </c>
      <c r="AN146" s="123">
        <v>0</v>
      </c>
      <c r="AO146" s="123">
        <v>0</v>
      </c>
      <c r="AP146" s="123">
        <v>0</v>
      </c>
      <c r="AQ146" s="123">
        <v>0</v>
      </c>
      <c r="AR146" s="123">
        <v>0</v>
      </c>
      <c r="AS146" s="123">
        <v>0</v>
      </c>
      <c r="AT146" s="123">
        <v>0</v>
      </c>
      <c r="AU146" s="123">
        <v>0</v>
      </c>
      <c r="AV146" s="123">
        <v>0</v>
      </c>
      <c r="AW146" s="123">
        <v>0</v>
      </c>
      <c r="AX146" s="123">
        <v>0</v>
      </c>
      <c r="AY146" s="123">
        <v>0</v>
      </c>
    </row>
    <row r="147" spans="1:51" x14ac:dyDescent="0.2">
      <c r="A147" s="126"/>
      <c r="B147" s="143">
        <v>26</v>
      </c>
      <c r="C147" s="123">
        <v>0</v>
      </c>
      <c r="D147" s="123">
        <v>0</v>
      </c>
      <c r="E147" s="123">
        <v>0</v>
      </c>
      <c r="F147" s="123">
        <v>0</v>
      </c>
      <c r="G147" s="123">
        <v>0</v>
      </c>
      <c r="H147" s="123">
        <v>0</v>
      </c>
      <c r="I147" s="123">
        <v>0</v>
      </c>
      <c r="J147" s="123">
        <v>0</v>
      </c>
      <c r="K147" s="123">
        <v>0</v>
      </c>
      <c r="L147" s="123">
        <v>0</v>
      </c>
      <c r="M147" s="123">
        <v>0</v>
      </c>
      <c r="N147" s="123">
        <v>0</v>
      </c>
      <c r="O147" s="123">
        <v>0</v>
      </c>
      <c r="P147" s="123">
        <v>0</v>
      </c>
      <c r="Q147" s="123">
        <v>0</v>
      </c>
      <c r="R147" s="123">
        <v>0</v>
      </c>
      <c r="S147" s="123">
        <v>0</v>
      </c>
      <c r="T147" s="123">
        <v>0</v>
      </c>
      <c r="U147" s="123">
        <v>0</v>
      </c>
      <c r="V147" s="123">
        <v>0</v>
      </c>
      <c r="W147" s="123">
        <v>0</v>
      </c>
      <c r="X147" s="123">
        <v>0</v>
      </c>
      <c r="Y147" s="123">
        <v>0</v>
      </c>
      <c r="Z147" s="123">
        <v>0</v>
      </c>
      <c r="AA147" s="123">
        <v>0</v>
      </c>
      <c r="AB147" s="123">
        <v>0</v>
      </c>
      <c r="AC147" s="123">
        <v>0</v>
      </c>
      <c r="AD147" s="123">
        <v>0</v>
      </c>
      <c r="AE147" s="123">
        <v>0</v>
      </c>
      <c r="AF147" s="123">
        <v>0</v>
      </c>
      <c r="AG147" s="123">
        <v>0</v>
      </c>
      <c r="AH147" s="123">
        <v>0</v>
      </c>
      <c r="AI147" s="123">
        <v>0</v>
      </c>
      <c r="AJ147" s="123">
        <v>0</v>
      </c>
      <c r="AK147" s="123">
        <v>0</v>
      </c>
      <c r="AL147" s="123">
        <v>0</v>
      </c>
      <c r="AM147" s="123">
        <v>0</v>
      </c>
      <c r="AN147" s="123">
        <v>0</v>
      </c>
      <c r="AO147" s="123">
        <v>0</v>
      </c>
      <c r="AP147" s="123">
        <v>0</v>
      </c>
      <c r="AQ147" s="123">
        <v>0</v>
      </c>
      <c r="AR147" s="123">
        <v>0</v>
      </c>
      <c r="AS147" s="123">
        <v>0</v>
      </c>
      <c r="AT147" s="123">
        <v>0</v>
      </c>
      <c r="AU147" s="123">
        <v>0</v>
      </c>
      <c r="AV147" s="123">
        <v>0</v>
      </c>
      <c r="AW147" s="123">
        <v>0</v>
      </c>
      <c r="AX147" s="123">
        <v>0</v>
      </c>
      <c r="AY147" s="123">
        <v>0</v>
      </c>
    </row>
    <row r="148" spans="1:51" x14ac:dyDescent="0.2">
      <c r="A148" s="126"/>
      <c r="B148" s="143">
        <v>27</v>
      </c>
      <c r="C148" s="123">
        <v>0</v>
      </c>
      <c r="D148" s="123">
        <v>0</v>
      </c>
      <c r="E148" s="123">
        <v>0</v>
      </c>
      <c r="F148" s="123">
        <v>0</v>
      </c>
      <c r="G148" s="123">
        <v>0</v>
      </c>
      <c r="H148" s="123">
        <v>0</v>
      </c>
      <c r="I148" s="123">
        <v>0</v>
      </c>
      <c r="J148" s="123">
        <v>0</v>
      </c>
      <c r="K148" s="123">
        <v>0</v>
      </c>
      <c r="L148" s="123">
        <v>0</v>
      </c>
      <c r="M148" s="123">
        <v>0</v>
      </c>
      <c r="N148" s="123">
        <v>0</v>
      </c>
      <c r="O148" s="123">
        <v>0</v>
      </c>
      <c r="P148" s="123">
        <v>0</v>
      </c>
      <c r="Q148" s="123">
        <v>0</v>
      </c>
      <c r="R148" s="123">
        <v>0</v>
      </c>
      <c r="S148" s="123">
        <v>0</v>
      </c>
      <c r="T148" s="123">
        <v>0</v>
      </c>
      <c r="U148" s="123">
        <v>0</v>
      </c>
      <c r="V148" s="123">
        <v>0</v>
      </c>
      <c r="W148" s="123">
        <v>0</v>
      </c>
      <c r="X148" s="123">
        <v>0</v>
      </c>
      <c r="Y148" s="123">
        <v>0</v>
      </c>
      <c r="Z148" s="123">
        <v>0</v>
      </c>
      <c r="AA148" s="123">
        <v>0</v>
      </c>
      <c r="AB148" s="123">
        <v>0</v>
      </c>
      <c r="AC148" s="123">
        <v>0</v>
      </c>
      <c r="AD148" s="123">
        <v>0</v>
      </c>
      <c r="AE148" s="123">
        <v>0</v>
      </c>
      <c r="AF148" s="123">
        <v>0</v>
      </c>
      <c r="AG148" s="123">
        <v>0</v>
      </c>
      <c r="AH148" s="123">
        <v>0</v>
      </c>
      <c r="AI148" s="123">
        <v>0</v>
      </c>
      <c r="AJ148" s="123">
        <v>0</v>
      </c>
      <c r="AK148" s="123">
        <v>0</v>
      </c>
      <c r="AL148" s="123">
        <v>0</v>
      </c>
      <c r="AM148" s="123">
        <v>0</v>
      </c>
      <c r="AN148" s="123">
        <v>0</v>
      </c>
      <c r="AO148" s="123">
        <v>0</v>
      </c>
      <c r="AP148" s="123">
        <v>0</v>
      </c>
      <c r="AQ148" s="123">
        <v>0</v>
      </c>
      <c r="AR148" s="123">
        <v>0</v>
      </c>
      <c r="AS148" s="123">
        <v>0</v>
      </c>
      <c r="AT148" s="123">
        <v>0</v>
      </c>
      <c r="AU148" s="123">
        <v>0</v>
      </c>
      <c r="AV148" s="123">
        <v>0</v>
      </c>
      <c r="AW148" s="123">
        <v>0</v>
      </c>
      <c r="AX148" s="123">
        <v>0</v>
      </c>
      <c r="AY148" s="123">
        <v>0</v>
      </c>
    </row>
    <row r="149" spans="1:51" x14ac:dyDescent="0.2">
      <c r="A149" s="126"/>
      <c r="B149" s="143">
        <v>28</v>
      </c>
      <c r="C149" s="123">
        <v>0</v>
      </c>
      <c r="D149" s="123">
        <v>0</v>
      </c>
      <c r="E149" s="123">
        <v>0</v>
      </c>
      <c r="F149" s="123">
        <v>0</v>
      </c>
      <c r="G149" s="123">
        <v>0</v>
      </c>
      <c r="H149" s="123">
        <v>0</v>
      </c>
      <c r="I149" s="123">
        <v>0</v>
      </c>
      <c r="J149" s="123">
        <v>0</v>
      </c>
      <c r="K149" s="123">
        <v>0</v>
      </c>
      <c r="L149" s="123">
        <v>0</v>
      </c>
      <c r="M149" s="123">
        <v>0</v>
      </c>
      <c r="N149" s="123">
        <v>0</v>
      </c>
      <c r="O149" s="123">
        <v>0</v>
      </c>
      <c r="P149" s="123">
        <v>0</v>
      </c>
      <c r="Q149" s="123">
        <v>0</v>
      </c>
      <c r="R149" s="123">
        <v>0</v>
      </c>
      <c r="S149" s="123">
        <v>0</v>
      </c>
      <c r="T149" s="123">
        <v>0</v>
      </c>
      <c r="U149" s="123">
        <v>0</v>
      </c>
      <c r="V149" s="123">
        <v>0</v>
      </c>
      <c r="W149" s="123">
        <v>0</v>
      </c>
      <c r="X149" s="123">
        <v>0</v>
      </c>
      <c r="Y149" s="123">
        <v>0</v>
      </c>
      <c r="Z149" s="123">
        <v>0</v>
      </c>
      <c r="AA149" s="123">
        <v>0</v>
      </c>
      <c r="AB149" s="123">
        <v>0</v>
      </c>
      <c r="AC149" s="123">
        <v>0</v>
      </c>
      <c r="AD149" s="123">
        <v>0</v>
      </c>
      <c r="AE149" s="123">
        <v>0</v>
      </c>
      <c r="AF149" s="123">
        <v>0</v>
      </c>
      <c r="AG149" s="123">
        <v>0</v>
      </c>
      <c r="AH149" s="123">
        <v>0</v>
      </c>
      <c r="AI149" s="123">
        <v>0</v>
      </c>
      <c r="AJ149" s="123">
        <v>0</v>
      </c>
      <c r="AK149" s="123">
        <v>0</v>
      </c>
      <c r="AL149" s="123">
        <v>0</v>
      </c>
      <c r="AM149" s="123">
        <v>0</v>
      </c>
      <c r="AN149" s="123">
        <v>0</v>
      </c>
      <c r="AO149" s="123">
        <v>0</v>
      </c>
      <c r="AP149" s="123">
        <v>0</v>
      </c>
      <c r="AQ149" s="123">
        <v>0</v>
      </c>
      <c r="AR149" s="123">
        <v>0</v>
      </c>
      <c r="AS149" s="123">
        <v>0</v>
      </c>
      <c r="AT149" s="123">
        <v>0</v>
      </c>
      <c r="AU149" s="123">
        <v>0</v>
      </c>
      <c r="AV149" s="123">
        <v>0</v>
      </c>
      <c r="AW149" s="123">
        <v>0</v>
      </c>
      <c r="AX149" s="123">
        <v>0</v>
      </c>
      <c r="AY149" s="123">
        <v>0</v>
      </c>
    </row>
    <row r="150" spans="1:51" x14ac:dyDescent="0.2">
      <c r="A150" s="126"/>
      <c r="B150" s="143">
        <v>29</v>
      </c>
      <c r="C150" s="123">
        <v>0</v>
      </c>
      <c r="D150" s="123">
        <v>0</v>
      </c>
      <c r="E150" s="123">
        <v>0</v>
      </c>
      <c r="F150" s="123">
        <v>0</v>
      </c>
      <c r="G150" s="123">
        <v>0</v>
      </c>
      <c r="H150" s="123">
        <v>0</v>
      </c>
      <c r="I150" s="123">
        <v>0</v>
      </c>
      <c r="J150" s="123">
        <v>0</v>
      </c>
      <c r="K150" s="123">
        <v>0</v>
      </c>
      <c r="L150" s="123">
        <v>0</v>
      </c>
      <c r="M150" s="123">
        <v>0</v>
      </c>
      <c r="N150" s="123">
        <v>0</v>
      </c>
      <c r="O150" s="123">
        <v>0</v>
      </c>
      <c r="P150" s="123">
        <v>0</v>
      </c>
      <c r="Q150" s="123">
        <v>0</v>
      </c>
      <c r="R150" s="123">
        <v>0</v>
      </c>
      <c r="S150" s="123">
        <v>0</v>
      </c>
      <c r="T150" s="123">
        <v>0</v>
      </c>
      <c r="U150" s="123">
        <v>0</v>
      </c>
      <c r="V150" s="123">
        <v>0</v>
      </c>
      <c r="W150" s="123">
        <v>0</v>
      </c>
      <c r="X150" s="123">
        <v>0</v>
      </c>
      <c r="Y150" s="123">
        <v>0</v>
      </c>
      <c r="Z150" s="123">
        <v>0</v>
      </c>
      <c r="AA150" s="123">
        <v>0</v>
      </c>
      <c r="AB150" s="123">
        <v>0</v>
      </c>
      <c r="AC150" s="123">
        <v>0</v>
      </c>
      <c r="AD150" s="123">
        <v>0</v>
      </c>
      <c r="AE150" s="123">
        <v>0</v>
      </c>
      <c r="AF150" s="123">
        <v>0</v>
      </c>
      <c r="AG150" s="123">
        <v>0</v>
      </c>
      <c r="AH150" s="123">
        <v>0</v>
      </c>
      <c r="AI150" s="123">
        <v>0</v>
      </c>
      <c r="AJ150" s="123">
        <v>0</v>
      </c>
      <c r="AK150" s="123">
        <v>0</v>
      </c>
      <c r="AL150" s="123">
        <v>0</v>
      </c>
      <c r="AM150" s="123">
        <v>0</v>
      </c>
      <c r="AN150" s="123">
        <v>0</v>
      </c>
      <c r="AO150" s="123">
        <v>0</v>
      </c>
      <c r="AP150" s="123">
        <v>0</v>
      </c>
      <c r="AQ150" s="123">
        <v>0</v>
      </c>
      <c r="AR150" s="123">
        <v>0</v>
      </c>
      <c r="AS150" s="123">
        <v>0</v>
      </c>
      <c r="AT150" s="123">
        <v>0</v>
      </c>
      <c r="AU150" s="123">
        <v>0</v>
      </c>
      <c r="AV150" s="123">
        <v>0</v>
      </c>
      <c r="AW150" s="123">
        <v>0</v>
      </c>
      <c r="AX150" s="123">
        <v>0</v>
      </c>
      <c r="AY150" s="123">
        <v>0</v>
      </c>
    </row>
    <row r="151" spans="1:51" x14ac:dyDescent="0.2">
      <c r="A151" s="126"/>
      <c r="B151" s="143">
        <v>30</v>
      </c>
      <c r="C151" s="123">
        <v>0</v>
      </c>
      <c r="D151" s="123">
        <v>0</v>
      </c>
      <c r="E151" s="123">
        <v>0</v>
      </c>
      <c r="F151" s="123">
        <v>0</v>
      </c>
      <c r="G151" s="123">
        <v>0</v>
      </c>
      <c r="H151" s="123">
        <v>0</v>
      </c>
      <c r="I151" s="123">
        <v>0</v>
      </c>
      <c r="J151" s="123">
        <v>0</v>
      </c>
      <c r="K151" s="123">
        <v>0</v>
      </c>
      <c r="L151" s="123">
        <v>0</v>
      </c>
      <c r="M151" s="123">
        <v>0</v>
      </c>
      <c r="N151" s="123">
        <v>0</v>
      </c>
      <c r="O151" s="123">
        <v>0</v>
      </c>
      <c r="P151" s="123">
        <v>0</v>
      </c>
      <c r="Q151" s="123">
        <v>0</v>
      </c>
      <c r="R151" s="123">
        <v>0</v>
      </c>
      <c r="S151" s="123">
        <v>0</v>
      </c>
      <c r="T151" s="123">
        <v>0</v>
      </c>
      <c r="U151" s="123">
        <v>0</v>
      </c>
      <c r="V151" s="123">
        <v>0</v>
      </c>
      <c r="W151" s="123">
        <v>0</v>
      </c>
      <c r="X151" s="123">
        <v>0</v>
      </c>
      <c r="Y151" s="123">
        <v>0</v>
      </c>
      <c r="Z151" s="123">
        <v>0</v>
      </c>
      <c r="AA151" s="123">
        <v>0</v>
      </c>
      <c r="AB151" s="123">
        <v>0</v>
      </c>
      <c r="AC151" s="123">
        <v>0</v>
      </c>
      <c r="AD151" s="123">
        <v>0</v>
      </c>
      <c r="AE151" s="123">
        <v>0</v>
      </c>
      <c r="AF151" s="123">
        <v>0</v>
      </c>
      <c r="AG151" s="123">
        <v>0</v>
      </c>
      <c r="AH151" s="123">
        <v>0</v>
      </c>
      <c r="AI151" s="123">
        <v>0</v>
      </c>
      <c r="AJ151" s="123">
        <v>0</v>
      </c>
      <c r="AK151" s="123">
        <v>0</v>
      </c>
      <c r="AL151" s="123">
        <v>0</v>
      </c>
      <c r="AM151" s="123">
        <v>0</v>
      </c>
      <c r="AN151" s="123">
        <v>0</v>
      </c>
      <c r="AO151" s="123">
        <v>0</v>
      </c>
      <c r="AP151" s="123">
        <v>0</v>
      </c>
      <c r="AQ151" s="123">
        <v>0</v>
      </c>
      <c r="AR151" s="123">
        <v>0</v>
      </c>
      <c r="AS151" s="123">
        <v>0</v>
      </c>
      <c r="AT151" s="123">
        <v>0</v>
      </c>
      <c r="AU151" s="123">
        <v>0</v>
      </c>
      <c r="AV151" s="123">
        <v>0</v>
      </c>
      <c r="AW151" s="123">
        <v>0</v>
      </c>
      <c r="AX151" s="123">
        <v>0</v>
      </c>
      <c r="AY151" s="123">
        <v>0</v>
      </c>
    </row>
    <row r="152" spans="1:51" x14ac:dyDescent="0.2">
      <c r="A152" s="126"/>
      <c r="B152" s="143">
        <v>31</v>
      </c>
      <c r="C152" s="123">
        <v>0</v>
      </c>
      <c r="D152" s="123">
        <v>0</v>
      </c>
      <c r="E152" s="123">
        <v>0</v>
      </c>
      <c r="F152" s="123">
        <v>0</v>
      </c>
      <c r="G152" s="123">
        <v>0</v>
      </c>
      <c r="H152" s="123">
        <v>0</v>
      </c>
      <c r="I152" s="123">
        <v>0</v>
      </c>
      <c r="J152" s="123">
        <v>0</v>
      </c>
      <c r="K152" s="123">
        <v>0</v>
      </c>
      <c r="L152" s="123">
        <v>0</v>
      </c>
      <c r="M152" s="123">
        <v>0</v>
      </c>
      <c r="N152" s="123">
        <v>0</v>
      </c>
      <c r="O152" s="123">
        <v>0</v>
      </c>
      <c r="P152" s="123">
        <v>0</v>
      </c>
      <c r="Q152" s="123">
        <v>0</v>
      </c>
      <c r="R152" s="123">
        <v>0</v>
      </c>
      <c r="S152" s="123">
        <v>0</v>
      </c>
      <c r="T152" s="123">
        <v>0</v>
      </c>
      <c r="U152" s="123">
        <v>0</v>
      </c>
      <c r="V152" s="123">
        <v>0</v>
      </c>
      <c r="W152" s="123">
        <v>0</v>
      </c>
      <c r="X152" s="123">
        <v>0</v>
      </c>
      <c r="Y152" s="123">
        <v>0</v>
      </c>
      <c r="Z152" s="123">
        <v>0</v>
      </c>
      <c r="AA152" s="123">
        <v>0</v>
      </c>
      <c r="AB152" s="123">
        <v>0</v>
      </c>
      <c r="AC152" s="123">
        <v>0</v>
      </c>
      <c r="AD152" s="123">
        <v>0</v>
      </c>
      <c r="AE152" s="123">
        <v>0</v>
      </c>
      <c r="AF152" s="123">
        <v>0</v>
      </c>
      <c r="AG152" s="123">
        <v>0</v>
      </c>
      <c r="AH152" s="123">
        <v>0</v>
      </c>
      <c r="AI152" s="123">
        <v>0</v>
      </c>
      <c r="AJ152" s="123">
        <v>0</v>
      </c>
      <c r="AK152" s="123">
        <v>0</v>
      </c>
      <c r="AL152" s="123">
        <v>0</v>
      </c>
      <c r="AM152" s="123">
        <v>0</v>
      </c>
      <c r="AN152" s="123">
        <v>0</v>
      </c>
      <c r="AO152" s="123">
        <v>0</v>
      </c>
      <c r="AP152" s="123">
        <v>0</v>
      </c>
      <c r="AQ152" s="123">
        <v>0</v>
      </c>
      <c r="AR152" s="123">
        <v>0</v>
      </c>
      <c r="AS152" s="123">
        <v>0</v>
      </c>
      <c r="AT152" s="123">
        <v>0</v>
      </c>
      <c r="AU152" s="123">
        <v>0</v>
      </c>
      <c r="AV152" s="123">
        <v>0</v>
      </c>
      <c r="AW152" s="123">
        <v>0</v>
      </c>
      <c r="AX152" s="123">
        <v>0</v>
      </c>
      <c r="AY152" s="123">
        <v>0</v>
      </c>
    </row>
    <row r="153" spans="1:51" x14ac:dyDescent="0.2">
      <c r="A153" s="126"/>
      <c r="B153" s="143">
        <v>32</v>
      </c>
      <c r="C153" s="123">
        <v>0</v>
      </c>
      <c r="D153" s="123">
        <v>0</v>
      </c>
      <c r="E153" s="123">
        <v>0</v>
      </c>
      <c r="F153" s="123">
        <v>0</v>
      </c>
      <c r="G153" s="123">
        <v>0</v>
      </c>
      <c r="H153" s="123">
        <v>0</v>
      </c>
      <c r="I153" s="123">
        <v>0</v>
      </c>
      <c r="J153" s="123">
        <v>0</v>
      </c>
      <c r="K153" s="123">
        <v>0</v>
      </c>
      <c r="L153" s="123">
        <v>0</v>
      </c>
      <c r="M153" s="123">
        <v>0</v>
      </c>
      <c r="N153" s="123">
        <v>0</v>
      </c>
      <c r="O153" s="123">
        <v>0</v>
      </c>
      <c r="P153" s="123">
        <v>0</v>
      </c>
      <c r="Q153" s="123">
        <v>0</v>
      </c>
      <c r="R153" s="123">
        <v>0</v>
      </c>
      <c r="S153" s="123">
        <v>0</v>
      </c>
      <c r="T153" s="123">
        <v>0</v>
      </c>
      <c r="U153" s="123">
        <v>0</v>
      </c>
      <c r="V153" s="123">
        <v>0</v>
      </c>
      <c r="W153" s="123">
        <v>0</v>
      </c>
      <c r="X153" s="123">
        <v>0</v>
      </c>
      <c r="Y153" s="123">
        <v>0</v>
      </c>
      <c r="Z153" s="123">
        <v>0</v>
      </c>
      <c r="AA153" s="123">
        <v>0</v>
      </c>
      <c r="AB153" s="123">
        <v>0</v>
      </c>
      <c r="AC153" s="123">
        <v>0</v>
      </c>
      <c r="AD153" s="123">
        <v>0</v>
      </c>
      <c r="AE153" s="123">
        <v>0</v>
      </c>
      <c r="AF153" s="123">
        <v>0</v>
      </c>
      <c r="AG153" s="123">
        <v>0</v>
      </c>
      <c r="AH153" s="123">
        <v>0</v>
      </c>
      <c r="AI153" s="123">
        <v>0</v>
      </c>
      <c r="AJ153" s="123">
        <v>0</v>
      </c>
      <c r="AK153" s="123">
        <v>0</v>
      </c>
      <c r="AL153" s="123">
        <v>0</v>
      </c>
      <c r="AM153" s="123">
        <v>0</v>
      </c>
      <c r="AN153" s="123">
        <v>0</v>
      </c>
      <c r="AO153" s="123">
        <v>0</v>
      </c>
      <c r="AP153" s="123">
        <v>0</v>
      </c>
      <c r="AQ153" s="123">
        <v>0</v>
      </c>
      <c r="AR153" s="123">
        <v>0</v>
      </c>
      <c r="AS153" s="123">
        <v>0</v>
      </c>
      <c r="AT153" s="123">
        <v>0</v>
      </c>
      <c r="AU153" s="123">
        <v>0</v>
      </c>
      <c r="AV153" s="123">
        <v>0</v>
      </c>
      <c r="AW153" s="123">
        <v>0</v>
      </c>
      <c r="AX153" s="123">
        <v>0</v>
      </c>
      <c r="AY153" s="123">
        <v>0</v>
      </c>
    </row>
    <row r="154" spans="1:51" x14ac:dyDescent="0.2">
      <c r="A154" s="126"/>
      <c r="B154" s="143">
        <v>33</v>
      </c>
      <c r="C154" s="123">
        <v>0</v>
      </c>
      <c r="D154" s="123">
        <v>0</v>
      </c>
      <c r="E154" s="123">
        <v>0</v>
      </c>
      <c r="F154" s="123">
        <v>0</v>
      </c>
      <c r="G154" s="123">
        <v>0</v>
      </c>
      <c r="H154" s="123">
        <v>0</v>
      </c>
      <c r="I154" s="123">
        <v>0</v>
      </c>
      <c r="J154" s="123">
        <v>0</v>
      </c>
      <c r="K154" s="123">
        <v>0</v>
      </c>
      <c r="L154" s="123">
        <v>0</v>
      </c>
      <c r="M154" s="123">
        <v>0</v>
      </c>
      <c r="N154" s="123">
        <v>0</v>
      </c>
      <c r="O154" s="123">
        <v>0</v>
      </c>
      <c r="P154" s="123">
        <v>0</v>
      </c>
      <c r="Q154" s="123">
        <v>0</v>
      </c>
      <c r="R154" s="123">
        <v>0</v>
      </c>
      <c r="S154" s="123">
        <v>0</v>
      </c>
      <c r="T154" s="123">
        <v>0</v>
      </c>
      <c r="U154" s="123">
        <v>0</v>
      </c>
      <c r="V154" s="123">
        <v>0</v>
      </c>
      <c r="W154" s="123">
        <v>0</v>
      </c>
      <c r="X154" s="123">
        <v>0</v>
      </c>
      <c r="Y154" s="123">
        <v>0</v>
      </c>
      <c r="Z154" s="123">
        <v>0</v>
      </c>
      <c r="AA154" s="123">
        <v>0</v>
      </c>
      <c r="AB154" s="123">
        <v>0</v>
      </c>
      <c r="AC154" s="123">
        <v>0</v>
      </c>
      <c r="AD154" s="123">
        <v>0</v>
      </c>
      <c r="AE154" s="123">
        <v>0</v>
      </c>
      <c r="AF154" s="123">
        <v>0</v>
      </c>
      <c r="AG154" s="123">
        <v>0</v>
      </c>
      <c r="AH154" s="123">
        <v>0</v>
      </c>
      <c r="AI154" s="123">
        <v>0</v>
      </c>
      <c r="AJ154" s="123">
        <v>0</v>
      </c>
      <c r="AK154" s="123">
        <v>0</v>
      </c>
      <c r="AL154" s="123">
        <v>0</v>
      </c>
      <c r="AM154" s="123">
        <v>0</v>
      </c>
      <c r="AN154" s="123">
        <v>0</v>
      </c>
      <c r="AO154" s="123">
        <v>0</v>
      </c>
      <c r="AP154" s="123">
        <v>0</v>
      </c>
      <c r="AQ154" s="123">
        <v>0</v>
      </c>
      <c r="AR154" s="123">
        <v>0</v>
      </c>
      <c r="AS154" s="123">
        <v>0</v>
      </c>
      <c r="AT154" s="123">
        <v>0</v>
      </c>
      <c r="AU154" s="123">
        <v>0</v>
      </c>
      <c r="AV154" s="123">
        <v>0</v>
      </c>
      <c r="AW154" s="123">
        <v>0</v>
      </c>
      <c r="AX154" s="123">
        <v>0</v>
      </c>
      <c r="AY154" s="123">
        <v>0</v>
      </c>
    </row>
    <row r="155" spans="1:51" x14ac:dyDescent="0.2">
      <c r="A155" s="126"/>
      <c r="B155" s="143">
        <v>34</v>
      </c>
      <c r="C155" s="123">
        <v>0</v>
      </c>
      <c r="D155" s="123">
        <v>0</v>
      </c>
      <c r="E155" s="123">
        <v>0</v>
      </c>
      <c r="F155" s="123">
        <v>0</v>
      </c>
      <c r="G155" s="123">
        <v>0</v>
      </c>
      <c r="H155" s="123">
        <v>0</v>
      </c>
      <c r="I155" s="123">
        <v>0</v>
      </c>
      <c r="J155" s="123">
        <v>0</v>
      </c>
      <c r="K155" s="123">
        <v>0</v>
      </c>
      <c r="L155" s="123">
        <v>0</v>
      </c>
      <c r="M155" s="123">
        <v>0</v>
      </c>
      <c r="N155" s="123">
        <v>0</v>
      </c>
      <c r="O155" s="123">
        <v>0</v>
      </c>
      <c r="P155" s="123">
        <v>0</v>
      </c>
      <c r="Q155" s="123">
        <v>0</v>
      </c>
      <c r="R155" s="123">
        <v>0</v>
      </c>
      <c r="S155" s="123">
        <v>0</v>
      </c>
      <c r="T155" s="123">
        <v>0</v>
      </c>
      <c r="U155" s="123">
        <v>0</v>
      </c>
      <c r="V155" s="123">
        <v>0</v>
      </c>
      <c r="W155" s="123">
        <v>0</v>
      </c>
      <c r="X155" s="123">
        <v>0</v>
      </c>
      <c r="Y155" s="123">
        <v>0</v>
      </c>
      <c r="Z155" s="123">
        <v>0</v>
      </c>
      <c r="AA155" s="123">
        <v>0</v>
      </c>
      <c r="AB155" s="123">
        <v>0</v>
      </c>
      <c r="AC155" s="123">
        <v>0</v>
      </c>
      <c r="AD155" s="123">
        <v>0</v>
      </c>
      <c r="AE155" s="123">
        <v>0</v>
      </c>
      <c r="AF155" s="123">
        <v>0</v>
      </c>
      <c r="AG155" s="123">
        <v>0</v>
      </c>
      <c r="AH155" s="123">
        <v>0</v>
      </c>
      <c r="AI155" s="123">
        <v>0</v>
      </c>
      <c r="AJ155" s="123">
        <v>0</v>
      </c>
      <c r="AK155" s="123">
        <v>0</v>
      </c>
      <c r="AL155" s="123">
        <v>0</v>
      </c>
      <c r="AM155" s="123">
        <v>0</v>
      </c>
      <c r="AN155" s="123">
        <v>0</v>
      </c>
      <c r="AO155" s="123">
        <v>0</v>
      </c>
      <c r="AP155" s="123">
        <v>0</v>
      </c>
      <c r="AQ155" s="123">
        <v>0</v>
      </c>
      <c r="AR155" s="123">
        <v>0</v>
      </c>
      <c r="AS155" s="123">
        <v>0</v>
      </c>
      <c r="AT155" s="123">
        <v>0</v>
      </c>
      <c r="AU155" s="123">
        <v>0</v>
      </c>
      <c r="AV155" s="123">
        <v>0</v>
      </c>
      <c r="AW155" s="123">
        <v>0</v>
      </c>
      <c r="AX155" s="123">
        <v>0</v>
      </c>
      <c r="AY155" s="123">
        <v>0</v>
      </c>
    </row>
    <row r="156" spans="1:51" x14ac:dyDescent="0.2">
      <c r="A156" s="126"/>
      <c r="B156" s="143">
        <v>35</v>
      </c>
      <c r="C156" s="123">
        <v>0</v>
      </c>
      <c r="D156" s="123">
        <v>0</v>
      </c>
      <c r="E156" s="123">
        <v>0</v>
      </c>
      <c r="F156" s="123">
        <v>0</v>
      </c>
      <c r="G156" s="123">
        <v>0</v>
      </c>
      <c r="H156" s="123">
        <v>0</v>
      </c>
      <c r="I156" s="123">
        <v>0</v>
      </c>
      <c r="J156" s="123">
        <v>0</v>
      </c>
      <c r="K156" s="123">
        <v>0</v>
      </c>
      <c r="L156" s="123">
        <v>0</v>
      </c>
      <c r="M156" s="123">
        <v>0</v>
      </c>
      <c r="N156" s="123">
        <v>0</v>
      </c>
      <c r="O156" s="123">
        <v>0</v>
      </c>
      <c r="P156" s="123">
        <v>0</v>
      </c>
      <c r="Q156" s="123">
        <v>0</v>
      </c>
      <c r="R156" s="123">
        <v>0</v>
      </c>
      <c r="S156" s="123">
        <v>0</v>
      </c>
      <c r="T156" s="123">
        <v>0</v>
      </c>
      <c r="U156" s="123">
        <v>0</v>
      </c>
      <c r="V156" s="123">
        <v>0</v>
      </c>
      <c r="W156" s="123">
        <v>0</v>
      </c>
      <c r="X156" s="123">
        <v>0</v>
      </c>
      <c r="Y156" s="123">
        <v>0</v>
      </c>
      <c r="Z156" s="123">
        <v>0</v>
      </c>
      <c r="AA156" s="123">
        <v>0</v>
      </c>
      <c r="AB156" s="123">
        <v>0</v>
      </c>
      <c r="AC156" s="123">
        <v>0</v>
      </c>
      <c r="AD156" s="123">
        <v>0</v>
      </c>
      <c r="AE156" s="123">
        <v>0</v>
      </c>
      <c r="AF156" s="123">
        <v>0</v>
      </c>
      <c r="AG156" s="123">
        <v>0</v>
      </c>
      <c r="AH156" s="123">
        <v>0</v>
      </c>
      <c r="AI156" s="123">
        <v>0</v>
      </c>
      <c r="AJ156" s="123">
        <v>0</v>
      </c>
      <c r="AK156" s="123">
        <v>0</v>
      </c>
      <c r="AL156" s="123">
        <v>0</v>
      </c>
      <c r="AM156" s="123">
        <v>0</v>
      </c>
      <c r="AN156" s="123">
        <v>0</v>
      </c>
      <c r="AO156" s="123">
        <v>0</v>
      </c>
      <c r="AP156" s="123">
        <v>0</v>
      </c>
      <c r="AQ156" s="123">
        <v>0</v>
      </c>
      <c r="AR156" s="123">
        <v>0</v>
      </c>
      <c r="AS156" s="123">
        <v>0</v>
      </c>
      <c r="AT156" s="123">
        <v>0</v>
      </c>
      <c r="AU156" s="123">
        <v>0</v>
      </c>
      <c r="AV156" s="123">
        <v>0</v>
      </c>
      <c r="AW156" s="123">
        <v>0</v>
      </c>
      <c r="AX156" s="123">
        <v>0</v>
      </c>
      <c r="AY156" s="123">
        <v>0</v>
      </c>
    </row>
    <row r="157" spans="1:51" x14ac:dyDescent="0.2">
      <c r="A157" s="126"/>
      <c r="B157" s="143">
        <v>36</v>
      </c>
      <c r="C157" s="123">
        <v>0</v>
      </c>
      <c r="D157" s="123">
        <v>0</v>
      </c>
      <c r="E157" s="123">
        <v>0</v>
      </c>
      <c r="F157" s="123">
        <v>0</v>
      </c>
      <c r="G157" s="123">
        <v>0</v>
      </c>
      <c r="H157" s="123">
        <v>0</v>
      </c>
      <c r="I157" s="123">
        <v>0</v>
      </c>
      <c r="J157" s="123">
        <v>0</v>
      </c>
      <c r="K157" s="123">
        <v>0</v>
      </c>
      <c r="L157" s="123">
        <v>0</v>
      </c>
      <c r="M157" s="123">
        <v>0</v>
      </c>
      <c r="N157" s="123">
        <v>0</v>
      </c>
      <c r="O157" s="123">
        <v>0</v>
      </c>
      <c r="P157" s="123">
        <v>0</v>
      </c>
      <c r="Q157" s="123">
        <v>0</v>
      </c>
      <c r="R157" s="123">
        <v>0</v>
      </c>
      <c r="S157" s="123">
        <v>0</v>
      </c>
      <c r="T157" s="123">
        <v>0</v>
      </c>
      <c r="U157" s="123">
        <v>0</v>
      </c>
      <c r="V157" s="123">
        <v>0</v>
      </c>
      <c r="W157" s="123">
        <v>0</v>
      </c>
      <c r="X157" s="123">
        <v>0</v>
      </c>
      <c r="Y157" s="123">
        <v>0</v>
      </c>
      <c r="Z157" s="123">
        <v>0</v>
      </c>
      <c r="AA157" s="123">
        <v>0</v>
      </c>
      <c r="AB157" s="123">
        <v>0</v>
      </c>
      <c r="AC157" s="123">
        <v>0</v>
      </c>
      <c r="AD157" s="123">
        <v>0</v>
      </c>
      <c r="AE157" s="123">
        <v>0</v>
      </c>
      <c r="AF157" s="123">
        <v>0</v>
      </c>
      <c r="AG157" s="123">
        <v>0</v>
      </c>
      <c r="AH157" s="123">
        <v>0</v>
      </c>
      <c r="AI157" s="123">
        <v>0</v>
      </c>
      <c r="AJ157" s="123">
        <v>0</v>
      </c>
      <c r="AK157" s="123">
        <v>0</v>
      </c>
      <c r="AL157" s="123">
        <v>0</v>
      </c>
      <c r="AM157" s="123">
        <v>0</v>
      </c>
      <c r="AN157" s="123">
        <v>0</v>
      </c>
      <c r="AO157" s="123">
        <v>0</v>
      </c>
      <c r="AP157" s="123">
        <v>0</v>
      </c>
      <c r="AQ157" s="123">
        <v>0</v>
      </c>
      <c r="AR157" s="123">
        <v>0</v>
      </c>
      <c r="AS157" s="123">
        <v>0</v>
      </c>
      <c r="AT157" s="123">
        <v>0</v>
      </c>
      <c r="AU157" s="123">
        <v>0</v>
      </c>
      <c r="AV157" s="123">
        <v>0</v>
      </c>
      <c r="AW157" s="123">
        <v>0</v>
      </c>
      <c r="AX157" s="123">
        <v>0</v>
      </c>
      <c r="AY157" s="123">
        <v>0</v>
      </c>
    </row>
    <row r="158" spans="1:51" x14ac:dyDescent="0.2">
      <c r="A158" s="126"/>
      <c r="B158" s="146">
        <v>37</v>
      </c>
      <c r="C158" s="123">
        <v>0</v>
      </c>
      <c r="D158" s="123">
        <v>0</v>
      </c>
      <c r="E158" s="123">
        <v>0</v>
      </c>
      <c r="F158" s="123">
        <v>0</v>
      </c>
      <c r="G158" s="123">
        <v>0</v>
      </c>
      <c r="H158" s="123">
        <v>0</v>
      </c>
      <c r="I158" s="123">
        <v>0</v>
      </c>
      <c r="J158" s="123">
        <v>0</v>
      </c>
      <c r="K158" s="123">
        <v>0</v>
      </c>
      <c r="L158" s="123">
        <v>0</v>
      </c>
      <c r="M158" s="123">
        <v>0</v>
      </c>
      <c r="N158" s="123">
        <v>0</v>
      </c>
      <c r="O158" s="123">
        <v>0</v>
      </c>
      <c r="P158" s="123">
        <v>0</v>
      </c>
      <c r="Q158" s="123">
        <v>0</v>
      </c>
      <c r="R158" s="123">
        <v>0</v>
      </c>
      <c r="S158" s="123">
        <v>0</v>
      </c>
      <c r="T158" s="123">
        <v>0</v>
      </c>
      <c r="U158" s="123">
        <v>0</v>
      </c>
      <c r="V158" s="123">
        <v>0</v>
      </c>
      <c r="W158" s="123">
        <v>0</v>
      </c>
      <c r="X158" s="123">
        <v>0</v>
      </c>
      <c r="Y158" s="123">
        <v>0</v>
      </c>
      <c r="Z158" s="123">
        <v>0</v>
      </c>
      <c r="AA158" s="123">
        <v>0</v>
      </c>
      <c r="AB158" s="123">
        <v>0</v>
      </c>
      <c r="AC158" s="123">
        <v>0</v>
      </c>
      <c r="AD158" s="123">
        <v>0</v>
      </c>
      <c r="AE158" s="123">
        <v>0</v>
      </c>
      <c r="AF158" s="123">
        <v>0</v>
      </c>
      <c r="AG158" s="123">
        <v>0</v>
      </c>
      <c r="AH158" s="123">
        <v>0</v>
      </c>
      <c r="AI158" s="123">
        <v>0</v>
      </c>
      <c r="AJ158" s="123">
        <v>0</v>
      </c>
      <c r="AK158" s="123">
        <v>0</v>
      </c>
      <c r="AL158" s="123">
        <v>0</v>
      </c>
      <c r="AM158" s="123">
        <v>0</v>
      </c>
      <c r="AN158" s="123">
        <v>0</v>
      </c>
      <c r="AO158" s="123">
        <v>0</v>
      </c>
      <c r="AP158" s="123">
        <v>0</v>
      </c>
      <c r="AQ158" s="123">
        <v>0</v>
      </c>
      <c r="AR158" s="123">
        <v>0</v>
      </c>
      <c r="AS158" s="123">
        <v>0</v>
      </c>
      <c r="AT158" s="123">
        <v>0</v>
      </c>
      <c r="AU158" s="123">
        <v>0</v>
      </c>
      <c r="AV158" s="123">
        <v>0</v>
      </c>
      <c r="AW158" s="123">
        <v>0</v>
      </c>
      <c r="AX158" s="123">
        <v>0</v>
      </c>
      <c r="AY158" s="123">
        <v>0</v>
      </c>
    </row>
    <row r="159" spans="1:51" x14ac:dyDescent="0.2">
      <c r="A159" s="126"/>
      <c r="B159" s="146">
        <v>38</v>
      </c>
      <c r="C159" s="123">
        <v>0</v>
      </c>
      <c r="D159" s="123">
        <v>0</v>
      </c>
      <c r="E159" s="123">
        <v>0</v>
      </c>
      <c r="F159" s="123">
        <v>0</v>
      </c>
      <c r="G159" s="123">
        <v>0</v>
      </c>
      <c r="H159" s="123">
        <v>0</v>
      </c>
      <c r="I159" s="123">
        <v>0</v>
      </c>
      <c r="J159" s="123">
        <v>0</v>
      </c>
      <c r="K159" s="123">
        <v>0</v>
      </c>
      <c r="L159" s="123">
        <v>0</v>
      </c>
      <c r="M159" s="123">
        <v>0</v>
      </c>
      <c r="N159" s="123">
        <v>0</v>
      </c>
      <c r="O159" s="123">
        <v>0</v>
      </c>
      <c r="P159" s="123">
        <v>0</v>
      </c>
      <c r="Q159" s="123">
        <v>0</v>
      </c>
      <c r="R159" s="123">
        <v>0</v>
      </c>
      <c r="S159" s="123">
        <v>0</v>
      </c>
      <c r="T159" s="123">
        <v>0</v>
      </c>
      <c r="U159" s="123">
        <v>0</v>
      </c>
      <c r="V159" s="123">
        <v>0</v>
      </c>
      <c r="W159" s="123">
        <v>0</v>
      </c>
      <c r="X159" s="123">
        <v>0</v>
      </c>
      <c r="Y159" s="123">
        <v>0</v>
      </c>
      <c r="Z159" s="123">
        <v>0</v>
      </c>
      <c r="AA159" s="123">
        <v>0</v>
      </c>
      <c r="AB159" s="123">
        <v>0</v>
      </c>
      <c r="AC159" s="123">
        <v>0</v>
      </c>
      <c r="AD159" s="123">
        <v>0</v>
      </c>
      <c r="AE159" s="123">
        <v>0</v>
      </c>
      <c r="AF159" s="123">
        <v>0</v>
      </c>
      <c r="AG159" s="123">
        <v>0</v>
      </c>
      <c r="AH159" s="123">
        <v>0</v>
      </c>
      <c r="AI159" s="123">
        <v>0</v>
      </c>
      <c r="AJ159" s="123">
        <v>0</v>
      </c>
      <c r="AK159" s="123">
        <v>0</v>
      </c>
      <c r="AL159" s="123">
        <v>0</v>
      </c>
      <c r="AM159" s="123">
        <v>0</v>
      </c>
      <c r="AN159" s="123">
        <v>0</v>
      </c>
      <c r="AO159" s="123">
        <v>0</v>
      </c>
      <c r="AP159" s="123">
        <v>0</v>
      </c>
      <c r="AQ159" s="123">
        <v>0</v>
      </c>
      <c r="AR159" s="123">
        <v>0</v>
      </c>
      <c r="AS159" s="123">
        <v>0</v>
      </c>
      <c r="AT159" s="123">
        <v>0</v>
      </c>
      <c r="AU159" s="123">
        <v>0</v>
      </c>
      <c r="AV159" s="123">
        <v>0</v>
      </c>
      <c r="AW159" s="123">
        <v>0</v>
      </c>
      <c r="AX159" s="123">
        <v>0</v>
      </c>
      <c r="AY159" s="123">
        <v>0</v>
      </c>
    </row>
    <row r="160" spans="1:51" x14ac:dyDescent="0.2">
      <c r="A160" s="126"/>
      <c r="B160" s="146">
        <v>39</v>
      </c>
      <c r="C160" s="123">
        <v>0</v>
      </c>
      <c r="D160" s="123">
        <v>0</v>
      </c>
      <c r="E160" s="123">
        <v>0</v>
      </c>
      <c r="F160" s="123">
        <v>0</v>
      </c>
      <c r="G160" s="123">
        <v>0</v>
      </c>
      <c r="H160" s="123">
        <v>0</v>
      </c>
      <c r="I160" s="123">
        <v>0</v>
      </c>
      <c r="J160" s="123">
        <v>0</v>
      </c>
      <c r="K160" s="123">
        <v>0</v>
      </c>
      <c r="L160" s="123">
        <v>0</v>
      </c>
      <c r="M160" s="123">
        <v>0</v>
      </c>
      <c r="N160" s="123">
        <v>0</v>
      </c>
      <c r="O160" s="123">
        <v>0</v>
      </c>
      <c r="P160" s="123">
        <v>0</v>
      </c>
      <c r="Q160" s="123">
        <v>0</v>
      </c>
      <c r="R160" s="123">
        <v>0</v>
      </c>
      <c r="S160" s="123">
        <v>0</v>
      </c>
      <c r="T160" s="123">
        <v>0</v>
      </c>
      <c r="U160" s="123">
        <v>0</v>
      </c>
      <c r="V160" s="123">
        <v>0</v>
      </c>
      <c r="W160" s="123">
        <v>0</v>
      </c>
      <c r="X160" s="123">
        <v>0</v>
      </c>
      <c r="Y160" s="123">
        <v>0</v>
      </c>
      <c r="Z160" s="123">
        <v>0</v>
      </c>
      <c r="AA160" s="123">
        <v>0</v>
      </c>
      <c r="AB160" s="123">
        <v>0</v>
      </c>
      <c r="AC160" s="123">
        <v>0</v>
      </c>
      <c r="AD160" s="123">
        <v>0</v>
      </c>
      <c r="AE160" s="123">
        <v>0</v>
      </c>
      <c r="AF160" s="123">
        <v>0</v>
      </c>
      <c r="AG160" s="123">
        <v>0</v>
      </c>
      <c r="AH160" s="123">
        <v>0</v>
      </c>
      <c r="AI160" s="123">
        <v>0</v>
      </c>
      <c r="AJ160" s="123">
        <v>0</v>
      </c>
      <c r="AK160" s="123">
        <v>0</v>
      </c>
      <c r="AL160" s="123">
        <v>0</v>
      </c>
      <c r="AM160" s="123">
        <v>0</v>
      </c>
      <c r="AN160" s="123">
        <v>0</v>
      </c>
      <c r="AO160" s="123">
        <v>0</v>
      </c>
      <c r="AP160" s="123">
        <v>0</v>
      </c>
      <c r="AQ160" s="123">
        <v>0</v>
      </c>
      <c r="AR160" s="123">
        <v>0</v>
      </c>
      <c r="AS160" s="123">
        <v>0</v>
      </c>
      <c r="AT160" s="123">
        <v>0</v>
      </c>
      <c r="AU160" s="123">
        <v>0</v>
      </c>
      <c r="AV160" s="123">
        <v>0</v>
      </c>
      <c r="AW160" s="123">
        <v>0</v>
      </c>
      <c r="AX160" s="123">
        <v>0</v>
      </c>
      <c r="AY160" s="123">
        <v>0</v>
      </c>
    </row>
    <row r="161" spans="1:52" x14ac:dyDescent="0.2">
      <c r="A161" s="126"/>
      <c r="B161" s="146">
        <v>40</v>
      </c>
      <c r="C161" s="123">
        <v>0</v>
      </c>
      <c r="D161" s="123">
        <v>0</v>
      </c>
      <c r="E161" s="123">
        <v>0</v>
      </c>
      <c r="F161" s="123">
        <v>0</v>
      </c>
      <c r="G161" s="123">
        <v>0</v>
      </c>
      <c r="H161" s="123">
        <v>0</v>
      </c>
      <c r="I161" s="123">
        <v>0</v>
      </c>
      <c r="J161" s="123">
        <v>0</v>
      </c>
      <c r="K161" s="123">
        <v>0</v>
      </c>
      <c r="L161" s="123">
        <v>0</v>
      </c>
      <c r="M161" s="123">
        <v>0</v>
      </c>
      <c r="N161" s="123">
        <v>0</v>
      </c>
      <c r="O161" s="123">
        <v>0</v>
      </c>
      <c r="P161" s="123">
        <v>0</v>
      </c>
      <c r="Q161" s="123">
        <v>0</v>
      </c>
      <c r="R161" s="123">
        <v>0</v>
      </c>
      <c r="S161" s="123">
        <v>0</v>
      </c>
      <c r="T161" s="123">
        <v>0</v>
      </c>
      <c r="U161" s="123">
        <v>0</v>
      </c>
      <c r="V161" s="123">
        <v>0</v>
      </c>
      <c r="W161" s="123">
        <v>0</v>
      </c>
      <c r="X161" s="123">
        <v>0</v>
      </c>
      <c r="Y161" s="123">
        <v>0</v>
      </c>
      <c r="Z161" s="123">
        <v>0</v>
      </c>
      <c r="AA161" s="123">
        <v>0</v>
      </c>
      <c r="AB161" s="123">
        <v>0</v>
      </c>
      <c r="AC161" s="123">
        <v>0</v>
      </c>
      <c r="AD161" s="123">
        <v>0</v>
      </c>
      <c r="AE161" s="123">
        <v>0</v>
      </c>
      <c r="AF161" s="123">
        <v>0</v>
      </c>
      <c r="AG161" s="123">
        <v>0</v>
      </c>
      <c r="AH161" s="123">
        <v>0</v>
      </c>
      <c r="AI161" s="123">
        <v>0</v>
      </c>
      <c r="AJ161" s="123">
        <v>0</v>
      </c>
      <c r="AK161" s="123">
        <v>0</v>
      </c>
      <c r="AL161" s="123">
        <v>0</v>
      </c>
      <c r="AM161" s="123">
        <v>0</v>
      </c>
      <c r="AN161" s="123">
        <v>0</v>
      </c>
      <c r="AO161" s="123">
        <v>0</v>
      </c>
      <c r="AP161" s="123">
        <v>0</v>
      </c>
      <c r="AQ161" s="123">
        <v>0</v>
      </c>
      <c r="AR161" s="123">
        <v>0</v>
      </c>
      <c r="AS161" s="123">
        <v>0</v>
      </c>
      <c r="AT161" s="123">
        <v>0</v>
      </c>
      <c r="AU161" s="123">
        <v>0</v>
      </c>
      <c r="AV161" s="123">
        <v>0</v>
      </c>
      <c r="AW161" s="123">
        <v>0</v>
      </c>
      <c r="AX161" s="123">
        <v>0</v>
      </c>
      <c r="AY161" s="123">
        <v>0</v>
      </c>
    </row>
    <row r="162" spans="1:52" x14ac:dyDescent="0.2">
      <c r="A162" s="126"/>
      <c r="B162" s="146">
        <v>41</v>
      </c>
      <c r="C162" s="123">
        <v>0</v>
      </c>
      <c r="D162" s="123">
        <v>0</v>
      </c>
      <c r="E162" s="123">
        <v>0</v>
      </c>
      <c r="F162" s="123">
        <v>0</v>
      </c>
      <c r="G162" s="123">
        <v>0</v>
      </c>
      <c r="H162" s="123">
        <v>0</v>
      </c>
      <c r="I162" s="123">
        <v>0</v>
      </c>
      <c r="J162" s="123">
        <v>0</v>
      </c>
      <c r="K162" s="123">
        <v>0</v>
      </c>
      <c r="L162" s="123">
        <v>0</v>
      </c>
      <c r="M162" s="123">
        <v>0</v>
      </c>
      <c r="N162" s="123">
        <v>0</v>
      </c>
      <c r="O162" s="123">
        <v>0</v>
      </c>
      <c r="P162" s="123">
        <v>0</v>
      </c>
      <c r="Q162" s="123">
        <v>0</v>
      </c>
      <c r="R162" s="123">
        <v>0</v>
      </c>
      <c r="S162" s="123">
        <v>0</v>
      </c>
      <c r="T162" s="123">
        <v>0</v>
      </c>
      <c r="U162" s="123">
        <v>0</v>
      </c>
      <c r="V162" s="123">
        <v>0</v>
      </c>
      <c r="W162" s="123">
        <v>0</v>
      </c>
      <c r="X162" s="123">
        <v>0</v>
      </c>
      <c r="Y162" s="123">
        <v>0</v>
      </c>
      <c r="Z162" s="123">
        <v>0</v>
      </c>
      <c r="AA162" s="123">
        <v>0</v>
      </c>
      <c r="AB162" s="123">
        <v>0</v>
      </c>
      <c r="AC162" s="123">
        <v>0</v>
      </c>
      <c r="AD162" s="123">
        <v>0</v>
      </c>
      <c r="AE162" s="123">
        <v>0</v>
      </c>
      <c r="AF162" s="123">
        <v>0</v>
      </c>
      <c r="AG162" s="123">
        <v>0</v>
      </c>
      <c r="AH162" s="123">
        <v>0</v>
      </c>
      <c r="AI162" s="123">
        <v>0</v>
      </c>
      <c r="AJ162" s="123">
        <v>0</v>
      </c>
      <c r="AK162" s="123">
        <v>0</v>
      </c>
      <c r="AL162" s="123">
        <v>0</v>
      </c>
      <c r="AM162" s="123">
        <v>0</v>
      </c>
      <c r="AN162" s="123">
        <v>0</v>
      </c>
      <c r="AO162" s="123">
        <v>0</v>
      </c>
      <c r="AP162" s="123">
        <v>0</v>
      </c>
      <c r="AQ162" s="123">
        <v>0</v>
      </c>
      <c r="AR162" s="123">
        <v>0</v>
      </c>
      <c r="AS162" s="123">
        <v>0</v>
      </c>
      <c r="AT162" s="123">
        <v>0</v>
      </c>
      <c r="AU162" s="123">
        <v>0</v>
      </c>
      <c r="AV162" s="123">
        <v>0</v>
      </c>
      <c r="AW162" s="123">
        <v>0</v>
      </c>
      <c r="AX162" s="123">
        <v>0</v>
      </c>
      <c r="AY162" s="123">
        <v>0</v>
      </c>
    </row>
    <row r="163" spans="1:52" x14ac:dyDescent="0.2">
      <c r="A163" s="126"/>
      <c r="B163" s="146">
        <v>42</v>
      </c>
      <c r="C163" s="123">
        <v>0</v>
      </c>
      <c r="D163" s="123">
        <v>0</v>
      </c>
      <c r="E163" s="123">
        <v>0</v>
      </c>
      <c r="F163" s="123">
        <v>0</v>
      </c>
      <c r="G163" s="123">
        <v>0</v>
      </c>
      <c r="H163" s="123">
        <v>0</v>
      </c>
      <c r="I163" s="123">
        <v>0</v>
      </c>
      <c r="J163" s="123">
        <v>0</v>
      </c>
      <c r="K163" s="123">
        <v>0</v>
      </c>
      <c r="L163" s="123">
        <v>0</v>
      </c>
      <c r="M163" s="123">
        <v>0</v>
      </c>
      <c r="N163" s="123">
        <v>0</v>
      </c>
      <c r="O163" s="123">
        <v>0</v>
      </c>
      <c r="P163" s="123">
        <v>0</v>
      </c>
      <c r="Q163" s="123">
        <v>0</v>
      </c>
      <c r="R163" s="123">
        <v>0</v>
      </c>
      <c r="S163" s="123">
        <v>0</v>
      </c>
      <c r="T163" s="123">
        <v>0</v>
      </c>
      <c r="U163" s="123">
        <v>0</v>
      </c>
      <c r="V163" s="123">
        <v>0</v>
      </c>
      <c r="W163" s="123">
        <v>0</v>
      </c>
      <c r="X163" s="123">
        <v>0</v>
      </c>
      <c r="Y163" s="123">
        <v>0</v>
      </c>
      <c r="Z163" s="123">
        <v>0</v>
      </c>
      <c r="AA163" s="123">
        <v>0</v>
      </c>
      <c r="AB163" s="123">
        <v>0</v>
      </c>
      <c r="AC163" s="123">
        <v>0</v>
      </c>
      <c r="AD163" s="123">
        <v>0</v>
      </c>
      <c r="AE163" s="123">
        <v>0</v>
      </c>
      <c r="AF163" s="123">
        <v>0</v>
      </c>
      <c r="AG163" s="123">
        <v>0</v>
      </c>
      <c r="AH163" s="123">
        <v>0</v>
      </c>
      <c r="AI163" s="123">
        <v>0</v>
      </c>
      <c r="AJ163" s="123">
        <v>0</v>
      </c>
      <c r="AK163" s="123">
        <v>0</v>
      </c>
      <c r="AL163" s="123">
        <v>0</v>
      </c>
      <c r="AM163" s="123">
        <v>0</v>
      </c>
      <c r="AN163" s="123">
        <v>0</v>
      </c>
      <c r="AO163" s="123">
        <v>0</v>
      </c>
      <c r="AP163" s="123">
        <v>0</v>
      </c>
      <c r="AQ163" s="123">
        <v>0</v>
      </c>
      <c r="AR163" s="123">
        <v>0</v>
      </c>
      <c r="AS163" s="123">
        <v>0</v>
      </c>
      <c r="AT163" s="123">
        <v>0</v>
      </c>
      <c r="AU163" s="123">
        <v>0</v>
      </c>
      <c r="AV163" s="123">
        <v>0</v>
      </c>
      <c r="AW163" s="123">
        <v>0</v>
      </c>
      <c r="AX163" s="123">
        <v>0</v>
      </c>
      <c r="AY163" s="123">
        <v>0</v>
      </c>
    </row>
    <row r="164" spans="1:52" x14ac:dyDescent="0.2">
      <c r="A164" s="126"/>
      <c r="B164" s="146">
        <v>43</v>
      </c>
      <c r="C164" s="123">
        <v>0</v>
      </c>
      <c r="D164" s="123">
        <v>0</v>
      </c>
      <c r="E164" s="123">
        <v>0</v>
      </c>
      <c r="F164" s="123">
        <v>0</v>
      </c>
      <c r="G164" s="123">
        <v>0</v>
      </c>
      <c r="H164" s="123">
        <v>0</v>
      </c>
      <c r="I164" s="123">
        <v>0</v>
      </c>
      <c r="J164" s="123">
        <v>0</v>
      </c>
      <c r="K164" s="123">
        <v>0</v>
      </c>
      <c r="L164" s="123">
        <v>0</v>
      </c>
      <c r="M164" s="123">
        <v>0</v>
      </c>
      <c r="N164" s="123">
        <v>0</v>
      </c>
      <c r="O164" s="123">
        <v>0</v>
      </c>
      <c r="P164" s="123">
        <v>0</v>
      </c>
      <c r="Q164" s="123">
        <v>0</v>
      </c>
      <c r="R164" s="123">
        <v>0</v>
      </c>
      <c r="S164" s="123">
        <v>0</v>
      </c>
      <c r="T164" s="123">
        <v>0</v>
      </c>
      <c r="U164" s="123">
        <v>0</v>
      </c>
      <c r="V164" s="123">
        <v>0</v>
      </c>
      <c r="W164" s="123">
        <v>0</v>
      </c>
      <c r="X164" s="123">
        <v>0</v>
      </c>
      <c r="Y164" s="123">
        <v>0</v>
      </c>
      <c r="Z164" s="123">
        <v>0</v>
      </c>
      <c r="AA164" s="123">
        <v>0</v>
      </c>
      <c r="AB164" s="123">
        <v>0</v>
      </c>
      <c r="AC164" s="123">
        <v>0</v>
      </c>
      <c r="AD164" s="123">
        <v>0</v>
      </c>
      <c r="AE164" s="123">
        <v>0</v>
      </c>
      <c r="AF164" s="123">
        <v>0</v>
      </c>
      <c r="AG164" s="123">
        <v>0</v>
      </c>
      <c r="AH164" s="123">
        <v>0</v>
      </c>
      <c r="AI164" s="123">
        <v>0</v>
      </c>
      <c r="AJ164" s="123">
        <v>0</v>
      </c>
      <c r="AK164" s="123">
        <v>0</v>
      </c>
      <c r="AL164" s="123">
        <v>0</v>
      </c>
      <c r="AM164" s="123">
        <v>0</v>
      </c>
      <c r="AN164" s="123">
        <v>0</v>
      </c>
      <c r="AO164" s="123">
        <v>0</v>
      </c>
      <c r="AP164" s="123">
        <v>0</v>
      </c>
      <c r="AQ164" s="123">
        <v>0</v>
      </c>
      <c r="AR164" s="123">
        <v>0</v>
      </c>
      <c r="AS164" s="123">
        <v>0</v>
      </c>
      <c r="AT164" s="123">
        <v>0</v>
      </c>
      <c r="AU164" s="123">
        <v>0</v>
      </c>
      <c r="AV164" s="123">
        <v>0</v>
      </c>
      <c r="AW164" s="123">
        <v>0</v>
      </c>
      <c r="AX164" s="123">
        <v>0</v>
      </c>
      <c r="AY164" s="123">
        <v>0</v>
      </c>
    </row>
    <row r="165" spans="1:52" x14ac:dyDescent="0.2">
      <c r="A165" s="126"/>
      <c r="B165" s="146">
        <v>44</v>
      </c>
      <c r="C165" s="123">
        <v>0</v>
      </c>
      <c r="D165" s="123">
        <v>0</v>
      </c>
      <c r="E165" s="123">
        <v>0</v>
      </c>
      <c r="F165" s="123">
        <v>0</v>
      </c>
      <c r="G165" s="123">
        <v>0</v>
      </c>
      <c r="H165" s="123">
        <v>0</v>
      </c>
      <c r="I165" s="123">
        <v>0</v>
      </c>
      <c r="J165" s="123">
        <v>0</v>
      </c>
      <c r="K165" s="123">
        <v>0</v>
      </c>
      <c r="L165" s="123">
        <v>0</v>
      </c>
      <c r="M165" s="123">
        <v>0</v>
      </c>
      <c r="N165" s="123">
        <v>0</v>
      </c>
      <c r="O165" s="123">
        <v>0</v>
      </c>
      <c r="P165" s="123">
        <v>0</v>
      </c>
      <c r="Q165" s="123">
        <v>0</v>
      </c>
      <c r="R165" s="123">
        <v>0</v>
      </c>
      <c r="S165" s="123">
        <v>0</v>
      </c>
      <c r="T165" s="123">
        <v>0</v>
      </c>
      <c r="U165" s="123">
        <v>0</v>
      </c>
      <c r="V165" s="123">
        <v>0</v>
      </c>
      <c r="W165" s="123">
        <v>0</v>
      </c>
      <c r="X165" s="123">
        <v>0</v>
      </c>
      <c r="Y165" s="123">
        <v>0</v>
      </c>
      <c r="Z165" s="123">
        <v>0</v>
      </c>
      <c r="AA165" s="123">
        <v>0</v>
      </c>
      <c r="AB165" s="123">
        <v>0</v>
      </c>
      <c r="AC165" s="123">
        <v>0</v>
      </c>
      <c r="AD165" s="123">
        <v>0</v>
      </c>
      <c r="AE165" s="123">
        <v>0</v>
      </c>
      <c r="AF165" s="123">
        <v>0</v>
      </c>
      <c r="AG165" s="123">
        <v>0</v>
      </c>
      <c r="AH165" s="123">
        <v>0</v>
      </c>
      <c r="AI165" s="123">
        <v>0</v>
      </c>
      <c r="AJ165" s="123">
        <v>0</v>
      </c>
      <c r="AK165" s="123">
        <v>0</v>
      </c>
      <c r="AL165" s="123">
        <v>0</v>
      </c>
      <c r="AM165" s="123">
        <v>0</v>
      </c>
      <c r="AN165" s="123">
        <v>0</v>
      </c>
      <c r="AO165" s="123">
        <v>0</v>
      </c>
      <c r="AP165" s="123">
        <v>0</v>
      </c>
      <c r="AQ165" s="123">
        <v>0</v>
      </c>
      <c r="AR165" s="123">
        <v>0</v>
      </c>
      <c r="AS165" s="123">
        <v>0</v>
      </c>
      <c r="AT165" s="123">
        <v>0</v>
      </c>
      <c r="AU165" s="123">
        <v>0</v>
      </c>
      <c r="AV165" s="123">
        <v>0</v>
      </c>
      <c r="AW165" s="123">
        <v>0</v>
      </c>
      <c r="AX165" s="123">
        <v>0</v>
      </c>
      <c r="AY165" s="123">
        <v>0</v>
      </c>
    </row>
    <row r="166" spans="1:52" x14ac:dyDescent="0.2">
      <c r="A166" s="126"/>
      <c r="B166" s="146">
        <v>45</v>
      </c>
      <c r="C166" s="123">
        <v>0</v>
      </c>
      <c r="D166" s="123">
        <v>0</v>
      </c>
      <c r="E166" s="123">
        <v>0</v>
      </c>
      <c r="F166" s="123">
        <v>0</v>
      </c>
      <c r="G166" s="123">
        <v>0</v>
      </c>
      <c r="H166" s="123">
        <v>0</v>
      </c>
      <c r="I166" s="123">
        <v>0</v>
      </c>
      <c r="J166" s="123">
        <v>0</v>
      </c>
      <c r="K166" s="123">
        <v>0</v>
      </c>
      <c r="L166" s="123">
        <v>0</v>
      </c>
      <c r="M166" s="123">
        <v>0</v>
      </c>
      <c r="N166" s="123">
        <v>0</v>
      </c>
      <c r="O166" s="123">
        <v>0</v>
      </c>
      <c r="P166" s="123">
        <v>0</v>
      </c>
      <c r="Q166" s="123">
        <v>0</v>
      </c>
      <c r="R166" s="123">
        <v>0</v>
      </c>
      <c r="S166" s="123">
        <v>0</v>
      </c>
      <c r="T166" s="123">
        <v>0</v>
      </c>
      <c r="U166" s="123">
        <v>0</v>
      </c>
      <c r="V166" s="123">
        <v>0</v>
      </c>
      <c r="W166" s="123">
        <v>0</v>
      </c>
      <c r="X166" s="123">
        <v>0</v>
      </c>
      <c r="Y166" s="123">
        <v>0</v>
      </c>
      <c r="Z166" s="123">
        <v>0</v>
      </c>
      <c r="AA166" s="123">
        <v>0</v>
      </c>
      <c r="AB166" s="123">
        <v>0</v>
      </c>
      <c r="AC166" s="123">
        <v>0</v>
      </c>
      <c r="AD166" s="123">
        <v>0</v>
      </c>
      <c r="AE166" s="123">
        <v>0</v>
      </c>
      <c r="AF166" s="123">
        <v>0</v>
      </c>
      <c r="AG166" s="123">
        <v>0</v>
      </c>
      <c r="AH166" s="123">
        <v>0</v>
      </c>
      <c r="AI166" s="123">
        <v>0</v>
      </c>
      <c r="AJ166" s="123">
        <v>0</v>
      </c>
      <c r="AK166" s="123">
        <v>0</v>
      </c>
      <c r="AL166" s="123">
        <v>0</v>
      </c>
      <c r="AM166" s="123">
        <v>0</v>
      </c>
      <c r="AN166" s="123">
        <v>0</v>
      </c>
      <c r="AO166" s="123">
        <v>0</v>
      </c>
      <c r="AP166" s="123">
        <v>0</v>
      </c>
      <c r="AQ166" s="123">
        <v>0</v>
      </c>
      <c r="AR166" s="123">
        <v>0</v>
      </c>
      <c r="AS166" s="123">
        <v>0</v>
      </c>
      <c r="AT166" s="123">
        <v>0</v>
      </c>
      <c r="AU166" s="123">
        <v>0</v>
      </c>
      <c r="AV166" s="123">
        <v>0</v>
      </c>
      <c r="AW166" s="123">
        <v>0</v>
      </c>
      <c r="AX166" s="123">
        <v>0</v>
      </c>
      <c r="AY166" s="123">
        <v>0</v>
      </c>
    </row>
    <row r="167" spans="1:52" x14ac:dyDescent="0.2">
      <c r="A167" s="126"/>
      <c r="B167" s="146">
        <v>46</v>
      </c>
      <c r="C167" s="123">
        <v>0</v>
      </c>
      <c r="D167" s="123">
        <v>0</v>
      </c>
      <c r="E167" s="123">
        <v>0</v>
      </c>
      <c r="F167" s="123">
        <v>0</v>
      </c>
      <c r="G167" s="123">
        <v>0</v>
      </c>
      <c r="H167" s="123">
        <v>0</v>
      </c>
      <c r="I167" s="123">
        <v>0</v>
      </c>
      <c r="J167" s="123">
        <v>0</v>
      </c>
      <c r="K167" s="123">
        <v>0</v>
      </c>
      <c r="L167" s="123">
        <v>0</v>
      </c>
      <c r="M167" s="123">
        <v>0</v>
      </c>
      <c r="N167" s="123">
        <v>0</v>
      </c>
      <c r="O167" s="123">
        <v>0</v>
      </c>
      <c r="P167" s="123">
        <v>0</v>
      </c>
      <c r="Q167" s="123">
        <v>0</v>
      </c>
      <c r="R167" s="123">
        <v>0</v>
      </c>
      <c r="S167" s="123">
        <v>0</v>
      </c>
      <c r="T167" s="123">
        <v>0</v>
      </c>
      <c r="U167" s="123">
        <v>0</v>
      </c>
      <c r="V167" s="123">
        <v>0</v>
      </c>
      <c r="W167" s="123">
        <v>0</v>
      </c>
      <c r="X167" s="123">
        <v>0</v>
      </c>
      <c r="Y167" s="123">
        <v>0</v>
      </c>
      <c r="Z167" s="123">
        <v>0</v>
      </c>
      <c r="AA167" s="123">
        <v>0</v>
      </c>
      <c r="AB167" s="123">
        <v>0</v>
      </c>
      <c r="AC167" s="123">
        <v>0</v>
      </c>
      <c r="AD167" s="123">
        <v>0</v>
      </c>
      <c r="AE167" s="123">
        <v>0</v>
      </c>
      <c r="AF167" s="123">
        <v>0</v>
      </c>
      <c r="AG167" s="123">
        <v>0</v>
      </c>
      <c r="AH167" s="123">
        <v>0</v>
      </c>
      <c r="AI167" s="123">
        <v>0</v>
      </c>
      <c r="AJ167" s="123">
        <v>0</v>
      </c>
      <c r="AK167" s="123">
        <v>0</v>
      </c>
      <c r="AL167" s="123">
        <v>0</v>
      </c>
      <c r="AM167" s="123">
        <v>0</v>
      </c>
      <c r="AN167" s="123">
        <v>0</v>
      </c>
      <c r="AO167" s="123">
        <v>0</v>
      </c>
      <c r="AP167" s="123">
        <v>0</v>
      </c>
      <c r="AQ167" s="123">
        <v>0</v>
      </c>
      <c r="AR167" s="123">
        <v>0</v>
      </c>
      <c r="AS167" s="123">
        <v>0</v>
      </c>
      <c r="AT167" s="123">
        <v>0</v>
      </c>
      <c r="AU167" s="123">
        <v>0</v>
      </c>
      <c r="AV167" s="123">
        <v>0</v>
      </c>
      <c r="AW167" s="123">
        <v>0</v>
      </c>
      <c r="AX167" s="123">
        <v>0</v>
      </c>
      <c r="AY167" s="123">
        <v>0</v>
      </c>
    </row>
    <row r="168" spans="1:52" x14ac:dyDescent="0.2">
      <c r="A168" s="126"/>
      <c r="B168" s="146">
        <v>47</v>
      </c>
      <c r="C168" s="123">
        <v>0</v>
      </c>
      <c r="D168" s="123">
        <v>0</v>
      </c>
      <c r="E168" s="123">
        <v>0</v>
      </c>
      <c r="F168" s="123">
        <v>0</v>
      </c>
      <c r="G168" s="123">
        <v>0</v>
      </c>
      <c r="H168" s="123">
        <v>0</v>
      </c>
      <c r="I168" s="123">
        <v>0</v>
      </c>
      <c r="J168" s="123">
        <v>0</v>
      </c>
      <c r="K168" s="123">
        <v>0</v>
      </c>
      <c r="L168" s="123">
        <v>0</v>
      </c>
      <c r="M168" s="123">
        <v>0</v>
      </c>
      <c r="N168" s="123">
        <v>0</v>
      </c>
      <c r="O168" s="123">
        <v>0</v>
      </c>
      <c r="P168" s="123">
        <v>0</v>
      </c>
      <c r="Q168" s="123">
        <v>0</v>
      </c>
      <c r="R168" s="123">
        <v>0</v>
      </c>
      <c r="S168" s="123">
        <v>0</v>
      </c>
      <c r="T168" s="123">
        <v>0</v>
      </c>
      <c r="U168" s="123">
        <v>0</v>
      </c>
      <c r="V168" s="123">
        <v>0</v>
      </c>
      <c r="W168" s="123">
        <v>0</v>
      </c>
      <c r="X168" s="123">
        <v>0</v>
      </c>
      <c r="Y168" s="123">
        <v>0</v>
      </c>
      <c r="Z168" s="123">
        <v>0</v>
      </c>
      <c r="AA168" s="123">
        <v>0</v>
      </c>
      <c r="AB168" s="123">
        <v>0</v>
      </c>
      <c r="AC168" s="123">
        <v>0</v>
      </c>
      <c r="AD168" s="123">
        <v>0</v>
      </c>
      <c r="AE168" s="123">
        <v>0</v>
      </c>
      <c r="AF168" s="123">
        <v>0</v>
      </c>
      <c r="AG168" s="123">
        <v>0</v>
      </c>
      <c r="AH168" s="123">
        <v>0</v>
      </c>
      <c r="AI168" s="123">
        <v>0</v>
      </c>
      <c r="AJ168" s="123">
        <v>0</v>
      </c>
      <c r="AK168" s="123">
        <v>0</v>
      </c>
      <c r="AL168" s="123">
        <v>0</v>
      </c>
      <c r="AM168" s="123">
        <v>0</v>
      </c>
      <c r="AN168" s="123">
        <v>0</v>
      </c>
      <c r="AO168" s="123">
        <v>0</v>
      </c>
      <c r="AP168" s="123">
        <v>0</v>
      </c>
      <c r="AQ168" s="123">
        <v>0</v>
      </c>
      <c r="AR168" s="123">
        <v>0</v>
      </c>
      <c r="AS168" s="123">
        <v>0</v>
      </c>
      <c r="AT168" s="123">
        <v>0</v>
      </c>
      <c r="AU168" s="123">
        <v>0</v>
      </c>
      <c r="AV168" s="123">
        <v>0</v>
      </c>
      <c r="AW168" s="123">
        <v>0</v>
      </c>
      <c r="AX168" s="123">
        <v>0</v>
      </c>
      <c r="AY168" s="123">
        <v>0</v>
      </c>
    </row>
    <row r="169" spans="1:52" x14ac:dyDescent="0.2">
      <c r="A169" s="126"/>
      <c r="B169" s="146">
        <v>48</v>
      </c>
      <c r="C169" s="123">
        <v>0</v>
      </c>
      <c r="D169" s="123">
        <v>0</v>
      </c>
      <c r="E169" s="123">
        <v>0</v>
      </c>
      <c r="F169" s="123">
        <v>0</v>
      </c>
      <c r="G169" s="123">
        <v>0</v>
      </c>
      <c r="H169" s="123">
        <v>0</v>
      </c>
      <c r="I169" s="123">
        <v>0</v>
      </c>
      <c r="J169" s="123">
        <v>0</v>
      </c>
      <c r="K169" s="123">
        <v>0</v>
      </c>
      <c r="L169" s="123">
        <v>0</v>
      </c>
      <c r="M169" s="123">
        <v>0</v>
      </c>
      <c r="N169" s="123">
        <v>0</v>
      </c>
      <c r="O169" s="123">
        <v>0</v>
      </c>
      <c r="P169" s="123">
        <v>0</v>
      </c>
      <c r="Q169" s="123">
        <v>0</v>
      </c>
      <c r="R169" s="123">
        <v>0</v>
      </c>
      <c r="S169" s="123">
        <v>0</v>
      </c>
      <c r="T169" s="123">
        <v>0</v>
      </c>
      <c r="U169" s="123">
        <v>0</v>
      </c>
      <c r="V169" s="123">
        <v>0</v>
      </c>
      <c r="W169" s="123">
        <v>0</v>
      </c>
      <c r="X169" s="123">
        <v>0</v>
      </c>
      <c r="Y169" s="123">
        <v>0</v>
      </c>
      <c r="Z169" s="123">
        <v>0</v>
      </c>
      <c r="AA169" s="123">
        <v>0</v>
      </c>
      <c r="AB169" s="123">
        <v>0</v>
      </c>
      <c r="AC169" s="123">
        <v>0</v>
      </c>
      <c r="AD169" s="123">
        <v>0</v>
      </c>
      <c r="AE169" s="123">
        <v>0</v>
      </c>
      <c r="AF169" s="123">
        <v>0</v>
      </c>
      <c r="AG169" s="123">
        <v>0</v>
      </c>
      <c r="AH169" s="123">
        <v>0</v>
      </c>
      <c r="AI169" s="123">
        <v>0</v>
      </c>
      <c r="AJ169" s="123">
        <v>0</v>
      </c>
      <c r="AK169" s="123">
        <v>0</v>
      </c>
      <c r="AL169" s="123">
        <v>0</v>
      </c>
      <c r="AM169" s="123">
        <v>0</v>
      </c>
      <c r="AN169" s="123">
        <v>0</v>
      </c>
      <c r="AO169" s="123">
        <v>0</v>
      </c>
      <c r="AP169" s="123">
        <v>0</v>
      </c>
      <c r="AQ169" s="123">
        <v>0</v>
      </c>
      <c r="AR169" s="123">
        <v>0</v>
      </c>
      <c r="AS169" s="123">
        <v>0</v>
      </c>
      <c r="AT169" s="123">
        <v>0</v>
      </c>
      <c r="AU169" s="123">
        <v>0</v>
      </c>
      <c r="AV169" s="123">
        <v>0</v>
      </c>
      <c r="AW169" s="123">
        <v>0</v>
      </c>
      <c r="AX169" s="123">
        <v>0</v>
      </c>
      <c r="AY169" s="123">
        <v>0</v>
      </c>
    </row>
    <row r="170" spans="1:52" x14ac:dyDescent="0.2">
      <c r="A170" s="144"/>
      <c r="B170" s="148" t="s">
        <v>296</v>
      </c>
      <c r="C170" s="130">
        <v>0</v>
      </c>
      <c r="D170" s="141">
        <v>0</v>
      </c>
      <c r="E170" s="141">
        <v>0</v>
      </c>
      <c r="F170" s="141">
        <v>0</v>
      </c>
      <c r="G170" s="141">
        <v>0</v>
      </c>
      <c r="H170" s="141">
        <v>0</v>
      </c>
      <c r="I170" s="141">
        <v>0</v>
      </c>
      <c r="J170" s="141">
        <v>0</v>
      </c>
      <c r="K170" s="141">
        <v>0</v>
      </c>
      <c r="L170" s="141">
        <v>0</v>
      </c>
      <c r="M170" s="141">
        <v>0</v>
      </c>
      <c r="N170" s="141">
        <v>0</v>
      </c>
      <c r="O170" s="141">
        <v>0</v>
      </c>
      <c r="P170" s="141">
        <v>0</v>
      </c>
      <c r="Q170" s="141">
        <v>0</v>
      </c>
      <c r="R170" s="141">
        <v>0</v>
      </c>
      <c r="S170" s="141">
        <v>0</v>
      </c>
      <c r="T170" s="141">
        <v>0</v>
      </c>
      <c r="U170" s="141">
        <v>0</v>
      </c>
      <c r="V170" s="141">
        <v>0</v>
      </c>
      <c r="W170" s="141">
        <v>0</v>
      </c>
      <c r="X170" s="141">
        <v>0</v>
      </c>
      <c r="Y170" s="141">
        <v>0</v>
      </c>
      <c r="Z170" s="141">
        <v>0</v>
      </c>
      <c r="AA170" s="141">
        <v>0</v>
      </c>
      <c r="AB170" s="141">
        <v>0</v>
      </c>
      <c r="AC170" s="141">
        <v>0</v>
      </c>
      <c r="AD170" s="141">
        <v>0</v>
      </c>
      <c r="AE170" s="141">
        <v>0</v>
      </c>
      <c r="AF170" s="141">
        <v>0</v>
      </c>
      <c r="AG170" s="141">
        <v>0</v>
      </c>
      <c r="AH170" s="141">
        <v>0</v>
      </c>
      <c r="AI170" s="141">
        <v>0</v>
      </c>
      <c r="AJ170" s="141">
        <v>0</v>
      </c>
      <c r="AK170" s="141">
        <v>0</v>
      </c>
      <c r="AL170" s="141">
        <v>0</v>
      </c>
      <c r="AM170" s="141">
        <v>0</v>
      </c>
      <c r="AN170" s="141">
        <v>0</v>
      </c>
      <c r="AO170" s="141">
        <v>0</v>
      </c>
      <c r="AP170" s="141">
        <v>0</v>
      </c>
      <c r="AQ170" s="141">
        <v>0</v>
      </c>
      <c r="AR170" s="141">
        <v>0</v>
      </c>
      <c r="AS170" s="141">
        <v>0</v>
      </c>
      <c r="AT170" s="141">
        <v>0</v>
      </c>
      <c r="AU170" s="141">
        <v>0</v>
      </c>
      <c r="AV170" s="141">
        <v>0</v>
      </c>
      <c r="AW170" s="141">
        <v>0</v>
      </c>
      <c r="AX170" s="141">
        <v>0</v>
      </c>
      <c r="AY170" s="141">
        <v>0</v>
      </c>
      <c r="AZ170" s="124">
        <f>SUM($D170:$AY170)</f>
        <v>0</v>
      </c>
    </row>
    <row r="172" spans="1:52" x14ac:dyDescent="0.2">
      <c r="A172" s="1" t="s">
        <v>124</v>
      </c>
      <c r="B172" s="149" t="s">
        <v>297</v>
      </c>
      <c r="C172" s="150">
        <v>0.30256926631890069</v>
      </c>
      <c r="D172" s="150">
        <v>0.38</v>
      </c>
      <c r="E172" s="150">
        <v>0.38</v>
      </c>
      <c r="F172" s="150">
        <v>0.38</v>
      </c>
      <c r="G172" s="150">
        <v>0.38</v>
      </c>
      <c r="H172" s="150">
        <v>0.38</v>
      </c>
      <c r="I172" s="150">
        <v>0.38</v>
      </c>
      <c r="J172" s="150">
        <v>0.38</v>
      </c>
      <c r="K172" s="150">
        <v>0.38</v>
      </c>
      <c r="L172" s="150">
        <v>0.38</v>
      </c>
      <c r="M172" s="150">
        <v>0.38</v>
      </c>
      <c r="N172" s="150">
        <v>0.38</v>
      </c>
      <c r="O172" s="150">
        <v>0.38</v>
      </c>
      <c r="P172" s="150">
        <v>0.38</v>
      </c>
      <c r="Q172" s="150">
        <v>0.38</v>
      </c>
      <c r="R172" s="150">
        <v>0.38</v>
      </c>
      <c r="S172" s="150">
        <v>0.38</v>
      </c>
      <c r="T172" s="150">
        <v>0.38</v>
      </c>
      <c r="U172" s="150">
        <v>0.38</v>
      </c>
      <c r="V172" s="150">
        <v>0.38</v>
      </c>
      <c r="W172" s="150">
        <v>0.38</v>
      </c>
      <c r="X172" s="150">
        <v>0.38</v>
      </c>
      <c r="Y172" s="150">
        <v>0.38</v>
      </c>
      <c r="Z172" s="150">
        <v>0.38</v>
      </c>
      <c r="AA172" s="150">
        <v>0.38</v>
      </c>
      <c r="AB172" s="150">
        <v>0.38</v>
      </c>
      <c r="AC172" s="150">
        <v>0.38</v>
      </c>
      <c r="AD172" s="150">
        <v>0.38</v>
      </c>
      <c r="AE172" s="150">
        <v>0.38</v>
      </c>
      <c r="AF172" s="150">
        <v>0.38</v>
      </c>
      <c r="AG172" s="150">
        <v>0.38</v>
      </c>
      <c r="AH172" s="150">
        <v>0.38</v>
      </c>
      <c r="AI172" s="150">
        <v>0.38</v>
      </c>
      <c r="AJ172" s="150">
        <v>0.38</v>
      </c>
      <c r="AK172" s="150">
        <v>0.38</v>
      </c>
      <c r="AL172" s="150">
        <v>0.38</v>
      </c>
      <c r="AM172" s="150">
        <v>0.38</v>
      </c>
      <c r="AN172" s="150">
        <v>0.38</v>
      </c>
      <c r="AO172" s="150">
        <v>0.38</v>
      </c>
      <c r="AP172" s="150">
        <v>0.38</v>
      </c>
      <c r="AQ172" s="150">
        <v>0.38</v>
      </c>
      <c r="AR172" s="150">
        <v>0.38</v>
      </c>
      <c r="AS172" s="150">
        <v>0.38</v>
      </c>
      <c r="AT172" s="150">
        <v>0.38</v>
      </c>
      <c r="AU172" s="150">
        <v>0.38</v>
      </c>
      <c r="AV172" s="150">
        <v>0.38</v>
      </c>
      <c r="AW172" s="150">
        <v>0.38</v>
      </c>
      <c r="AX172" s="150">
        <v>0.38</v>
      </c>
      <c r="AY172" s="150">
        <v>0.38</v>
      </c>
    </row>
    <row r="174" spans="1:52" x14ac:dyDescent="0.2">
      <c r="A174" s="1" t="s">
        <v>272</v>
      </c>
    </row>
    <row r="175" spans="1:52" x14ac:dyDescent="0.2">
      <c r="A175" s="151" t="s">
        <v>125</v>
      </c>
      <c r="B175" s="151" t="s">
        <v>298</v>
      </c>
      <c r="C175" s="140" t="s">
        <v>293</v>
      </c>
      <c r="D175" s="140">
        <f t="shared" ref="D175:AY175" si="1">SUM(D95:D98)</f>
        <v>5260.5764479426616</v>
      </c>
      <c r="E175" s="140">
        <f t="shared" si="1"/>
        <v>4799.3148571100282</v>
      </c>
      <c r="F175" s="140">
        <f t="shared" si="1"/>
        <v>3115.7324725071894</v>
      </c>
      <c r="G175" s="140">
        <f t="shared" si="1"/>
        <v>1676.0913506612683</v>
      </c>
      <c r="H175" s="140">
        <f t="shared" si="1"/>
        <v>728.24058943327327</v>
      </c>
      <c r="I175" s="140">
        <f t="shared" si="1"/>
        <v>0</v>
      </c>
      <c r="J175" s="140">
        <f t="shared" si="1"/>
        <v>0</v>
      </c>
      <c r="K175" s="140">
        <f t="shared" si="1"/>
        <v>0</v>
      </c>
      <c r="L175" s="140">
        <f t="shared" si="1"/>
        <v>0</v>
      </c>
      <c r="M175" s="140">
        <f t="shared" si="1"/>
        <v>0</v>
      </c>
      <c r="N175" s="140">
        <f t="shared" si="1"/>
        <v>0</v>
      </c>
      <c r="O175" s="140">
        <f t="shared" si="1"/>
        <v>0</v>
      </c>
      <c r="P175" s="140">
        <f t="shared" si="1"/>
        <v>0</v>
      </c>
      <c r="Q175" s="140">
        <f t="shared" si="1"/>
        <v>0</v>
      </c>
      <c r="R175" s="140">
        <f t="shared" si="1"/>
        <v>0</v>
      </c>
      <c r="S175" s="140">
        <f t="shared" si="1"/>
        <v>0</v>
      </c>
      <c r="T175" s="140">
        <f t="shared" si="1"/>
        <v>0</v>
      </c>
      <c r="U175" s="140">
        <f t="shared" si="1"/>
        <v>0</v>
      </c>
      <c r="V175" s="140">
        <f t="shared" si="1"/>
        <v>0</v>
      </c>
      <c r="W175" s="140">
        <f t="shared" si="1"/>
        <v>0</v>
      </c>
      <c r="X175" s="140">
        <f t="shared" si="1"/>
        <v>0</v>
      </c>
      <c r="Y175" s="140">
        <f t="shared" si="1"/>
        <v>0</v>
      </c>
      <c r="Z175" s="140">
        <f t="shared" si="1"/>
        <v>0</v>
      </c>
      <c r="AA175" s="140">
        <f t="shared" si="1"/>
        <v>0</v>
      </c>
      <c r="AB175" s="140">
        <f t="shared" si="1"/>
        <v>0</v>
      </c>
      <c r="AC175" s="140">
        <f t="shared" si="1"/>
        <v>0</v>
      </c>
      <c r="AD175" s="140">
        <f t="shared" si="1"/>
        <v>0</v>
      </c>
      <c r="AE175" s="140">
        <f t="shared" si="1"/>
        <v>0</v>
      </c>
      <c r="AF175" s="140">
        <f t="shared" si="1"/>
        <v>0</v>
      </c>
      <c r="AG175" s="140">
        <f t="shared" si="1"/>
        <v>0</v>
      </c>
      <c r="AH175" s="140">
        <f t="shared" si="1"/>
        <v>0</v>
      </c>
      <c r="AI175" s="140">
        <f t="shared" si="1"/>
        <v>0</v>
      </c>
      <c r="AJ175" s="140">
        <f t="shared" si="1"/>
        <v>0</v>
      </c>
      <c r="AK175" s="140">
        <f t="shared" si="1"/>
        <v>0</v>
      </c>
      <c r="AL175" s="140">
        <f t="shared" si="1"/>
        <v>0</v>
      </c>
      <c r="AM175" s="140">
        <f t="shared" si="1"/>
        <v>0</v>
      </c>
      <c r="AN175" s="140">
        <f t="shared" si="1"/>
        <v>0</v>
      </c>
      <c r="AO175" s="140">
        <f t="shared" si="1"/>
        <v>0</v>
      </c>
      <c r="AP175" s="140">
        <f t="shared" si="1"/>
        <v>0</v>
      </c>
      <c r="AQ175" s="140">
        <f t="shared" si="1"/>
        <v>0</v>
      </c>
      <c r="AR175" s="140">
        <f t="shared" si="1"/>
        <v>0</v>
      </c>
      <c r="AS175" s="140">
        <f t="shared" si="1"/>
        <v>0</v>
      </c>
      <c r="AT175" s="140">
        <f t="shared" si="1"/>
        <v>0</v>
      </c>
      <c r="AU175" s="140">
        <f t="shared" si="1"/>
        <v>0</v>
      </c>
      <c r="AV175" s="140">
        <f t="shared" si="1"/>
        <v>0</v>
      </c>
      <c r="AW175" s="140">
        <f t="shared" si="1"/>
        <v>0</v>
      </c>
      <c r="AX175" s="140">
        <f t="shared" si="1"/>
        <v>0</v>
      </c>
      <c r="AY175" s="140">
        <f t="shared" si="1"/>
        <v>0</v>
      </c>
    </row>
    <row r="176" spans="1:52" x14ac:dyDescent="0.2">
      <c r="A176" s="141"/>
      <c r="B176" s="152" t="s">
        <v>299</v>
      </c>
      <c r="C176" s="141" t="s">
        <v>293</v>
      </c>
      <c r="D176" s="141">
        <v>677</v>
      </c>
      <c r="E176" s="141">
        <v>751</v>
      </c>
      <c r="F176" s="141">
        <v>773</v>
      </c>
      <c r="G176" s="141">
        <v>761</v>
      </c>
      <c r="H176" s="141">
        <v>728.24058943327327</v>
      </c>
      <c r="I176" s="141">
        <v>0</v>
      </c>
      <c r="J176" s="141">
        <v>0</v>
      </c>
      <c r="K176" s="141">
        <v>0</v>
      </c>
      <c r="L176" s="141">
        <v>0</v>
      </c>
      <c r="M176" s="141">
        <v>0</v>
      </c>
      <c r="N176" s="141">
        <v>0</v>
      </c>
      <c r="O176" s="141">
        <v>0</v>
      </c>
      <c r="P176" s="141">
        <v>0</v>
      </c>
      <c r="Q176" s="141">
        <v>0</v>
      </c>
      <c r="R176" s="141">
        <v>0</v>
      </c>
      <c r="S176" s="141">
        <v>0</v>
      </c>
      <c r="T176" s="141">
        <v>0</v>
      </c>
      <c r="U176" s="141">
        <v>0</v>
      </c>
      <c r="V176" s="141">
        <v>0</v>
      </c>
      <c r="W176" s="141">
        <v>0</v>
      </c>
      <c r="X176" s="141">
        <v>0</v>
      </c>
      <c r="Y176" s="141">
        <v>0</v>
      </c>
      <c r="Z176" s="141">
        <v>0</v>
      </c>
      <c r="AA176" s="141">
        <v>0</v>
      </c>
      <c r="AB176" s="141">
        <v>0</v>
      </c>
      <c r="AC176" s="141">
        <v>0</v>
      </c>
      <c r="AD176" s="141">
        <v>0</v>
      </c>
      <c r="AE176" s="141">
        <v>0</v>
      </c>
      <c r="AF176" s="141">
        <v>0</v>
      </c>
      <c r="AG176" s="141">
        <v>0</v>
      </c>
      <c r="AH176" s="141">
        <v>0</v>
      </c>
      <c r="AI176" s="141">
        <v>0</v>
      </c>
      <c r="AJ176" s="141">
        <v>0</v>
      </c>
      <c r="AK176" s="141">
        <v>0</v>
      </c>
      <c r="AL176" s="141">
        <v>0</v>
      </c>
      <c r="AM176" s="141">
        <v>0</v>
      </c>
      <c r="AN176" s="141">
        <v>0</v>
      </c>
      <c r="AO176" s="141">
        <v>0</v>
      </c>
      <c r="AP176" s="141">
        <v>0</v>
      </c>
      <c r="AQ176" s="141">
        <v>0</v>
      </c>
      <c r="AR176" s="141">
        <v>0</v>
      </c>
      <c r="AS176" s="141">
        <v>0</v>
      </c>
      <c r="AT176" s="141">
        <v>0</v>
      </c>
      <c r="AU176" s="141">
        <v>0</v>
      </c>
      <c r="AV176" s="141">
        <v>0</v>
      </c>
      <c r="AW176" s="141">
        <v>0</v>
      </c>
      <c r="AX176" s="141">
        <v>0</v>
      </c>
      <c r="AY176" s="141">
        <v>0</v>
      </c>
    </row>
    <row r="177" spans="1:51" x14ac:dyDescent="0.2">
      <c r="A177" s="151" t="s">
        <v>133</v>
      </c>
      <c r="B177" s="151" t="s">
        <v>298</v>
      </c>
      <c r="C177" s="140" t="s">
        <v>293</v>
      </c>
      <c r="D177" s="140">
        <f t="shared" ref="D177:AY177" si="2">SUM(D100:D107)</f>
        <v>7835.0255408813628</v>
      </c>
      <c r="E177" s="140">
        <f t="shared" si="2"/>
        <v>6284.1689755013231</v>
      </c>
      <c r="F177" s="140">
        <f t="shared" si="2"/>
        <v>6592.1167628012108</v>
      </c>
      <c r="G177" s="140">
        <f t="shared" si="2"/>
        <v>6119.5891603899381</v>
      </c>
      <c r="H177" s="140">
        <f t="shared" si="2"/>
        <v>4736.6224418084366</v>
      </c>
      <c r="I177" s="140">
        <f t="shared" si="2"/>
        <v>3908.966515254891</v>
      </c>
      <c r="J177" s="140">
        <f t="shared" si="2"/>
        <v>3253.6909948232751</v>
      </c>
      <c r="K177" s="140">
        <f t="shared" si="2"/>
        <v>2544.1587595763931</v>
      </c>
      <c r="L177" s="140">
        <f t="shared" si="2"/>
        <v>2502.0368704367447</v>
      </c>
      <c r="M177" s="140">
        <f t="shared" si="2"/>
        <v>1883.9309381134217</v>
      </c>
      <c r="N177" s="140">
        <f t="shared" si="2"/>
        <v>2347.8837458821663</v>
      </c>
      <c r="O177" s="140">
        <f t="shared" si="2"/>
        <v>1779.5452558601548</v>
      </c>
      <c r="P177" s="140">
        <f t="shared" si="2"/>
        <v>1973.5347794905638</v>
      </c>
      <c r="Q177" s="140">
        <f t="shared" si="2"/>
        <v>2072.3947098647091</v>
      </c>
      <c r="R177" s="140">
        <f t="shared" si="2"/>
        <v>2063.0558238452395</v>
      </c>
      <c r="S177" s="140">
        <f t="shared" si="2"/>
        <v>1705.7645691824205</v>
      </c>
      <c r="T177" s="140">
        <f t="shared" si="2"/>
        <v>2231.8770979452102</v>
      </c>
      <c r="U177" s="140">
        <f t="shared" si="2"/>
        <v>2059.5130669602522</v>
      </c>
      <c r="V177" s="140">
        <f t="shared" si="2"/>
        <v>2055.1979760296344</v>
      </c>
      <c r="W177" s="140">
        <f t="shared" si="2"/>
        <v>1274.4100822704656</v>
      </c>
      <c r="X177" s="140">
        <f t="shared" si="2"/>
        <v>2275.7539921731632</v>
      </c>
      <c r="Y177" s="140">
        <f t="shared" si="2"/>
        <v>2112.1820434114411</v>
      </c>
      <c r="Z177" s="140">
        <f t="shared" si="2"/>
        <v>1973.9251241382217</v>
      </c>
      <c r="AA177" s="140">
        <f t="shared" si="2"/>
        <v>1695.4424048585556</v>
      </c>
      <c r="AB177" s="140">
        <f t="shared" si="2"/>
        <v>1949.0504102313362</v>
      </c>
      <c r="AC177" s="140">
        <f t="shared" si="2"/>
        <v>1727.1616699419815</v>
      </c>
      <c r="AD177" s="140">
        <f t="shared" si="2"/>
        <v>2110.1458686935111</v>
      </c>
      <c r="AE177" s="140">
        <f t="shared" si="2"/>
        <v>2085.7186278327263</v>
      </c>
      <c r="AF177" s="140">
        <f t="shared" si="2"/>
        <v>2334.6633843796089</v>
      </c>
      <c r="AG177" s="140">
        <f t="shared" si="2"/>
        <v>2124.9940619297777</v>
      </c>
      <c r="AH177" s="140">
        <f t="shared" si="2"/>
        <v>2102.5638085543278</v>
      </c>
      <c r="AI177" s="140">
        <f t="shared" si="2"/>
        <v>1791.2253165175593</v>
      </c>
      <c r="AJ177" s="140">
        <f t="shared" si="2"/>
        <v>2123.8154998836594</v>
      </c>
      <c r="AK177" s="140">
        <f t="shared" si="2"/>
        <v>2095.0249105617199</v>
      </c>
      <c r="AL177" s="140">
        <f t="shared" si="2"/>
        <v>1600.7355327181297</v>
      </c>
      <c r="AM177" s="140">
        <f t="shared" si="2"/>
        <v>2104.1752180247713</v>
      </c>
      <c r="AN177" s="140">
        <f t="shared" si="2"/>
        <v>2415.6032692630497</v>
      </c>
      <c r="AO177" s="140">
        <f t="shared" si="2"/>
        <v>2102.7900131497568</v>
      </c>
      <c r="AP177" s="140">
        <f t="shared" si="2"/>
        <v>2288.9312627557697</v>
      </c>
      <c r="AQ177" s="140">
        <f t="shared" si="2"/>
        <v>2068.3640924571541</v>
      </c>
      <c r="AR177" s="140">
        <f t="shared" si="2"/>
        <v>1565.0954593774659</v>
      </c>
      <c r="AS177" s="140">
        <f t="shared" si="2"/>
        <v>1773.8739018641045</v>
      </c>
      <c r="AT177" s="140">
        <f t="shared" si="2"/>
        <v>1801.7300043406608</v>
      </c>
      <c r="AU177" s="140">
        <f t="shared" si="2"/>
        <v>2020.934652236341</v>
      </c>
      <c r="AV177" s="140">
        <f t="shared" si="2"/>
        <v>1477.934652236341</v>
      </c>
      <c r="AW177" s="140">
        <f t="shared" si="2"/>
        <v>2077.8394314277562</v>
      </c>
      <c r="AX177" s="140">
        <f t="shared" si="2"/>
        <v>2117.1474551574393</v>
      </c>
      <c r="AY177" s="140">
        <f t="shared" si="2"/>
        <v>2002.2666124998855</v>
      </c>
    </row>
    <row r="178" spans="1:51" x14ac:dyDescent="0.2">
      <c r="A178" s="141"/>
      <c r="B178" s="152" t="s">
        <v>299</v>
      </c>
      <c r="C178" s="141" t="s">
        <v>293</v>
      </c>
      <c r="D178" s="141">
        <v>721</v>
      </c>
      <c r="E178" s="141">
        <v>655</v>
      </c>
      <c r="F178" s="141">
        <v>747</v>
      </c>
      <c r="G178" s="141">
        <v>740</v>
      </c>
      <c r="H178" s="141">
        <v>769</v>
      </c>
      <c r="I178" s="141">
        <v>799</v>
      </c>
      <c r="J178" s="141">
        <v>834</v>
      </c>
      <c r="K178" s="141">
        <v>709</v>
      </c>
      <c r="L178" s="141">
        <v>696</v>
      </c>
      <c r="M178" s="141">
        <v>707</v>
      </c>
      <c r="N178" s="141">
        <v>753</v>
      </c>
      <c r="O178" s="141">
        <v>746</v>
      </c>
      <c r="P178" s="141">
        <v>737</v>
      </c>
      <c r="Q178" s="141">
        <v>779</v>
      </c>
      <c r="R178" s="141">
        <v>710</v>
      </c>
      <c r="S178" s="141">
        <v>705</v>
      </c>
      <c r="T178" s="141">
        <v>698</v>
      </c>
      <c r="U178" s="141">
        <v>670</v>
      </c>
      <c r="V178" s="141">
        <v>855</v>
      </c>
      <c r="W178" s="141">
        <v>716</v>
      </c>
      <c r="X178" s="141">
        <v>957</v>
      </c>
      <c r="Y178" s="141">
        <v>603</v>
      </c>
      <c r="Z178" s="141">
        <v>755</v>
      </c>
      <c r="AA178" s="141">
        <v>748</v>
      </c>
      <c r="AB178" s="141">
        <v>832</v>
      </c>
      <c r="AC178" s="141">
        <v>715</v>
      </c>
      <c r="AD178" s="141">
        <v>755</v>
      </c>
      <c r="AE178" s="141">
        <v>727</v>
      </c>
      <c r="AF178" s="141">
        <v>774</v>
      </c>
      <c r="AG178" s="141">
        <v>889</v>
      </c>
      <c r="AH178" s="141">
        <v>746</v>
      </c>
      <c r="AI178" s="141">
        <v>840</v>
      </c>
      <c r="AJ178" s="141">
        <v>965</v>
      </c>
      <c r="AK178" s="141">
        <v>797</v>
      </c>
      <c r="AL178" s="141">
        <v>670</v>
      </c>
      <c r="AM178" s="141">
        <v>832</v>
      </c>
      <c r="AN178" s="141">
        <v>624</v>
      </c>
      <c r="AO178" s="141">
        <v>756</v>
      </c>
      <c r="AP178" s="141">
        <v>616</v>
      </c>
      <c r="AQ178" s="141">
        <v>818</v>
      </c>
      <c r="AR178" s="141">
        <v>811</v>
      </c>
      <c r="AS178" s="141">
        <v>879</v>
      </c>
      <c r="AT178" s="141">
        <v>703</v>
      </c>
      <c r="AU178" s="141">
        <v>893</v>
      </c>
      <c r="AV178" s="141">
        <v>909</v>
      </c>
      <c r="AW178" s="141">
        <v>754</v>
      </c>
      <c r="AX178" s="141">
        <v>825</v>
      </c>
      <c r="AY178" s="141">
        <v>951</v>
      </c>
    </row>
    <row r="179" spans="1:51" x14ac:dyDescent="0.2">
      <c r="A179" s="151" t="s">
        <v>134</v>
      </c>
      <c r="B179" s="151" t="s">
        <v>298</v>
      </c>
      <c r="C179" s="140" t="s">
        <v>293</v>
      </c>
      <c r="D179" s="140">
        <f t="shared" ref="D179:AY179" si="3">SUM(D109:D120)</f>
        <v>20211.933414668598</v>
      </c>
      <c r="E179" s="140">
        <f t="shared" si="3"/>
        <v>21115.067351469148</v>
      </c>
      <c r="F179" s="140">
        <f t="shared" si="3"/>
        <v>21912.131732736569</v>
      </c>
      <c r="G179" s="140">
        <f t="shared" si="3"/>
        <v>23435.586923051746</v>
      </c>
      <c r="H179" s="140">
        <f t="shared" si="3"/>
        <v>25464.402011817183</v>
      </c>
      <c r="I179" s="140">
        <f t="shared" si="3"/>
        <v>26987.057045356698</v>
      </c>
      <c r="J179" s="140">
        <f t="shared" si="3"/>
        <v>27679.722846670978</v>
      </c>
      <c r="K179" s="140">
        <f t="shared" si="3"/>
        <v>28242.437056065104</v>
      </c>
      <c r="L179" s="140">
        <f t="shared" si="3"/>
        <v>28167.531769176057</v>
      </c>
      <c r="M179" s="140">
        <f t="shared" si="3"/>
        <v>28797.080852361581</v>
      </c>
      <c r="N179" s="140">
        <f t="shared" si="3"/>
        <v>28201.222798127405</v>
      </c>
      <c r="O179" s="140">
        <f t="shared" si="3"/>
        <v>28772.780035340849</v>
      </c>
      <c r="P179" s="140">
        <f t="shared" si="3"/>
        <v>28556.786134969123</v>
      </c>
      <c r="Q179" s="140">
        <f t="shared" si="3"/>
        <v>28338.283491015362</v>
      </c>
      <c r="R179" s="140">
        <f t="shared" si="3"/>
        <v>28411.443894615477</v>
      </c>
      <c r="S179" s="140">
        <f t="shared" si="3"/>
        <v>28808.304490178289</v>
      </c>
      <c r="T179" s="140">
        <f t="shared" si="3"/>
        <v>28260.724952773497</v>
      </c>
      <c r="U179" s="140">
        <f t="shared" si="3"/>
        <v>28531.779438400416</v>
      </c>
      <c r="V179" s="140">
        <f t="shared" si="3"/>
        <v>28486.282611209044</v>
      </c>
      <c r="W179" s="140">
        <f t="shared" si="3"/>
        <v>29200.187115732584</v>
      </c>
      <c r="X179" s="140">
        <f t="shared" si="3"/>
        <v>28315.375504503791</v>
      </c>
      <c r="Y179" s="140">
        <f t="shared" si="3"/>
        <v>28533.197478443344</v>
      </c>
      <c r="Z179" s="140">
        <f t="shared" si="3"/>
        <v>28572.089413326816</v>
      </c>
      <c r="AA179" s="140">
        <f t="shared" si="3"/>
        <v>28918.96584228483</v>
      </c>
      <c r="AB179" s="140">
        <f t="shared" si="3"/>
        <v>28691.761936912633</v>
      </c>
      <c r="AC179" s="140">
        <f t="shared" si="3"/>
        <v>28987.021219202346</v>
      </c>
      <c r="AD179" s="140">
        <f t="shared" si="3"/>
        <v>28693.526756491043</v>
      </c>
      <c r="AE179" s="140">
        <f t="shared" si="3"/>
        <v>28667.437633696765</v>
      </c>
      <c r="AF179" s="140">
        <f t="shared" si="3"/>
        <v>28538.172731683742</v>
      </c>
      <c r="AG179" s="140">
        <f t="shared" si="3"/>
        <v>28641.043563944564</v>
      </c>
      <c r="AH179" s="140">
        <f t="shared" si="3"/>
        <v>28515.258753402835</v>
      </c>
      <c r="AI179" s="140">
        <f t="shared" si="3"/>
        <v>28885.703905810948</v>
      </c>
      <c r="AJ179" s="140">
        <f t="shared" si="3"/>
        <v>28605.759851875082</v>
      </c>
      <c r="AK179" s="140">
        <f t="shared" si="3"/>
        <v>28573.19104144377</v>
      </c>
      <c r="AL179" s="140">
        <f t="shared" si="3"/>
        <v>29057.437591440339</v>
      </c>
      <c r="AM179" s="140">
        <f t="shared" si="3"/>
        <v>28427.771352868545</v>
      </c>
      <c r="AN179" s="140">
        <f t="shared" si="3"/>
        <v>28204.082838605875</v>
      </c>
      <c r="AO179" s="140">
        <f t="shared" si="3"/>
        <v>28406.294607644046</v>
      </c>
      <c r="AP179" s="140">
        <f t="shared" si="3"/>
        <v>28245.580436051459</v>
      </c>
      <c r="AQ179" s="140">
        <f t="shared" si="3"/>
        <v>28371.912394718398</v>
      </c>
      <c r="AR179" s="140">
        <f t="shared" si="3"/>
        <v>29143.75519658644</v>
      </c>
      <c r="AS179" s="140">
        <f t="shared" si="3"/>
        <v>28816.492738748584</v>
      </c>
      <c r="AT179" s="140">
        <f t="shared" si="3"/>
        <v>28830.176546754279</v>
      </c>
      <c r="AU179" s="140">
        <f t="shared" si="3"/>
        <v>28764.726643357586</v>
      </c>
      <c r="AV179" s="140">
        <f t="shared" si="3"/>
        <v>29195.054584946967</v>
      </c>
      <c r="AW179" s="140">
        <f t="shared" si="3"/>
        <v>28603.293129540958</v>
      </c>
      <c r="AX179" s="140">
        <f t="shared" si="3"/>
        <v>28619.033966558236</v>
      </c>
      <c r="AY179" s="140">
        <f t="shared" si="3"/>
        <v>28771.045102878896</v>
      </c>
    </row>
    <row r="180" spans="1:51" x14ac:dyDescent="0.2">
      <c r="A180" s="141"/>
      <c r="B180" s="152" t="s">
        <v>299</v>
      </c>
      <c r="C180" s="141" t="s">
        <v>293</v>
      </c>
      <c r="D180" s="141">
        <v>1338</v>
      </c>
      <c r="E180" s="141">
        <v>1019</v>
      </c>
      <c r="F180" s="141">
        <v>1094</v>
      </c>
      <c r="G180" s="141">
        <v>1025</v>
      </c>
      <c r="H180" s="141">
        <v>999</v>
      </c>
      <c r="I180" s="141">
        <v>1462</v>
      </c>
      <c r="J180" s="141">
        <v>1252</v>
      </c>
      <c r="K180" s="141">
        <v>1386</v>
      </c>
      <c r="L180" s="141">
        <v>1229</v>
      </c>
      <c r="M180" s="141">
        <v>1298</v>
      </c>
      <c r="N180" s="141">
        <v>1022</v>
      </c>
      <c r="O180" s="141">
        <v>1325</v>
      </c>
      <c r="P180" s="141">
        <v>1170</v>
      </c>
      <c r="Q180" s="141">
        <v>1046</v>
      </c>
      <c r="R180" s="141">
        <v>1147</v>
      </c>
      <c r="S180" s="141">
        <v>1351</v>
      </c>
      <c r="T180" s="141">
        <v>1258</v>
      </c>
      <c r="U180" s="141">
        <v>1224</v>
      </c>
      <c r="V180" s="141">
        <v>1062</v>
      </c>
      <c r="W180" s="141">
        <v>1188</v>
      </c>
      <c r="X180" s="141">
        <v>1406</v>
      </c>
      <c r="Y180" s="141">
        <v>995</v>
      </c>
      <c r="Z180" s="141">
        <v>1389</v>
      </c>
      <c r="AA180" s="141">
        <v>1294</v>
      </c>
      <c r="AB180" s="141">
        <v>1452</v>
      </c>
      <c r="AC180" s="141">
        <v>1195</v>
      </c>
      <c r="AD180" s="141">
        <v>1278</v>
      </c>
      <c r="AE180" s="141">
        <v>1078</v>
      </c>
      <c r="AF180" s="141">
        <v>1059</v>
      </c>
      <c r="AG180" s="141">
        <v>1113</v>
      </c>
      <c r="AH180" s="141">
        <v>1329</v>
      </c>
      <c r="AI180" s="141">
        <v>1507</v>
      </c>
      <c r="AJ180" s="141">
        <v>1376</v>
      </c>
      <c r="AK180" s="141">
        <v>1454</v>
      </c>
      <c r="AL180" s="141">
        <v>1350</v>
      </c>
      <c r="AM180" s="141">
        <v>1256</v>
      </c>
      <c r="AN180" s="141">
        <v>1324</v>
      </c>
      <c r="AO180" s="141">
        <v>1183</v>
      </c>
      <c r="AP180" s="141">
        <v>1454</v>
      </c>
      <c r="AQ180" s="141">
        <v>1205</v>
      </c>
      <c r="AR180" s="141">
        <v>1325</v>
      </c>
      <c r="AS180" s="141">
        <v>1348</v>
      </c>
      <c r="AT180" s="141">
        <v>1426</v>
      </c>
      <c r="AU180" s="141">
        <v>1574</v>
      </c>
      <c r="AV180" s="141">
        <v>1326</v>
      </c>
      <c r="AW180" s="141">
        <v>1611</v>
      </c>
      <c r="AX180" s="141">
        <v>1211</v>
      </c>
      <c r="AY180" s="141">
        <v>1378</v>
      </c>
    </row>
    <row r="181" spans="1:51" x14ac:dyDescent="0.2">
      <c r="A181" s="151" t="s">
        <v>123</v>
      </c>
      <c r="B181" s="151" t="s">
        <v>298</v>
      </c>
      <c r="C181" s="140" t="s">
        <v>293</v>
      </c>
      <c r="D181" s="140">
        <f t="shared" ref="D181:AY181" si="4">(1-D172)*SUM(D122:D169)</f>
        <v>6009.3280498345757</v>
      </c>
      <c r="E181" s="140">
        <f t="shared" si="4"/>
        <v>6696.8982658700934</v>
      </c>
      <c r="F181" s="140">
        <f t="shared" si="4"/>
        <v>7055.6117998121172</v>
      </c>
      <c r="G181" s="140">
        <f t="shared" si="4"/>
        <v>7296.6141908561704</v>
      </c>
      <c r="H181" s="140">
        <f t="shared" si="4"/>
        <v>7483.8556733034839</v>
      </c>
      <c r="I181" s="140">
        <f t="shared" si="4"/>
        <v>7504.4653924208178</v>
      </c>
      <c r="J181" s="140">
        <f t="shared" si="4"/>
        <v>7481.2834182735651</v>
      </c>
      <c r="K181" s="140">
        <f t="shared" si="4"/>
        <v>7572.3105943022692</v>
      </c>
      <c r="L181" s="140">
        <f t="shared" si="4"/>
        <v>7644.8674434400646</v>
      </c>
      <c r="M181" s="140">
        <f t="shared" si="4"/>
        <v>7637.7726899054987</v>
      </c>
      <c r="N181" s="140">
        <f t="shared" si="4"/>
        <v>7719.5539427140666</v>
      </c>
      <c r="O181" s="140">
        <f t="shared" si="4"/>
        <v>7717.5583194553801</v>
      </c>
      <c r="P181" s="140">
        <f t="shared" si="4"/>
        <v>7731.201033034994</v>
      </c>
      <c r="Q181" s="140">
        <f t="shared" si="4"/>
        <v>7805.379515454355</v>
      </c>
      <c r="R181" s="140">
        <f t="shared" si="4"/>
        <v>7765.8101745543581</v>
      </c>
      <c r="S181" s="140">
        <f t="shared" si="4"/>
        <v>7741.2771831963591</v>
      </c>
      <c r="T181" s="140">
        <f t="shared" si="4"/>
        <v>7754.5867285544009</v>
      </c>
      <c r="U181" s="140">
        <f t="shared" si="4"/>
        <v>7693.3986466763863</v>
      </c>
      <c r="V181" s="140">
        <f t="shared" si="4"/>
        <v>7724.2820359120178</v>
      </c>
      <c r="W181" s="140">
        <f t="shared" si="4"/>
        <v>7765.7497372381085</v>
      </c>
      <c r="X181" s="140">
        <f t="shared" si="4"/>
        <v>7693.4997120602857</v>
      </c>
      <c r="Y181" s="140">
        <f t="shared" si="4"/>
        <v>7659.8646964500349</v>
      </c>
      <c r="Z181" s="140">
        <f t="shared" si="4"/>
        <v>7721.4709867716811</v>
      </c>
      <c r="AA181" s="140">
        <f t="shared" si="4"/>
        <v>7679.0668867711001</v>
      </c>
      <c r="AB181" s="140">
        <f t="shared" si="4"/>
        <v>7662.6963447707394</v>
      </c>
      <c r="AC181" s="140">
        <f t="shared" si="4"/>
        <v>7617.2066087305166</v>
      </c>
      <c r="AD181" s="140">
        <f t="shared" si="4"/>
        <v>7561.7229723855789</v>
      </c>
      <c r="AE181" s="140">
        <f t="shared" si="4"/>
        <v>7593.0431178517165</v>
      </c>
      <c r="AF181" s="140">
        <f t="shared" si="4"/>
        <v>7518.8416080407223</v>
      </c>
      <c r="AG181" s="140">
        <f t="shared" si="4"/>
        <v>7585.0566719579056</v>
      </c>
      <c r="AH181" s="140">
        <f t="shared" si="4"/>
        <v>7676.9500115865603</v>
      </c>
      <c r="AI181" s="140">
        <f t="shared" si="4"/>
        <v>7640.303882156325</v>
      </c>
      <c r="AJ181" s="140">
        <f t="shared" si="4"/>
        <v>7607.6632819095803</v>
      </c>
      <c r="AK181" s="140">
        <f t="shared" si="4"/>
        <v>7645.7061097565975</v>
      </c>
      <c r="AL181" s="140">
        <f t="shared" si="4"/>
        <v>7651.9326630217492</v>
      </c>
      <c r="AM181" s="140">
        <f t="shared" si="4"/>
        <v>7730.1931260461424</v>
      </c>
      <c r="AN181" s="140">
        <f t="shared" si="4"/>
        <v>7675.7946131212666</v>
      </c>
      <c r="AO181" s="140">
        <f t="shared" si="4"/>
        <v>7744.3675351078437</v>
      </c>
      <c r="AP181" s="140">
        <f t="shared" si="4"/>
        <v>7728.6027467395206</v>
      </c>
      <c r="AQ181" s="140">
        <f t="shared" si="4"/>
        <v>7787.0285779511614</v>
      </c>
      <c r="AR181" s="140">
        <f t="shared" si="4"/>
        <v>7620.5125933023783</v>
      </c>
      <c r="AS181" s="140">
        <f t="shared" si="4"/>
        <v>7693.9726828201319</v>
      </c>
      <c r="AT181" s="140">
        <f t="shared" si="4"/>
        <v>7668.2179383211405</v>
      </c>
      <c r="AU181" s="140">
        <f t="shared" si="4"/>
        <v>7572.8899967317648</v>
      </c>
      <c r="AV181" s="140">
        <f t="shared" si="4"/>
        <v>7642.7466729463522</v>
      </c>
      <c r="AW181" s="140">
        <f t="shared" si="4"/>
        <v>7637.6978121993961</v>
      </c>
      <c r="AX181" s="140">
        <f t="shared" si="4"/>
        <v>7603.5675185362834</v>
      </c>
      <c r="AY181" s="140">
        <f t="shared" si="4"/>
        <v>7580.5467364651549</v>
      </c>
    </row>
    <row r="182" spans="1:51" x14ac:dyDescent="0.2">
      <c r="A182" s="141"/>
      <c r="B182" s="152" t="s">
        <v>299</v>
      </c>
      <c r="C182" s="141" t="s">
        <v>293</v>
      </c>
      <c r="D182" s="141">
        <v>837</v>
      </c>
      <c r="E182" s="141">
        <v>946</v>
      </c>
      <c r="F182" s="141">
        <v>916</v>
      </c>
      <c r="G182" s="141">
        <v>855</v>
      </c>
      <c r="H182" s="141">
        <v>1009</v>
      </c>
      <c r="I182" s="141">
        <v>1067</v>
      </c>
      <c r="J182" s="141">
        <v>897</v>
      </c>
      <c r="K182" s="141">
        <v>871</v>
      </c>
      <c r="L182" s="141">
        <v>955</v>
      </c>
      <c r="M182" s="141">
        <v>816</v>
      </c>
      <c r="N182" s="141">
        <v>901</v>
      </c>
      <c r="O182" s="141">
        <v>877</v>
      </c>
      <c r="P182" s="141">
        <v>771</v>
      </c>
      <c r="Q182" s="141">
        <v>909</v>
      </c>
      <c r="R182" s="141">
        <v>909</v>
      </c>
      <c r="S182" s="141">
        <v>863</v>
      </c>
      <c r="T182" s="141">
        <v>975</v>
      </c>
      <c r="U182" s="141">
        <v>864</v>
      </c>
      <c r="V182" s="141">
        <v>828</v>
      </c>
      <c r="W182" s="141">
        <v>986</v>
      </c>
      <c r="X182" s="141">
        <v>968</v>
      </c>
      <c r="Y182" s="141">
        <v>835</v>
      </c>
      <c r="Z182" s="141">
        <v>965</v>
      </c>
      <c r="AA182" s="141">
        <v>949</v>
      </c>
      <c r="AB182" s="141">
        <v>1006</v>
      </c>
      <c r="AC182" s="141">
        <v>1050</v>
      </c>
      <c r="AD182" s="141">
        <v>944</v>
      </c>
      <c r="AE182" s="141">
        <v>1095</v>
      </c>
      <c r="AF182" s="141">
        <v>914</v>
      </c>
      <c r="AG182" s="141">
        <v>832</v>
      </c>
      <c r="AH182" s="141">
        <v>983</v>
      </c>
      <c r="AI182" s="141">
        <v>999</v>
      </c>
      <c r="AJ182" s="141">
        <v>905</v>
      </c>
      <c r="AK182" s="141">
        <v>933</v>
      </c>
      <c r="AL182" s="141">
        <v>813</v>
      </c>
      <c r="AM182" s="141">
        <v>979</v>
      </c>
      <c r="AN182" s="141">
        <v>814</v>
      </c>
      <c r="AO182" s="141">
        <v>908</v>
      </c>
      <c r="AP182" s="141">
        <v>798</v>
      </c>
      <c r="AQ182" s="141">
        <v>1125</v>
      </c>
      <c r="AR182" s="141">
        <v>840</v>
      </c>
      <c r="AS182" s="141">
        <v>955</v>
      </c>
      <c r="AT182" s="141">
        <v>1083</v>
      </c>
      <c r="AU182" s="141">
        <v>875</v>
      </c>
      <c r="AV182" s="141">
        <v>953</v>
      </c>
      <c r="AW182" s="141">
        <v>1003</v>
      </c>
      <c r="AX182" s="141">
        <v>1006</v>
      </c>
      <c r="AY182" s="141">
        <v>779</v>
      </c>
    </row>
    <row r="184" spans="1:51" x14ac:dyDescent="0.2">
      <c r="A184" s="1" t="s">
        <v>300</v>
      </c>
    </row>
    <row r="185" spans="1:51" x14ac:dyDescent="0.2">
      <c r="A185" s="142" t="s">
        <v>125</v>
      </c>
      <c r="B185" s="139">
        <v>1</v>
      </c>
      <c r="C185" s="140">
        <v>0</v>
      </c>
      <c r="D185" s="140">
        <v>677</v>
      </c>
      <c r="E185" s="140">
        <v>751</v>
      </c>
      <c r="F185" s="140">
        <v>773</v>
      </c>
      <c r="G185" s="140">
        <v>761</v>
      </c>
      <c r="H185" s="140">
        <v>728.24058943327327</v>
      </c>
      <c r="I185" s="140">
        <v>0</v>
      </c>
      <c r="J185" s="140">
        <v>0</v>
      </c>
      <c r="K185" s="140">
        <v>0</v>
      </c>
      <c r="L185" s="140">
        <v>0</v>
      </c>
      <c r="M185" s="140">
        <v>0</v>
      </c>
      <c r="N185" s="140">
        <v>0</v>
      </c>
      <c r="O185" s="140">
        <v>0</v>
      </c>
      <c r="P185" s="140">
        <v>0</v>
      </c>
      <c r="Q185" s="140">
        <v>0</v>
      </c>
      <c r="R185" s="140">
        <v>0</v>
      </c>
      <c r="S185" s="140">
        <v>0</v>
      </c>
      <c r="T185" s="140">
        <v>0</v>
      </c>
      <c r="U185" s="140">
        <v>0</v>
      </c>
      <c r="V185" s="140">
        <v>0</v>
      </c>
      <c r="W185" s="140">
        <v>0</v>
      </c>
      <c r="X185" s="140">
        <v>0</v>
      </c>
      <c r="Y185" s="140">
        <v>0</v>
      </c>
      <c r="Z185" s="140">
        <v>0</v>
      </c>
      <c r="AA185" s="140">
        <v>0</v>
      </c>
      <c r="AB185" s="140">
        <v>0</v>
      </c>
      <c r="AC185" s="140">
        <v>0</v>
      </c>
      <c r="AD185" s="140">
        <v>0</v>
      </c>
      <c r="AE185" s="140">
        <v>0</v>
      </c>
      <c r="AF185" s="140">
        <v>0</v>
      </c>
      <c r="AG185" s="140">
        <v>0</v>
      </c>
      <c r="AH185" s="140">
        <v>0</v>
      </c>
      <c r="AI185" s="140">
        <v>0</v>
      </c>
      <c r="AJ185" s="140">
        <v>0</v>
      </c>
      <c r="AK185" s="140">
        <v>0</v>
      </c>
      <c r="AL185" s="140">
        <v>0</v>
      </c>
      <c r="AM185" s="140">
        <v>0</v>
      </c>
      <c r="AN185" s="140">
        <v>0</v>
      </c>
      <c r="AO185" s="140">
        <v>0</v>
      </c>
      <c r="AP185" s="140">
        <v>0</v>
      </c>
      <c r="AQ185" s="140">
        <v>0</v>
      </c>
      <c r="AR185" s="140">
        <v>0</v>
      </c>
      <c r="AS185" s="140">
        <v>0</v>
      </c>
      <c r="AT185" s="140">
        <v>0</v>
      </c>
      <c r="AU185" s="140">
        <v>0</v>
      </c>
      <c r="AV185" s="140">
        <v>0</v>
      </c>
      <c r="AW185" s="140">
        <v>0</v>
      </c>
      <c r="AX185" s="140">
        <v>0</v>
      </c>
      <c r="AY185" s="140">
        <v>0</v>
      </c>
    </row>
    <row r="186" spans="1:51" x14ac:dyDescent="0.2">
      <c r="A186" s="126"/>
      <c r="B186" s="136">
        <v>2</v>
      </c>
      <c r="C186" s="123">
        <v>1035</v>
      </c>
      <c r="D186" s="123">
        <v>0</v>
      </c>
      <c r="E186" s="123">
        <v>0</v>
      </c>
      <c r="F186" s="123">
        <v>0</v>
      </c>
      <c r="G186" s="123">
        <v>0</v>
      </c>
      <c r="H186" s="123">
        <v>0</v>
      </c>
      <c r="I186" s="123">
        <v>0</v>
      </c>
      <c r="J186" s="123">
        <v>0</v>
      </c>
      <c r="K186" s="123">
        <v>0</v>
      </c>
      <c r="L186" s="123">
        <v>0</v>
      </c>
      <c r="M186" s="123">
        <v>0</v>
      </c>
      <c r="N186" s="123">
        <v>0</v>
      </c>
      <c r="O186" s="123">
        <v>0</v>
      </c>
      <c r="P186" s="123">
        <v>0</v>
      </c>
      <c r="Q186" s="123">
        <v>0</v>
      </c>
      <c r="R186" s="123">
        <v>0</v>
      </c>
      <c r="S186" s="123">
        <v>0</v>
      </c>
      <c r="T186" s="123">
        <v>0</v>
      </c>
      <c r="U186" s="123">
        <v>0</v>
      </c>
      <c r="V186" s="123">
        <v>0</v>
      </c>
      <c r="W186" s="123">
        <v>0</v>
      </c>
      <c r="X186" s="123">
        <v>0</v>
      </c>
      <c r="Y186" s="123">
        <v>0</v>
      </c>
      <c r="Z186" s="123">
        <v>0</v>
      </c>
      <c r="AA186" s="123">
        <v>0</v>
      </c>
      <c r="AB186" s="123">
        <v>0</v>
      </c>
      <c r="AC186" s="123">
        <v>0</v>
      </c>
      <c r="AD186" s="123">
        <v>0</v>
      </c>
      <c r="AE186" s="123">
        <v>0</v>
      </c>
      <c r="AF186" s="123">
        <v>0</v>
      </c>
      <c r="AG186" s="123">
        <v>0</v>
      </c>
      <c r="AH186" s="123">
        <v>0</v>
      </c>
      <c r="AI186" s="123">
        <v>0</v>
      </c>
      <c r="AJ186" s="123">
        <v>0</v>
      </c>
      <c r="AK186" s="123">
        <v>0</v>
      </c>
      <c r="AL186" s="123">
        <v>0</v>
      </c>
      <c r="AM186" s="123">
        <v>0</v>
      </c>
      <c r="AN186" s="123">
        <v>0</v>
      </c>
      <c r="AO186" s="123">
        <v>0</v>
      </c>
      <c r="AP186" s="123">
        <v>0</v>
      </c>
      <c r="AQ186" s="123">
        <v>0</v>
      </c>
      <c r="AR186" s="123">
        <v>0</v>
      </c>
      <c r="AS186" s="123">
        <v>0</v>
      </c>
      <c r="AT186" s="123">
        <v>0</v>
      </c>
      <c r="AU186" s="123">
        <v>0</v>
      </c>
      <c r="AV186" s="123">
        <v>0</v>
      </c>
      <c r="AW186" s="123">
        <v>0</v>
      </c>
      <c r="AX186" s="123">
        <v>0</v>
      </c>
      <c r="AY186" s="123">
        <v>0</v>
      </c>
    </row>
    <row r="187" spans="1:51" x14ac:dyDescent="0.2">
      <c r="A187" s="126"/>
      <c r="B187" s="143">
        <v>3</v>
      </c>
      <c r="C187" s="123">
        <v>0</v>
      </c>
      <c r="D187" s="123">
        <v>0</v>
      </c>
      <c r="E187" s="123">
        <v>0</v>
      </c>
      <c r="F187" s="123">
        <v>0</v>
      </c>
      <c r="G187" s="123">
        <v>0</v>
      </c>
      <c r="H187" s="123">
        <v>0</v>
      </c>
      <c r="I187" s="123">
        <v>0</v>
      </c>
      <c r="J187" s="123">
        <v>0</v>
      </c>
      <c r="K187" s="123">
        <v>0</v>
      </c>
      <c r="L187" s="123">
        <v>0</v>
      </c>
      <c r="M187" s="123">
        <v>0</v>
      </c>
      <c r="N187" s="123">
        <v>0</v>
      </c>
      <c r="O187" s="123">
        <v>0</v>
      </c>
      <c r="P187" s="123">
        <v>0</v>
      </c>
      <c r="Q187" s="123">
        <v>0</v>
      </c>
      <c r="R187" s="123">
        <v>0</v>
      </c>
      <c r="S187" s="123">
        <v>0</v>
      </c>
      <c r="T187" s="123">
        <v>0</v>
      </c>
      <c r="U187" s="123">
        <v>0</v>
      </c>
      <c r="V187" s="123">
        <v>0</v>
      </c>
      <c r="W187" s="123">
        <v>0</v>
      </c>
      <c r="X187" s="123">
        <v>0</v>
      </c>
      <c r="Y187" s="123">
        <v>0</v>
      </c>
      <c r="Z187" s="123">
        <v>0</v>
      </c>
      <c r="AA187" s="123">
        <v>0</v>
      </c>
      <c r="AB187" s="123">
        <v>0</v>
      </c>
      <c r="AC187" s="123">
        <v>0</v>
      </c>
      <c r="AD187" s="123">
        <v>0</v>
      </c>
      <c r="AE187" s="123">
        <v>0</v>
      </c>
      <c r="AF187" s="123">
        <v>0</v>
      </c>
      <c r="AG187" s="123">
        <v>0</v>
      </c>
      <c r="AH187" s="123">
        <v>0</v>
      </c>
      <c r="AI187" s="123">
        <v>0</v>
      </c>
      <c r="AJ187" s="123">
        <v>0</v>
      </c>
      <c r="AK187" s="123">
        <v>0</v>
      </c>
      <c r="AL187" s="123">
        <v>0</v>
      </c>
      <c r="AM187" s="123">
        <v>0</v>
      </c>
      <c r="AN187" s="123">
        <v>0</v>
      </c>
      <c r="AO187" s="123">
        <v>0</v>
      </c>
      <c r="AP187" s="123">
        <v>0</v>
      </c>
      <c r="AQ187" s="123">
        <v>0</v>
      </c>
      <c r="AR187" s="123">
        <v>0</v>
      </c>
      <c r="AS187" s="123">
        <v>0</v>
      </c>
      <c r="AT187" s="123">
        <v>0</v>
      </c>
      <c r="AU187" s="123">
        <v>0</v>
      </c>
      <c r="AV187" s="123">
        <v>0</v>
      </c>
      <c r="AW187" s="123">
        <v>0</v>
      </c>
      <c r="AX187" s="123">
        <v>0</v>
      </c>
      <c r="AY187" s="123">
        <v>0</v>
      </c>
    </row>
    <row r="188" spans="1:51" x14ac:dyDescent="0.2">
      <c r="A188" s="144"/>
      <c r="B188" s="145">
        <v>4</v>
      </c>
      <c r="C188" s="123">
        <v>0</v>
      </c>
      <c r="D188" s="123">
        <v>0</v>
      </c>
      <c r="E188" s="123">
        <v>0</v>
      </c>
      <c r="F188" s="123">
        <v>0</v>
      </c>
      <c r="G188" s="123">
        <v>0</v>
      </c>
      <c r="H188" s="123">
        <v>0</v>
      </c>
      <c r="I188" s="123">
        <v>0</v>
      </c>
      <c r="J188" s="123">
        <v>0</v>
      </c>
      <c r="K188" s="123">
        <v>0</v>
      </c>
      <c r="L188" s="123">
        <v>0</v>
      </c>
      <c r="M188" s="123">
        <v>0</v>
      </c>
      <c r="N188" s="123">
        <v>0</v>
      </c>
      <c r="O188" s="123">
        <v>0</v>
      </c>
      <c r="P188" s="123">
        <v>0</v>
      </c>
      <c r="Q188" s="123">
        <v>0</v>
      </c>
      <c r="R188" s="123">
        <v>0</v>
      </c>
      <c r="S188" s="123">
        <v>0</v>
      </c>
      <c r="T188" s="123">
        <v>0</v>
      </c>
      <c r="U188" s="123">
        <v>0</v>
      </c>
      <c r="V188" s="123">
        <v>0</v>
      </c>
      <c r="W188" s="123">
        <v>0</v>
      </c>
      <c r="X188" s="123">
        <v>0</v>
      </c>
      <c r="Y188" s="123">
        <v>0</v>
      </c>
      <c r="Z188" s="123">
        <v>0</v>
      </c>
      <c r="AA188" s="123">
        <v>0</v>
      </c>
      <c r="AB188" s="123">
        <v>0</v>
      </c>
      <c r="AC188" s="123">
        <v>0</v>
      </c>
      <c r="AD188" s="123">
        <v>0</v>
      </c>
      <c r="AE188" s="123">
        <v>0</v>
      </c>
      <c r="AF188" s="123">
        <v>0</v>
      </c>
      <c r="AG188" s="123">
        <v>0</v>
      </c>
      <c r="AH188" s="123">
        <v>0</v>
      </c>
      <c r="AI188" s="123">
        <v>0</v>
      </c>
      <c r="AJ188" s="123">
        <v>0</v>
      </c>
      <c r="AK188" s="123">
        <v>0</v>
      </c>
      <c r="AL188" s="123">
        <v>0</v>
      </c>
      <c r="AM188" s="123">
        <v>0</v>
      </c>
      <c r="AN188" s="123">
        <v>0</v>
      </c>
      <c r="AO188" s="123">
        <v>0</v>
      </c>
      <c r="AP188" s="123">
        <v>0</v>
      </c>
      <c r="AQ188" s="123">
        <v>0</v>
      </c>
      <c r="AR188" s="123">
        <v>0</v>
      </c>
      <c r="AS188" s="123">
        <v>0</v>
      </c>
      <c r="AT188" s="123">
        <v>0</v>
      </c>
      <c r="AU188" s="123">
        <v>0</v>
      </c>
      <c r="AV188" s="123">
        <v>0</v>
      </c>
      <c r="AW188" s="123">
        <v>0</v>
      </c>
      <c r="AX188" s="123">
        <v>0</v>
      </c>
      <c r="AY188" s="123">
        <v>0</v>
      </c>
    </row>
    <row r="189" spans="1:51" x14ac:dyDescent="0.2">
      <c r="A189" s="142" t="s">
        <v>133</v>
      </c>
      <c r="B189" s="139">
        <v>1</v>
      </c>
      <c r="C189" s="140">
        <v>0</v>
      </c>
      <c r="D189" s="140">
        <v>0</v>
      </c>
      <c r="E189" s="140">
        <v>0</v>
      </c>
      <c r="F189" s="140">
        <v>0</v>
      </c>
      <c r="G189" s="140">
        <v>0</v>
      </c>
      <c r="H189" s="140">
        <v>0</v>
      </c>
      <c r="I189" s="140">
        <v>0</v>
      </c>
      <c r="J189" s="140">
        <v>0</v>
      </c>
      <c r="K189" s="140">
        <v>0</v>
      </c>
      <c r="L189" s="140">
        <v>0</v>
      </c>
      <c r="M189" s="140">
        <v>0</v>
      </c>
      <c r="N189" s="140">
        <v>0</v>
      </c>
      <c r="O189" s="140">
        <v>0</v>
      </c>
      <c r="P189" s="140">
        <v>0</v>
      </c>
      <c r="Q189" s="140">
        <v>0</v>
      </c>
      <c r="R189" s="140">
        <v>0</v>
      </c>
      <c r="S189" s="140">
        <v>0</v>
      </c>
      <c r="T189" s="140">
        <v>0</v>
      </c>
      <c r="U189" s="140">
        <v>0</v>
      </c>
      <c r="V189" s="140">
        <v>0</v>
      </c>
      <c r="W189" s="140">
        <v>0</v>
      </c>
      <c r="X189" s="140">
        <v>618.10211030339337</v>
      </c>
      <c r="Y189" s="140">
        <v>0</v>
      </c>
      <c r="Z189" s="140">
        <v>0</v>
      </c>
      <c r="AA189" s="140">
        <v>0</v>
      </c>
      <c r="AB189" s="140">
        <v>26.377641006941872</v>
      </c>
      <c r="AC189" s="140">
        <v>0</v>
      </c>
      <c r="AD189" s="140">
        <v>0</v>
      </c>
      <c r="AE189" s="140">
        <v>0</v>
      </c>
      <c r="AF189" s="140">
        <v>0</v>
      </c>
      <c r="AG189" s="140">
        <v>0</v>
      </c>
      <c r="AH189" s="140">
        <v>0</v>
      </c>
      <c r="AI189" s="140">
        <v>0</v>
      </c>
      <c r="AJ189" s="140">
        <v>0</v>
      </c>
      <c r="AK189" s="140">
        <v>0</v>
      </c>
      <c r="AL189" s="140">
        <v>0</v>
      </c>
      <c r="AM189" s="140">
        <v>434.68088445178478</v>
      </c>
      <c r="AN189" s="140">
        <v>0</v>
      </c>
      <c r="AO189" s="140">
        <v>0</v>
      </c>
      <c r="AP189" s="140">
        <v>0</v>
      </c>
      <c r="AQ189" s="140">
        <v>0</v>
      </c>
      <c r="AR189" s="140">
        <v>0</v>
      </c>
      <c r="AS189" s="140">
        <v>485.12609813589552</v>
      </c>
      <c r="AT189" s="140">
        <v>0</v>
      </c>
      <c r="AU189" s="140">
        <v>458.92145024021534</v>
      </c>
      <c r="AV189" s="140">
        <v>0</v>
      </c>
      <c r="AW189" s="140">
        <v>0</v>
      </c>
      <c r="AX189" s="140">
        <v>0</v>
      </c>
      <c r="AY189" s="140">
        <v>0</v>
      </c>
    </row>
    <row r="190" spans="1:51" x14ac:dyDescent="0.2">
      <c r="A190" s="126"/>
      <c r="B190" s="135">
        <v>2</v>
      </c>
      <c r="C190" s="123">
        <v>0</v>
      </c>
      <c r="D190" s="123">
        <v>0</v>
      </c>
      <c r="E190" s="123">
        <v>0</v>
      </c>
      <c r="F190" s="123">
        <v>0</v>
      </c>
      <c r="G190" s="123">
        <v>0</v>
      </c>
      <c r="H190" s="123">
        <v>0</v>
      </c>
      <c r="I190" s="123">
        <v>0</v>
      </c>
      <c r="J190" s="123">
        <v>0</v>
      </c>
      <c r="K190" s="123">
        <v>221.69734290016333</v>
      </c>
      <c r="L190" s="123">
        <v>480.81923203981171</v>
      </c>
      <c r="M190" s="123">
        <v>506.49711312485641</v>
      </c>
      <c r="N190" s="123">
        <v>691.97235659438979</v>
      </c>
      <c r="O190" s="123">
        <v>649.88279537812332</v>
      </c>
      <c r="P190" s="123">
        <v>676.89327174771449</v>
      </c>
      <c r="Q190" s="123">
        <v>763.46139261184749</v>
      </c>
      <c r="R190" s="123">
        <v>703.80027863131693</v>
      </c>
      <c r="S190" s="123">
        <v>682.66348205585768</v>
      </c>
      <c r="T190" s="123">
        <v>698</v>
      </c>
      <c r="U190" s="123">
        <v>667.34303551630421</v>
      </c>
      <c r="V190" s="123">
        <v>855</v>
      </c>
      <c r="W190" s="123">
        <v>705.01796896781252</v>
      </c>
      <c r="X190" s="123">
        <v>338.89788969660668</v>
      </c>
      <c r="Y190" s="123">
        <v>603</v>
      </c>
      <c r="Z190" s="123">
        <v>717.93097833833463</v>
      </c>
      <c r="AA190" s="123">
        <v>735.98564637972254</v>
      </c>
      <c r="AB190" s="123">
        <v>770</v>
      </c>
      <c r="AC190" s="123">
        <v>644.88874028935481</v>
      </c>
      <c r="AD190" s="123">
        <v>701.7102337830454</v>
      </c>
      <c r="AE190" s="123">
        <v>698.13747464383005</v>
      </c>
      <c r="AF190" s="123">
        <v>726.19271809694726</v>
      </c>
      <c r="AG190" s="123">
        <v>820.86204054677887</v>
      </c>
      <c r="AH190" s="123">
        <v>700.29229392222874</v>
      </c>
      <c r="AI190" s="123">
        <v>732.20273472071881</v>
      </c>
      <c r="AJ190" s="123">
        <v>898.04060259289668</v>
      </c>
      <c r="AK190" s="123">
        <v>758.83119191483661</v>
      </c>
      <c r="AL190" s="123">
        <v>562.6925185201485</v>
      </c>
      <c r="AM190" s="123">
        <v>350</v>
      </c>
      <c r="AN190" s="123">
        <v>624</v>
      </c>
      <c r="AO190" s="123">
        <v>710.06608932679967</v>
      </c>
      <c r="AP190" s="123">
        <v>613.92483972078674</v>
      </c>
      <c r="AQ190" s="123">
        <v>806.4920100194023</v>
      </c>
      <c r="AR190" s="123">
        <v>739.33259186081216</v>
      </c>
      <c r="AS190" s="123">
        <v>350</v>
      </c>
      <c r="AT190" s="123">
        <v>703</v>
      </c>
      <c r="AU190" s="123">
        <v>350</v>
      </c>
      <c r="AV190" s="123">
        <v>909</v>
      </c>
      <c r="AW190" s="123">
        <v>733.01667104880005</v>
      </c>
      <c r="AX190" s="123">
        <v>764.70864731911706</v>
      </c>
      <c r="AY190" s="123">
        <v>885.58948997667085</v>
      </c>
    </row>
    <row r="191" spans="1:51" x14ac:dyDescent="0.2">
      <c r="A191" s="126"/>
      <c r="B191" s="136">
        <v>3</v>
      </c>
      <c r="C191" s="123">
        <v>0</v>
      </c>
      <c r="D191" s="123">
        <v>0</v>
      </c>
      <c r="E191" s="123">
        <v>0</v>
      </c>
      <c r="F191" s="123">
        <v>0</v>
      </c>
      <c r="G191" s="123">
        <v>0</v>
      </c>
      <c r="H191" s="123">
        <v>0</v>
      </c>
      <c r="I191" s="123">
        <v>90.317638459942941</v>
      </c>
      <c r="J191" s="123">
        <v>834</v>
      </c>
      <c r="K191" s="123">
        <v>487.30265709983667</v>
      </c>
      <c r="L191" s="123">
        <v>215.18076796018829</v>
      </c>
      <c r="M191" s="123">
        <v>200.50288687514359</v>
      </c>
      <c r="N191" s="123">
        <v>61.027643405610206</v>
      </c>
      <c r="O191" s="123">
        <v>96.117204621876624</v>
      </c>
      <c r="P191" s="123">
        <v>60.106728252285507</v>
      </c>
      <c r="Q191" s="123">
        <v>15.53860738815257</v>
      </c>
      <c r="R191" s="123">
        <v>6.1997213686830719</v>
      </c>
      <c r="S191" s="123">
        <v>22.336517944142372</v>
      </c>
      <c r="T191" s="123">
        <v>0</v>
      </c>
      <c r="U191" s="123">
        <v>2.6569644836957877</v>
      </c>
      <c r="V191" s="123">
        <v>0</v>
      </c>
      <c r="W191" s="123">
        <v>10.9820310321875</v>
      </c>
      <c r="X191" s="123">
        <v>0</v>
      </c>
      <c r="Y191" s="123">
        <v>0</v>
      </c>
      <c r="Z191" s="123">
        <v>37.069021661665374</v>
      </c>
      <c r="AA191" s="123">
        <v>12.014353620277419</v>
      </c>
      <c r="AB191" s="123">
        <v>35.622358993058128</v>
      </c>
      <c r="AC191" s="123">
        <v>70.111259710645186</v>
      </c>
      <c r="AD191" s="123">
        <v>53.289766216954661</v>
      </c>
      <c r="AE191" s="123">
        <v>28.862525356169897</v>
      </c>
      <c r="AF191" s="123">
        <v>47.80728190305274</v>
      </c>
      <c r="AG191" s="123">
        <v>68.137959453221129</v>
      </c>
      <c r="AH191" s="123">
        <v>45.707706077771263</v>
      </c>
      <c r="AI191" s="123">
        <v>107.79726527928125</v>
      </c>
      <c r="AJ191" s="123">
        <v>66.959397407103268</v>
      </c>
      <c r="AK191" s="123">
        <v>38.168808085163448</v>
      </c>
      <c r="AL191" s="123">
        <v>107.30748147985145</v>
      </c>
      <c r="AM191" s="123">
        <v>47.319115548215223</v>
      </c>
      <c r="AN191" s="123">
        <v>0</v>
      </c>
      <c r="AO191" s="123">
        <v>45.93391067320033</v>
      </c>
      <c r="AP191" s="123">
        <v>2.0751602792132644</v>
      </c>
      <c r="AQ191" s="123">
        <v>11.507989980597699</v>
      </c>
      <c r="AR191" s="123">
        <v>71.667408139187842</v>
      </c>
      <c r="AS191" s="123">
        <v>43.873901864104425</v>
      </c>
      <c r="AT191" s="123">
        <v>0</v>
      </c>
      <c r="AU191" s="123">
        <v>84.078549759784664</v>
      </c>
      <c r="AV191" s="123">
        <v>0</v>
      </c>
      <c r="AW191" s="123">
        <v>20.983328951199979</v>
      </c>
      <c r="AX191" s="123">
        <v>60.291352680882881</v>
      </c>
      <c r="AY191" s="123">
        <v>65.410510023329152</v>
      </c>
    </row>
    <row r="192" spans="1:51" x14ac:dyDescent="0.2">
      <c r="A192" s="126"/>
      <c r="B192" s="136">
        <v>4</v>
      </c>
      <c r="C192" s="123">
        <v>32.870600196022451</v>
      </c>
      <c r="D192" s="123">
        <v>0</v>
      </c>
      <c r="E192" s="123">
        <v>0</v>
      </c>
      <c r="F192" s="123">
        <v>0</v>
      </c>
      <c r="G192" s="123">
        <v>478.60383506123026</v>
      </c>
      <c r="H192" s="123">
        <v>455.90135676816635</v>
      </c>
      <c r="I192" s="123">
        <v>708.68236154005706</v>
      </c>
      <c r="J192" s="123">
        <v>0</v>
      </c>
      <c r="K192" s="123">
        <v>0</v>
      </c>
      <c r="L192" s="123">
        <v>0</v>
      </c>
      <c r="M192" s="123">
        <v>0</v>
      </c>
      <c r="N192" s="123">
        <v>0</v>
      </c>
      <c r="O192" s="123">
        <v>0</v>
      </c>
      <c r="P192" s="123">
        <v>0</v>
      </c>
      <c r="Q192" s="123">
        <v>0</v>
      </c>
      <c r="R192" s="123">
        <v>0</v>
      </c>
      <c r="S192" s="123">
        <v>0</v>
      </c>
      <c r="T192" s="123">
        <v>0</v>
      </c>
      <c r="U192" s="123">
        <v>0</v>
      </c>
      <c r="V192" s="123">
        <v>0</v>
      </c>
      <c r="W192" s="123">
        <v>0</v>
      </c>
      <c r="X192" s="123">
        <v>0</v>
      </c>
      <c r="Y192" s="123">
        <v>0</v>
      </c>
      <c r="Z192" s="123">
        <v>0</v>
      </c>
      <c r="AA192" s="123">
        <v>0</v>
      </c>
      <c r="AB192" s="123">
        <v>0</v>
      </c>
      <c r="AC192" s="123">
        <v>0</v>
      </c>
      <c r="AD192" s="123">
        <v>0</v>
      </c>
      <c r="AE192" s="123">
        <v>0</v>
      </c>
      <c r="AF192" s="123">
        <v>0</v>
      </c>
      <c r="AG192" s="123">
        <v>0</v>
      </c>
      <c r="AH192" s="123">
        <v>0</v>
      </c>
      <c r="AI192" s="123">
        <v>0</v>
      </c>
      <c r="AJ192" s="123">
        <v>0</v>
      </c>
      <c r="AK192" s="123">
        <v>0</v>
      </c>
      <c r="AL192" s="123">
        <v>0</v>
      </c>
      <c r="AM192" s="123">
        <v>0</v>
      </c>
      <c r="AN192" s="123">
        <v>0</v>
      </c>
      <c r="AO192" s="123">
        <v>0</v>
      </c>
      <c r="AP192" s="123">
        <v>0</v>
      </c>
      <c r="AQ192" s="123">
        <v>0</v>
      </c>
      <c r="AR192" s="123">
        <v>0</v>
      </c>
      <c r="AS192" s="123">
        <v>0</v>
      </c>
      <c r="AT192" s="123">
        <v>0</v>
      </c>
      <c r="AU192" s="123">
        <v>0</v>
      </c>
      <c r="AV192" s="123">
        <v>0</v>
      </c>
      <c r="AW192" s="123">
        <v>0</v>
      </c>
      <c r="AX192" s="123">
        <v>0</v>
      </c>
      <c r="AY192" s="123">
        <v>0</v>
      </c>
    </row>
    <row r="193" spans="1:51" x14ac:dyDescent="0.2">
      <c r="A193" s="126"/>
      <c r="B193" s="143">
        <v>5</v>
      </c>
      <c r="C193" s="123">
        <v>1137.1293998039775</v>
      </c>
      <c r="D193" s="123">
        <v>721</v>
      </c>
      <c r="E193" s="123">
        <v>655</v>
      </c>
      <c r="F193" s="123">
        <v>747</v>
      </c>
      <c r="G193" s="123">
        <v>261.39616493876974</v>
      </c>
      <c r="H193" s="123">
        <v>313.09864323183365</v>
      </c>
      <c r="I193" s="123">
        <v>0</v>
      </c>
      <c r="J193" s="123">
        <v>0</v>
      </c>
      <c r="K193" s="123">
        <v>0</v>
      </c>
      <c r="L193" s="123">
        <v>0</v>
      </c>
      <c r="M193" s="123">
        <v>0</v>
      </c>
      <c r="N193" s="123">
        <v>0</v>
      </c>
      <c r="O193" s="123">
        <v>0</v>
      </c>
      <c r="P193" s="123">
        <v>0</v>
      </c>
      <c r="Q193" s="123">
        <v>0</v>
      </c>
      <c r="R193" s="123">
        <v>0</v>
      </c>
      <c r="S193" s="123">
        <v>0</v>
      </c>
      <c r="T193" s="123">
        <v>0</v>
      </c>
      <c r="U193" s="123">
        <v>0</v>
      </c>
      <c r="V193" s="123">
        <v>0</v>
      </c>
      <c r="W193" s="123">
        <v>0</v>
      </c>
      <c r="X193" s="123">
        <v>0</v>
      </c>
      <c r="Y193" s="123">
        <v>0</v>
      </c>
      <c r="Z193" s="123">
        <v>0</v>
      </c>
      <c r="AA193" s="123">
        <v>0</v>
      </c>
      <c r="AB193" s="123">
        <v>0</v>
      </c>
      <c r="AC193" s="123">
        <v>0</v>
      </c>
      <c r="AD193" s="123">
        <v>0</v>
      </c>
      <c r="AE193" s="123">
        <v>0</v>
      </c>
      <c r="AF193" s="123">
        <v>0</v>
      </c>
      <c r="AG193" s="123">
        <v>0</v>
      </c>
      <c r="AH193" s="123">
        <v>0</v>
      </c>
      <c r="AI193" s="123">
        <v>0</v>
      </c>
      <c r="AJ193" s="123">
        <v>0</v>
      </c>
      <c r="AK193" s="123">
        <v>0</v>
      </c>
      <c r="AL193" s="123">
        <v>0</v>
      </c>
      <c r="AM193" s="123">
        <v>0</v>
      </c>
      <c r="AN193" s="123">
        <v>0</v>
      </c>
      <c r="AO193" s="123">
        <v>0</v>
      </c>
      <c r="AP193" s="123">
        <v>0</v>
      </c>
      <c r="AQ193" s="123">
        <v>0</v>
      </c>
      <c r="AR193" s="123">
        <v>0</v>
      </c>
      <c r="AS193" s="123">
        <v>0</v>
      </c>
      <c r="AT193" s="123">
        <v>0</v>
      </c>
      <c r="AU193" s="123">
        <v>0</v>
      </c>
      <c r="AV193" s="123">
        <v>0</v>
      </c>
      <c r="AW193" s="123">
        <v>0</v>
      </c>
      <c r="AX193" s="123">
        <v>0</v>
      </c>
      <c r="AY193" s="123">
        <v>0</v>
      </c>
    </row>
    <row r="194" spans="1:51" x14ac:dyDescent="0.2">
      <c r="A194" s="126"/>
      <c r="B194" s="143">
        <v>6</v>
      </c>
      <c r="C194" s="123">
        <v>0</v>
      </c>
      <c r="D194" s="123">
        <v>0</v>
      </c>
      <c r="E194" s="123">
        <v>0</v>
      </c>
      <c r="F194" s="123">
        <v>0</v>
      </c>
      <c r="G194" s="123">
        <v>0</v>
      </c>
      <c r="H194" s="123">
        <v>0</v>
      </c>
      <c r="I194" s="123">
        <v>0</v>
      </c>
      <c r="J194" s="123">
        <v>0</v>
      </c>
      <c r="K194" s="123">
        <v>0</v>
      </c>
      <c r="L194" s="123">
        <v>0</v>
      </c>
      <c r="M194" s="123">
        <v>0</v>
      </c>
      <c r="N194" s="123">
        <v>0</v>
      </c>
      <c r="O194" s="123">
        <v>0</v>
      </c>
      <c r="P194" s="123">
        <v>0</v>
      </c>
      <c r="Q194" s="123">
        <v>0</v>
      </c>
      <c r="R194" s="123">
        <v>0</v>
      </c>
      <c r="S194" s="123">
        <v>0</v>
      </c>
      <c r="T194" s="123">
        <v>0</v>
      </c>
      <c r="U194" s="123">
        <v>0</v>
      </c>
      <c r="V194" s="123">
        <v>0</v>
      </c>
      <c r="W194" s="123">
        <v>0</v>
      </c>
      <c r="X194" s="123">
        <v>0</v>
      </c>
      <c r="Y194" s="123">
        <v>0</v>
      </c>
      <c r="Z194" s="123">
        <v>0</v>
      </c>
      <c r="AA194" s="123">
        <v>0</v>
      </c>
      <c r="AB194" s="123">
        <v>0</v>
      </c>
      <c r="AC194" s="123">
        <v>0</v>
      </c>
      <c r="AD194" s="123">
        <v>0</v>
      </c>
      <c r="AE194" s="123">
        <v>0</v>
      </c>
      <c r="AF194" s="123">
        <v>0</v>
      </c>
      <c r="AG194" s="123">
        <v>0</v>
      </c>
      <c r="AH194" s="123">
        <v>0</v>
      </c>
      <c r="AI194" s="123">
        <v>0</v>
      </c>
      <c r="AJ194" s="123">
        <v>0</v>
      </c>
      <c r="AK194" s="123">
        <v>0</v>
      </c>
      <c r="AL194" s="123">
        <v>0</v>
      </c>
      <c r="AM194" s="123">
        <v>0</v>
      </c>
      <c r="AN194" s="123">
        <v>0</v>
      </c>
      <c r="AO194" s="123">
        <v>0</v>
      </c>
      <c r="AP194" s="123">
        <v>0</v>
      </c>
      <c r="AQ194" s="123">
        <v>0</v>
      </c>
      <c r="AR194" s="123">
        <v>0</v>
      </c>
      <c r="AS194" s="123">
        <v>0</v>
      </c>
      <c r="AT194" s="123">
        <v>0</v>
      </c>
      <c r="AU194" s="123">
        <v>0</v>
      </c>
      <c r="AV194" s="123">
        <v>0</v>
      </c>
      <c r="AW194" s="123">
        <v>0</v>
      </c>
      <c r="AX194" s="123">
        <v>0</v>
      </c>
      <c r="AY194" s="123">
        <v>0</v>
      </c>
    </row>
    <row r="195" spans="1:51" x14ac:dyDescent="0.2">
      <c r="A195" s="126"/>
      <c r="B195" s="146">
        <v>7</v>
      </c>
      <c r="C195" s="123">
        <v>0</v>
      </c>
      <c r="D195" s="123">
        <v>0</v>
      </c>
      <c r="E195" s="123">
        <v>0</v>
      </c>
      <c r="F195" s="123">
        <v>0</v>
      </c>
      <c r="G195" s="123">
        <v>0</v>
      </c>
      <c r="H195" s="123">
        <v>0</v>
      </c>
      <c r="I195" s="123">
        <v>0</v>
      </c>
      <c r="J195" s="123">
        <v>0</v>
      </c>
      <c r="K195" s="123">
        <v>0</v>
      </c>
      <c r="L195" s="123">
        <v>0</v>
      </c>
      <c r="M195" s="123">
        <v>0</v>
      </c>
      <c r="N195" s="123">
        <v>0</v>
      </c>
      <c r="O195" s="123">
        <v>0</v>
      </c>
      <c r="P195" s="123">
        <v>0</v>
      </c>
      <c r="Q195" s="123">
        <v>0</v>
      </c>
      <c r="R195" s="123">
        <v>0</v>
      </c>
      <c r="S195" s="123">
        <v>0</v>
      </c>
      <c r="T195" s="123">
        <v>0</v>
      </c>
      <c r="U195" s="123">
        <v>0</v>
      </c>
      <c r="V195" s="123">
        <v>0</v>
      </c>
      <c r="W195" s="123">
        <v>0</v>
      </c>
      <c r="X195" s="123">
        <v>0</v>
      </c>
      <c r="Y195" s="123">
        <v>0</v>
      </c>
      <c r="Z195" s="123">
        <v>0</v>
      </c>
      <c r="AA195" s="123">
        <v>0</v>
      </c>
      <c r="AB195" s="123">
        <v>0</v>
      </c>
      <c r="AC195" s="123">
        <v>0</v>
      </c>
      <c r="AD195" s="123">
        <v>0</v>
      </c>
      <c r="AE195" s="123">
        <v>0</v>
      </c>
      <c r="AF195" s="123">
        <v>0</v>
      </c>
      <c r="AG195" s="123">
        <v>0</v>
      </c>
      <c r="AH195" s="123">
        <v>0</v>
      </c>
      <c r="AI195" s="123">
        <v>0</v>
      </c>
      <c r="AJ195" s="123">
        <v>0</v>
      </c>
      <c r="AK195" s="123">
        <v>0</v>
      </c>
      <c r="AL195" s="123">
        <v>0</v>
      </c>
      <c r="AM195" s="123">
        <v>0</v>
      </c>
      <c r="AN195" s="123">
        <v>0</v>
      </c>
      <c r="AO195" s="123">
        <v>0</v>
      </c>
      <c r="AP195" s="123">
        <v>0</v>
      </c>
      <c r="AQ195" s="123">
        <v>0</v>
      </c>
      <c r="AR195" s="123">
        <v>0</v>
      </c>
      <c r="AS195" s="123">
        <v>0</v>
      </c>
      <c r="AT195" s="123">
        <v>0</v>
      </c>
      <c r="AU195" s="123">
        <v>0</v>
      </c>
      <c r="AV195" s="123">
        <v>0</v>
      </c>
      <c r="AW195" s="123">
        <v>0</v>
      </c>
      <c r="AX195" s="123">
        <v>0</v>
      </c>
      <c r="AY195" s="123">
        <v>0</v>
      </c>
    </row>
    <row r="196" spans="1:51" x14ac:dyDescent="0.2">
      <c r="A196" s="144"/>
      <c r="B196" s="145">
        <v>8</v>
      </c>
      <c r="C196" s="130">
        <v>0</v>
      </c>
      <c r="D196" s="130">
        <v>0</v>
      </c>
      <c r="E196" s="130">
        <v>0</v>
      </c>
      <c r="F196" s="130">
        <v>0</v>
      </c>
      <c r="G196" s="130">
        <v>0</v>
      </c>
      <c r="H196" s="130">
        <v>0</v>
      </c>
      <c r="I196" s="130">
        <v>0</v>
      </c>
      <c r="J196" s="130">
        <v>0</v>
      </c>
      <c r="K196" s="130">
        <v>0</v>
      </c>
      <c r="L196" s="130">
        <v>0</v>
      </c>
      <c r="M196" s="130">
        <v>0</v>
      </c>
      <c r="N196" s="130">
        <v>0</v>
      </c>
      <c r="O196" s="130">
        <v>0</v>
      </c>
      <c r="P196" s="130">
        <v>0</v>
      </c>
      <c r="Q196" s="130">
        <v>0</v>
      </c>
      <c r="R196" s="130">
        <v>0</v>
      </c>
      <c r="S196" s="130">
        <v>0</v>
      </c>
      <c r="T196" s="130">
        <v>0</v>
      </c>
      <c r="U196" s="130">
        <v>0</v>
      </c>
      <c r="V196" s="130">
        <v>0</v>
      </c>
      <c r="W196" s="130">
        <v>0</v>
      </c>
      <c r="X196" s="130">
        <v>0</v>
      </c>
      <c r="Y196" s="130">
        <v>0</v>
      </c>
      <c r="Z196" s="130">
        <v>0</v>
      </c>
      <c r="AA196" s="130">
        <v>0</v>
      </c>
      <c r="AB196" s="130">
        <v>0</v>
      </c>
      <c r="AC196" s="130">
        <v>0</v>
      </c>
      <c r="AD196" s="130">
        <v>0</v>
      </c>
      <c r="AE196" s="130">
        <v>0</v>
      </c>
      <c r="AF196" s="130">
        <v>0</v>
      </c>
      <c r="AG196" s="130">
        <v>0</v>
      </c>
      <c r="AH196" s="130">
        <v>0</v>
      </c>
      <c r="AI196" s="130">
        <v>0</v>
      </c>
      <c r="AJ196" s="130">
        <v>0</v>
      </c>
      <c r="AK196" s="130">
        <v>0</v>
      </c>
      <c r="AL196" s="130">
        <v>0</v>
      </c>
      <c r="AM196" s="130">
        <v>0</v>
      </c>
      <c r="AN196" s="130">
        <v>0</v>
      </c>
      <c r="AO196" s="130">
        <v>0</v>
      </c>
      <c r="AP196" s="130">
        <v>0</v>
      </c>
      <c r="AQ196" s="130">
        <v>0</v>
      </c>
      <c r="AR196" s="130">
        <v>0</v>
      </c>
      <c r="AS196" s="130">
        <v>0</v>
      </c>
      <c r="AT196" s="130">
        <v>0</v>
      </c>
      <c r="AU196" s="130">
        <v>0</v>
      </c>
      <c r="AV196" s="130">
        <v>0</v>
      </c>
      <c r="AW196" s="130">
        <v>0</v>
      </c>
      <c r="AX196" s="130">
        <v>0</v>
      </c>
      <c r="AY196" s="130">
        <v>0</v>
      </c>
    </row>
    <row r="197" spans="1:51" x14ac:dyDescent="0.2">
      <c r="A197" s="147" t="s">
        <v>134</v>
      </c>
      <c r="B197" s="135">
        <v>1</v>
      </c>
      <c r="C197" s="123">
        <v>0</v>
      </c>
      <c r="D197" s="123">
        <v>0</v>
      </c>
      <c r="E197" s="123">
        <v>0</v>
      </c>
      <c r="F197" s="123">
        <v>0</v>
      </c>
      <c r="G197" s="123">
        <v>0</v>
      </c>
      <c r="H197" s="123">
        <v>0</v>
      </c>
      <c r="I197" s="123">
        <v>0</v>
      </c>
      <c r="J197" s="123">
        <v>0</v>
      </c>
      <c r="K197" s="123">
        <v>0</v>
      </c>
      <c r="L197" s="123">
        <v>0</v>
      </c>
      <c r="M197" s="123">
        <v>0</v>
      </c>
      <c r="N197" s="123">
        <v>0</v>
      </c>
      <c r="O197" s="123">
        <v>0</v>
      </c>
      <c r="P197" s="123">
        <v>0</v>
      </c>
      <c r="Q197" s="123">
        <v>0</v>
      </c>
      <c r="R197" s="123">
        <v>0</v>
      </c>
      <c r="S197" s="123">
        <v>0</v>
      </c>
      <c r="T197" s="123">
        <v>0</v>
      </c>
      <c r="U197" s="123">
        <v>0</v>
      </c>
      <c r="V197" s="123">
        <v>0</v>
      </c>
      <c r="W197" s="123">
        <v>0</v>
      </c>
      <c r="X197" s="123">
        <v>0</v>
      </c>
      <c r="Y197" s="123">
        <v>0</v>
      </c>
      <c r="Z197" s="123">
        <v>0</v>
      </c>
      <c r="AA197" s="123">
        <v>0</v>
      </c>
      <c r="AB197" s="123">
        <v>0</v>
      </c>
      <c r="AC197" s="123">
        <v>0</v>
      </c>
      <c r="AD197" s="123">
        <v>0</v>
      </c>
      <c r="AE197" s="123">
        <v>0</v>
      </c>
      <c r="AF197" s="123">
        <v>0</v>
      </c>
      <c r="AG197" s="123">
        <v>0</v>
      </c>
      <c r="AH197" s="123">
        <v>0</v>
      </c>
      <c r="AI197" s="123">
        <v>0</v>
      </c>
      <c r="AJ197" s="123">
        <v>0</v>
      </c>
      <c r="AK197" s="123">
        <v>0</v>
      </c>
      <c r="AL197" s="123">
        <v>0</v>
      </c>
      <c r="AM197" s="123">
        <v>0</v>
      </c>
      <c r="AN197" s="123">
        <v>0</v>
      </c>
      <c r="AO197" s="123">
        <v>0</v>
      </c>
      <c r="AP197" s="123">
        <v>0</v>
      </c>
      <c r="AQ197" s="123">
        <v>0</v>
      </c>
      <c r="AR197" s="123">
        <v>0</v>
      </c>
      <c r="AS197" s="123">
        <v>0</v>
      </c>
      <c r="AT197" s="123">
        <v>0</v>
      </c>
      <c r="AU197" s="123">
        <v>0</v>
      </c>
      <c r="AV197" s="123">
        <v>0</v>
      </c>
      <c r="AW197" s="123">
        <v>0</v>
      </c>
      <c r="AX197" s="123">
        <v>0</v>
      </c>
      <c r="AY197" s="123">
        <v>0</v>
      </c>
    </row>
    <row r="198" spans="1:51" x14ac:dyDescent="0.2">
      <c r="A198" s="126"/>
      <c r="B198" s="135">
        <v>2</v>
      </c>
      <c r="C198" s="123">
        <v>0</v>
      </c>
      <c r="D198" s="123">
        <v>0</v>
      </c>
      <c r="E198" s="123">
        <v>0</v>
      </c>
      <c r="F198" s="123">
        <v>0</v>
      </c>
      <c r="G198" s="123">
        <v>0</v>
      </c>
      <c r="H198" s="123">
        <v>0</v>
      </c>
      <c r="I198" s="123">
        <v>0</v>
      </c>
      <c r="J198" s="123">
        <v>0</v>
      </c>
      <c r="K198" s="123">
        <v>0</v>
      </c>
      <c r="L198" s="123">
        <v>0</v>
      </c>
      <c r="M198" s="123">
        <v>0</v>
      </c>
      <c r="N198" s="123">
        <v>0</v>
      </c>
      <c r="O198" s="123">
        <v>0</v>
      </c>
      <c r="P198" s="123">
        <v>0</v>
      </c>
      <c r="Q198" s="123">
        <v>0</v>
      </c>
      <c r="R198" s="123">
        <v>0</v>
      </c>
      <c r="S198" s="123">
        <v>0</v>
      </c>
      <c r="T198" s="123">
        <v>0</v>
      </c>
      <c r="U198" s="123">
        <v>0</v>
      </c>
      <c r="V198" s="123">
        <v>0</v>
      </c>
      <c r="W198" s="123">
        <v>0</v>
      </c>
      <c r="X198" s="123">
        <v>0</v>
      </c>
      <c r="Y198" s="123">
        <v>0</v>
      </c>
      <c r="Z198" s="123">
        <v>0</v>
      </c>
      <c r="AA198" s="123">
        <v>0</v>
      </c>
      <c r="AB198" s="123">
        <v>0</v>
      </c>
      <c r="AC198" s="123">
        <v>0</v>
      </c>
      <c r="AD198" s="123">
        <v>0</v>
      </c>
      <c r="AE198" s="123">
        <v>0</v>
      </c>
      <c r="AF198" s="123">
        <v>0</v>
      </c>
      <c r="AG198" s="123">
        <v>0</v>
      </c>
      <c r="AH198" s="123">
        <v>0</v>
      </c>
      <c r="AI198" s="123">
        <v>0</v>
      </c>
      <c r="AJ198" s="123">
        <v>0</v>
      </c>
      <c r="AK198" s="123">
        <v>0</v>
      </c>
      <c r="AL198" s="123">
        <v>0</v>
      </c>
      <c r="AM198" s="123">
        <v>0</v>
      </c>
      <c r="AN198" s="123">
        <v>0</v>
      </c>
      <c r="AO198" s="123">
        <v>0</v>
      </c>
      <c r="AP198" s="123">
        <v>0</v>
      </c>
      <c r="AQ198" s="123">
        <v>0</v>
      </c>
      <c r="AR198" s="123">
        <v>0</v>
      </c>
      <c r="AS198" s="123">
        <v>0</v>
      </c>
      <c r="AT198" s="123">
        <v>0</v>
      </c>
      <c r="AU198" s="123">
        <v>0</v>
      </c>
      <c r="AV198" s="123">
        <v>0</v>
      </c>
      <c r="AW198" s="123">
        <v>0</v>
      </c>
      <c r="AX198" s="123">
        <v>0</v>
      </c>
      <c r="AY198" s="123">
        <v>0</v>
      </c>
    </row>
    <row r="199" spans="1:51" x14ac:dyDescent="0.2">
      <c r="A199" s="126"/>
      <c r="B199" s="135">
        <v>3</v>
      </c>
      <c r="C199" s="123">
        <v>0</v>
      </c>
      <c r="D199" s="123">
        <v>0</v>
      </c>
      <c r="E199" s="123">
        <v>0</v>
      </c>
      <c r="F199" s="123">
        <v>0</v>
      </c>
      <c r="G199" s="123">
        <v>0</v>
      </c>
      <c r="H199" s="123">
        <v>0</v>
      </c>
      <c r="I199" s="123">
        <v>0</v>
      </c>
      <c r="J199" s="123">
        <v>0</v>
      </c>
      <c r="K199" s="123">
        <v>0</v>
      </c>
      <c r="L199" s="123">
        <v>0</v>
      </c>
      <c r="M199" s="123">
        <v>0</v>
      </c>
      <c r="N199" s="123">
        <v>0</v>
      </c>
      <c r="O199" s="123">
        <v>0</v>
      </c>
      <c r="P199" s="123">
        <v>0</v>
      </c>
      <c r="Q199" s="123">
        <v>0</v>
      </c>
      <c r="R199" s="123">
        <v>0</v>
      </c>
      <c r="S199" s="123">
        <v>0</v>
      </c>
      <c r="T199" s="123">
        <v>0</v>
      </c>
      <c r="U199" s="123">
        <v>0</v>
      </c>
      <c r="V199" s="123">
        <v>0</v>
      </c>
      <c r="W199" s="123">
        <v>0</v>
      </c>
      <c r="X199" s="123">
        <v>0</v>
      </c>
      <c r="Y199" s="123">
        <v>0</v>
      </c>
      <c r="Z199" s="123">
        <v>0</v>
      </c>
      <c r="AA199" s="123">
        <v>0</v>
      </c>
      <c r="AB199" s="123">
        <v>0</v>
      </c>
      <c r="AC199" s="123">
        <v>0</v>
      </c>
      <c r="AD199" s="123">
        <v>0</v>
      </c>
      <c r="AE199" s="123">
        <v>0</v>
      </c>
      <c r="AF199" s="123">
        <v>0</v>
      </c>
      <c r="AG199" s="123">
        <v>0</v>
      </c>
      <c r="AH199" s="123">
        <v>0</v>
      </c>
      <c r="AI199" s="123">
        <v>0</v>
      </c>
      <c r="AJ199" s="123">
        <v>0</v>
      </c>
      <c r="AK199" s="123">
        <v>0</v>
      </c>
      <c r="AL199" s="123">
        <v>0</v>
      </c>
      <c r="AM199" s="123">
        <v>0</v>
      </c>
      <c r="AN199" s="123">
        <v>0</v>
      </c>
      <c r="AO199" s="123">
        <v>0</v>
      </c>
      <c r="AP199" s="123">
        <v>0</v>
      </c>
      <c r="AQ199" s="123">
        <v>0</v>
      </c>
      <c r="AR199" s="123">
        <v>0</v>
      </c>
      <c r="AS199" s="123">
        <v>0</v>
      </c>
      <c r="AT199" s="123">
        <v>0</v>
      </c>
      <c r="AU199" s="123">
        <v>0</v>
      </c>
      <c r="AV199" s="123">
        <v>0</v>
      </c>
      <c r="AW199" s="123">
        <v>0</v>
      </c>
      <c r="AX199" s="123">
        <v>0</v>
      </c>
      <c r="AY199" s="123">
        <v>0</v>
      </c>
    </row>
    <row r="200" spans="1:51" x14ac:dyDescent="0.2">
      <c r="A200" s="126"/>
      <c r="B200" s="136">
        <v>4</v>
      </c>
      <c r="C200" s="123">
        <v>0</v>
      </c>
      <c r="D200" s="123">
        <v>0</v>
      </c>
      <c r="E200" s="123">
        <v>0</v>
      </c>
      <c r="F200" s="123">
        <v>0</v>
      </c>
      <c r="G200" s="123">
        <v>0</v>
      </c>
      <c r="H200" s="123">
        <v>0</v>
      </c>
      <c r="I200" s="123">
        <v>0</v>
      </c>
      <c r="J200" s="123">
        <v>0</v>
      </c>
      <c r="K200" s="123">
        <v>0</v>
      </c>
      <c r="L200" s="123">
        <v>0</v>
      </c>
      <c r="M200" s="123">
        <v>0</v>
      </c>
      <c r="N200" s="123">
        <v>0</v>
      </c>
      <c r="O200" s="123">
        <v>0</v>
      </c>
      <c r="P200" s="123">
        <v>0</v>
      </c>
      <c r="Q200" s="123">
        <v>0</v>
      </c>
      <c r="R200" s="123">
        <v>0</v>
      </c>
      <c r="S200" s="123">
        <v>0</v>
      </c>
      <c r="T200" s="123">
        <v>0</v>
      </c>
      <c r="U200" s="123">
        <v>0</v>
      </c>
      <c r="V200" s="123">
        <v>0</v>
      </c>
      <c r="W200" s="123">
        <v>0</v>
      </c>
      <c r="X200" s="123">
        <v>0</v>
      </c>
      <c r="Y200" s="123">
        <v>0</v>
      </c>
      <c r="Z200" s="123">
        <v>0</v>
      </c>
      <c r="AA200" s="123">
        <v>0</v>
      </c>
      <c r="AB200" s="123">
        <v>0</v>
      </c>
      <c r="AC200" s="123">
        <v>0</v>
      </c>
      <c r="AD200" s="123">
        <v>0</v>
      </c>
      <c r="AE200" s="123">
        <v>0</v>
      </c>
      <c r="AF200" s="123">
        <v>0</v>
      </c>
      <c r="AG200" s="123">
        <v>0</v>
      </c>
      <c r="AH200" s="123">
        <v>0</v>
      </c>
      <c r="AI200" s="123">
        <v>0</v>
      </c>
      <c r="AJ200" s="123">
        <v>0</v>
      </c>
      <c r="AK200" s="123">
        <v>0</v>
      </c>
      <c r="AL200" s="123">
        <v>0</v>
      </c>
      <c r="AM200" s="123">
        <v>0</v>
      </c>
      <c r="AN200" s="123">
        <v>0</v>
      </c>
      <c r="AO200" s="123">
        <v>0</v>
      </c>
      <c r="AP200" s="123">
        <v>0</v>
      </c>
      <c r="AQ200" s="123">
        <v>0</v>
      </c>
      <c r="AR200" s="123">
        <v>0</v>
      </c>
      <c r="AS200" s="123">
        <v>0</v>
      </c>
      <c r="AT200" s="123">
        <v>0</v>
      </c>
      <c r="AU200" s="123">
        <v>0</v>
      </c>
      <c r="AV200" s="123">
        <v>0</v>
      </c>
      <c r="AW200" s="123">
        <v>0</v>
      </c>
      <c r="AX200" s="123">
        <v>0</v>
      </c>
      <c r="AY200" s="123">
        <v>0</v>
      </c>
    </row>
    <row r="201" spans="1:51" x14ac:dyDescent="0.2">
      <c r="A201" s="126"/>
      <c r="B201" s="136">
        <v>5</v>
      </c>
      <c r="C201" s="123">
        <v>0</v>
      </c>
      <c r="D201" s="123">
        <v>0</v>
      </c>
      <c r="E201" s="123">
        <v>0</v>
      </c>
      <c r="F201" s="123">
        <v>0</v>
      </c>
      <c r="G201" s="123">
        <v>0</v>
      </c>
      <c r="H201" s="123">
        <v>0</v>
      </c>
      <c r="I201" s="123">
        <v>0</v>
      </c>
      <c r="J201" s="123">
        <v>0</v>
      </c>
      <c r="K201" s="123">
        <v>0</v>
      </c>
      <c r="L201" s="123">
        <v>0</v>
      </c>
      <c r="M201" s="123">
        <v>0</v>
      </c>
      <c r="N201" s="123">
        <v>0</v>
      </c>
      <c r="O201" s="123">
        <v>0</v>
      </c>
      <c r="P201" s="123">
        <v>0</v>
      </c>
      <c r="Q201" s="123">
        <v>0</v>
      </c>
      <c r="R201" s="123">
        <v>0</v>
      </c>
      <c r="S201" s="123">
        <v>0</v>
      </c>
      <c r="T201" s="123">
        <v>0</v>
      </c>
      <c r="U201" s="123">
        <v>0</v>
      </c>
      <c r="V201" s="123">
        <v>0</v>
      </c>
      <c r="W201" s="123">
        <v>0</v>
      </c>
      <c r="X201" s="123">
        <v>0</v>
      </c>
      <c r="Y201" s="123">
        <v>0</v>
      </c>
      <c r="Z201" s="123">
        <v>0</v>
      </c>
      <c r="AA201" s="123">
        <v>0</v>
      </c>
      <c r="AB201" s="123">
        <v>0</v>
      </c>
      <c r="AC201" s="123">
        <v>0</v>
      </c>
      <c r="AD201" s="123">
        <v>0</v>
      </c>
      <c r="AE201" s="123">
        <v>0</v>
      </c>
      <c r="AF201" s="123">
        <v>0</v>
      </c>
      <c r="AG201" s="123">
        <v>0</v>
      </c>
      <c r="AH201" s="123">
        <v>0</v>
      </c>
      <c r="AI201" s="123">
        <v>0</v>
      </c>
      <c r="AJ201" s="123">
        <v>0</v>
      </c>
      <c r="AK201" s="123">
        <v>0</v>
      </c>
      <c r="AL201" s="123">
        <v>0</v>
      </c>
      <c r="AM201" s="123">
        <v>0</v>
      </c>
      <c r="AN201" s="123">
        <v>0</v>
      </c>
      <c r="AO201" s="123">
        <v>0</v>
      </c>
      <c r="AP201" s="123">
        <v>0</v>
      </c>
      <c r="AQ201" s="123">
        <v>0</v>
      </c>
      <c r="AR201" s="123">
        <v>0</v>
      </c>
      <c r="AS201" s="123">
        <v>0</v>
      </c>
      <c r="AT201" s="123">
        <v>0</v>
      </c>
      <c r="AU201" s="123">
        <v>0</v>
      </c>
      <c r="AV201" s="123">
        <v>0</v>
      </c>
      <c r="AW201" s="123">
        <v>0</v>
      </c>
      <c r="AX201" s="123">
        <v>0</v>
      </c>
      <c r="AY201" s="123">
        <v>0</v>
      </c>
    </row>
    <row r="202" spans="1:51" x14ac:dyDescent="0.2">
      <c r="A202" s="126"/>
      <c r="B202" s="136">
        <v>6</v>
      </c>
      <c r="C202" s="123">
        <v>0</v>
      </c>
      <c r="D202" s="123">
        <v>0</v>
      </c>
      <c r="E202" s="123">
        <v>0</v>
      </c>
      <c r="F202" s="123">
        <v>0</v>
      </c>
      <c r="G202" s="123">
        <v>0</v>
      </c>
      <c r="H202" s="123">
        <v>0</v>
      </c>
      <c r="I202" s="123">
        <v>0</v>
      </c>
      <c r="J202" s="123">
        <v>0</v>
      </c>
      <c r="K202" s="123">
        <v>0</v>
      </c>
      <c r="L202" s="123">
        <v>270.78049890135844</v>
      </c>
      <c r="M202" s="123">
        <v>71.388100520063745</v>
      </c>
      <c r="N202" s="123">
        <v>600.3432993328629</v>
      </c>
      <c r="O202" s="123">
        <v>476.2462917581629</v>
      </c>
      <c r="P202" s="123">
        <v>667.84553450591011</v>
      </c>
      <c r="Q202" s="123">
        <v>915.52349073280402</v>
      </c>
      <c r="R202" s="123">
        <v>1086.2117807420291</v>
      </c>
      <c r="S202" s="123">
        <v>967.47737521701447</v>
      </c>
      <c r="T202" s="123">
        <v>1258</v>
      </c>
      <c r="U202" s="123">
        <v>1201.9123722688469</v>
      </c>
      <c r="V202" s="123">
        <v>1062</v>
      </c>
      <c r="W202" s="123">
        <v>478.45647789998884</v>
      </c>
      <c r="X202" s="123">
        <v>1406</v>
      </c>
      <c r="Y202" s="123">
        <v>883.83758056032548</v>
      </c>
      <c r="Z202" s="123">
        <v>1189.0476699291044</v>
      </c>
      <c r="AA202" s="123">
        <v>726.8744960074855</v>
      </c>
      <c r="AB202" s="123">
        <v>1103.2944195022483</v>
      </c>
      <c r="AC202" s="123">
        <v>513.28906844852781</v>
      </c>
      <c r="AD202" s="123">
        <v>798.74096852614912</v>
      </c>
      <c r="AE202" s="123">
        <v>544.06370248753728</v>
      </c>
      <c r="AF202" s="123">
        <v>613.37344342417373</v>
      </c>
      <c r="AG202" s="123">
        <v>440.31041129599089</v>
      </c>
      <c r="AH202" s="123">
        <v>724.47605791995693</v>
      </c>
      <c r="AI202" s="123">
        <v>540.76702388282774</v>
      </c>
      <c r="AJ202" s="123">
        <v>703.86747120870587</v>
      </c>
      <c r="AK202" s="123">
        <v>842.59324554182376</v>
      </c>
      <c r="AL202" s="123">
        <v>286.62401316437854</v>
      </c>
      <c r="AM202" s="123">
        <v>903.86218866002719</v>
      </c>
      <c r="AN202" s="123">
        <v>1284.5053038154851</v>
      </c>
      <c r="AO202" s="123">
        <v>940.58538733084151</v>
      </c>
      <c r="AP202" s="123">
        <v>1436.0805075066164</v>
      </c>
      <c r="AQ202" s="123">
        <v>1134.8727369612589</v>
      </c>
      <c r="AR202" s="123">
        <v>569.64693172858779</v>
      </c>
      <c r="AS202" s="123">
        <v>900.65192748038407</v>
      </c>
      <c r="AT202" s="123">
        <v>942.76849298132765</v>
      </c>
      <c r="AU202" s="123">
        <v>1151.5746279521336</v>
      </c>
      <c r="AV202" s="123">
        <v>368.14754993870974</v>
      </c>
      <c r="AW202" s="123">
        <v>1192.2875407618035</v>
      </c>
      <c r="AX202" s="123">
        <v>685.02139570312283</v>
      </c>
      <c r="AY202" s="123">
        <v>689.62456839678998</v>
      </c>
    </row>
    <row r="203" spans="1:51" x14ac:dyDescent="0.2">
      <c r="A203" s="126"/>
      <c r="B203" s="143">
        <v>7</v>
      </c>
      <c r="C203" s="123">
        <v>0</v>
      </c>
      <c r="D203" s="123">
        <v>0</v>
      </c>
      <c r="E203" s="123">
        <v>0</v>
      </c>
      <c r="F203" s="123">
        <v>0</v>
      </c>
      <c r="G203" s="123">
        <v>0</v>
      </c>
      <c r="H203" s="123">
        <v>0</v>
      </c>
      <c r="I203" s="123">
        <v>134.52013289188108</v>
      </c>
      <c r="J203" s="123">
        <v>1252</v>
      </c>
      <c r="K203" s="123">
        <v>1386</v>
      </c>
      <c r="L203" s="123">
        <v>958.21950109864156</v>
      </c>
      <c r="M203" s="123">
        <v>1226.6118994799363</v>
      </c>
      <c r="N203" s="123">
        <v>421.6567006671371</v>
      </c>
      <c r="O203" s="123">
        <v>848.7537082418371</v>
      </c>
      <c r="P203" s="123">
        <v>502.15446549408989</v>
      </c>
      <c r="Q203" s="123">
        <v>130.47650926719598</v>
      </c>
      <c r="R203" s="123">
        <v>60.788219257970923</v>
      </c>
      <c r="S203" s="123">
        <v>383.52262478298553</v>
      </c>
      <c r="T203" s="123">
        <v>0</v>
      </c>
      <c r="U203" s="123">
        <v>22.087627731153134</v>
      </c>
      <c r="V203" s="123">
        <v>0</v>
      </c>
      <c r="W203" s="123">
        <v>709.54352210001116</v>
      </c>
      <c r="X203" s="123">
        <v>0</v>
      </c>
      <c r="Y203" s="123">
        <v>111.16241943967452</v>
      </c>
      <c r="Z203" s="123">
        <v>199.95233007089564</v>
      </c>
      <c r="AA203" s="123">
        <v>567.1255039925145</v>
      </c>
      <c r="AB203" s="123">
        <v>348.70558049775173</v>
      </c>
      <c r="AC203" s="123">
        <v>681.71093155147219</v>
      </c>
      <c r="AD203" s="123">
        <v>479.25903147385088</v>
      </c>
      <c r="AE203" s="123">
        <v>533.93629751246272</v>
      </c>
      <c r="AF203" s="123">
        <v>445.62655657582627</v>
      </c>
      <c r="AG203" s="123">
        <v>672.68958870400911</v>
      </c>
      <c r="AH203" s="123">
        <v>604.52394208004307</v>
      </c>
      <c r="AI203" s="123">
        <v>966.23297611717226</v>
      </c>
      <c r="AJ203" s="123">
        <v>672.13252879129413</v>
      </c>
      <c r="AK203" s="123">
        <v>611.40675445817624</v>
      </c>
      <c r="AL203" s="123">
        <v>1063.3759868356215</v>
      </c>
      <c r="AM203" s="123">
        <v>352.13781133997281</v>
      </c>
      <c r="AN203" s="123">
        <v>39.494696184514851</v>
      </c>
      <c r="AO203" s="123">
        <v>242.41461266915849</v>
      </c>
      <c r="AP203" s="123">
        <v>17.919492493383586</v>
      </c>
      <c r="AQ203" s="123">
        <v>70.127263038741148</v>
      </c>
      <c r="AR203" s="123">
        <v>755.35306827141221</v>
      </c>
      <c r="AS203" s="123">
        <v>447.34807251961593</v>
      </c>
      <c r="AT203" s="123">
        <v>483.23150701867235</v>
      </c>
      <c r="AU203" s="123">
        <v>422.4253720478664</v>
      </c>
      <c r="AV203" s="123">
        <v>957.85245006129026</v>
      </c>
      <c r="AW203" s="123">
        <v>418.71245923819652</v>
      </c>
      <c r="AX203" s="123">
        <v>525.97860429687717</v>
      </c>
      <c r="AY203" s="123">
        <v>688.37543160321002</v>
      </c>
    </row>
    <row r="204" spans="1:51" x14ac:dyDescent="0.2">
      <c r="A204" s="126"/>
      <c r="B204" s="143">
        <v>8</v>
      </c>
      <c r="C204" s="123">
        <v>0</v>
      </c>
      <c r="D204" s="123">
        <v>0</v>
      </c>
      <c r="E204" s="123">
        <v>0</v>
      </c>
      <c r="F204" s="123">
        <v>0</v>
      </c>
      <c r="G204" s="123">
        <v>370.81704677339053</v>
      </c>
      <c r="H204" s="123">
        <v>778.77088550781127</v>
      </c>
      <c r="I204" s="123">
        <v>1327.4798671081189</v>
      </c>
      <c r="J204" s="123">
        <v>0</v>
      </c>
      <c r="K204" s="123">
        <v>0</v>
      </c>
      <c r="L204" s="123">
        <v>0</v>
      </c>
      <c r="M204" s="123">
        <v>0</v>
      </c>
      <c r="N204" s="123">
        <v>0</v>
      </c>
      <c r="O204" s="123">
        <v>0</v>
      </c>
      <c r="P204" s="123">
        <v>0</v>
      </c>
      <c r="Q204" s="123">
        <v>0</v>
      </c>
      <c r="R204" s="123">
        <v>0</v>
      </c>
      <c r="S204" s="123">
        <v>0</v>
      </c>
      <c r="T204" s="123">
        <v>0</v>
      </c>
      <c r="U204" s="123">
        <v>0</v>
      </c>
      <c r="V204" s="123">
        <v>0</v>
      </c>
      <c r="W204" s="123">
        <v>0</v>
      </c>
      <c r="X204" s="123">
        <v>0</v>
      </c>
      <c r="Y204" s="123">
        <v>0</v>
      </c>
      <c r="Z204" s="123">
        <v>0</v>
      </c>
      <c r="AA204" s="123">
        <v>0</v>
      </c>
      <c r="AB204" s="123">
        <v>0</v>
      </c>
      <c r="AC204" s="123">
        <v>0</v>
      </c>
      <c r="AD204" s="123">
        <v>0</v>
      </c>
      <c r="AE204" s="123">
        <v>0</v>
      </c>
      <c r="AF204" s="123">
        <v>0</v>
      </c>
      <c r="AG204" s="123">
        <v>0</v>
      </c>
      <c r="AH204" s="123">
        <v>0</v>
      </c>
      <c r="AI204" s="123">
        <v>0</v>
      </c>
      <c r="AJ204" s="123">
        <v>0</v>
      </c>
      <c r="AK204" s="123">
        <v>0</v>
      </c>
      <c r="AL204" s="123">
        <v>0</v>
      </c>
      <c r="AM204" s="123">
        <v>0</v>
      </c>
      <c r="AN204" s="123">
        <v>0</v>
      </c>
      <c r="AO204" s="123">
        <v>0</v>
      </c>
      <c r="AP204" s="123">
        <v>0</v>
      </c>
      <c r="AQ204" s="123">
        <v>0</v>
      </c>
      <c r="AR204" s="123">
        <v>0</v>
      </c>
      <c r="AS204" s="123">
        <v>0</v>
      </c>
      <c r="AT204" s="123">
        <v>0</v>
      </c>
      <c r="AU204" s="123">
        <v>0</v>
      </c>
      <c r="AV204" s="123">
        <v>0</v>
      </c>
      <c r="AW204" s="123">
        <v>0</v>
      </c>
      <c r="AX204" s="123">
        <v>0</v>
      </c>
      <c r="AY204" s="123">
        <v>0</v>
      </c>
    </row>
    <row r="205" spans="1:51" x14ac:dyDescent="0.2">
      <c r="A205" s="126"/>
      <c r="B205" s="143">
        <v>9</v>
      </c>
      <c r="C205" s="123">
        <v>1247.9574603987851</v>
      </c>
      <c r="D205" s="123">
        <v>1338</v>
      </c>
      <c r="E205" s="123">
        <v>1019</v>
      </c>
      <c r="F205" s="123">
        <v>1094</v>
      </c>
      <c r="G205" s="123">
        <v>654.18295322660947</v>
      </c>
      <c r="H205" s="123">
        <v>220.22911449218873</v>
      </c>
      <c r="I205" s="123">
        <v>0</v>
      </c>
      <c r="J205" s="123">
        <v>0</v>
      </c>
      <c r="K205" s="123">
        <v>0</v>
      </c>
      <c r="L205" s="123">
        <v>0</v>
      </c>
      <c r="M205" s="123">
        <v>0</v>
      </c>
      <c r="N205" s="123">
        <v>0</v>
      </c>
      <c r="O205" s="123">
        <v>0</v>
      </c>
      <c r="P205" s="123">
        <v>0</v>
      </c>
      <c r="Q205" s="123">
        <v>0</v>
      </c>
      <c r="R205" s="123">
        <v>0</v>
      </c>
      <c r="S205" s="123">
        <v>0</v>
      </c>
      <c r="T205" s="123">
        <v>0</v>
      </c>
      <c r="U205" s="123">
        <v>0</v>
      </c>
      <c r="V205" s="123">
        <v>0</v>
      </c>
      <c r="W205" s="123">
        <v>0</v>
      </c>
      <c r="X205" s="123">
        <v>0</v>
      </c>
      <c r="Y205" s="123">
        <v>0</v>
      </c>
      <c r="Z205" s="123">
        <v>0</v>
      </c>
      <c r="AA205" s="123">
        <v>0</v>
      </c>
      <c r="AB205" s="123">
        <v>0</v>
      </c>
      <c r="AC205" s="123">
        <v>0</v>
      </c>
      <c r="AD205" s="123">
        <v>0</v>
      </c>
      <c r="AE205" s="123">
        <v>0</v>
      </c>
      <c r="AF205" s="123">
        <v>0</v>
      </c>
      <c r="AG205" s="123">
        <v>0</v>
      </c>
      <c r="AH205" s="123">
        <v>0</v>
      </c>
      <c r="AI205" s="123">
        <v>0</v>
      </c>
      <c r="AJ205" s="123">
        <v>0</v>
      </c>
      <c r="AK205" s="123">
        <v>0</v>
      </c>
      <c r="AL205" s="123">
        <v>0</v>
      </c>
      <c r="AM205" s="123">
        <v>0</v>
      </c>
      <c r="AN205" s="123">
        <v>0</v>
      </c>
      <c r="AO205" s="123">
        <v>0</v>
      </c>
      <c r="AP205" s="123">
        <v>0</v>
      </c>
      <c r="AQ205" s="123">
        <v>0</v>
      </c>
      <c r="AR205" s="123">
        <v>0</v>
      </c>
      <c r="AS205" s="123">
        <v>0</v>
      </c>
      <c r="AT205" s="123">
        <v>0</v>
      </c>
      <c r="AU205" s="123">
        <v>0</v>
      </c>
      <c r="AV205" s="123">
        <v>0</v>
      </c>
      <c r="AW205" s="123">
        <v>0</v>
      </c>
      <c r="AX205" s="123">
        <v>0</v>
      </c>
      <c r="AY205" s="123">
        <v>0</v>
      </c>
    </row>
    <row r="206" spans="1:51" x14ac:dyDescent="0.2">
      <c r="A206" s="126"/>
      <c r="B206" s="146">
        <v>10</v>
      </c>
      <c r="C206" s="123">
        <v>2.0425396012149228</v>
      </c>
      <c r="D206" s="123">
        <v>0</v>
      </c>
      <c r="E206" s="123">
        <v>0</v>
      </c>
      <c r="F206" s="123">
        <v>0</v>
      </c>
      <c r="G206" s="123">
        <v>0</v>
      </c>
      <c r="H206" s="123">
        <v>0</v>
      </c>
      <c r="I206" s="123">
        <v>0</v>
      </c>
      <c r="J206" s="123">
        <v>0</v>
      </c>
      <c r="K206" s="123">
        <v>0</v>
      </c>
      <c r="L206" s="123">
        <v>0</v>
      </c>
      <c r="M206" s="123">
        <v>0</v>
      </c>
      <c r="N206" s="123">
        <v>0</v>
      </c>
      <c r="O206" s="123">
        <v>0</v>
      </c>
      <c r="P206" s="123">
        <v>0</v>
      </c>
      <c r="Q206" s="123">
        <v>0</v>
      </c>
      <c r="R206" s="123">
        <v>0</v>
      </c>
      <c r="S206" s="123">
        <v>0</v>
      </c>
      <c r="T206" s="123">
        <v>0</v>
      </c>
      <c r="U206" s="123">
        <v>0</v>
      </c>
      <c r="V206" s="123">
        <v>0</v>
      </c>
      <c r="W206" s="123">
        <v>0</v>
      </c>
      <c r="X206" s="123">
        <v>0</v>
      </c>
      <c r="Y206" s="123">
        <v>0</v>
      </c>
      <c r="Z206" s="123">
        <v>0</v>
      </c>
      <c r="AA206" s="123">
        <v>0</v>
      </c>
      <c r="AB206" s="123">
        <v>0</v>
      </c>
      <c r="AC206" s="123">
        <v>0</v>
      </c>
      <c r="AD206" s="123">
        <v>0</v>
      </c>
      <c r="AE206" s="123">
        <v>0</v>
      </c>
      <c r="AF206" s="123">
        <v>0</v>
      </c>
      <c r="AG206" s="123">
        <v>0</v>
      </c>
      <c r="AH206" s="123">
        <v>0</v>
      </c>
      <c r="AI206" s="123">
        <v>0</v>
      </c>
      <c r="AJ206" s="123">
        <v>0</v>
      </c>
      <c r="AK206" s="123">
        <v>0</v>
      </c>
      <c r="AL206" s="123">
        <v>0</v>
      </c>
      <c r="AM206" s="123">
        <v>0</v>
      </c>
      <c r="AN206" s="123">
        <v>0</v>
      </c>
      <c r="AO206" s="123">
        <v>0</v>
      </c>
      <c r="AP206" s="123">
        <v>0</v>
      </c>
      <c r="AQ206" s="123">
        <v>0</v>
      </c>
      <c r="AR206" s="123">
        <v>0</v>
      </c>
      <c r="AS206" s="123">
        <v>0</v>
      </c>
      <c r="AT206" s="123">
        <v>0</v>
      </c>
      <c r="AU206" s="123">
        <v>0</v>
      </c>
      <c r="AV206" s="123">
        <v>0</v>
      </c>
      <c r="AW206" s="123">
        <v>0</v>
      </c>
      <c r="AX206" s="123">
        <v>0</v>
      </c>
      <c r="AY206" s="123">
        <v>0</v>
      </c>
    </row>
    <row r="207" spans="1:51" x14ac:dyDescent="0.2">
      <c r="A207" s="126"/>
      <c r="B207" s="146">
        <v>11</v>
      </c>
      <c r="C207" s="123">
        <v>0</v>
      </c>
      <c r="D207" s="123">
        <v>0</v>
      </c>
      <c r="E207" s="123">
        <v>0</v>
      </c>
      <c r="F207" s="123">
        <v>0</v>
      </c>
      <c r="G207" s="123">
        <v>0</v>
      </c>
      <c r="H207" s="123">
        <v>0</v>
      </c>
      <c r="I207" s="123">
        <v>0</v>
      </c>
      <c r="J207" s="123">
        <v>0</v>
      </c>
      <c r="K207" s="123">
        <v>0</v>
      </c>
      <c r="L207" s="123">
        <v>0</v>
      </c>
      <c r="M207" s="123">
        <v>0</v>
      </c>
      <c r="N207" s="123">
        <v>0</v>
      </c>
      <c r="O207" s="123">
        <v>0</v>
      </c>
      <c r="P207" s="123">
        <v>0</v>
      </c>
      <c r="Q207" s="123">
        <v>0</v>
      </c>
      <c r="R207" s="123">
        <v>0</v>
      </c>
      <c r="S207" s="123">
        <v>0</v>
      </c>
      <c r="T207" s="123">
        <v>0</v>
      </c>
      <c r="U207" s="123">
        <v>0</v>
      </c>
      <c r="V207" s="123">
        <v>0</v>
      </c>
      <c r="W207" s="123">
        <v>0</v>
      </c>
      <c r="X207" s="123">
        <v>0</v>
      </c>
      <c r="Y207" s="123">
        <v>0</v>
      </c>
      <c r="Z207" s="123">
        <v>0</v>
      </c>
      <c r="AA207" s="123">
        <v>0</v>
      </c>
      <c r="AB207" s="123">
        <v>0</v>
      </c>
      <c r="AC207" s="123">
        <v>0</v>
      </c>
      <c r="AD207" s="123">
        <v>0</v>
      </c>
      <c r="AE207" s="123">
        <v>0</v>
      </c>
      <c r="AF207" s="123">
        <v>0</v>
      </c>
      <c r="AG207" s="123">
        <v>0</v>
      </c>
      <c r="AH207" s="123">
        <v>0</v>
      </c>
      <c r="AI207" s="123">
        <v>0</v>
      </c>
      <c r="AJ207" s="123">
        <v>0</v>
      </c>
      <c r="AK207" s="123">
        <v>0</v>
      </c>
      <c r="AL207" s="123">
        <v>0</v>
      </c>
      <c r="AM207" s="123">
        <v>0</v>
      </c>
      <c r="AN207" s="123">
        <v>0</v>
      </c>
      <c r="AO207" s="123">
        <v>0</v>
      </c>
      <c r="AP207" s="123">
        <v>0</v>
      </c>
      <c r="AQ207" s="123">
        <v>0</v>
      </c>
      <c r="AR207" s="123">
        <v>0</v>
      </c>
      <c r="AS207" s="123">
        <v>0</v>
      </c>
      <c r="AT207" s="123">
        <v>0</v>
      </c>
      <c r="AU207" s="123">
        <v>0</v>
      </c>
      <c r="AV207" s="123">
        <v>0</v>
      </c>
      <c r="AW207" s="123">
        <v>0</v>
      </c>
      <c r="AX207" s="123">
        <v>0</v>
      </c>
      <c r="AY207" s="123">
        <v>0</v>
      </c>
    </row>
    <row r="208" spans="1:51" x14ac:dyDescent="0.2">
      <c r="A208" s="126"/>
      <c r="B208" s="146">
        <v>12</v>
      </c>
      <c r="C208" s="123">
        <v>0</v>
      </c>
      <c r="D208" s="123">
        <v>0</v>
      </c>
      <c r="E208" s="123">
        <v>0</v>
      </c>
      <c r="F208" s="123">
        <v>0</v>
      </c>
      <c r="G208" s="123">
        <v>0</v>
      </c>
      <c r="H208" s="123">
        <v>0</v>
      </c>
      <c r="I208" s="123">
        <v>0</v>
      </c>
      <c r="J208" s="123">
        <v>0</v>
      </c>
      <c r="K208" s="123">
        <v>0</v>
      </c>
      <c r="L208" s="123">
        <v>0</v>
      </c>
      <c r="M208" s="123">
        <v>0</v>
      </c>
      <c r="N208" s="123">
        <v>0</v>
      </c>
      <c r="O208" s="123">
        <v>0</v>
      </c>
      <c r="P208" s="123">
        <v>0</v>
      </c>
      <c r="Q208" s="123">
        <v>0</v>
      </c>
      <c r="R208" s="123">
        <v>0</v>
      </c>
      <c r="S208" s="123">
        <v>0</v>
      </c>
      <c r="T208" s="123">
        <v>0</v>
      </c>
      <c r="U208" s="123">
        <v>0</v>
      </c>
      <c r="V208" s="123">
        <v>0</v>
      </c>
      <c r="W208" s="123">
        <v>0</v>
      </c>
      <c r="X208" s="123">
        <v>0</v>
      </c>
      <c r="Y208" s="123">
        <v>0</v>
      </c>
      <c r="Z208" s="123">
        <v>0</v>
      </c>
      <c r="AA208" s="123">
        <v>0</v>
      </c>
      <c r="AB208" s="123">
        <v>0</v>
      </c>
      <c r="AC208" s="123">
        <v>0</v>
      </c>
      <c r="AD208" s="123">
        <v>0</v>
      </c>
      <c r="AE208" s="123">
        <v>0</v>
      </c>
      <c r="AF208" s="123">
        <v>0</v>
      </c>
      <c r="AG208" s="123">
        <v>0</v>
      </c>
      <c r="AH208" s="123">
        <v>0</v>
      </c>
      <c r="AI208" s="123">
        <v>0</v>
      </c>
      <c r="AJ208" s="123">
        <v>0</v>
      </c>
      <c r="AK208" s="123">
        <v>0</v>
      </c>
      <c r="AL208" s="123">
        <v>0</v>
      </c>
      <c r="AM208" s="123">
        <v>0</v>
      </c>
      <c r="AN208" s="123">
        <v>0</v>
      </c>
      <c r="AO208" s="123">
        <v>0</v>
      </c>
      <c r="AP208" s="123">
        <v>0</v>
      </c>
      <c r="AQ208" s="123">
        <v>0</v>
      </c>
      <c r="AR208" s="123">
        <v>0</v>
      </c>
      <c r="AS208" s="123">
        <v>0</v>
      </c>
      <c r="AT208" s="123">
        <v>0</v>
      </c>
      <c r="AU208" s="123">
        <v>0</v>
      </c>
      <c r="AV208" s="123">
        <v>0</v>
      </c>
      <c r="AW208" s="123">
        <v>0</v>
      </c>
      <c r="AX208" s="123">
        <v>0</v>
      </c>
      <c r="AY208" s="123">
        <v>0</v>
      </c>
    </row>
    <row r="209" spans="1:51" x14ac:dyDescent="0.2">
      <c r="A209" s="142" t="s">
        <v>123</v>
      </c>
      <c r="B209" s="139">
        <v>1</v>
      </c>
      <c r="C209" s="140">
        <v>0</v>
      </c>
      <c r="D209" s="140">
        <v>0</v>
      </c>
      <c r="E209" s="140">
        <v>0</v>
      </c>
      <c r="F209" s="140">
        <v>0</v>
      </c>
      <c r="G209" s="140">
        <v>0</v>
      </c>
      <c r="H209" s="140">
        <v>0</v>
      </c>
      <c r="I209" s="140">
        <v>0</v>
      </c>
      <c r="J209" s="140">
        <v>0</v>
      </c>
      <c r="K209" s="140">
        <v>0</v>
      </c>
      <c r="L209" s="140">
        <v>0</v>
      </c>
      <c r="M209" s="140">
        <v>0</v>
      </c>
      <c r="N209" s="140">
        <v>0</v>
      </c>
      <c r="O209" s="140">
        <v>0</v>
      </c>
      <c r="P209" s="140">
        <v>0</v>
      </c>
      <c r="Q209" s="140">
        <v>0</v>
      </c>
      <c r="R209" s="140">
        <v>0</v>
      </c>
      <c r="S209" s="140">
        <v>0</v>
      </c>
      <c r="T209" s="140">
        <v>0</v>
      </c>
      <c r="U209" s="140">
        <v>0</v>
      </c>
      <c r="V209" s="140">
        <v>0</v>
      </c>
      <c r="W209" s="140">
        <v>0</v>
      </c>
      <c r="X209" s="140">
        <v>0</v>
      </c>
      <c r="Y209" s="140">
        <v>0</v>
      </c>
      <c r="Z209" s="140">
        <v>0</v>
      </c>
      <c r="AA209" s="140">
        <v>0</v>
      </c>
      <c r="AB209" s="140">
        <v>0</v>
      </c>
      <c r="AC209" s="140">
        <v>0</v>
      </c>
      <c r="AD209" s="140">
        <v>0</v>
      </c>
      <c r="AE209" s="140">
        <v>0</v>
      </c>
      <c r="AF209" s="140">
        <v>0</v>
      </c>
      <c r="AG209" s="140">
        <v>0</v>
      </c>
      <c r="AH209" s="140">
        <v>0</v>
      </c>
      <c r="AI209" s="140">
        <v>0</v>
      </c>
      <c r="AJ209" s="140">
        <v>0</v>
      </c>
      <c r="AK209" s="140">
        <v>0</v>
      </c>
      <c r="AL209" s="140">
        <v>0</v>
      </c>
      <c r="AM209" s="140">
        <v>0</v>
      </c>
      <c r="AN209" s="140">
        <v>0</v>
      </c>
      <c r="AO209" s="140">
        <v>0</v>
      </c>
      <c r="AP209" s="140">
        <v>0</v>
      </c>
      <c r="AQ209" s="140">
        <v>0</v>
      </c>
      <c r="AR209" s="140">
        <v>0</v>
      </c>
      <c r="AS209" s="140">
        <v>0</v>
      </c>
      <c r="AT209" s="140">
        <v>0</v>
      </c>
      <c r="AU209" s="140">
        <v>0</v>
      </c>
      <c r="AV209" s="140">
        <v>0</v>
      </c>
      <c r="AW209" s="140">
        <v>0</v>
      </c>
      <c r="AX209" s="140">
        <v>0</v>
      </c>
      <c r="AY209" s="140">
        <v>0</v>
      </c>
    </row>
    <row r="210" spans="1:51" x14ac:dyDescent="0.2">
      <c r="A210" s="126"/>
      <c r="B210" s="135">
        <v>2</v>
      </c>
      <c r="C210" s="123">
        <v>9.569141297024089</v>
      </c>
      <c r="D210" s="127">
        <v>0</v>
      </c>
      <c r="E210" s="127">
        <v>0</v>
      </c>
      <c r="F210" s="127">
        <v>0</v>
      </c>
      <c r="G210" s="127">
        <v>0</v>
      </c>
      <c r="H210" s="127">
        <v>0</v>
      </c>
      <c r="I210" s="127">
        <v>0</v>
      </c>
      <c r="J210" s="127">
        <v>0</v>
      </c>
      <c r="K210" s="127">
        <v>0</v>
      </c>
      <c r="L210" s="127">
        <v>0</v>
      </c>
      <c r="M210" s="127">
        <v>0</v>
      </c>
      <c r="N210" s="127">
        <v>0</v>
      </c>
      <c r="O210" s="127">
        <v>0</v>
      </c>
      <c r="P210" s="127">
        <v>0</v>
      </c>
      <c r="Q210" s="127">
        <v>0</v>
      </c>
      <c r="R210" s="127">
        <v>0</v>
      </c>
      <c r="S210" s="127">
        <v>0</v>
      </c>
      <c r="T210" s="127">
        <v>0</v>
      </c>
      <c r="U210" s="127">
        <v>0</v>
      </c>
      <c r="V210" s="127">
        <v>0</v>
      </c>
      <c r="W210" s="127">
        <v>0</v>
      </c>
      <c r="X210" s="127">
        <v>0</v>
      </c>
      <c r="Y210" s="127">
        <v>0</v>
      </c>
      <c r="Z210" s="127">
        <v>0</v>
      </c>
      <c r="AA210" s="127">
        <v>0</v>
      </c>
      <c r="AB210" s="127">
        <v>0</v>
      </c>
      <c r="AC210" s="127">
        <v>0</v>
      </c>
      <c r="AD210" s="127">
        <v>0</v>
      </c>
      <c r="AE210" s="127">
        <v>0</v>
      </c>
      <c r="AF210" s="127">
        <v>0</v>
      </c>
      <c r="AG210" s="127">
        <v>0</v>
      </c>
      <c r="AH210" s="127">
        <v>0</v>
      </c>
      <c r="AI210" s="127">
        <v>0</v>
      </c>
      <c r="AJ210" s="127">
        <v>0</v>
      </c>
      <c r="AK210" s="127">
        <v>0</v>
      </c>
      <c r="AL210" s="127">
        <v>0</v>
      </c>
      <c r="AM210" s="127">
        <v>0</v>
      </c>
      <c r="AN210" s="127">
        <v>0</v>
      </c>
      <c r="AO210" s="127">
        <v>0</v>
      </c>
      <c r="AP210" s="127">
        <v>0</v>
      </c>
      <c r="AQ210" s="127">
        <v>0</v>
      </c>
      <c r="AR210" s="127">
        <v>0</v>
      </c>
      <c r="AS210" s="127">
        <v>0</v>
      </c>
      <c r="AT210" s="127">
        <v>0</v>
      </c>
      <c r="AU210" s="127">
        <v>0</v>
      </c>
      <c r="AV210" s="127">
        <v>0</v>
      </c>
      <c r="AW210" s="127">
        <v>0</v>
      </c>
      <c r="AX210" s="127">
        <v>0</v>
      </c>
      <c r="AY210" s="127">
        <v>0</v>
      </c>
    </row>
    <row r="211" spans="1:51" x14ac:dyDescent="0.2">
      <c r="A211" s="126"/>
      <c r="B211" s="135">
        <v>3</v>
      </c>
      <c r="C211" s="123">
        <v>1131.4308587029759</v>
      </c>
      <c r="D211" s="127">
        <v>837</v>
      </c>
      <c r="E211" s="127">
        <v>825.34210977152691</v>
      </c>
      <c r="F211" s="127">
        <v>855.85419158307946</v>
      </c>
      <c r="G211" s="127">
        <v>553.85180053902559</v>
      </c>
      <c r="H211" s="127">
        <v>520.61031809171232</v>
      </c>
      <c r="I211" s="127">
        <v>558.00059897437802</v>
      </c>
      <c r="J211" s="127">
        <v>411.18257312163075</v>
      </c>
      <c r="K211" s="127">
        <v>294.1553970929275</v>
      </c>
      <c r="L211" s="127">
        <v>305.59854795513149</v>
      </c>
      <c r="M211" s="127">
        <v>173.69330148969789</v>
      </c>
      <c r="N211" s="127">
        <v>176.91204868112902</v>
      </c>
      <c r="O211" s="127">
        <v>154.90767193981628</v>
      </c>
      <c r="P211" s="127">
        <v>35.264958360202513</v>
      </c>
      <c r="Q211" s="127">
        <v>99.086475940841865</v>
      </c>
      <c r="R211" s="127">
        <v>138.65581684083838</v>
      </c>
      <c r="S211" s="127">
        <v>117.18880819883611</v>
      </c>
      <c r="T211" s="127">
        <v>215.87926284079481</v>
      </c>
      <c r="U211" s="127">
        <v>166.06734471880918</v>
      </c>
      <c r="V211" s="127">
        <v>99.183955483178124</v>
      </c>
      <c r="W211" s="127">
        <v>215.71625415708684</v>
      </c>
      <c r="X211" s="127">
        <v>269.96627933491027</v>
      </c>
      <c r="Y211" s="127">
        <v>170.6012949451607</v>
      </c>
      <c r="Z211" s="127">
        <v>238.99500462351591</v>
      </c>
      <c r="AA211" s="127">
        <v>265.39910462409614</v>
      </c>
      <c r="AB211" s="127">
        <v>338.76964662445607</v>
      </c>
      <c r="AC211" s="127">
        <v>428.25938266467915</v>
      </c>
      <c r="AD211" s="127">
        <v>377.74301900961746</v>
      </c>
      <c r="AE211" s="127">
        <v>497.42287354347923</v>
      </c>
      <c r="AF211" s="127">
        <v>390.62438335447348</v>
      </c>
      <c r="AG211" s="127">
        <v>242.40931943728992</v>
      </c>
      <c r="AH211" s="127">
        <v>301.51597980863619</v>
      </c>
      <c r="AI211" s="127">
        <v>354.1621092388707</v>
      </c>
      <c r="AJ211" s="127">
        <v>292.80270948561622</v>
      </c>
      <c r="AK211" s="127">
        <v>282.75988163859836</v>
      </c>
      <c r="AL211" s="127">
        <v>156.53332837344749</v>
      </c>
      <c r="AM211" s="127">
        <v>244.27286534905386</v>
      </c>
      <c r="AN211" s="127">
        <v>133.6713782739298</v>
      </c>
      <c r="AO211" s="127">
        <v>159.09845628735286</v>
      </c>
      <c r="AP211" s="127">
        <v>64.863244655675089</v>
      </c>
      <c r="AQ211" s="127">
        <v>333.43741344403497</v>
      </c>
      <c r="AR211" s="127">
        <v>214.95339809281802</v>
      </c>
      <c r="AS211" s="127">
        <v>256.49330857506368</v>
      </c>
      <c r="AT211" s="127">
        <v>410.24805307405575</v>
      </c>
      <c r="AU211" s="127">
        <v>297.57599466343095</v>
      </c>
      <c r="AV211" s="127">
        <v>305.71931844884352</v>
      </c>
      <c r="AW211" s="127">
        <v>360.76817919579935</v>
      </c>
      <c r="AX211" s="127">
        <v>397.89847285891199</v>
      </c>
      <c r="AY211" s="127">
        <v>193.9192549300418</v>
      </c>
    </row>
    <row r="212" spans="1:51" x14ac:dyDescent="0.2">
      <c r="A212" s="126"/>
      <c r="B212" s="135">
        <v>4</v>
      </c>
      <c r="C212" s="123">
        <v>0</v>
      </c>
      <c r="D212" s="127">
        <v>0</v>
      </c>
      <c r="E212" s="127">
        <v>120.65789022847309</v>
      </c>
      <c r="F212" s="127">
        <v>60.145808416920602</v>
      </c>
      <c r="G212" s="127">
        <v>301.14819946097435</v>
      </c>
      <c r="H212" s="127">
        <v>488.38968190828774</v>
      </c>
      <c r="I212" s="127">
        <v>508.99940102562198</v>
      </c>
      <c r="J212" s="127">
        <v>485.81742687836925</v>
      </c>
      <c r="K212" s="127">
        <v>576.8446029070725</v>
      </c>
      <c r="L212" s="127">
        <v>649.40145204486851</v>
      </c>
      <c r="M212" s="127">
        <v>642.30669851030211</v>
      </c>
      <c r="N212" s="127">
        <v>724.08795131887098</v>
      </c>
      <c r="O212" s="127">
        <v>722.09232806018372</v>
      </c>
      <c r="P212" s="127">
        <v>735.73504163979749</v>
      </c>
      <c r="Q212" s="127">
        <v>809.91352405915814</v>
      </c>
      <c r="R212" s="127">
        <v>770.34418315916162</v>
      </c>
      <c r="S212" s="127">
        <v>745.81119180116389</v>
      </c>
      <c r="T212" s="127">
        <v>759.12073715920519</v>
      </c>
      <c r="U212" s="127">
        <v>697.93265528119082</v>
      </c>
      <c r="V212" s="127">
        <v>728.81604451682188</v>
      </c>
      <c r="W212" s="127">
        <v>770.28374584291316</v>
      </c>
      <c r="X212" s="127">
        <v>698.03372066508973</v>
      </c>
      <c r="Y212" s="127">
        <v>664.3987050548393</v>
      </c>
      <c r="Z212" s="127">
        <v>726.00499537648409</v>
      </c>
      <c r="AA212" s="127">
        <v>683.60089537590386</v>
      </c>
      <c r="AB212" s="127">
        <v>667.23035337554393</v>
      </c>
      <c r="AC212" s="127">
        <v>621.74061733532085</v>
      </c>
      <c r="AD212" s="127">
        <v>566.25698099038254</v>
      </c>
      <c r="AE212" s="127">
        <v>597.57712645652077</v>
      </c>
      <c r="AF212" s="127">
        <v>523.37561664552652</v>
      </c>
      <c r="AG212" s="127">
        <v>589.59068056271008</v>
      </c>
      <c r="AH212" s="127">
        <v>681.48402019136381</v>
      </c>
      <c r="AI212" s="127">
        <v>644.8378907611293</v>
      </c>
      <c r="AJ212" s="127">
        <v>612.19729051438378</v>
      </c>
      <c r="AK212" s="127">
        <v>650.24011836140164</v>
      </c>
      <c r="AL212" s="127">
        <v>656.46667162655251</v>
      </c>
      <c r="AM212" s="127">
        <v>734.72713465094614</v>
      </c>
      <c r="AN212" s="127">
        <v>680.3286217260702</v>
      </c>
      <c r="AO212" s="127">
        <v>748.90154371264714</v>
      </c>
      <c r="AP212" s="127">
        <v>733.13675534432491</v>
      </c>
      <c r="AQ212" s="127">
        <v>791.56258655596503</v>
      </c>
      <c r="AR212" s="127">
        <v>625.04660190718198</v>
      </c>
      <c r="AS212" s="127">
        <v>698.50669142493632</v>
      </c>
      <c r="AT212" s="127">
        <v>672.75194692594425</v>
      </c>
      <c r="AU212" s="127">
        <v>577.42400533656905</v>
      </c>
      <c r="AV212" s="127">
        <v>647.28068155115648</v>
      </c>
      <c r="AW212" s="127">
        <v>642.23182080420065</v>
      </c>
      <c r="AX212" s="127">
        <v>608.10152714108801</v>
      </c>
      <c r="AY212" s="127">
        <v>585.0807450699582</v>
      </c>
    </row>
    <row r="213" spans="1:51" x14ac:dyDescent="0.2">
      <c r="A213" s="126"/>
      <c r="B213" s="135">
        <v>5</v>
      </c>
      <c r="C213" s="123">
        <v>0</v>
      </c>
      <c r="D213" s="127">
        <v>0</v>
      </c>
      <c r="E213" s="127">
        <v>0</v>
      </c>
      <c r="F213" s="127">
        <v>0</v>
      </c>
      <c r="G213" s="127">
        <v>0</v>
      </c>
      <c r="H213" s="127">
        <v>0</v>
      </c>
      <c r="I213" s="127">
        <v>0</v>
      </c>
      <c r="J213" s="127">
        <v>0</v>
      </c>
      <c r="K213" s="127">
        <v>0</v>
      </c>
      <c r="L213" s="127">
        <v>0</v>
      </c>
      <c r="M213" s="127">
        <v>0</v>
      </c>
      <c r="N213" s="127">
        <v>0</v>
      </c>
      <c r="O213" s="127">
        <v>0</v>
      </c>
      <c r="P213" s="127">
        <v>0</v>
      </c>
      <c r="Q213" s="127">
        <v>0</v>
      </c>
      <c r="R213" s="127">
        <v>0</v>
      </c>
      <c r="S213" s="127">
        <v>0</v>
      </c>
      <c r="T213" s="127">
        <v>0</v>
      </c>
      <c r="U213" s="127">
        <v>0</v>
      </c>
      <c r="V213" s="127">
        <v>0</v>
      </c>
      <c r="W213" s="127">
        <v>0</v>
      </c>
      <c r="X213" s="127">
        <v>0</v>
      </c>
      <c r="Y213" s="127">
        <v>0</v>
      </c>
      <c r="Z213" s="127">
        <v>0</v>
      </c>
      <c r="AA213" s="127">
        <v>0</v>
      </c>
      <c r="AB213" s="127">
        <v>0</v>
      </c>
      <c r="AC213" s="127">
        <v>0</v>
      </c>
      <c r="AD213" s="127">
        <v>0</v>
      </c>
      <c r="AE213" s="127">
        <v>0</v>
      </c>
      <c r="AF213" s="127">
        <v>0</v>
      </c>
      <c r="AG213" s="127">
        <v>0</v>
      </c>
      <c r="AH213" s="127">
        <v>0</v>
      </c>
      <c r="AI213" s="127">
        <v>0</v>
      </c>
      <c r="AJ213" s="127">
        <v>0</v>
      </c>
      <c r="AK213" s="127">
        <v>0</v>
      </c>
      <c r="AL213" s="127">
        <v>0</v>
      </c>
      <c r="AM213" s="127">
        <v>0</v>
      </c>
      <c r="AN213" s="127">
        <v>0</v>
      </c>
      <c r="AO213" s="127">
        <v>0</v>
      </c>
      <c r="AP213" s="127">
        <v>0</v>
      </c>
      <c r="AQ213" s="127">
        <v>0</v>
      </c>
      <c r="AR213" s="127">
        <v>0</v>
      </c>
      <c r="AS213" s="127">
        <v>0</v>
      </c>
      <c r="AT213" s="127">
        <v>0</v>
      </c>
      <c r="AU213" s="127">
        <v>0</v>
      </c>
      <c r="AV213" s="127">
        <v>0</v>
      </c>
      <c r="AW213" s="127">
        <v>0</v>
      </c>
      <c r="AX213" s="127">
        <v>0</v>
      </c>
      <c r="AY213" s="127">
        <v>0</v>
      </c>
    </row>
    <row r="214" spans="1:51" x14ac:dyDescent="0.2">
      <c r="A214" s="126"/>
      <c r="B214" s="135">
        <v>6</v>
      </c>
      <c r="C214" s="123">
        <v>0</v>
      </c>
      <c r="D214" s="127">
        <v>0</v>
      </c>
      <c r="E214" s="127">
        <v>0</v>
      </c>
      <c r="F214" s="127">
        <v>0</v>
      </c>
      <c r="G214" s="127">
        <v>0</v>
      </c>
      <c r="H214" s="127">
        <v>0</v>
      </c>
      <c r="I214" s="127">
        <v>0</v>
      </c>
      <c r="J214" s="127">
        <v>0</v>
      </c>
      <c r="K214" s="127">
        <v>0</v>
      </c>
      <c r="L214" s="127">
        <v>0</v>
      </c>
      <c r="M214" s="127">
        <v>0</v>
      </c>
      <c r="N214" s="127">
        <v>0</v>
      </c>
      <c r="O214" s="127">
        <v>0</v>
      </c>
      <c r="P214" s="127">
        <v>0</v>
      </c>
      <c r="Q214" s="127">
        <v>0</v>
      </c>
      <c r="R214" s="127">
        <v>0</v>
      </c>
      <c r="S214" s="127">
        <v>0</v>
      </c>
      <c r="T214" s="127">
        <v>0</v>
      </c>
      <c r="U214" s="127">
        <v>0</v>
      </c>
      <c r="V214" s="127">
        <v>0</v>
      </c>
      <c r="W214" s="127">
        <v>0</v>
      </c>
      <c r="X214" s="127">
        <v>0</v>
      </c>
      <c r="Y214" s="127">
        <v>0</v>
      </c>
      <c r="Z214" s="127">
        <v>0</v>
      </c>
      <c r="AA214" s="127">
        <v>0</v>
      </c>
      <c r="AB214" s="127">
        <v>0</v>
      </c>
      <c r="AC214" s="127">
        <v>0</v>
      </c>
      <c r="AD214" s="127">
        <v>0</v>
      </c>
      <c r="AE214" s="127">
        <v>0</v>
      </c>
      <c r="AF214" s="127">
        <v>0</v>
      </c>
      <c r="AG214" s="127">
        <v>0</v>
      </c>
      <c r="AH214" s="127">
        <v>0</v>
      </c>
      <c r="AI214" s="127">
        <v>0</v>
      </c>
      <c r="AJ214" s="127">
        <v>0</v>
      </c>
      <c r="AK214" s="127">
        <v>0</v>
      </c>
      <c r="AL214" s="127">
        <v>0</v>
      </c>
      <c r="AM214" s="127">
        <v>0</v>
      </c>
      <c r="AN214" s="127">
        <v>0</v>
      </c>
      <c r="AO214" s="127">
        <v>0</v>
      </c>
      <c r="AP214" s="127">
        <v>0</v>
      </c>
      <c r="AQ214" s="127">
        <v>0</v>
      </c>
      <c r="AR214" s="127">
        <v>0</v>
      </c>
      <c r="AS214" s="127">
        <v>0</v>
      </c>
      <c r="AT214" s="127">
        <v>0</v>
      </c>
      <c r="AU214" s="127">
        <v>0</v>
      </c>
      <c r="AV214" s="127">
        <v>0</v>
      </c>
      <c r="AW214" s="127">
        <v>0</v>
      </c>
      <c r="AX214" s="127">
        <v>0</v>
      </c>
      <c r="AY214" s="127">
        <v>0</v>
      </c>
    </row>
    <row r="215" spans="1:51" x14ac:dyDescent="0.2">
      <c r="A215" s="126"/>
      <c r="B215" s="135">
        <v>7</v>
      </c>
      <c r="C215" s="123">
        <v>0</v>
      </c>
      <c r="D215" s="127">
        <v>0</v>
      </c>
      <c r="E215" s="127">
        <v>0</v>
      </c>
      <c r="F215" s="127">
        <v>0</v>
      </c>
      <c r="G215" s="127">
        <v>0</v>
      </c>
      <c r="H215" s="127">
        <v>0</v>
      </c>
      <c r="I215" s="127">
        <v>0</v>
      </c>
      <c r="J215" s="127">
        <v>0</v>
      </c>
      <c r="K215" s="127">
        <v>0</v>
      </c>
      <c r="L215" s="127">
        <v>0</v>
      </c>
      <c r="M215" s="127">
        <v>0</v>
      </c>
      <c r="N215" s="127">
        <v>0</v>
      </c>
      <c r="O215" s="127">
        <v>0</v>
      </c>
      <c r="P215" s="127">
        <v>0</v>
      </c>
      <c r="Q215" s="127">
        <v>0</v>
      </c>
      <c r="R215" s="127">
        <v>0</v>
      </c>
      <c r="S215" s="127">
        <v>0</v>
      </c>
      <c r="T215" s="127">
        <v>0</v>
      </c>
      <c r="U215" s="127">
        <v>0</v>
      </c>
      <c r="V215" s="127">
        <v>0</v>
      </c>
      <c r="W215" s="127">
        <v>0</v>
      </c>
      <c r="X215" s="127">
        <v>0</v>
      </c>
      <c r="Y215" s="127">
        <v>0</v>
      </c>
      <c r="Z215" s="127">
        <v>0</v>
      </c>
      <c r="AA215" s="127">
        <v>0</v>
      </c>
      <c r="AB215" s="127">
        <v>0</v>
      </c>
      <c r="AC215" s="127">
        <v>0</v>
      </c>
      <c r="AD215" s="127">
        <v>0</v>
      </c>
      <c r="AE215" s="127">
        <v>0</v>
      </c>
      <c r="AF215" s="127">
        <v>0</v>
      </c>
      <c r="AG215" s="127">
        <v>0</v>
      </c>
      <c r="AH215" s="127">
        <v>0</v>
      </c>
      <c r="AI215" s="127">
        <v>0</v>
      </c>
      <c r="AJ215" s="127">
        <v>0</v>
      </c>
      <c r="AK215" s="127">
        <v>0</v>
      </c>
      <c r="AL215" s="127">
        <v>0</v>
      </c>
      <c r="AM215" s="127">
        <v>0</v>
      </c>
      <c r="AN215" s="127">
        <v>0</v>
      </c>
      <c r="AO215" s="127">
        <v>0</v>
      </c>
      <c r="AP215" s="127">
        <v>0</v>
      </c>
      <c r="AQ215" s="127">
        <v>0</v>
      </c>
      <c r="AR215" s="127">
        <v>0</v>
      </c>
      <c r="AS215" s="127">
        <v>0</v>
      </c>
      <c r="AT215" s="127">
        <v>0</v>
      </c>
      <c r="AU215" s="127">
        <v>0</v>
      </c>
      <c r="AV215" s="127">
        <v>0</v>
      </c>
      <c r="AW215" s="127">
        <v>0</v>
      </c>
      <c r="AX215" s="127">
        <v>0</v>
      </c>
      <c r="AY215" s="127">
        <v>0</v>
      </c>
    </row>
    <row r="216" spans="1:51" x14ac:dyDescent="0.2">
      <c r="A216" s="126"/>
      <c r="B216" s="135">
        <v>8</v>
      </c>
      <c r="C216" s="123">
        <v>0</v>
      </c>
      <c r="D216" s="127">
        <v>0</v>
      </c>
      <c r="E216" s="127">
        <v>0</v>
      </c>
      <c r="F216" s="127">
        <v>0</v>
      </c>
      <c r="G216" s="127">
        <v>0</v>
      </c>
      <c r="H216" s="127">
        <v>0</v>
      </c>
      <c r="I216" s="127">
        <v>0</v>
      </c>
      <c r="J216" s="127">
        <v>0</v>
      </c>
      <c r="K216" s="127">
        <v>0</v>
      </c>
      <c r="L216" s="127">
        <v>0</v>
      </c>
      <c r="M216" s="127">
        <v>0</v>
      </c>
      <c r="N216" s="127">
        <v>0</v>
      </c>
      <c r="O216" s="127">
        <v>0</v>
      </c>
      <c r="P216" s="127">
        <v>0</v>
      </c>
      <c r="Q216" s="127">
        <v>0</v>
      </c>
      <c r="R216" s="127">
        <v>0</v>
      </c>
      <c r="S216" s="127">
        <v>0</v>
      </c>
      <c r="T216" s="127">
        <v>0</v>
      </c>
      <c r="U216" s="127">
        <v>0</v>
      </c>
      <c r="V216" s="127">
        <v>0</v>
      </c>
      <c r="W216" s="127">
        <v>0</v>
      </c>
      <c r="X216" s="127">
        <v>0</v>
      </c>
      <c r="Y216" s="127">
        <v>0</v>
      </c>
      <c r="Z216" s="127">
        <v>0</v>
      </c>
      <c r="AA216" s="127">
        <v>0</v>
      </c>
      <c r="AB216" s="127">
        <v>0</v>
      </c>
      <c r="AC216" s="127">
        <v>0</v>
      </c>
      <c r="AD216" s="127">
        <v>0</v>
      </c>
      <c r="AE216" s="127">
        <v>0</v>
      </c>
      <c r="AF216" s="127">
        <v>0</v>
      </c>
      <c r="AG216" s="127">
        <v>0</v>
      </c>
      <c r="AH216" s="127">
        <v>0</v>
      </c>
      <c r="AI216" s="127">
        <v>0</v>
      </c>
      <c r="AJ216" s="127">
        <v>0</v>
      </c>
      <c r="AK216" s="127">
        <v>0</v>
      </c>
      <c r="AL216" s="127">
        <v>0</v>
      </c>
      <c r="AM216" s="127">
        <v>0</v>
      </c>
      <c r="AN216" s="127">
        <v>0</v>
      </c>
      <c r="AO216" s="127">
        <v>0</v>
      </c>
      <c r="AP216" s="127">
        <v>0</v>
      </c>
      <c r="AQ216" s="127">
        <v>0</v>
      </c>
      <c r="AR216" s="127">
        <v>0</v>
      </c>
      <c r="AS216" s="127">
        <v>0</v>
      </c>
      <c r="AT216" s="127">
        <v>0</v>
      </c>
      <c r="AU216" s="127">
        <v>0</v>
      </c>
      <c r="AV216" s="127">
        <v>0</v>
      </c>
      <c r="AW216" s="127">
        <v>0</v>
      </c>
      <c r="AX216" s="127">
        <v>0</v>
      </c>
      <c r="AY216" s="127">
        <v>0</v>
      </c>
    </row>
    <row r="217" spans="1:51" x14ac:dyDescent="0.2">
      <c r="A217" s="126"/>
      <c r="B217" s="135">
        <v>9</v>
      </c>
      <c r="C217" s="123">
        <v>0</v>
      </c>
      <c r="D217" s="127">
        <v>0</v>
      </c>
      <c r="E217" s="127">
        <v>0</v>
      </c>
      <c r="F217" s="127">
        <v>0</v>
      </c>
      <c r="G217" s="127">
        <v>0</v>
      </c>
      <c r="H217" s="127">
        <v>0</v>
      </c>
      <c r="I217" s="127">
        <v>0</v>
      </c>
      <c r="J217" s="127">
        <v>0</v>
      </c>
      <c r="K217" s="127">
        <v>0</v>
      </c>
      <c r="L217" s="127">
        <v>0</v>
      </c>
      <c r="M217" s="127">
        <v>0</v>
      </c>
      <c r="N217" s="127">
        <v>0</v>
      </c>
      <c r="O217" s="127">
        <v>0</v>
      </c>
      <c r="P217" s="127">
        <v>0</v>
      </c>
      <c r="Q217" s="127">
        <v>0</v>
      </c>
      <c r="R217" s="127">
        <v>0</v>
      </c>
      <c r="S217" s="127">
        <v>0</v>
      </c>
      <c r="T217" s="127">
        <v>0</v>
      </c>
      <c r="U217" s="127">
        <v>0</v>
      </c>
      <c r="V217" s="127">
        <v>0</v>
      </c>
      <c r="W217" s="127">
        <v>0</v>
      </c>
      <c r="X217" s="127">
        <v>0</v>
      </c>
      <c r="Y217" s="127">
        <v>0</v>
      </c>
      <c r="Z217" s="127">
        <v>0</v>
      </c>
      <c r="AA217" s="127">
        <v>0</v>
      </c>
      <c r="AB217" s="127">
        <v>0</v>
      </c>
      <c r="AC217" s="127">
        <v>0</v>
      </c>
      <c r="AD217" s="127">
        <v>0</v>
      </c>
      <c r="AE217" s="127">
        <v>0</v>
      </c>
      <c r="AF217" s="127">
        <v>0</v>
      </c>
      <c r="AG217" s="127">
        <v>0</v>
      </c>
      <c r="AH217" s="127">
        <v>0</v>
      </c>
      <c r="AI217" s="127">
        <v>0</v>
      </c>
      <c r="AJ217" s="127">
        <v>0</v>
      </c>
      <c r="AK217" s="127">
        <v>0</v>
      </c>
      <c r="AL217" s="127">
        <v>0</v>
      </c>
      <c r="AM217" s="127">
        <v>0</v>
      </c>
      <c r="AN217" s="127">
        <v>0</v>
      </c>
      <c r="AO217" s="127">
        <v>0</v>
      </c>
      <c r="AP217" s="127">
        <v>0</v>
      </c>
      <c r="AQ217" s="127">
        <v>0</v>
      </c>
      <c r="AR217" s="127">
        <v>0</v>
      </c>
      <c r="AS217" s="127">
        <v>0</v>
      </c>
      <c r="AT217" s="127">
        <v>0</v>
      </c>
      <c r="AU217" s="127">
        <v>0</v>
      </c>
      <c r="AV217" s="127">
        <v>0</v>
      </c>
      <c r="AW217" s="127">
        <v>0</v>
      </c>
      <c r="AX217" s="127">
        <v>0</v>
      </c>
      <c r="AY217" s="127">
        <v>0</v>
      </c>
    </row>
    <row r="218" spans="1:51" x14ac:dyDescent="0.2">
      <c r="A218" s="126"/>
      <c r="B218" s="135">
        <v>10</v>
      </c>
      <c r="C218" s="123">
        <v>0</v>
      </c>
      <c r="D218" s="127">
        <v>0</v>
      </c>
      <c r="E218" s="127">
        <v>0</v>
      </c>
      <c r="F218" s="127">
        <v>0</v>
      </c>
      <c r="G218" s="127">
        <v>0</v>
      </c>
      <c r="H218" s="127">
        <v>0</v>
      </c>
      <c r="I218" s="127">
        <v>0</v>
      </c>
      <c r="J218" s="127">
        <v>0</v>
      </c>
      <c r="K218" s="127">
        <v>0</v>
      </c>
      <c r="L218" s="127">
        <v>0</v>
      </c>
      <c r="M218" s="127">
        <v>0</v>
      </c>
      <c r="N218" s="127">
        <v>0</v>
      </c>
      <c r="O218" s="127">
        <v>0</v>
      </c>
      <c r="P218" s="127">
        <v>0</v>
      </c>
      <c r="Q218" s="127">
        <v>0</v>
      </c>
      <c r="R218" s="127">
        <v>0</v>
      </c>
      <c r="S218" s="127">
        <v>0</v>
      </c>
      <c r="T218" s="127">
        <v>0</v>
      </c>
      <c r="U218" s="127">
        <v>0</v>
      </c>
      <c r="V218" s="127">
        <v>0</v>
      </c>
      <c r="W218" s="127">
        <v>0</v>
      </c>
      <c r="X218" s="127">
        <v>0</v>
      </c>
      <c r="Y218" s="127">
        <v>0</v>
      </c>
      <c r="Z218" s="127">
        <v>0</v>
      </c>
      <c r="AA218" s="127">
        <v>0</v>
      </c>
      <c r="AB218" s="127">
        <v>0</v>
      </c>
      <c r="AC218" s="127">
        <v>0</v>
      </c>
      <c r="AD218" s="127">
        <v>0</v>
      </c>
      <c r="AE218" s="127">
        <v>0</v>
      </c>
      <c r="AF218" s="127">
        <v>0</v>
      </c>
      <c r="AG218" s="127">
        <v>0</v>
      </c>
      <c r="AH218" s="127">
        <v>0</v>
      </c>
      <c r="AI218" s="127">
        <v>0</v>
      </c>
      <c r="AJ218" s="127">
        <v>0</v>
      </c>
      <c r="AK218" s="127">
        <v>0</v>
      </c>
      <c r="AL218" s="127">
        <v>0</v>
      </c>
      <c r="AM218" s="127">
        <v>0</v>
      </c>
      <c r="AN218" s="127">
        <v>0</v>
      </c>
      <c r="AO218" s="127">
        <v>0</v>
      </c>
      <c r="AP218" s="127">
        <v>0</v>
      </c>
      <c r="AQ218" s="127">
        <v>0</v>
      </c>
      <c r="AR218" s="127">
        <v>0</v>
      </c>
      <c r="AS218" s="127">
        <v>0</v>
      </c>
      <c r="AT218" s="127">
        <v>0</v>
      </c>
      <c r="AU218" s="127">
        <v>0</v>
      </c>
      <c r="AV218" s="127">
        <v>0</v>
      </c>
      <c r="AW218" s="127">
        <v>0</v>
      </c>
      <c r="AX218" s="127">
        <v>0</v>
      </c>
      <c r="AY218" s="127">
        <v>0</v>
      </c>
    </row>
    <row r="219" spans="1:51" x14ac:dyDescent="0.2">
      <c r="A219" s="126"/>
      <c r="B219" s="135">
        <v>11</v>
      </c>
      <c r="C219" s="123">
        <v>0</v>
      </c>
      <c r="D219" s="127">
        <v>0</v>
      </c>
      <c r="E219" s="127">
        <v>0</v>
      </c>
      <c r="F219" s="127">
        <v>0</v>
      </c>
      <c r="G219" s="127">
        <v>0</v>
      </c>
      <c r="H219" s="127">
        <v>0</v>
      </c>
      <c r="I219" s="127">
        <v>0</v>
      </c>
      <c r="J219" s="127">
        <v>0</v>
      </c>
      <c r="K219" s="127">
        <v>0</v>
      </c>
      <c r="L219" s="127">
        <v>0</v>
      </c>
      <c r="M219" s="127">
        <v>0</v>
      </c>
      <c r="N219" s="127">
        <v>0</v>
      </c>
      <c r="O219" s="127">
        <v>0</v>
      </c>
      <c r="P219" s="127">
        <v>0</v>
      </c>
      <c r="Q219" s="127">
        <v>0</v>
      </c>
      <c r="R219" s="127">
        <v>0</v>
      </c>
      <c r="S219" s="127">
        <v>0</v>
      </c>
      <c r="T219" s="127">
        <v>0</v>
      </c>
      <c r="U219" s="127">
        <v>0</v>
      </c>
      <c r="V219" s="127">
        <v>0</v>
      </c>
      <c r="W219" s="127">
        <v>0</v>
      </c>
      <c r="X219" s="127">
        <v>0</v>
      </c>
      <c r="Y219" s="127">
        <v>0</v>
      </c>
      <c r="Z219" s="127">
        <v>0</v>
      </c>
      <c r="AA219" s="127">
        <v>0</v>
      </c>
      <c r="AB219" s="127">
        <v>0</v>
      </c>
      <c r="AC219" s="127">
        <v>0</v>
      </c>
      <c r="AD219" s="127">
        <v>0</v>
      </c>
      <c r="AE219" s="127">
        <v>0</v>
      </c>
      <c r="AF219" s="127">
        <v>0</v>
      </c>
      <c r="AG219" s="127">
        <v>0</v>
      </c>
      <c r="AH219" s="127">
        <v>0</v>
      </c>
      <c r="AI219" s="127">
        <v>0</v>
      </c>
      <c r="AJ219" s="127">
        <v>0</v>
      </c>
      <c r="AK219" s="127">
        <v>0</v>
      </c>
      <c r="AL219" s="127">
        <v>0</v>
      </c>
      <c r="AM219" s="127">
        <v>0</v>
      </c>
      <c r="AN219" s="127">
        <v>0</v>
      </c>
      <c r="AO219" s="127">
        <v>0</v>
      </c>
      <c r="AP219" s="127">
        <v>0</v>
      </c>
      <c r="AQ219" s="127">
        <v>0</v>
      </c>
      <c r="AR219" s="127">
        <v>0</v>
      </c>
      <c r="AS219" s="127">
        <v>0</v>
      </c>
      <c r="AT219" s="127">
        <v>0</v>
      </c>
      <c r="AU219" s="127">
        <v>0</v>
      </c>
      <c r="AV219" s="127">
        <v>0</v>
      </c>
      <c r="AW219" s="127">
        <v>0</v>
      </c>
      <c r="AX219" s="127">
        <v>0</v>
      </c>
      <c r="AY219" s="127">
        <v>0</v>
      </c>
    </row>
    <row r="220" spans="1:51" x14ac:dyDescent="0.2">
      <c r="A220" s="126"/>
      <c r="B220" s="135">
        <v>12</v>
      </c>
      <c r="C220" s="123">
        <v>0</v>
      </c>
      <c r="D220" s="127">
        <v>0</v>
      </c>
      <c r="E220" s="127">
        <v>0</v>
      </c>
      <c r="F220" s="127">
        <v>0</v>
      </c>
      <c r="G220" s="127">
        <v>0</v>
      </c>
      <c r="H220" s="127">
        <v>0</v>
      </c>
      <c r="I220" s="127">
        <v>0</v>
      </c>
      <c r="J220" s="127">
        <v>0</v>
      </c>
      <c r="K220" s="127">
        <v>0</v>
      </c>
      <c r="L220" s="127">
        <v>0</v>
      </c>
      <c r="M220" s="127">
        <v>0</v>
      </c>
      <c r="N220" s="127">
        <v>0</v>
      </c>
      <c r="O220" s="127">
        <v>0</v>
      </c>
      <c r="P220" s="127">
        <v>0</v>
      </c>
      <c r="Q220" s="127">
        <v>0</v>
      </c>
      <c r="R220" s="127">
        <v>0</v>
      </c>
      <c r="S220" s="127">
        <v>0</v>
      </c>
      <c r="T220" s="127">
        <v>0</v>
      </c>
      <c r="U220" s="127">
        <v>0</v>
      </c>
      <c r="V220" s="127">
        <v>0</v>
      </c>
      <c r="W220" s="127">
        <v>0</v>
      </c>
      <c r="X220" s="127">
        <v>0</v>
      </c>
      <c r="Y220" s="127">
        <v>0</v>
      </c>
      <c r="Z220" s="127">
        <v>0</v>
      </c>
      <c r="AA220" s="127">
        <v>0</v>
      </c>
      <c r="AB220" s="127">
        <v>0</v>
      </c>
      <c r="AC220" s="127">
        <v>0</v>
      </c>
      <c r="AD220" s="127">
        <v>0</v>
      </c>
      <c r="AE220" s="127">
        <v>0</v>
      </c>
      <c r="AF220" s="127">
        <v>0</v>
      </c>
      <c r="AG220" s="127">
        <v>0</v>
      </c>
      <c r="AH220" s="127">
        <v>0</v>
      </c>
      <c r="AI220" s="127">
        <v>0</v>
      </c>
      <c r="AJ220" s="127">
        <v>0</v>
      </c>
      <c r="AK220" s="127">
        <v>0</v>
      </c>
      <c r="AL220" s="127">
        <v>0</v>
      </c>
      <c r="AM220" s="127">
        <v>0</v>
      </c>
      <c r="AN220" s="127">
        <v>0</v>
      </c>
      <c r="AO220" s="127">
        <v>0</v>
      </c>
      <c r="AP220" s="127">
        <v>0</v>
      </c>
      <c r="AQ220" s="127">
        <v>0</v>
      </c>
      <c r="AR220" s="127">
        <v>0</v>
      </c>
      <c r="AS220" s="127">
        <v>0</v>
      </c>
      <c r="AT220" s="127">
        <v>0</v>
      </c>
      <c r="AU220" s="127">
        <v>0</v>
      </c>
      <c r="AV220" s="127">
        <v>0</v>
      </c>
      <c r="AW220" s="127">
        <v>0</v>
      </c>
      <c r="AX220" s="127">
        <v>0</v>
      </c>
      <c r="AY220" s="127">
        <v>0</v>
      </c>
    </row>
    <row r="221" spans="1:51" x14ac:dyDescent="0.2">
      <c r="A221" s="126"/>
      <c r="B221" s="136">
        <v>13</v>
      </c>
      <c r="C221" s="123">
        <v>0</v>
      </c>
      <c r="D221" s="127">
        <v>0</v>
      </c>
      <c r="E221" s="127">
        <v>0</v>
      </c>
      <c r="F221" s="127">
        <v>0</v>
      </c>
      <c r="G221" s="127">
        <v>0</v>
      </c>
      <c r="H221" s="127">
        <v>0</v>
      </c>
      <c r="I221" s="127">
        <v>0</v>
      </c>
      <c r="J221" s="127">
        <v>0</v>
      </c>
      <c r="K221" s="127">
        <v>0</v>
      </c>
      <c r="L221" s="127">
        <v>0</v>
      </c>
      <c r="M221" s="127">
        <v>0</v>
      </c>
      <c r="N221" s="127">
        <v>0</v>
      </c>
      <c r="O221" s="127">
        <v>0</v>
      </c>
      <c r="P221" s="127">
        <v>0</v>
      </c>
      <c r="Q221" s="127">
        <v>0</v>
      </c>
      <c r="R221" s="127">
        <v>0</v>
      </c>
      <c r="S221" s="127">
        <v>0</v>
      </c>
      <c r="T221" s="127">
        <v>0</v>
      </c>
      <c r="U221" s="127">
        <v>0</v>
      </c>
      <c r="V221" s="127">
        <v>0</v>
      </c>
      <c r="W221" s="127">
        <v>0</v>
      </c>
      <c r="X221" s="127">
        <v>0</v>
      </c>
      <c r="Y221" s="127">
        <v>0</v>
      </c>
      <c r="Z221" s="127">
        <v>0</v>
      </c>
      <c r="AA221" s="127">
        <v>0</v>
      </c>
      <c r="AB221" s="127">
        <v>0</v>
      </c>
      <c r="AC221" s="127">
        <v>0</v>
      </c>
      <c r="AD221" s="127">
        <v>0</v>
      </c>
      <c r="AE221" s="127">
        <v>0</v>
      </c>
      <c r="AF221" s="127">
        <v>0</v>
      </c>
      <c r="AG221" s="127">
        <v>0</v>
      </c>
      <c r="AH221" s="127">
        <v>0</v>
      </c>
      <c r="AI221" s="127">
        <v>0</v>
      </c>
      <c r="AJ221" s="127">
        <v>0</v>
      </c>
      <c r="AK221" s="127">
        <v>0</v>
      </c>
      <c r="AL221" s="127">
        <v>0</v>
      </c>
      <c r="AM221" s="127">
        <v>0</v>
      </c>
      <c r="AN221" s="127">
        <v>0</v>
      </c>
      <c r="AO221" s="127">
        <v>0</v>
      </c>
      <c r="AP221" s="127">
        <v>0</v>
      </c>
      <c r="AQ221" s="127">
        <v>0</v>
      </c>
      <c r="AR221" s="127">
        <v>0</v>
      </c>
      <c r="AS221" s="127">
        <v>0</v>
      </c>
      <c r="AT221" s="127">
        <v>0</v>
      </c>
      <c r="AU221" s="127">
        <v>0</v>
      </c>
      <c r="AV221" s="127">
        <v>0</v>
      </c>
      <c r="AW221" s="127">
        <v>0</v>
      </c>
      <c r="AX221" s="127">
        <v>0</v>
      </c>
      <c r="AY221" s="127">
        <v>0</v>
      </c>
    </row>
    <row r="222" spans="1:51" x14ac:dyDescent="0.2">
      <c r="A222" s="126"/>
      <c r="B222" s="136">
        <v>14</v>
      </c>
      <c r="C222" s="123">
        <v>0</v>
      </c>
      <c r="D222" s="127">
        <v>0</v>
      </c>
      <c r="E222" s="127">
        <v>0</v>
      </c>
      <c r="F222" s="127">
        <v>0</v>
      </c>
      <c r="G222" s="127">
        <v>0</v>
      </c>
      <c r="H222" s="127">
        <v>0</v>
      </c>
      <c r="I222" s="127">
        <v>0</v>
      </c>
      <c r="J222" s="127">
        <v>0</v>
      </c>
      <c r="K222" s="127">
        <v>0</v>
      </c>
      <c r="L222" s="127">
        <v>0</v>
      </c>
      <c r="M222" s="127">
        <v>0</v>
      </c>
      <c r="N222" s="127">
        <v>0</v>
      </c>
      <c r="O222" s="127">
        <v>0</v>
      </c>
      <c r="P222" s="127">
        <v>0</v>
      </c>
      <c r="Q222" s="127">
        <v>0</v>
      </c>
      <c r="R222" s="127">
        <v>0</v>
      </c>
      <c r="S222" s="127">
        <v>0</v>
      </c>
      <c r="T222" s="127">
        <v>0</v>
      </c>
      <c r="U222" s="127">
        <v>0</v>
      </c>
      <c r="V222" s="127">
        <v>0</v>
      </c>
      <c r="W222" s="127">
        <v>0</v>
      </c>
      <c r="X222" s="127">
        <v>0</v>
      </c>
      <c r="Y222" s="127">
        <v>0</v>
      </c>
      <c r="Z222" s="127">
        <v>0</v>
      </c>
      <c r="AA222" s="127">
        <v>0</v>
      </c>
      <c r="AB222" s="127">
        <v>0</v>
      </c>
      <c r="AC222" s="127">
        <v>0</v>
      </c>
      <c r="AD222" s="127">
        <v>0</v>
      </c>
      <c r="AE222" s="127">
        <v>0</v>
      </c>
      <c r="AF222" s="127">
        <v>0</v>
      </c>
      <c r="AG222" s="127">
        <v>0</v>
      </c>
      <c r="AH222" s="127">
        <v>0</v>
      </c>
      <c r="AI222" s="127">
        <v>0</v>
      </c>
      <c r="AJ222" s="127">
        <v>0</v>
      </c>
      <c r="AK222" s="127">
        <v>0</v>
      </c>
      <c r="AL222" s="127">
        <v>0</v>
      </c>
      <c r="AM222" s="127">
        <v>0</v>
      </c>
      <c r="AN222" s="127">
        <v>0</v>
      </c>
      <c r="AO222" s="127">
        <v>0</v>
      </c>
      <c r="AP222" s="127">
        <v>0</v>
      </c>
      <c r="AQ222" s="127">
        <v>0</v>
      </c>
      <c r="AR222" s="127">
        <v>0</v>
      </c>
      <c r="AS222" s="127">
        <v>0</v>
      </c>
      <c r="AT222" s="127">
        <v>0</v>
      </c>
      <c r="AU222" s="127">
        <v>0</v>
      </c>
      <c r="AV222" s="127">
        <v>0</v>
      </c>
      <c r="AW222" s="127">
        <v>0</v>
      </c>
      <c r="AX222" s="127">
        <v>0</v>
      </c>
      <c r="AY222" s="127">
        <v>0</v>
      </c>
    </row>
    <row r="223" spans="1:51" x14ac:dyDescent="0.2">
      <c r="A223" s="126"/>
      <c r="B223" s="136">
        <v>15</v>
      </c>
      <c r="C223" s="123">
        <v>0</v>
      </c>
      <c r="D223" s="127">
        <v>0</v>
      </c>
      <c r="E223" s="127">
        <v>0</v>
      </c>
      <c r="F223" s="127">
        <v>0</v>
      </c>
      <c r="G223" s="127">
        <v>0</v>
      </c>
      <c r="H223" s="127">
        <v>0</v>
      </c>
      <c r="I223" s="127">
        <v>0</v>
      </c>
      <c r="J223" s="127">
        <v>0</v>
      </c>
      <c r="K223" s="127">
        <v>0</v>
      </c>
      <c r="L223" s="127">
        <v>0</v>
      </c>
      <c r="M223" s="127">
        <v>0</v>
      </c>
      <c r="N223" s="127">
        <v>0</v>
      </c>
      <c r="O223" s="127">
        <v>0</v>
      </c>
      <c r="P223" s="127">
        <v>0</v>
      </c>
      <c r="Q223" s="127">
        <v>0</v>
      </c>
      <c r="R223" s="127">
        <v>0</v>
      </c>
      <c r="S223" s="127">
        <v>0</v>
      </c>
      <c r="T223" s="127">
        <v>0</v>
      </c>
      <c r="U223" s="127">
        <v>0</v>
      </c>
      <c r="V223" s="127">
        <v>0</v>
      </c>
      <c r="W223" s="127">
        <v>0</v>
      </c>
      <c r="X223" s="127">
        <v>0</v>
      </c>
      <c r="Y223" s="127">
        <v>0</v>
      </c>
      <c r="Z223" s="127">
        <v>0</v>
      </c>
      <c r="AA223" s="127">
        <v>0</v>
      </c>
      <c r="AB223" s="127">
        <v>0</v>
      </c>
      <c r="AC223" s="127">
        <v>0</v>
      </c>
      <c r="AD223" s="127">
        <v>0</v>
      </c>
      <c r="AE223" s="127">
        <v>0</v>
      </c>
      <c r="AF223" s="127">
        <v>0</v>
      </c>
      <c r="AG223" s="127">
        <v>0</v>
      </c>
      <c r="AH223" s="127">
        <v>0</v>
      </c>
      <c r="AI223" s="127">
        <v>0</v>
      </c>
      <c r="AJ223" s="127">
        <v>0</v>
      </c>
      <c r="AK223" s="127">
        <v>0</v>
      </c>
      <c r="AL223" s="127">
        <v>0</v>
      </c>
      <c r="AM223" s="127">
        <v>0</v>
      </c>
      <c r="AN223" s="127">
        <v>0</v>
      </c>
      <c r="AO223" s="127">
        <v>0</v>
      </c>
      <c r="AP223" s="127">
        <v>0</v>
      </c>
      <c r="AQ223" s="127">
        <v>0</v>
      </c>
      <c r="AR223" s="127">
        <v>0</v>
      </c>
      <c r="AS223" s="127">
        <v>0</v>
      </c>
      <c r="AT223" s="127">
        <v>0</v>
      </c>
      <c r="AU223" s="127">
        <v>0</v>
      </c>
      <c r="AV223" s="127">
        <v>0</v>
      </c>
      <c r="AW223" s="127">
        <v>0</v>
      </c>
      <c r="AX223" s="127">
        <v>0</v>
      </c>
      <c r="AY223" s="127">
        <v>0</v>
      </c>
    </row>
    <row r="224" spans="1:51" x14ac:dyDescent="0.2">
      <c r="A224" s="126"/>
      <c r="B224" s="136">
        <v>16</v>
      </c>
      <c r="C224" s="123">
        <v>0</v>
      </c>
      <c r="D224" s="127">
        <v>0</v>
      </c>
      <c r="E224" s="127">
        <v>0</v>
      </c>
      <c r="F224" s="127">
        <v>0</v>
      </c>
      <c r="G224" s="127">
        <v>0</v>
      </c>
      <c r="H224" s="127">
        <v>0</v>
      </c>
      <c r="I224" s="127">
        <v>0</v>
      </c>
      <c r="J224" s="127">
        <v>0</v>
      </c>
      <c r="K224" s="127">
        <v>0</v>
      </c>
      <c r="L224" s="127">
        <v>0</v>
      </c>
      <c r="M224" s="127">
        <v>0</v>
      </c>
      <c r="N224" s="127">
        <v>0</v>
      </c>
      <c r="O224" s="127">
        <v>0</v>
      </c>
      <c r="P224" s="127">
        <v>0</v>
      </c>
      <c r="Q224" s="127">
        <v>0</v>
      </c>
      <c r="R224" s="127">
        <v>0</v>
      </c>
      <c r="S224" s="127">
        <v>0</v>
      </c>
      <c r="T224" s="127">
        <v>0</v>
      </c>
      <c r="U224" s="127">
        <v>0</v>
      </c>
      <c r="V224" s="127">
        <v>0</v>
      </c>
      <c r="W224" s="127">
        <v>0</v>
      </c>
      <c r="X224" s="127">
        <v>0</v>
      </c>
      <c r="Y224" s="127">
        <v>0</v>
      </c>
      <c r="Z224" s="127">
        <v>0</v>
      </c>
      <c r="AA224" s="127">
        <v>0</v>
      </c>
      <c r="AB224" s="127">
        <v>0</v>
      </c>
      <c r="AC224" s="127">
        <v>0</v>
      </c>
      <c r="AD224" s="127">
        <v>0</v>
      </c>
      <c r="AE224" s="127">
        <v>0</v>
      </c>
      <c r="AF224" s="127">
        <v>0</v>
      </c>
      <c r="AG224" s="127">
        <v>0</v>
      </c>
      <c r="AH224" s="127">
        <v>0</v>
      </c>
      <c r="AI224" s="127">
        <v>0</v>
      </c>
      <c r="AJ224" s="127">
        <v>0</v>
      </c>
      <c r="AK224" s="127">
        <v>0</v>
      </c>
      <c r="AL224" s="127">
        <v>0</v>
      </c>
      <c r="AM224" s="127">
        <v>0</v>
      </c>
      <c r="AN224" s="127">
        <v>0</v>
      </c>
      <c r="AO224" s="127">
        <v>0</v>
      </c>
      <c r="AP224" s="127">
        <v>0</v>
      </c>
      <c r="AQ224" s="127">
        <v>0</v>
      </c>
      <c r="AR224" s="127">
        <v>0</v>
      </c>
      <c r="AS224" s="127">
        <v>0</v>
      </c>
      <c r="AT224" s="127">
        <v>0</v>
      </c>
      <c r="AU224" s="127">
        <v>0</v>
      </c>
      <c r="AV224" s="127">
        <v>0</v>
      </c>
      <c r="AW224" s="127">
        <v>0</v>
      </c>
      <c r="AX224" s="127">
        <v>0</v>
      </c>
      <c r="AY224" s="127">
        <v>0</v>
      </c>
    </row>
    <row r="225" spans="1:51" x14ac:dyDescent="0.2">
      <c r="A225" s="126"/>
      <c r="B225" s="136">
        <v>17</v>
      </c>
      <c r="C225" s="123">
        <v>0</v>
      </c>
      <c r="D225" s="127">
        <v>0</v>
      </c>
      <c r="E225" s="127">
        <v>0</v>
      </c>
      <c r="F225" s="127">
        <v>0</v>
      </c>
      <c r="G225" s="127">
        <v>0</v>
      </c>
      <c r="H225" s="127">
        <v>0</v>
      </c>
      <c r="I225" s="127">
        <v>0</v>
      </c>
      <c r="J225" s="127">
        <v>0</v>
      </c>
      <c r="K225" s="127">
        <v>0</v>
      </c>
      <c r="L225" s="127">
        <v>0</v>
      </c>
      <c r="M225" s="127">
        <v>0</v>
      </c>
      <c r="N225" s="127">
        <v>0</v>
      </c>
      <c r="O225" s="127">
        <v>0</v>
      </c>
      <c r="P225" s="127">
        <v>0</v>
      </c>
      <c r="Q225" s="127">
        <v>0</v>
      </c>
      <c r="R225" s="127">
        <v>0</v>
      </c>
      <c r="S225" s="127">
        <v>0</v>
      </c>
      <c r="T225" s="127">
        <v>0</v>
      </c>
      <c r="U225" s="127">
        <v>0</v>
      </c>
      <c r="V225" s="127">
        <v>0</v>
      </c>
      <c r="W225" s="127">
        <v>0</v>
      </c>
      <c r="X225" s="127">
        <v>0</v>
      </c>
      <c r="Y225" s="127">
        <v>0</v>
      </c>
      <c r="Z225" s="127">
        <v>0</v>
      </c>
      <c r="AA225" s="127">
        <v>0</v>
      </c>
      <c r="AB225" s="127">
        <v>0</v>
      </c>
      <c r="AC225" s="127">
        <v>0</v>
      </c>
      <c r="AD225" s="127">
        <v>0</v>
      </c>
      <c r="AE225" s="127">
        <v>0</v>
      </c>
      <c r="AF225" s="127">
        <v>0</v>
      </c>
      <c r="AG225" s="127">
        <v>0</v>
      </c>
      <c r="AH225" s="127">
        <v>0</v>
      </c>
      <c r="AI225" s="127">
        <v>0</v>
      </c>
      <c r="AJ225" s="127">
        <v>0</v>
      </c>
      <c r="AK225" s="127">
        <v>0</v>
      </c>
      <c r="AL225" s="127">
        <v>0</v>
      </c>
      <c r="AM225" s="127">
        <v>0</v>
      </c>
      <c r="AN225" s="127">
        <v>0</v>
      </c>
      <c r="AO225" s="127">
        <v>0</v>
      </c>
      <c r="AP225" s="127">
        <v>0</v>
      </c>
      <c r="AQ225" s="127">
        <v>0</v>
      </c>
      <c r="AR225" s="127">
        <v>0</v>
      </c>
      <c r="AS225" s="127">
        <v>0</v>
      </c>
      <c r="AT225" s="127">
        <v>0</v>
      </c>
      <c r="AU225" s="127">
        <v>0</v>
      </c>
      <c r="AV225" s="127">
        <v>0</v>
      </c>
      <c r="AW225" s="127">
        <v>0</v>
      </c>
      <c r="AX225" s="127">
        <v>0</v>
      </c>
      <c r="AY225" s="127">
        <v>0</v>
      </c>
    </row>
    <row r="226" spans="1:51" x14ac:dyDescent="0.2">
      <c r="A226" s="126"/>
      <c r="B226" s="136">
        <v>18</v>
      </c>
      <c r="C226" s="123">
        <v>0</v>
      </c>
      <c r="D226" s="127">
        <v>0</v>
      </c>
      <c r="E226" s="127">
        <v>0</v>
      </c>
      <c r="F226" s="127">
        <v>0</v>
      </c>
      <c r="G226" s="127">
        <v>0</v>
      </c>
      <c r="H226" s="127">
        <v>0</v>
      </c>
      <c r="I226" s="127">
        <v>0</v>
      </c>
      <c r="J226" s="127">
        <v>0</v>
      </c>
      <c r="K226" s="127">
        <v>0</v>
      </c>
      <c r="L226" s="127">
        <v>0</v>
      </c>
      <c r="M226" s="127">
        <v>0</v>
      </c>
      <c r="N226" s="127">
        <v>0</v>
      </c>
      <c r="O226" s="127">
        <v>0</v>
      </c>
      <c r="P226" s="127">
        <v>0</v>
      </c>
      <c r="Q226" s="127">
        <v>0</v>
      </c>
      <c r="R226" s="127">
        <v>0</v>
      </c>
      <c r="S226" s="127">
        <v>0</v>
      </c>
      <c r="T226" s="127">
        <v>0</v>
      </c>
      <c r="U226" s="127">
        <v>0</v>
      </c>
      <c r="V226" s="127">
        <v>0</v>
      </c>
      <c r="W226" s="127">
        <v>0</v>
      </c>
      <c r="X226" s="127">
        <v>0</v>
      </c>
      <c r="Y226" s="127">
        <v>0</v>
      </c>
      <c r="Z226" s="127">
        <v>0</v>
      </c>
      <c r="AA226" s="127">
        <v>0</v>
      </c>
      <c r="AB226" s="127">
        <v>0</v>
      </c>
      <c r="AC226" s="127">
        <v>0</v>
      </c>
      <c r="AD226" s="127">
        <v>0</v>
      </c>
      <c r="AE226" s="127">
        <v>0</v>
      </c>
      <c r="AF226" s="127">
        <v>0</v>
      </c>
      <c r="AG226" s="127">
        <v>0</v>
      </c>
      <c r="AH226" s="127">
        <v>0</v>
      </c>
      <c r="AI226" s="127">
        <v>0</v>
      </c>
      <c r="AJ226" s="127">
        <v>0</v>
      </c>
      <c r="AK226" s="127">
        <v>0</v>
      </c>
      <c r="AL226" s="127">
        <v>0</v>
      </c>
      <c r="AM226" s="127">
        <v>0</v>
      </c>
      <c r="AN226" s="127">
        <v>0</v>
      </c>
      <c r="AO226" s="127">
        <v>0</v>
      </c>
      <c r="AP226" s="127">
        <v>0</v>
      </c>
      <c r="AQ226" s="127">
        <v>0</v>
      </c>
      <c r="AR226" s="127">
        <v>0</v>
      </c>
      <c r="AS226" s="127">
        <v>0</v>
      </c>
      <c r="AT226" s="127">
        <v>0</v>
      </c>
      <c r="AU226" s="127">
        <v>0</v>
      </c>
      <c r="AV226" s="127">
        <v>0</v>
      </c>
      <c r="AW226" s="127">
        <v>0</v>
      </c>
      <c r="AX226" s="127">
        <v>0</v>
      </c>
      <c r="AY226" s="127">
        <v>0</v>
      </c>
    </row>
    <row r="227" spans="1:51" x14ac:dyDescent="0.2">
      <c r="A227" s="126"/>
      <c r="B227" s="136">
        <v>19</v>
      </c>
      <c r="C227" s="123">
        <v>0</v>
      </c>
      <c r="D227" s="127">
        <v>0</v>
      </c>
      <c r="E227" s="127">
        <v>0</v>
      </c>
      <c r="F227" s="127">
        <v>0</v>
      </c>
      <c r="G227" s="127">
        <v>0</v>
      </c>
      <c r="H227" s="127">
        <v>0</v>
      </c>
      <c r="I227" s="127">
        <v>0</v>
      </c>
      <c r="J227" s="127">
        <v>0</v>
      </c>
      <c r="K227" s="127">
        <v>0</v>
      </c>
      <c r="L227" s="127">
        <v>0</v>
      </c>
      <c r="M227" s="127">
        <v>0</v>
      </c>
      <c r="N227" s="127">
        <v>0</v>
      </c>
      <c r="O227" s="127">
        <v>0</v>
      </c>
      <c r="P227" s="127">
        <v>0</v>
      </c>
      <c r="Q227" s="127">
        <v>0</v>
      </c>
      <c r="R227" s="127">
        <v>0</v>
      </c>
      <c r="S227" s="127">
        <v>0</v>
      </c>
      <c r="T227" s="127">
        <v>0</v>
      </c>
      <c r="U227" s="127">
        <v>0</v>
      </c>
      <c r="V227" s="127">
        <v>0</v>
      </c>
      <c r="W227" s="127">
        <v>0</v>
      </c>
      <c r="X227" s="127">
        <v>0</v>
      </c>
      <c r="Y227" s="127">
        <v>0</v>
      </c>
      <c r="Z227" s="127">
        <v>0</v>
      </c>
      <c r="AA227" s="127">
        <v>0</v>
      </c>
      <c r="AB227" s="127">
        <v>0</v>
      </c>
      <c r="AC227" s="127">
        <v>0</v>
      </c>
      <c r="AD227" s="127">
        <v>0</v>
      </c>
      <c r="AE227" s="127">
        <v>0</v>
      </c>
      <c r="AF227" s="127">
        <v>0</v>
      </c>
      <c r="AG227" s="127">
        <v>0</v>
      </c>
      <c r="AH227" s="127">
        <v>0</v>
      </c>
      <c r="AI227" s="127">
        <v>0</v>
      </c>
      <c r="AJ227" s="127">
        <v>0</v>
      </c>
      <c r="AK227" s="127">
        <v>0</v>
      </c>
      <c r="AL227" s="127">
        <v>0</v>
      </c>
      <c r="AM227" s="127">
        <v>0</v>
      </c>
      <c r="AN227" s="127">
        <v>0</v>
      </c>
      <c r="AO227" s="127">
        <v>0</v>
      </c>
      <c r="AP227" s="127">
        <v>0</v>
      </c>
      <c r="AQ227" s="127">
        <v>0</v>
      </c>
      <c r="AR227" s="127">
        <v>0</v>
      </c>
      <c r="AS227" s="127">
        <v>0</v>
      </c>
      <c r="AT227" s="127">
        <v>0</v>
      </c>
      <c r="AU227" s="127">
        <v>0</v>
      </c>
      <c r="AV227" s="127">
        <v>0</v>
      </c>
      <c r="AW227" s="127">
        <v>0</v>
      </c>
      <c r="AX227" s="127">
        <v>0</v>
      </c>
      <c r="AY227" s="127">
        <v>0</v>
      </c>
    </row>
    <row r="228" spans="1:51" x14ac:dyDescent="0.2">
      <c r="A228" s="126"/>
      <c r="B228" s="136">
        <v>20</v>
      </c>
      <c r="C228" s="123">
        <v>0</v>
      </c>
      <c r="D228" s="127">
        <v>0</v>
      </c>
      <c r="E228" s="127">
        <v>0</v>
      </c>
      <c r="F228" s="127">
        <v>0</v>
      </c>
      <c r="G228" s="127">
        <v>0</v>
      </c>
      <c r="H228" s="127">
        <v>0</v>
      </c>
      <c r="I228" s="127">
        <v>0</v>
      </c>
      <c r="J228" s="127">
        <v>0</v>
      </c>
      <c r="K228" s="127">
        <v>0</v>
      </c>
      <c r="L228" s="127">
        <v>0</v>
      </c>
      <c r="M228" s="127">
        <v>0</v>
      </c>
      <c r="N228" s="127">
        <v>0</v>
      </c>
      <c r="O228" s="127">
        <v>0</v>
      </c>
      <c r="P228" s="127">
        <v>0</v>
      </c>
      <c r="Q228" s="127">
        <v>0</v>
      </c>
      <c r="R228" s="127">
        <v>0</v>
      </c>
      <c r="S228" s="127">
        <v>0</v>
      </c>
      <c r="T228" s="127">
        <v>0</v>
      </c>
      <c r="U228" s="127">
        <v>0</v>
      </c>
      <c r="V228" s="127">
        <v>0</v>
      </c>
      <c r="W228" s="127">
        <v>0</v>
      </c>
      <c r="X228" s="127">
        <v>0</v>
      </c>
      <c r="Y228" s="127">
        <v>0</v>
      </c>
      <c r="Z228" s="127">
        <v>0</v>
      </c>
      <c r="AA228" s="127">
        <v>0</v>
      </c>
      <c r="AB228" s="127">
        <v>0</v>
      </c>
      <c r="AC228" s="127">
        <v>0</v>
      </c>
      <c r="AD228" s="127">
        <v>0</v>
      </c>
      <c r="AE228" s="127">
        <v>0</v>
      </c>
      <c r="AF228" s="127">
        <v>0</v>
      </c>
      <c r="AG228" s="127">
        <v>0</v>
      </c>
      <c r="AH228" s="127">
        <v>0</v>
      </c>
      <c r="AI228" s="127">
        <v>0</v>
      </c>
      <c r="AJ228" s="127">
        <v>0</v>
      </c>
      <c r="AK228" s="127">
        <v>0</v>
      </c>
      <c r="AL228" s="127">
        <v>0</v>
      </c>
      <c r="AM228" s="127">
        <v>0</v>
      </c>
      <c r="AN228" s="127">
        <v>0</v>
      </c>
      <c r="AO228" s="127">
        <v>0</v>
      </c>
      <c r="AP228" s="127">
        <v>0</v>
      </c>
      <c r="AQ228" s="127">
        <v>0</v>
      </c>
      <c r="AR228" s="127">
        <v>0</v>
      </c>
      <c r="AS228" s="127">
        <v>0</v>
      </c>
      <c r="AT228" s="127">
        <v>0</v>
      </c>
      <c r="AU228" s="127">
        <v>0</v>
      </c>
      <c r="AV228" s="127">
        <v>0</v>
      </c>
      <c r="AW228" s="127">
        <v>0</v>
      </c>
      <c r="AX228" s="127">
        <v>0</v>
      </c>
      <c r="AY228" s="127">
        <v>0</v>
      </c>
    </row>
    <row r="229" spans="1:51" x14ac:dyDescent="0.2">
      <c r="A229" s="126"/>
      <c r="B229" s="136">
        <v>21</v>
      </c>
      <c r="C229" s="123">
        <v>0</v>
      </c>
      <c r="D229" s="127">
        <v>0</v>
      </c>
      <c r="E229" s="127">
        <v>0</v>
      </c>
      <c r="F229" s="127">
        <v>0</v>
      </c>
      <c r="G229" s="127">
        <v>0</v>
      </c>
      <c r="H229" s="127">
        <v>0</v>
      </c>
      <c r="I229" s="127">
        <v>0</v>
      </c>
      <c r="J229" s="127">
        <v>0</v>
      </c>
      <c r="K229" s="127">
        <v>0</v>
      </c>
      <c r="L229" s="127">
        <v>0</v>
      </c>
      <c r="M229" s="127">
        <v>0</v>
      </c>
      <c r="N229" s="127">
        <v>0</v>
      </c>
      <c r="O229" s="127">
        <v>0</v>
      </c>
      <c r="P229" s="127">
        <v>0</v>
      </c>
      <c r="Q229" s="127">
        <v>0</v>
      </c>
      <c r="R229" s="127">
        <v>0</v>
      </c>
      <c r="S229" s="127">
        <v>0</v>
      </c>
      <c r="T229" s="127">
        <v>0</v>
      </c>
      <c r="U229" s="127">
        <v>0</v>
      </c>
      <c r="V229" s="127">
        <v>0</v>
      </c>
      <c r="W229" s="127">
        <v>0</v>
      </c>
      <c r="X229" s="127">
        <v>0</v>
      </c>
      <c r="Y229" s="127">
        <v>0</v>
      </c>
      <c r="Z229" s="127">
        <v>0</v>
      </c>
      <c r="AA229" s="127">
        <v>0</v>
      </c>
      <c r="AB229" s="127">
        <v>0</v>
      </c>
      <c r="AC229" s="127">
        <v>0</v>
      </c>
      <c r="AD229" s="127">
        <v>0</v>
      </c>
      <c r="AE229" s="127">
        <v>0</v>
      </c>
      <c r="AF229" s="127">
        <v>0</v>
      </c>
      <c r="AG229" s="127">
        <v>0</v>
      </c>
      <c r="AH229" s="127">
        <v>0</v>
      </c>
      <c r="AI229" s="127">
        <v>0</v>
      </c>
      <c r="AJ229" s="127">
        <v>0</v>
      </c>
      <c r="AK229" s="127">
        <v>0</v>
      </c>
      <c r="AL229" s="127">
        <v>0</v>
      </c>
      <c r="AM229" s="127">
        <v>0</v>
      </c>
      <c r="AN229" s="127">
        <v>0</v>
      </c>
      <c r="AO229" s="127">
        <v>0</v>
      </c>
      <c r="AP229" s="127">
        <v>0</v>
      </c>
      <c r="AQ229" s="127">
        <v>0</v>
      </c>
      <c r="AR229" s="127">
        <v>0</v>
      </c>
      <c r="AS229" s="127">
        <v>0</v>
      </c>
      <c r="AT229" s="127">
        <v>0</v>
      </c>
      <c r="AU229" s="127">
        <v>0</v>
      </c>
      <c r="AV229" s="127">
        <v>0</v>
      </c>
      <c r="AW229" s="127">
        <v>0</v>
      </c>
      <c r="AX229" s="127">
        <v>0</v>
      </c>
      <c r="AY229" s="127">
        <v>0</v>
      </c>
    </row>
    <row r="230" spans="1:51" x14ac:dyDescent="0.2">
      <c r="A230" s="126"/>
      <c r="B230" s="136">
        <v>22</v>
      </c>
      <c r="C230" s="123">
        <v>0</v>
      </c>
      <c r="D230" s="127">
        <v>0</v>
      </c>
      <c r="E230" s="127">
        <v>0</v>
      </c>
      <c r="F230" s="127">
        <v>0</v>
      </c>
      <c r="G230" s="127">
        <v>0</v>
      </c>
      <c r="H230" s="127">
        <v>0</v>
      </c>
      <c r="I230" s="127">
        <v>0</v>
      </c>
      <c r="J230" s="127">
        <v>0</v>
      </c>
      <c r="K230" s="127">
        <v>0</v>
      </c>
      <c r="L230" s="127">
        <v>0</v>
      </c>
      <c r="M230" s="127">
        <v>0</v>
      </c>
      <c r="N230" s="127">
        <v>0</v>
      </c>
      <c r="O230" s="127">
        <v>0</v>
      </c>
      <c r="P230" s="127">
        <v>0</v>
      </c>
      <c r="Q230" s="127">
        <v>0</v>
      </c>
      <c r="R230" s="127">
        <v>0</v>
      </c>
      <c r="S230" s="127">
        <v>0</v>
      </c>
      <c r="T230" s="127">
        <v>0</v>
      </c>
      <c r="U230" s="127">
        <v>0</v>
      </c>
      <c r="V230" s="127">
        <v>0</v>
      </c>
      <c r="W230" s="127">
        <v>0</v>
      </c>
      <c r="X230" s="127">
        <v>0</v>
      </c>
      <c r="Y230" s="127">
        <v>0</v>
      </c>
      <c r="Z230" s="127">
        <v>0</v>
      </c>
      <c r="AA230" s="127">
        <v>0</v>
      </c>
      <c r="AB230" s="127">
        <v>0</v>
      </c>
      <c r="AC230" s="127">
        <v>0</v>
      </c>
      <c r="AD230" s="127">
        <v>0</v>
      </c>
      <c r="AE230" s="127">
        <v>0</v>
      </c>
      <c r="AF230" s="127">
        <v>0</v>
      </c>
      <c r="AG230" s="127">
        <v>0</v>
      </c>
      <c r="AH230" s="127">
        <v>0</v>
      </c>
      <c r="AI230" s="127">
        <v>0</v>
      </c>
      <c r="AJ230" s="127">
        <v>0</v>
      </c>
      <c r="AK230" s="127">
        <v>0</v>
      </c>
      <c r="AL230" s="127">
        <v>0</v>
      </c>
      <c r="AM230" s="127">
        <v>0</v>
      </c>
      <c r="AN230" s="127">
        <v>0</v>
      </c>
      <c r="AO230" s="127">
        <v>0</v>
      </c>
      <c r="AP230" s="127">
        <v>0</v>
      </c>
      <c r="AQ230" s="127">
        <v>0</v>
      </c>
      <c r="AR230" s="127">
        <v>0</v>
      </c>
      <c r="AS230" s="127">
        <v>0</v>
      </c>
      <c r="AT230" s="127">
        <v>0</v>
      </c>
      <c r="AU230" s="127">
        <v>0</v>
      </c>
      <c r="AV230" s="127">
        <v>0</v>
      </c>
      <c r="AW230" s="127">
        <v>0</v>
      </c>
      <c r="AX230" s="127">
        <v>0</v>
      </c>
      <c r="AY230" s="127">
        <v>0</v>
      </c>
    </row>
    <row r="231" spans="1:51" x14ac:dyDescent="0.2">
      <c r="A231" s="126"/>
      <c r="B231" s="136">
        <v>23</v>
      </c>
      <c r="C231" s="123">
        <v>0</v>
      </c>
      <c r="D231" s="127">
        <v>0</v>
      </c>
      <c r="E231" s="127">
        <v>0</v>
      </c>
      <c r="F231" s="127">
        <v>0</v>
      </c>
      <c r="G231" s="127">
        <v>0</v>
      </c>
      <c r="H231" s="127">
        <v>0</v>
      </c>
      <c r="I231" s="127">
        <v>0</v>
      </c>
      <c r="J231" s="127">
        <v>0</v>
      </c>
      <c r="K231" s="127">
        <v>0</v>
      </c>
      <c r="L231" s="127">
        <v>0</v>
      </c>
      <c r="M231" s="127">
        <v>0</v>
      </c>
      <c r="N231" s="127">
        <v>0</v>
      </c>
      <c r="O231" s="127">
        <v>0</v>
      </c>
      <c r="P231" s="127">
        <v>0</v>
      </c>
      <c r="Q231" s="127">
        <v>0</v>
      </c>
      <c r="R231" s="127">
        <v>0</v>
      </c>
      <c r="S231" s="127">
        <v>0</v>
      </c>
      <c r="T231" s="127">
        <v>0</v>
      </c>
      <c r="U231" s="127">
        <v>0</v>
      </c>
      <c r="V231" s="127">
        <v>0</v>
      </c>
      <c r="W231" s="127">
        <v>0</v>
      </c>
      <c r="X231" s="127">
        <v>0</v>
      </c>
      <c r="Y231" s="127">
        <v>0</v>
      </c>
      <c r="Z231" s="127">
        <v>0</v>
      </c>
      <c r="AA231" s="127">
        <v>0</v>
      </c>
      <c r="AB231" s="127">
        <v>0</v>
      </c>
      <c r="AC231" s="127">
        <v>0</v>
      </c>
      <c r="AD231" s="127">
        <v>0</v>
      </c>
      <c r="AE231" s="127">
        <v>0</v>
      </c>
      <c r="AF231" s="127">
        <v>0</v>
      </c>
      <c r="AG231" s="127">
        <v>0</v>
      </c>
      <c r="AH231" s="127">
        <v>0</v>
      </c>
      <c r="AI231" s="127">
        <v>0</v>
      </c>
      <c r="AJ231" s="127">
        <v>0</v>
      </c>
      <c r="AK231" s="127">
        <v>0</v>
      </c>
      <c r="AL231" s="127">
        <v>0</v>
      </c>
      <c r="AM231" s="127">
        <v>0</v>
      </c>
      <c r="AN231" s="127">
        <v>0</v>
      </c>
      <c r="AO231" s="127">
        <v>0</v>
      </c>
      <c r="AP231" s="127">
        <v>0</v>
      </c>
      <c r="AQ231" s="127">
        <v>0</v>
      </c>
      <c r="AR231" s="127">
        <v>0</v>
      </c>
      <c r="AS231" s="127">
        <v>0</v>
      </c>
      <c r="AT231" s="127">
        <v>0</v>
      </c>
      <c r="AU231" s="127">
        <v>0</v>
      </c>
      <c r="AV231" s="127">
        <v>0</v>
      </c>
      <c r="AW231" s="127">
        <v>0</v>
      </c>
      <c r="AX231" s="127">
        <v>0</v>
      </c>
      <c r="AY231" s="127">
        <v>0</v>
      </c>
    </row>
    <row r="232" spans="1:51" x14ac:dyDescent="0.2">
      <c r="A232" s="126"/>
      <c r="B232" s="136">
        <v>24</v>
      </c>
      <c r="C232" s="123">
        <v>0</v>
      </c>
      <c r="D232" s="127">
        <v>0</v>
      </c>
      <c r="E232" s="127">
        <v>0</v>
      </c>
      <c r="F232" s="127">
        <v>0</v>
      </c>
      <c r="G232" s="127">
        <v>0</v>
      </c>
      <c r="H232" s="127">
        <v>0</v>
      </c>
      <c r="I232" s="127">
        <v>0</v>
      </c>
      <c r="J232" s="127">
        <v>0</v>
      </c>
      <c r="K232" s="127">
        <v>0</v>
      </c>
      <c r="L232" s="127">
        <v>0</v>
      </c>
      <c r="M232" s="127">
        <v>0</v>
      </c>
      <c r="N232" s="127">
        <v>0</v>
      </c>
      <c r="O232" s="127">
        <v>0</v>
      </c>
      <c r="P232" s="127">
        <v>0</v>
      </c>
      <c r="Q232" s="127">
        <v>0</v>
      </c>
      <c r="R232" s="127">
        <v>0</v>
      </c>
      <c r="S232" s="127">
        <v>0</v>
      </c>
      <c r="T232" s="127">
        <v>0</v>
      </c>
      <c r="U232" s="127">
        <v>0</v>
      </c>
      <c r="V232" s="127">
        <v>0</v>
      </c>
      <c r="W232" s="127">
        <v>0</v>
      </c>
      <c r="X232" s="127">
        <v>0</v>
      </c>
      <c r="Y232" s="127">
        <v>0</v>
      </c>
      <c r="Z232" s="127">
        <v>0</v>
      </c>
      <c r="AA232" s="127">
        <v>0</v>
      </c>
      <c r="AB232" s="127">
        <v>0</v>
      </c>
      <c r="AC232" s="127">
        <v>0</v>
      </c>
      <c r="AD232" s="127">
        <v>0</v>
      </c>
      <c r="AE232" s="127">
        <v>0</v>
      </c>
      <c r="AF232" s="127">
        <v>0</v>
      </c>
      <c r="AG232" s="127">
        <v>0</v>
      </c>
      <c r="AH232" s="127">
        <v>0</v>
      </c>
      <c r="AI232" s="127">
        <v>0</v>
      </c>
      <c r="AJ232" s="127">
        <v>0</v>
      </c>
      <c r="AK232" s="127">
        <v>0</v>
      </c>
      <c r="AL232" s="127">
        <v>0</v>
      </c>
      <c r="AM232" s="127">
        <v>0</v>
      </c>
      <c r="AN232" s="127">
        <v>0</v>
      </c>
      <c r="AO232" s="127">
        <v>0</v>
      </c>
      <c r="AP232" s="127">
        <v>0</v>
      </c>
      <c r="AQ232" s="127">
        <v>0</v>
      </c>
      <c r="AR232" s="127">
        <v>0</v>
      </c>
      <c r="AS232" s="127">
        <v>0</v>
      </c>
      <c r="AT232" s="127">
        <v>0</v>
      </c>
      <c r="AU232" s="127">
        <v>0</v>
      </c>
      <c r="AV232" s="127">
        <v>0</v>
      </c>
      <c r="AW232" s="127">
        <v>0</v>
      </c>
      <c r="AX232" s="127">
        <v>0</v>
      </c>
      <c r="AY232" s="127">
        <v>0</v>
      </c>
    </row>
    <row r="233" spans="1:51" x14ac:dyDescent="0.2">
      <c r="A233" s="126"/>
      <c r="B233" s="143">
        <v>25</v>
      </c>
      <c r="C233" s="123">
        <v>0</v>
      </c>
      <c r="D233" s="127">
        <v>0</v>
      </c>
      <c r="E233" s="127">
        <v>0</v>
      </c>
      <c r="F233" s="127">
        <v>0</v>
      </c>
      <c r="G233" s="127">
        <v>0</v>
      </c>
      <c r="H233" s="127">
        <v>0</v>
      </c>
      <c r="I233" s="127">
        <v>0</v>
      </c>
      <c r="J233" s="127">
        <v>0</v>
      </c>
      <c r="K233" s="127">
        <v>0</v>
      </c>
      <c r="L233" s="127">
        <v>0</v>
      </c>
      <c r="M233" s="127">
        <v>0</v>
      </c>
      <c r="N233" s="127">
        <v>0</v>
      </c>
      <c r="O233" s="127">
        <v>0</v>
      </c>
      <c r="P233" s="127">
        <v>0</v>
      </c>
      <c r="Q233" s="127">
        <v>0</v>
      </c>
      <c r="R233" s="127">
        <v>0</v>
      </c>
      <c r="S233" s="127">
        <v>0</v>
      </c>
      <c r="T233" s="127">
        <v>0</v>
      </c>
      <c r="U233" s="127">
        <v>0</v>
      </c>
      <c r="V233" s="127">
        <v>0</v>
      </c>
      <c r="W233" s="127">
        <v>0</v>
      </c>
      <c r="X233" s="127">
        <v>0</v>
      </c>
      <c r="Y233" s="127">
        <v>0</v>
      </c>
      <c r="Z233" s="127">
        <v>0</v>
      </c>
      <c r="AA233" s="127">
        <v>0</v>
      </c>
      <c r="AB233" s="127">
        <v>0</v>
      </c>
      <c r="AC233" s="127">
        <v>0</v>
      </c>
      <c r="AD233" s="127">
        <v>0</v>
      </c>
      <c r="AE233" s="127">
        <v>0</v>
      </c>
      <c r="AF233" s="127">
        <v>0</v>
      </c>
      <c r="AG233" s="127">
        <v>0</v>
      </c>
      <c r="AH233" s="127">
        <v>0</v>
      </c>
      <c r="AI233" s="127">
        <v>0</v>
      </c>
      <c r="AJ233" s="127">
        <v>0</v>
      </c>
      <c r="AK233" s="127">
        <v>0</v>
      </c>
      <c r="AL233" s="127">
        <v>0</v>
      </c>
      <c r="AM233" s="127">
        <v>0</v>
      </c>
      <c r="AN233" s="127">
        <v>0</v>
      </c>
      <c r="AO233" s="127">
        <v>0</v>
      </c>
      <c r="AP233" s="127">
        <v>0</v>
      </c>
      <c r="AQ233" s="127">
        <v>0</v>
      </c>
      <c r="AR233" s="127">
        <v>0</v>
      </c>
      <c r="AS233" s="127">
        <v>0</v>
      </c>
      <c r="AT233" s="127">
        <v>0</v>
      </c>
      <c r="AU233" s="127">
        <v>0</v>
      </c>
      <c r="AV233" s="127">
        <v>0</v>
      </c>
      <c r="AW233" s="127">
        <v>0</v>
      </c>
      <c r="AX233" s="127">
        <v>0</v>
      </c>
      <c r="AY233" s="127">
        <v>0</v>
      </c>
    </row>
    <row r="234" spans="1:51" x14ac:dyDescent="0.2">
      <c r="A234" s="126"/>
      <c r="B234" s="143">
        <v>26</v>
      </c>
      <c r="C234" s="123">
        <v>0</v>
      </c>
      <c r="D234" s="127">
        <v>0</v>
      </c>
      <c r="E234" s="127">
        <v>0</v>
      </c>
      <c r="F234" s="127">
        <v>0</v>
      </c>
      <c r="G234" s="127">
        <v>0</v>
      </c>
      <c r="H234" s="127">
        <v>0</v>
      </c>
      <c r="I234" s="127">
        <v>0</v>
      </c>
      <c r="J234" s="127">
        <v>0</v>
      </c>
      <c r="K234" s="127">
        <v>0</v>
      </c>
      <c r="L234" s="127">
        <v>0</v>
      </c>
      <c r="M234" s="127">
        <v>0</v>
      </c>
      <c r="N234" s="127">
        <v>0</v>
      </c>
      <c r="O234" s="127">
        <v>0</v>
      </c>
      <c r="P234" s="127">
        <v>0</v>
      </c>
      <c r="Q234" s="127">
        <v>0</v>
      </c>
      <c r="R234" s="127">
        <v>0</v>
      </c>
      <c r="S234" s="127">
        <v>0</v>
      </c>
      <c r="T234" s="127">
        <v>0</v>
      </c>
      <c r="U234" s="127">
        <v>0</v>
      </c>
      <c r="V234" s="127">
        <v>0</v>
      </c>
      <c r="W234" s="127">
        <v>0</v>
      </c>
      <c r="X234" s="127">
        <v>0</v>
      </c>
      <c r="Y234" s="127">
        <v>0</v>
      </c>
      <c r="Z234" s="127">
        <v>0</v>
      </c>
      <c r="AA234" s="127">
        <v>0</v>
      </c>
      <c r="AB234" s="127">
        <v>0</v>
      </c>
      <c r="AC234" s="127">
        <v>0</v>
      </c>
      <c r="AD234" s="127">
        <v>0</v>
      </c>
      <c r="AE234" s="127">
        <v>0</v>
      </c>
      <c r="AF234" s="127">
        <v>0</v>
      </c>
      <c r="AG234" s="127">
        <v>0</v>
      </c>
      <c r="AH234" s="127">
        <v>0</v>
      </c>
      <c r="AI234" s="127">
        <v>0</v>
      </c>
      <c r="AJ234" s="127">
        <v>0</v>
      </c>
      <c r="AK234" s="127">
        <v>0</v>
      </c>
      <c r="AL234" s="127">
        <v>0</v>
      </c>
      <c r="AM234" s="127">
        <v>0</v>
      </c>
      <c r="AN234" s="127">
        <v>0</v>
      </c>
      <c r="AO234" s="127">
        <v>0</v>
      </c>
      <c r="AP234" s="127">
        <v>0</v>
      </c>
      <c r="AQ234" s="127">
        <v>0</v>
      </c>
      <c r="AR234" s="127">
        <v>0</v>
      </c>
      <c r="AS234" s="127">
        <v>0</v>
      </c>
      <c r="AT234" s="127">
        <v>0</v>
      </c>
      <c r="AU234" s="127">
        <v>0</v>
      </c>
      <c r="AV234" s="127">
        <v>0</v>
      </c>
      <c r="AW234" s="127">
        <v>0</v>
      </c>
      <c r="AX234" s="127">
        <v>0</v>
      </c>
      <c r="AY234" s="127">
        <v>0</v>
      </c>
    </row>
    <row r="235" spans="1:51" x14ac:dyDescent="0.2">
      <c r="A235" s="126"/>
      <c r="B235" s="143">
        <v>27</v>
      </c>
      <c r="C235" s="123">
        <v>0</v>
      </c>
      <c r="D235" s="127">
        <v>0</v>
      </c>
      <c r="E235" s="127">
        <v>0</v>
      </c>
      <c r="F235" s="127">
        <v>0</v>
      </c>
      <c r="G235" s="127">
        <v>0</v>
      </c>
      <c r="H235" s="127">
        <v>0</v>
      </c>
      <c r="I235" s="127">
        <v>0</v>
      </c>
      <c r="J235" s="127">
        <v>0</v>
      </c>
      <c r="K235" s="127">
        <v>0</v>
      </c>
      <c r="L235" s="127">
        <v>0</v>
      </c>
      <c r="M235" s="127">
        <v>0</v>
      </c>
      <c r="N235" s="127">
        <v>0</v>
      </c>
      <c r="O235" s="127">
        <v>0</v>
      </c>
      <c r="P235" s="127">
        <v>0</v>
      </c>
      <c r="Q235" s="127">
        <v>0</v>
      </c>
      <c r="R235" s="127">
        <v>0</v>
      </c>
      <c r="S235" s="127">
        <v>0</v>
      </c>
      <c r="T235" s="127">
        <v>0</v>
      </c>
      <c r="U235" s="127">
        <v>0</v>
      </c>
      <c r="V235" s="127">
        <v>0</v>
      </c>
      <c r="W235" s="127">
        <v>0</v>
      </c>
      <c r="X235" s="127">
        <v>0</v>
      </c>
      <c r="Y235" s="127">
        <v>0</v>
      </c>
      <c r="Z235" s="127">
        <v>0</v>
      </c>
      <c r="AA235" s="127">
        <v>0</v>
      </c>
      <c r="AB235" s="127">
        <v>0</v>
      </c>
      <c r="AC235" s="127">
        <v>0</v>
      </c>
      <c r="AD235" s="127">
        <v>0</v>
      </c>
      <c r="AE235" s="127">
        <v>0</v>
      </c>
      <c r="AF235" s="127">
        <v>0</v>
      </c>
      <c r="AG235" s="127">
        <v>0</v>
      </c>
      <c r="AH235" s="127">
        <v>0</v>
      </c>
      <c r="AI235" s="127">
        <v>0</v>
      </c>
      <c r="AJ235" s="127">
        <v>0</v>
      </c>
      <c r="AK235" s="127">
        <v>0</v>
      </c>
      <c r="AL235" s="127">
        <v>0</v>
      </c>
      <c r="AM235" s="127">
        <v>0</v>
      </c>
      <c r="AN235" s="127">
        <v>0</v>
      </c>
      <c r="AO235" s="127">
        <v>0</v>
      </c>
      <c r="AP235" s="127">
        <v>0</v>
      </c>
      <c r="AQ235" s="127">
        <v>0</v>
      </c>
      <c r="AR235" s="127">
        <v>0</v>
      </c>
      <c r="AS235" s="127">
        <v>0</v>
      </c>
      <c r="AT235" s="127">
        <v>0</v>
      </c>
      <c r="AU235" s="127">
        <v>0</v>
      </c>
      <c r="AV235" s="127">
        <v>0</v>
      </c>
      <c r="AW235" s="127">
        <v>0</v>
      </c>
      <c r="AX235" s="127">
        <v>0</v>
      </c>
      <c r="AY235" s="127">
        <v>0</v>
      </c>
    </row>
    <row r="236" spans="1:51" x14ac:dyDescent="0.2">
      <c r="A236" s="126"/>
      <c r="B236" s="143">
        <v>28</v>
      </c>
      <c r="C236" s="123">
        <v>0</v>
      </c>
      <c r="D236" s="127">
        <v>0</v>
      </c>
      <c r="E236" s="127">
        <v>0</v>
      </c>
      <c r="F236" s="127">
        <v>0</v>
      </c>
      <c r="G236" s="127">
        <v>0</v>
      </c>
      <c r="H236" s="127">
        <v>0</v>
      </c>
      <c r="I236" s="127">
        <v>0</v>
      </c>
      <c r="J236" s="127">
        <v>0</v>
      </c>
      <c r="K236" s="127">
        <v>0</v>
      </c>
      <c r="L236" s="127">
        <v>0</v>
      </c>
      <c r="M236" s="127">
        <v>0</v>
      </c>
      <c r="N236" s="127">
        <v>0</v>
      </c>
      <c r="O236" s="127">
        <v>0</v>
      </c>
      <c r="P236" s="127">
        <v>0</v>
      </c>
      <c r="Q236" s="127">
        <v>0</v>
      </c>
      <c r="R236" s="127">
        <v>0</v>
      </c>
      <c r="S236" s="127">
        <v>0</v>
      </c>
      <c r="T236" s="127">
        <v>0</v>
      </c>
      <c r="U236" s="127">
        <v>0</v>
      </c>
      <c r="V236" s="127">
        <v>0</v>
      </c>
      <c r="W236" s="127">
        <v>0</v>
      </c>
      <c r="X236" s="127">
        <v>0</v>
      </c>
      <c r="Y236" s="127">
        <v>0</v>
      </c>
      <c r="Z236" s="127">
        <v>0</v>
      </c>
      <c r="AA236" s="127">
        <v>0</v>
      </c>
      <c r="AB236" s="127">
        <v>0</v>
      </c>
      <c r="AC236" s="127">
        <v>0</v>
      </c>
      <c r="AD236" s="127">
        <v>0</v>
      </c>
      <c r="AE236" s="127">
        <v>0</v>
      </c>
      <c r="AF236" s="127">
        <v>0</v>
      </c>
      <c r="AG236" s="127">
        <v>0</v>
      </c>
      <c r="AH236" s="127">
        <v>0</v>
      </c>
      <c r="AI236" s="127">
        <v>0</v>
      </c>
      <c r="AJ236" s="127">
        <v>0</v>
      </c>
      <c r="AK236" s="127">
        <v>0</v>
      </c>
      <c r="AL236" s="127">
        <v>0</v>
      </c>
      <c r="AM236" s="127">
        <v>0</v>
      </c>
      <c r="AN236" s="127">
        <v>0</v>
      </c>
      <c r="AO236" s="127">
        <v>0</v>
      </c>
      <c r="AP236" s="127">
        <v>0</v>
      </c>
      <c r="AQ236" s="127">
        <v>0</v>
      </c>
      <c r="AR236" s="127">
        <v>0</v>
      </c>
      <c r="AS236" s="127">
        <v>0</v>
      </c>
      <c r="AT236" s="127">
        <v>0</v>
      </c>
      <c r="AU236" s="127">
        <v>0</v>
      </c>
      <c r="AV236" s="127">
        <v>0</v>
      </c>
      <c r="AW236" s="127">
        <v>0</v>
      </c>
      <c r="AX236" s="127">
        <v>0</v>
      </c>
      <c r="AY236" s="127">
        <v>0</v>
      </c>
    </row>
    <row r="237" spans="1:51" x14ac:dyDescent="0.2">
      <c r="A237" s="126"/>
      <c r="B237" s="143">
        <v>29</v>
      </c>
      <c r="C237" s="123">
        <v>0</v>
      </c>
      <c r="D237" s="127">
        <v>0</v>
      </c>
      <c r="E237" s="127">
        <v>0</v>
      </c>
      <c r="F237" s="127">
        <v>0</v>
      </c>
      <c r="G237" s="127">
        <v>0</v>
      </c>
      <c r="H237" s="127">
        <v>0</v>
      </c>
      <c r="I237" s="127">
        <v>0</v>
      </c>
      <c r="J237" s="127">
        <v>0</v>
      </c>
      <c r="K237" s="127">
        <v>0</v>
      </c>
      <c r="L237" s="127">
        <v>0</v>
      </c>
      <c r="M237" s="127">
        <v>0</v>
      </c>
      <c r="N237" s="127">
        <v>0</v>
      </c>
      <c r="O237" s="127">
        <v>0</v>
      </c>
      <c r="P237" s="127">
        <v>0</v>
      </c>
      <c r="Q237" s="127">
        <v>0</v>
      </c>
      <c r="R237" s="127">
        <v>0</v>
      </c>
      <c r="S237" s="127">
        <v>0</v>
      </c>
      <c r="T237" s="127">
        <v>0</v>
      </c>
      <c r="U237" s="127">
        <v>0</v>
      </c>
      <c r="V237" s="127">
        <v>0</v>
      </c>
      <c r="W237" s="127">
        <v>0</v>
      </c>
      <c r="X237" s="127">
        <v>0</v>
      </c>
      <c r="Y237" s="127">
        <v>0</v>
      </c>
      <c r="Z237" s="127">
        <v>0</v>
      </c>
      <c r="AA237" s="127">
        <v>0</v>
      </c>
      <c r="AB237" s="127">
        <v>0</v>
      </c>
      <c r="AC237" s="127">
        <v>0</v>
      </c>
      <c r="AD237" s="127">
        <v>0</v>
      </c>
      <c r="AE237" s="127">
        <v>0</v>
      </c>
      <c r="AF237" s="127">
        <v>0</v>
      </c>
      <c r="AG237" s="127">
        <v>0</v>
      </c>
      <c r="AH237" s="127">
        <v>0</v>
      </c>
      <c r="AI237" s="127">
        <v>0</v>
      </c>
      <c r="AJ237" s="127">
        <v>0</v>
      </c>
      <c r="AK237" s="127">
        <v>0</v>
      </c>
      <c r="AL237" s="127">
        <v>0</v>
      </c>
      <c r="AM237" s="127">
        <v>0</v>
      </c>
      <c r="AN237" s="127">
        <v>0</v>
      </c>
      <c r="AO237" s="127">
        <v>0</v>
      </c>
      <c r="AP237" s="127">
        <v>0</v>
      </c>
      <c r="AQ237" s="127">
        <v>0</v>
      </c>
      <c r="AR237" s="127">
        <v>0</v>
      </c>
      <c r="AS237" s="127">
        <v>0</v>
      </c>
      <c r="AT237" s="127">
        <v>0</v>
      </c>
      <c r="AU237" s="127">
        <v>0</v>
      </c>
      <c r="AV237" s="127">
        <v>0</v>
      </c>
      <c r="AW237" s="127">
        <v>0</v>
      </c>
      <c r="AX237" s="127">
        <v>0</v>
      </c>
      <c r="AY237" s="127">
        <v>0</v>
      </c>
    </row>
    <row r="238" spans="1:51" x14ac:dyDescent="0.2">
      <c r="A238" s="126"/>
      <c r="B238" s="143">
        <v>30</v>
      </c>
      <c r="C238" s="123">
        <v>0</v>
      </c>
      <c r="D238" s="127">
        <v>0</v>
      </c>
      <c r="E238" s="127">
        <v>0</v>
      </c>
      <c r="F238" s="127">
        <v>0</v>
      </c>
      <c r="G238" s="127">
        <v>0</v>
      </c>
      <c r="H238" s="127">
        <v>0</v>
      </c>
      <c r="I238" s="127">
        <v>0</v>
      </c>
      <c r="J238" s="127">
        <v>0</v>
      </c>
      <c r="K238" s="127">
        <v>0</v>
      </c>
      <c r="L238" s="127">
        <v>0</v>
      </c>
      <c r="M238" s="127">
        <v>0</v>
      </c>
      <c r="N238" s="127">
        <v>0</v>
      </c>
      <c r="O238" s="127">
        <v>0</v>
      </c>
      <c r="P238" s="127">
        <v>0</v>
      </c>
      <c r="Q238" s="127">
        <v>0</v>
      </c>
      <c r="R238" s="127">
        <v>0</v>
      </c>
      <c r="S238" s="127">
        <v>0</v>
      </c>
      <c r="T238" s="127">
        <v>0</v>
      </c>
      <c r="U238" s="127">
        <v>0</v>
      </c>
      <c r="V238" s="127">
        <v>0</v>
      </c>
      <c r="W238" s="127">
        <v>0</v>
      </c>
      <c r="X238" s="127">
        <v>0</v>
      </c>
      <c r="Y238" s="127">
        <v>0</v>
      </c>
      <c r="Z238" s="127">
        <v>0</v>
      </c>
      <c r="AA238" s="127">
        <v>0</v>
      </c>
      <c r="AB238" s="127">
        <v>0</v>
      </c>
      <c r="AC238" s="127">
        <v>0</v>
      </c>
      <c r="AD238" s="127">
        <v>0</v>
      </c>
      <c r="AE238" s="127">
        <v>0</v>
      </c>
      <c r="AF238" s="127">
        <v>0</v>
      </c>
      <c r="AG238" s="127">
        <v>0</v>
      </c>
      <c r="AH238" s="127">
        <v>0</v>
      </c>
      <c r="AI238" s="127">
        <v>0</v>
      </c>
      <c r="AJ238" s="127">
        <v>0</v>
      </c>
      <c r="AK238" s="127">
        <v>0</v>
      </c>
      <c r="AL238" s="127">
        <v>0</v>
      </c>
      <c r="AM238" s="127">
        <v>0</v>
      </c>
      <c r="AN238" s="127">
        <v>0</v>
      </c>
      <c r="AO238" s="127">
        <v>0</v>
      </c>
      <c r="AP238" s="127">
        <v>0</v>
      </c>
      <c r="AQ238" s="127">
        <v>0</v>
      </c>
      <c r="AR238" s="127">
        <v>0</v>
      </c>
      <c r="AS238" s="127">
        <v>0</v>
      </c>
      <c r="AT238" s="127">
        <v>0</v>
      </c>
      <c r="AU238" s="127">
        <v>0</v>
      </c>
      <c r="AV238" s="127">
        <v>0</v>
      </c>
      <c r="AW238" s="127">
        <v>0</v>
      </c>
      <c r="AX238" s="127">
        <v>0</v>
      </c>
      <c r="AY238" s="127">
        <v>0</v>
      </c>
    </row>
    <row r="239" spans="1:51" x14ac:dyDescent="0.2">
      <c r="A239" s="126"/>
      <c r="B239" s="143">
        <v>31</v>
      </c>
      <c r="C239" s="123">
        <v>0</v>
      </c>
      <c r="D239" s="127">
        <v>0</v>
      </c>
      <c r="E239" s="127">
        <v>0</v>
      </c>
      <c r="F239" s="127">
        <v>0</v>
      </c>
      <c r="G239" s="127">
        <v>0</v>
      </c>
      <c r="H239" s="127">
        <v>0</v>
      </c>
      <c r="I239" s="127">
        <v>0</v>
      </c>
      <c r="J239" s="127">
        <v>0</v>
      </c>
      <c r="K239" s="127">
        <v>0</v>
      </c>
      <c r="L239" s="127">
        <v>0</v>
      </c>
      <c r="M239" s="127">
        <v>0</v>
      </c>
      <c r="N239" s="127">
        <v>0</v>
      </c>
      <c r="O239" s="127">
        <v>0</v>
      </c>
      <c r="P239" s="127">
        <v>0</v>
      </c>
      <c r="Q239" s="127">
        <v>0</v>
      </c>
      <c r="R239" s="127">
        <v>0</v>
      </c>
      <c r="S239" s="127">
        <v>0</v>
      </c>
      <c r="T239" s="127">
        <v>0</v>
      </c>
      <c r="U239" s="127">
        <v>0</v>
      </c>
      <c r="V239" s="127">
        <v>0</v>
      </c>
      <c r="W239" s="127">
        <v>0</v>
      </c>
      <c r="X239" s="127">
        <v>0</v>
      </c>
      <c r="Y239" s="127">
        <v>0</v>
      </c>
      <c r="Z239" s="127">
        <v>0</v>
      </c>
      <c r="AA239" s="127">
        <v>0</v>
      </c>
      <c r="AB239" s="127">
        <v>0</v>
      </c>
      <c r="AC239" s="127">
        <v>0</v>
      </c>
      <c r="AD239" s="127">
        <v>0</v>
      </c>
      <c r="AE239" s="127">
        <v>0</v>
      </c>
      <c r="AF239" s="127">
        <v>0</v>
      </c>
      <c r="AG239" s="127">
        <v>0</v>
      </c>
      <c r="AH239" s="127">
        <v>0</v>
      </c>
      <c r="AI239" s="127">
        <v>0</v>
      </c>
      <c r="AJ239" s="127">
        <v>0</v>
      </c>
      <c r="AK239" s="127">
        <v>0</v>
      </c>
      <c r="AL239" s="127">
        <v>0</v>
      </c>
      <c r="AM239" s="127">
        <v>0</v>
      </c>
      <c r="AN239" s="127">
        <v>0</v>
      </c>
      <c r="AO239" s="127">
        <v>0</v>
      </c>
      <c r="AP239" s="127">
        <v>0</v>
      </c>
      <c r="AQ239" s="127">
        <v>0</v>
      </c>
      <c r="AR239" s="127">
        <v>0</v>
      </c>
      <c r="AS239" s="127">
        <v>0</v>
      </c>
      <c r="AT239" s="127">
        <v>0</v>
      </c>
      <c r="AU239" s="127">
        <v>0</v>
      </c>
      <c r="AV239" s="127">
        <v>0</v>
      </c>
      <c r="AW239" s="127">
        <v>0</v>
      </c>
      <c r="AX239" s="127">
        <v>0</v>
      </c>
      <c r="AY239" s="127">
        <v>0</v>
      </c>
    </row>
    <row r="240" spans="1:51" x14ac:dyDescent="0.2">
      <c r="A240" s="126"/>
      <c r="B240" s="143">
        <v>32</v>
      </c>
      <c r="C240" s="123">
        <v>0</v>
      </c>
      <c r="D240" s="127">
        <v>0</v>
      </c>
      <c r="E240" s="127">
        <v>0</v>
      </c>
      <c r="F240" s="127">
        <v>0</v>
      </c>
      <c r="G240" s="127">
        <v>0</v>
      </c>
      <c r="H240" s="127">
        <v>0</v>
      </c>
      <c r="I240" s="127">
        <v>0</v>
      </c>
      <c r="J240" s="127">
        <v>0</v>
      </c>
      <c r="K240" s="127">
        <v>0</v>
      </c>
      <c r="L240" s="127">
        <v>0</v>
      </c>
      <c r="M240" s="127">
        <v>0</v>
      </c>
      <c r="N240" s="127">
        <v>0</v>
      </c>
      <c r="O240" s="127">
        <v>0</v>
      </c>
      <c r="P240" s="127">
        <v>0</v>
      </c>
      <c r="Q240" s="127">
        <v>0</v>
      </c>
      <c r="R240" s="127">
        <v>0</v>
      </c>
      <c r="S240" s="127">
        <v>0</v>
      </c>
      <c r="T240" s="127">
        <v>0</v>
      </c>
      <c r="U240" s="127">
        <v>0</v>
      </c>
      <c r="V240" s="127">
        <v>0</v>
      </c>
      <c r="W240" s="127">
        <v>0</v>
      </c>
      <c r="X240" s="127">
        <v>0</v>
      </c>
      <c r="Y240" s="127">
        <v>0</v>
      </c>
      <c r="Z240" s="127">
        <v>0</v>
      </c>
      <c r="AA240" s="127">
        <v>0</v>
      </c>
      <c r="AB240" s="127">
        <v>0</v>
      </c>
      <c r="AC240" s="127">
        <v>0</v>
      </c>
      <c r="AD240" s="127">
        <v>0</v>
      </c>
      <c r="AE240" s="127">
        <v>0</v>
      </c>
      <c r="AF240" s="127">
        <v>0</v>
      </c>
      <c r="AG240" s="127">
        <v>0</v>
      </c>
      <c r="AH240" s="127">
        <v>0</v>
      </c>
      <c r="AI240" s="127">
        <v>0</v>
      </c>
      <c r="AJ240" s="127">
        <v>0</v>
      </c>
      <c r="AK240" s="127">
        <v>0</v>
      </c>
      <c r="AL240" s="127">
        <v>0</v>
      </c>
      <c r="AM240" s="127">
        <v>0</v>
      </c>
      <c r="AN240" s="127">
        <v>0</v>
      </c>
      <c r="AO240" s="127">
        <v>0</v>
      </c>
      <c r="AP240" s="127">
        <v>0</v>
      </c>
      <c r="AQ240" s="127">
        <v>0</v>
      </c>
      <c r="AR240" s="127">
        <v>0</v>
      </c>
      <c r="AS240" s="127">
        <v>0</v>
      </c>
      <c r="AT240" s="127">
        <v>0</v>
      </c>
      <c r="AU240" s="127">
        <v>0</v>
      </c>
      <c r="AV240" s="127">
        <v>0</v>
      </c>
      <c r="AW240" s="127">
        <v>0</v>
      </c>
      <c r="AX240" s="127">
        <v>0</v>
      </c>
      <c r="AY240" s="127">
        <v>0</v>
      </c>
    </row>
    <row r="241" spans="1:51" x14ac:dyDescent="0.2">
      <c r="A241" s="126"/>
      <c r="B241" s="143">
        <v>33</v>
      </c>
      <c r="C241" s="123">
        <v>0</v>
      </c>
      <c r="D241" s="127">
        <v>0</v>
      </c>
      <c r="E241" s="127">
        <v>0</v>
      </c>
      <c r="F241" s="127">
        <v>0</v>
      </c>
      <c r="G241" s="127">
        <v>0</v>
      </c>
      <c r="H241" s="127">
        <v>0</v>
      </c>
      <c r="I241" s="127">
        <v>0</v>
      </c>
      <c r="J241" s="127">
        <v>0</v>
      </c>
      <c r="K241" s="127">
        <v>0</v>
      </c>
      <c r="L241" s="127">
        <v>0</v>
      </c>
      <c r="M241" s="127">
        <v>0</v>
      </c>
      <c r="N241" s="127">
        <v>0</v>
      </c>
      <c r="O241" s="127">
        <v>0</v>
      </c>
      <c r="P241" s="127">
        <v>0</v>
      </c>
      <c r="Q241" s="127">
        <v>0</v>
      </c>
      <c r="R241" s="127">
        <v>0</v>
      </c>
      <c r="S241" s="127">
        <v>0</v>
      </c>
      <c r="T241" s="127">
        <v>0</v>
      </c>
      <c r="U241" s="127">
        <v>0</v>
      </c>
      <c r="V241" s="127">
        <v>0</v>
      </c>
      <c r="W241" s="127">
        <v>0</v>
      </c>
      <c r="X241" s="127">
        <v>0</v>
      </c>
      <c r="Y241" s="127">
        <v>0</v>
      </c>
      <c r="Z241" s="127">
        <v>0</v>
      </c>
      <c r="AA241" s="127">
        <v>0</v>
      </c>
      <c r="AB241" s="127">
        <v>0</v>
      </c>
      <c r="AC241" s="127">
        <v>0</v>
      </c>
      <c r="AD241" s="127">
        <v>0</v>
      </c>
      <c r="AE241" s="127">
        <v>0</v>
      </c>
      <c r="AF241" s="127">
        <v>0</v>
      </c>
      <c r="AG241" s="127">
        <v>0</v>
      </c>
      <c r="AH241" s="127">
        <v>0</v>
      </c>
      <c r="AI241" s="127">
        <v>0</v>
      </c>
      <c r="AJ241" s="127">
        <v>0</v>
      </c>
      <c r="AK241" s="127">
        <v>0</v>
      </c>
      <c r="AL241" s="127">
        <v>0</v>
      </c>
      <c r="AM241" s="127">
        <v>0</v>
      </c>
      <c r="AN241" s="127">
        <v>0</v>
      </c>
      <c r="AO241" s="127">
        <v>0</v>
      </c>
      <c r="AP241" s="127">
        <v>0</v>
      </c>
      <c r="AQ241" s="127">
        <v>0</v>
      </c>
      <c r="AR241" s="127">
        <v>0</v>
      </c>
      <c r="AS241" s="127">
        <v>0</v>
      </c>
      <c r="AT241" s="127">
        <v>0</v>
      </c>
      <c r="AU241" s="127">
        <v>0</v>
      </c>
      <c r="AV241" s="127">
        <v>0</v>
      </c>
      <c r="AW241" s="127">
        <v>0</v>
      </c>
      <c r="AX241" s="127">
        <v>0</v>
      </c>
      <c r="AY241" s="127">
        <v>0</v>
      </c>
    </row>
    <row r="242" spans="1:51" x14ac:dyDescent="0.2">
      <c r="A242" s="126"/>
      <c r="B242" s="143">
        <v>34</v>
      </c>
      <c r="C242" s="123">
        <v>0</v>
      </c>
      <c r="D242" s="127">
        <v>0</v>
      </c>
      <c r="E242" s="127">
        <v>0</v>
      </c>
      <c r="F242" s="127">
        <v>0</v>
      </c>
      <c r="G242" s="127">
        <v>0</v>
      </c>
      <c r="H242" s="127">
        <v>0</v>
      </c>
      <c r="I242" s="127">
        <v>0</v>
      </c>
      <c r="J242" s="127">
        <v>0</v>
      </c>
      <c r="K242" s="127">
        <v>0</v>
      </c>
      <c r="L242" s="127">
        <v>0</v>
      </c>
      <c r="M242" s="127">
        <v>0</v>
      </c>
      <c r="N242" s="127">
        <v>0</v>
      </c>
      <c r="O242" s="127">
        <v>0</v>
      </c>
      <c r="P242" s="127">
        <v>0</v>
      </c>
      <c r="Q242" s="127">
        <v>0</v>
      </c>
      <c r="R242" s="127">
        <v>0</v>
      </c>
      <c r="S242" s="127">
        <v>0</v>
      </c>
      <c r="T242" s="127">
        <v>0</v>
      </c>
      <c r="U242" s="127">
        <v>0</v>
      </c>
      <c r="V242" s="127">
        <v>0</v>
      </c>
      <c r="W242" s="127">
        <v>0</v>
      </c>
      <c r="X242" s="127">
        <v>0</v>
      </c>
      <c r="Y242" s="127">
        <v>0</v>
      </c>
      <c r="Z242" s="127">
        <v>0</v>
      </c>
      <c r="AA242" s="127">
        <v>0</v>
      </c>
      <c r="AB242" s="127">
        <v>0</v>
      </c>
      <c r="AC242" s="127">
        <v>0</v>
      </c>
      <c r="AD242" s="127">
        <v>0</v>
      </c>
      <c r="AE242" s="127">
        <v>0</v>
      </c>
      <c r="AF242" s="127">
        <v>0</v>
      </c>
      <c r="AG242" s="127">
        <v>0</v>
      </c>
      <c r="AH242" s="127">
        <v>0</v>
      </c>
      <c r="AI242" s="127">
        <v>0</v>
      </c>
      <c r="AJ242" s="127">
        <v>0</v>
      </c>
      <c r="AK242" s="127">
        <v>0</v>
      </c>
      <c r="AL242" s="127">
        <v>0</v>
      </c>
      <c r="AM242" s="127">
        <v>0</v>
      </c>
      <c r="AN242" s="127">
        <v>0</v>
      </c>
      <c r="AO242" s="127">
        <v>0</v>
      </c>
      <c r="AP242" s="127">
        <v>0</v>
      </c>
      <c r="AQ242" s="127">
        <v>0</v>
      </c>
      <c r="AR242" s="127">
        <v>0</v>
      </c>
      <c r="AS242" s="127">
        <v>0</v>
      </c>
      <c r="AT242" s="127">
        <v>0</v>
      </c>
      <c r="AU242" s="127">
        <v>0</v>
      </c>
      <c r="AV242" s="127">
        <v>0</v>
      </c>
      <c r="AW242" s="127">
        <v>0</v>
      </c>
      <c r="AX242" s="127">
        <v>0</v>
      </c>
      <c r="AY242" s="127">
        <v>0</v>
      </c>
    </row>
    <row r="243" spans="1:51" x14ac:dyDescent="0.2">
      <c r="A243" s="126"/>
      <c r="B243" s="143">
        <v>35</v>
      </c>
      <c r="C243" s="123">
        <v>0</v>
      </c>
      <c r="D243" s="127">
        <v>0</v>
      </c>
      <c r="E243" s="127">
        <v>0</v>
      </c>
      <c r="F243" s="127">
        <v>0</v>
      </c>
      <c r="G243" s="127">
        <v>0</v>
      </c>
      <c r="H243" s="127">
        <v>0</v>
      </c>
      <c r="I243" s="127">
        <v>0</v>
      </c>
      <c r="J243" s="127">
        <v>0</v>
      </c>
      <c r="K243" s="127">
        <v>0</v>
      </c>
      <c r="L243" s="127">
        <v>0</v>
      </c>
      <c r="M243" s="127">
        <v>0</v>
      </c>
      <c r="N243" s="127">
        <v>0</v>
      </c>
      <c r="O243" s="127">
        <v>0</v>
      </c>
      <c r="P243" s="127">
        <v>0</v>
      </c>
      <c r="Q243" s="127">
        <v>0</v>
      </c>
      <c r="R243" s="127">
        <v>0</v>
      </c>
      <c r="S243" s="127">
        <v>0</v>
      </c>
      <c r="T243" s="127">
        <v>0</v>
      </c>
      <c r="U243" s="127">
        <v>0</v>
      </c>
      <c r="V243" s="127">
        <v>0</v>
      </c>
      <c r="W243" s="127">
        <v>0</v>
      </c>
      <c r="X243" s="127">
        <v>0</v>
      </c>
      <c r="Y243" s="127">
        <v>0</v>
      </c>
      <c r="Z243" s="127">
        <v>0</v>
      </c>
      <c r="AA243" s="127">
        <v>0</v>
      </c>
      <c r="AB243" s="127">
        <v>0</v>
      </c>
      <c r="AC243" s="127">
        <v>0</v>
      </c>
      <c r="AD243" s="127">
        <v>0</v>
      </c>
      <c r="AE243" s="127">
        <v>0</v>
      </c>
      <c r="AF243" s="127">
        <v>0</v>
      </c>
      <c r="AG243" s="127">
        <v>0</v>
      </c>
      <c r="AH243" s="127">
        <v>0</v>
      </c>
      <c r="AI243" s="127">
        <v>0</v>
      </c>
      <c r="AJ243" s="127">
        <v>0</v>
      </c>
      <c r="AK243" s="127">
        <v>0</v>
      </c>
      <c r="AL243" s="127">
        <v>0</v>
      </c>
      <c r="AM243" s="127">
        <v>0</v>
      </c>
      <c r="AN243" s="127">
        <v>0</v>
      </c>
      <c r="AO243" s="127">
        <v>0</v>
      </c>
      <c r="AP243" s="127">
        <v>0</v>
      </c>
      <c r="AQ243" s="127">
        <v>0</v>
      </c>
      <c r="AR243" s="127">
        <v>0</v>
      </c>
      <c r="AS243" s="127">
        <v>0</v>
      </c>
      <c r="AT243" s="127">
        <v>0</v>
      </c>
      <c r="AU243" s="127">
        <v>0</v>
      </c>
      <c r="AV243" s="127">
        <v>0</v>
      </c>
      <c r="AW243" s="127">
        <v>0</v>
      </c>
      <c r="AX243" s="127">
        <v>0</v>
      </c>
      <c r="AY243" s="127">
        <v>0</v>
      </c>
    </row>
    <row r="244" spans="1:51" x14ac:dyDescent="0.2">
      <c r="A244" s="126"/>
      <c r="B244" s="143">
        <v>36</v>
      </c>
      <c r="C244" s="123">
        <v>0</v>
      </c>
      <c r="D244" s="127">
        <v>0</v>
      </c>
      <c r="E244" s="127">
        <v>0</v>
      </c>
      <c r="F244" s="127">
        <v>0</v>
      </c>
      <c r="G244" s="127">
        <v>0</v>
      </c>
      <c r="H244" s="127">
        <v>0</v>
      </c>
      <c r="I244" s="127">
        <v>0</v>
      </c>
      <c r="J244" s="127">
        <v>0</v>
      </c>
      <c r="K244" s="127">
        <v>0</v>
      </c>
      <c r="L244" s="127">
        <v>0</v>
      </c>
      <c r="M244" s="127">
        <v>0</v>
      </c>
      <c r="N244" s="127">
        <v>0</v>
      </c>
      <c r="O244" s="127">
        <v>0</v>
      </c>
      <c r="P244" s="127">
        <v>0</v>
      </c>
      <c r="Q244" s="127">
        <v>0</v>
      </c>
      <c r="R244" s="127">
        <v>0</v>
      </c>
      <c r="S244" s="127">
        <v>0</v>
      </c>
      <c r="T244" s="127">
        <v>0</v>
      </c>
      <c r="U244" s="127">
        <v>0</v>
      </c>
      <c r="V244" s="127">
        <v>0</v>
      </c>
      <c r="W244" s="127">
        <v>0</v>
      </c>
      <c r="X244" s="127">
        <v>0</v>
      </c>
      <c r="Y244" s="127">
        <v>0</v>
      </c>
      <c r="Z244" s="127">
        <v>0</v>
      </c>
      <c r="AA244" s="127">
        <v>0</v>
      </c>
      <c r="AB244" s="127">
        <v>0</v>
      </c>
      <c r="AC244" s="127">
        <v>0</v>
      </c>
      <c r="AD244" s="127">
        <v>0</v>
      </c>
      <c r="AE244" s="127">
        <v>0</v>
      </c>
      <c r="AF244" s="127">
        <v>0</v>
      </c>
      <c r="AG244" s="127">
        <v>0</v>
      </c>
      <c r="AH244" s="127">
        <v>0</v>
      </c>
      <c r="AI244" s="127">
        <v>0</v>
      </c>
      <c r="AJ244" s="127">
        <v>0</v>
      </c>
      <c r="AK244" s="127">
        <v>0</v>
      </c>
      <c r="AL244" s="127">
        <v>0</v>
      </c>
      <c r="AM244" s="127">
        <v>0</v>
      </c>
      <c r="AN244" s="127">
        <v>0</v>
      </c>
      <c r="AO244" s="127">
        <v>0</v>
      </c>
      <c r="AP244" s="127">
        <v>0</v>
      </c>
      <c r="AQ244" s="127">
        <v>0</v>
      </c>
      <c r="AR244" s="127">
        <v>0</v>
      </c>
      <c r="AS244" s="127">
        <v>0</v>
      </c>
      <c r="AT244" s="127">
        <v>0</v>
      </c>
      <c r="AU244" s="127">
        <v>0</v>
      </c>
      <c r="AV244" s="127">
        <v>0</v>
      </c>
      <c r="AW244" s="127">
        <v>0</v>
      </c>
      <c r="AX244" s="127">
        <v>0</v>
      </c>
      <c r="AY244" s="127">
        <v>0</v>
      </c>
    </row>
    <row r="245" spans="1:51" x14ac:dyDescent="0.2">
      <c r="A245" s="126"/>
      <c r="B245" s="146">
        <v>37</v>
      </c>
      <c r="C245" s="123">
        <v>0</v>
      </c>
      <c r="D245" s="127">
        <v>0</v>
      </c>
      <c r="E245" s="127">
        <v>0</v>
      </c>
      <c r="F245" s="127">
        <v>0</v>
      </c>
      <c r="G245" s="127">
        <v>0</v>
      </c>
      <c r="H245" s="127">
        <v>0</v>
      </c>
      <c r="I245" s="127">
        <v>0</v>
      </c>
      <c r="J245" s="127">
        <v>0</v>
      </c>
      <c r="K245" s="127">
        <v>0</v>
      </c>
      <c r="L245" s="127">
        <v>0</v>
      </c>
      <c r="M245" s="127">
        <v>0</v>
      </c>
      <c r="N245" s="127">
        <v>0</v>
      </c>
      <c r="O245" s="127">
        <v>0</v>
      </c>
      <c r="P245" s="127">
        <v>0</v>
      </c>
      <c r="Q245" s="127">
        <v>0</v>
      </c>
      <c r="R245" s="127">
        <v>0</v>
      </c>
      <c r="S245" s="127">
        <v>0</v>
      </c>
      <c r="T245" s="127">
        <v>0</v>
      </c>
      <c r="U245" s="127">
        <v>0</v>
      </c>
      <c r="V245" s="127">
        <v>0</v>
      </c>
      <c r="W245" s="127">
        <v>0</v>
      </c>
      <c r="X245" s="127">
        <v>0</v>
      </c>
      <c r="Y245" s="127">
        <v>0</v>
      </c>
      <c r="Z245" s="127">
        <v>0</v>
      </c>
      <c r="AA245" s="127">
        <v>0</v>
      </c>
      <c r="AB245" s="127">
        <v>0</v>
      </c>
      <c r="AC245" s="127">
        <v>0</v>
      </c>
      <c r="AD245" s="127">
        <v>0</v>
      </c>
      <c r="AE245" s="127">
        <v>0</v>
      </c>
      <c r="AF245" s="127">
        <v>0</v>
      </c>
      <c r="AG245" s="127">
        <v>0</v>
      </c>
      <c r="AH245" s="127">
        <v>0</v>
      </c>
      <c r="AI245" s="127">
        <v>0</v>
      </c>
      <c r="AJ245" s="127">
        <v>0</v>
      </c>
      <c r="AK245" s="127">
        <v>0</v>
      </c>
      <c r="AL245" s="127">
        <v>0</v>
      </c>
      <c r="AM245" s="127">
        <v>0</v>
      </c>
      <c r="AN245" s="127">
        <v>0</v>
      </c>
      <c r="AO245" s="127">
        <v>0</v>
      </c>
      <c r="AP245" s="127">
        <v>0</v>
      </c>
      <c r="AQ245" s="127">
        <v>0</v>
      </c>
      <c r="AR245" s="127">
        <v>0</v>
      </c>
      <c r="AS245" s="127">
        <v>0</v>
      </c>
      <c r="AT245" s="127">
        <v>0</v>
      </c>
      <c r="AU245" s="127">
        <v>0</v>
      </c>
      <c r="AV245" s="127">
        <v>0</v>
      </c>
      <c r="AW245" s="127">
        <v>0</v>
      </c>
      <c r="AX245" s="127">
        <v>0</v>
      </c>
      <c r="AY245" s="127">
        <v>0</v>
      </c>
    </row>
    <row r="246" spans="1:51" x14ac:dyDescent="0.2">
      <c r="A246" s="126"/>
      <c r="B246" s="146">
        <v>38</v>
      </c>
      <c r="C246" s="123">
        <v>0</v>
      </c>
      <c r="D246" s="127">
        <v>0</v>
      </c>
      <c r="E246" s="127">
        <v>0</v>
      </c>
      <c r="F246" s="127">
        <v>0</v>
      </c>
      <c r="G246" s="127">
        <v>0</v>
      </c>
      <c r="H246" s="127">
        <v>0</v>
      </c>
      <c r="I246" s="127">
        <v>0</v>
      </c>
      <c r="J246" s="127">
        <v>0</v>
      </c>
      <c r="K246" s="127">
        <v>0</v>
      </c>
      <c r="L246" s="127">
        <v>0</v>
      </c>
      <c r="M246" s="127">
        <v>0</v>
      </c>
      <c r="N246" s="127">
        <v>0</v>
      </c>
      <c r="O246" s="127">
        <v>0</v>
      </c>
      <c r="P246" s="127">
        <v>0</v>
      </c>
      <c r="Q246" s="127">
        <v>0</v>
      </c>
      <c r="R246" s="127">
        <v>0</v>
      </c>
      <c r="S246" s="127">
        <v>0</v>
      </c>
      <c r="T246" s="127">
        <v>0</v>
      </c>
      <c r="U246" s="127">
        <v>0</v>
      </c>
      <c r="V246" s="127">
        <v>0</v>
      </c>
      <c r="W246" s="127">
        <v>0</v>
      </c>
      <c r="X246" s="127">
        <v>0</v>
      </c>
      <c r="Y246" s="127">
        <v>0</v>
      </c>
      <c r="Z246" s="127">
        <v>0</v>
      </c>
      <c r="AA246" s="127">
        <v>0</v>
      </c>
      <c r="AB246" s="127">
        <v>0</v>
      </c>
      <c r="AC246" s="127">
        <v>0</v>
      </c>
      <c r="AD246" s="127">
        <v>0</v>
      </c>
      <c r="AE246" s="127">
        <v>0</v>
      </c>
      <c r="AF246" s="127">
        <v>0</v>
      </c>
      <c r="AG246" s="127">
        <v>0</v>
      </c>
      <c r="AH246" s="127">
        <v>0</v>
      </c>
      <c r="AI246" s="127">
        <v>0</v>
      </c>
      <c r="AJ246" s="127">
        <v>0</v>
      </c>
      <c r="AK246" s="127">
        <v>0</v>
      </c>
      <c r="AL246" s="127">
        <v>0</v>
      </c>
      <c r="AM246" s="127">
        <v>0</v>
      </c>
      <c r="AN246" s="127">
        <v>0</v>
      </c>
      <c r="AO246" s="127">
        <v>0</v>
      </c>
      <c r="AP246" s="127">
        <v>0</v>
      </c>
      <c r="AQ246" s="127">
        <v>0</v>
      </c>
      <c r="AR246" s="127">
        <v>0</v>
      </c>
      <c r="AS246" s="127">
        <v>0</v>
      </c>
      <c r="AT246" s="127">
        <v>0</v>
      </c>
      <c r="AU246" s="127">
        <v>0</v>
      </c>
      <c r="AV246" s="127">
        <v>0</v>
      </c>
      <c r="AW246" s="127">
        <v>0</v>
      </c>
      <c r="AX246" s="127">
        <v>0</v>
      </c>
      <c r="AY246" s="127">
        <v>0</v>
      </c>
    </row>
    <row r="247" spans="1:51" x14ac:dyDescent="0.2">
      <c r="A247" s="126"/>
      <c r="B247" s="146">
        <v>39</v>
      </c>
      <c r="C247" s="123">
        <v>0</v>
      </c>
      <c r="D247" s="127">
        <v>0</v>
      </c>
      <c r="E247" s="127">
        <v>0</v>
      </c>
      <c r="F247" s="127">
        <v>0</v>
      </c>
      <c r="G247" s="127">
        <v>0</v>
      </c>
      <c r="H247" s="127">
        <v>0</v>
      </c>
      <c r="I247" s="127">
        <v>0</v>
      </c>
      <c r="J247" s="127">
        <v>0</v>
      </c>
      <c r="K247" s="127">
        <v>0</v>
      </c>
      <c r="L247" s="127">
        <v>0</v>
      </c>
      <c r="M247" s="127">
        <v>0</v>
      </c>
      <c r="N247" s="127">
        <v>0</v>
      </c>
      <c r="O247" s="127">
        <v>0</v>
      </c>
      <c r="P247" s="127">
        <v>0</v>
      </c>
      <c r="Q247" s="127">
        <v>0</v>
      </c>
      <c r="R247" s="127">
        <v>0</v>
      </c>
      <c r="S247" s="127">
        <v>0</v>
      </c>
      <c r="T247" s="127">
        <v>0</v>
      </c>
      <c r="U247" s="127">
        <v>0</v>
      </c>
      <c r="V247" s="127">
        <v>0</v>
      </c>
      <c r="W247" s="127">
        <v>0</v>
      </c>
      <c r="X247" s="127">
        <v>0</v>
      </c>
      <c r="Y247" s="127">
        <v>0</v>
      </c>
      <c r="Z247" s="127">
        <v>0</v>
      </c>
      <c r="AA247" s="127">
        <v>0</v>
      </c>
      <c r="AB247" s="127">
        <v>0</v>
      </c>
      <c r="AC247" s="127">
        <v>0</v>
      </c>
      <c r="AD247" s="127">
        <v>0</v>
      </c>
      <c r="AE247" s="127">
        <v>0</v>
      </c>
      <c r="AF247" s="127">
        <v>0</v>
      </c>
      <c r="AG247" s="127">
        <v>0</v>
      </c>
      <c r="AH247" s="127">
        <v>0</v>
      </c>
      <c r="AI247" s="127">
        <v>0</v>
      </c>
      <c r="AJ247" s="127">
        <v>0</v>
      </c>
      <c r="AK247" s="127">
        <v>0</v>
      </c>
      <c r="AL247" s="127">
        <v>0</v>
      </c>
      <c r="AM247" s="127">
        <v>0</v>
      </c>
      <c r="AN247" s="127">
        <v>0</v>
      </c>
      <c r="AO247" s="127">
        <v>0</v>
      </c>
      <c r="AP247" s="127">
        <v>0</v>
      </c>
      <c r="AQ247" s="127">
        <v>0</v>
      </c>
      <c r="AR247" s="127">
        <v>0</v>
      </c>
      <c r="AS247" s="127">
        <v>0</v>
      </c>
      <c r="AT247" s="127">
        <v>0</v>
      </c>
      <c r="AU247" s="127">
        <v>0</v>
      </c>
      <c r="AV247" s="127">
        <v>0</v>
      </c>
      <c r="AW247" s="127">
        <v>0</v>
      </c>
      <c r="AX247" s="127">
        <v>0</v>
      </c>
      <c r="AY247" s="127">
        <v>0</v>
      </c>
    </row>
    <row r="248" spans="1:51" x14ac:dyDescent="0.2">
      <c r="A248" s="126"/>
      <c r="B248" s="146">
        <v>40</v>
      </c>
      <c r="C248" s="123">
        <v>0</v>
      </c>
      <c r="D248" s="127">
        <v>0</v>
      </c>
      <c r="E248" s="127">
        <v>0</v>
      </c>
      <c r="F248" s="127">
        <v>0</v>
      </c>
      <c r="G248" s="127">
        <v>0</v>
      </c>
      <c r="H248" s="127">
        <v>0</v>
      </c>
      <c r="I248" s="127">
        <v>0</v>
      </c>
      <c r="J248" s="127">
        <v>0</v>
      </c>
      <c r="K248" s="127">
        <v>0</v>
      </c>
      <c r="L248" s="127">
        <v>0</v>
      </c>
      <c r="M248" s="127">
        <v>0</v>
      </c>
      <c r="N248" s="127">
        <v>0</v>
      </c>
      <c r="O248" s="127">
        <v>0</v>
      </c>
      <c r="P248" s="127">
        <v>0</v>
      </c>
      <c r="Q248" s="127">
        <v>0</v>
      </c>
      <c r="R248" s="127">
        <v>0</v>
      </c>
      <c r="S248" s="127">
        <v>0</v>
      </c>
      <c r="T248" s="127">
        <v>0</v>
      </c>
      <c r="U248" s="127">
        <v>0</v>
      </c>
      <c r="V248" s="127">
        <v>0</v>
      </c>
      <c r="W248" s="127">
        <v>0</v>
      </c>
      <c r="X248" s="127">
        <v>0</v>
      </c>
      <c r="Y248" s="127">
        <v>0</v>
      </c>
      <c r="Z248" s="127">
        <v>0</v>
      </c>
      <c r="AA248" s="127">
        <v>0</v>
      </c>
      <c r="AB248" s="127">
        <v>0</v>
      </c>
      <c r="AC248" s="127">
        <v>0</v>
      </c>
      <c r="AD248" s="127">
        <v>0</v>
      </c>
      <c r="AE248" s="127">
        <v>0</v>
      </c>
      <c r="AF248" s="127">
        <v>0</v>
      </c>
      <c r="AG248" s="127">
        <v>0</v>
      </c>
      <c r="AH248" s="127">
        <v>0</v>
      </c>
      <c r="AI248" s="127">
        <v>0</v>
      </c>
      <c r="AJ248" s="127">
        <v>0</v>
      </c>
      <c r="AK248" s="127">
        <v>0</v>
      </c>
      <c r="AL248" s="127">
        <v>0</v>
      </c>
      <c r="AM248" s="127">
        <v>0</v>
      </c>
      <c r="AN248" s="127">
        <v>0</v>
      </c>
      <c r="AO248" s="127">
        <v>0</v>
      </c>
      <c r="AP248" s="127">
        <v>0</v>
      </c>
      <c r="AQ248" s="127">
        <v>0</v>
      </c>
      <c r="AR248" s="127">
        <v>0</v>
      </c>
      <c r="AS248" s="127">
        <v>0</v>
      </c>
      <c r="AT248" s="127">
        <v>0</v>
      </c>
      <c r="AU248" s="127">
        <v>0</v>
      </c>
      <c r="AV248" s="127">
        <v>0</v>
      </c>
      <c r="AW248" s="127">
        <v>0</v>
      </c>
      <c r="AX248" s="127">
        <v>0</v>
      </c>
      <c r="AY248" s="127">
        <v>0</v>
      </c>
    </row>
    <row r="249" spans="1:51" x14ac:dyDescent="0.2">
      <c r="A249" s="126"/>
      <c r="B249" s="146">
        <v>41</v>
      </c>
      <c r="C249" s="123">
        <v>0</v>
      </c>
      <c r="D249" s="127">
        <v>0</v>
      </c>
      <c r="E249" s="127">
        <v>0</v>
      </c>
      <c r="F249" s="127">
        <v>0</v>
      </c>
      <c r="G249" s="127">
        <v>0</v>
      </c>
      <c r="H249" s="127">
        <v>0</v>
      </c>
      <c r="I249" s="127">
        <v>0</v>
      </c>
      <c r="J249" s="127">
        <v>0</v>
      </c>
      <c r="K249" s="127">
        <v>0</v>
      </c>
      <c r="L249" s="127">
        <v>0</v>
      </c>
      <c r="M249" s="127">
        <v>0</v>
      </c>
      <c r="N249" s="127">
        <v>0</v>
      </c>
      <c r="O249" s="127">
        <v>0</v>
      </c>
      <c r="P249" s="127">
        <v>0</v>
      </c>
      <c r="Q249" s="127">
        <v>0</v>
      </c>
      <c r="R249" s="127">
        <v>0</v>
      </c>
      <c r="S249" s="127">
        <v>0</v>
      </c>
      <c r="T249" s="127">
        <v>0</v>
      </c>
      <c r="U249" s="127">
        <v>0</v>
      </c>
      <c r="V249" s="127">
        <v>0</v>
      </c>
      <c r="W249" s="127">
        <v>0</v>
      </c>
      <c r="X249" s="127">
        <v>0</v>
      </c>
      <c r="Y249" s="127">
        <v>0</v>
      </c>
      <c r="Z249" s="127">
        <v>0</v>
      </c>
      <c r="AA249" s="127">
        <v>0</v>
      </c>
      <c r="AB249" s="127">
        <v>0</v>
      </c>
      <c r="AC249" s="127">
        <v>0</v>
      </c>
      <c r="AD249" s="127">
        <v>0</v>
      </c>
      <c r="AE249" s="127">
        <v>0</v>
      </c>
      <c r="AF249" s="127">
        <v>0</v>
      </c>
      <c r="AG249" s="127">
        <v>0</v>
      </c>
      <c r="AH249" s="127">
        <v>0</v>
      </c>
      <c r="AI249" s="127">
        <v>0</v>
      </c>
      <c r="AJ249" s="127">
        <v>0</v>
      </c>
      <c r="AK249" s="127">
        <v>0</v>
      </c>
      <c r="AL249" s="127">
        <v>0</v>
      </c>
      <c r="AM249" s="127">
        <v>0</v>
      </c>
      <c r="AN249" s="127">
        <v>0</v>
      </c>
      <c r="AO249" s="127">
        <v>0</v>
      </c>
      <c r="AP249" s="127">
        <v>0</v>
      </c>
      <c r="AQ249" s="127">
        <v>0</v>
      </c>
      <c r="AR249" s="127">
        <v>0</v>
      </c>
      <c r="AS249" s="127">
        <v>0</v>
      </c>
      <c r="AT249" s="127">
        <v>0</v>
      </c>
      <c r="AU249" s="127">
        <v>0</v>
      </c>
      <c r="AV249" s="127">
        <v>0</v>
      </c>
      <c r="AW249" s="127">
        <v>0</v>
      </c>
      <c r="AX249" s="127">
        <v>0</v>
      </c>
      <c r="AY249" s="127">
        <v>0</v>
      </c>
    </row>
    <row r="250" spans="1:51" x14ac:dyDescent="0.2">
      <c r="A250" s="126"/>
      <c r="B250" s="146">
        <v>42</v>
      </c>
      <c r="C250" s="123">
        <v>0</v>
      </c>
      <c r="D250" s="127">
        <v>0</v>
      </c>
      <c r="E250" s="127">
        <v>0</v>
      </c>
      <c r="F250" s="127">
        <v>0</v>
      </c>
      <c r="G250" s="127">
        <v>0</v>
      </c>
      <c r="H250" s="127">
        <v>0</v>
      </c>
      <c r="I250" s="127">
        <v>0</v>
      </c>
      <c r="J250" s="127">
        <v>0</v>
      </c>
      <c r="K250" s="127">
        <v>0</v>
      </c>
      <c r="L250" s="127">
        <v>0</v>
      </c>
      <c r="M250" s="127">
        <v>0</v>
      </c>
      <c r="N250" s="127">
        <v>0</v>
      </c>
      <c r="O250" s="127">
        <v>0</v>
      </c>
      <c r="P250" s="127">
        <v>0</v>
      </c>
      <c r="Q250" s="127">
        <v>0</v>
      </c>
      <c r="R250" s="127">
        <v>0</v>
      </c>
      <c r="S250" s="127">
        <v>0</v>
      </c>
      <c r="T250" s="127">
        <v>0</v>
      </c>
      <c r="U250" s="127">
        <v>0</v>
      </c>
      <c r="V250" s="127">
        <v>0</v>
      </c>
      <c r="W250" s="127">
        <v>0</v>
      </c>
      <c r="X250" s="127">
        <v>0</v>
      </c>
      <c r="Y250" s="127">
        <v>0</v>
      </c>
      <c r="Z250" s="127">
        <v>0</v>
      </c>
      <c r="AA250" s="127">
        <v>0</v>
      </c>
      <c r="AB250" s="127">
        <v>0</v>
      </c>
      <c r="AC250" s="127">
        <v>0</v>
      </c>
      <c r="AD250" s="127">
        <v>0</v>
      </c>
      <c r="AE250" s="127">
        <v>0</v>
      </c>
      <c r="AF250" s="127">
        <v>0</v>
      </c>
      <c r="AG250" s="127">
        <v>0</v>
      </c>
      <c r="AH250" s="127">
        <v>0</v>
      </c>
      <c r="AI250" s="127">
        <v>0</v>
      </c>
      <c r="AJ250" s="127">
        <v>0</v>
      </c>
      <c r="AK250" s="127">
        <v>0</v>
      </c>
      <c r="AL250" s="127">
        <v>0</v>
      </c>
      <c r="AM250" s="127">
        <v>0</v>
      </c>
      <c r="AN250" s="127">
        <v>0</v>
      </c>
      <c r="AO250" s="127">
        <v>0</v>
      </c>
      <c r="AP250" s="127">
        <v>0</v>
      </c>
      <c r="AQ250" s="127">
        <v>0</v>
      </c>
      <c r="AR250" s="127">
        <v>0</v>
      </c>
      <c r="AS250" s="127">
        <v>0</v>
      </c>
      <c r="AT250" s="127">
        <v>0</v>
      </c>
      <c r="AU250" s="127">
        <v>0</v>
      </c>
      <c r="AV250" s="127">
        <v>0</v>
      </c>
      <c r="AW250" s="127">
        <v>0</v>
      </c>
      <c r="AX250" s="127">
        <v>0</v>
      </c>
      <c r="AY250" s="127">
        <v>0</v>
      </c>
    </row>
    <row r="251" spans="1:51" x14ac:dyDescent="0.2">
      <c r="A251" s="126"/>
      <c r="B251" s="146">
        <v>43</v>
      </c>
      <c r="C251" s="123">
        <v>0</v>
      </c>
      <c r="D251" s="127">
        <v>0</v>
      </c>
      <c r="E251" s="127">
        <v>0</v>
      </c>
      <c r="F251" s="127">
        <v>0</v>
      </c>
      <c r="G251" s="127">
        <v>0</v>
      </c>
      <c r="H251" s="127">
        <v>0</v>
      </c>
      <c r="I251" s="127">
        <v>0</v>
      </c>
      <c r="J251" s="127">
        <v>0</v>
      </c>
      <c r="K251" s="127">
        <v>0</v>
      </c>
      <c r="L251" s="127">
        <v>0</v>
      </c>
      <c r="M251" s="127">
        <v>0</v>
      </c>
      <c r="N251" s="127">
        <v>0</v>
      </c>
      <c r="O251" s="127">
        <v>0</v>
      </c>
      <c r="P251" s="127">
        <v>0</v>
      </c>
      <c r="Q251" s="127">
        <v>0</v>
      </c>
      <c r="R251" s="127">
        <v>0</v>
      </c>
      <c r="S251" s="127">
        <v>0</v>
      </c>
      <c r="T251" s="127">
        <v>0</v>
      </c>
      <c r="U251" s="127">
        <v>0</v>
      </c>
      <c r="V251" s="127">
        <v>0</v>
      </c>
      <c r="W251" s="127">
        <v>0</v>
      </c>
      <c r="X251" s="127">
        <v>0</v>
      </c>
      <c r="Y251" s="127">
        <v>0</v>
      </c>
      <c r="Z251" s="127">
        <v>0</v>
      </c>
      <c r="AA251" s="127">
        <v>0</v>
      </c>
      <c r="AB251" s="127">
        <v>0</v>
      </c>
      <c r="AC251" s="127">
        <v>0</v>
      </c>
      <c r="AD251" s="127">
        <v>0</v>
      </c>
      <c r="AE251" s="127">
        <v>0</v>
      </c>
      <c r="AF251" s="127">
        <v>0</v>
      </c>
      <c r="AG251" s="127">
        <v>0</v>
      </c>
      <c r="AH251" s="127">
        <v>0</v>
      </c>
      <c r="AI251" s="127">
        <v>0</v>
      </c>
      <c r="AJ251" s="127">
        <v>0</v>
      </c>
      <c r="AK251" s="127">
        <v>0</v>
      </c>
      <c r="AL251" s="127">
        <v>0</v>
      </c>
      <c r="AM251" s="127">
        <v>0</v>
      </c>
      <c r="AN251" s="127">
        <v>0</v>
      </c>
      <c r="AO251" s="127">
        <v>0</v>
      </c>
      <c r="AP251" s="127">
        <v>0</v>
      </c>
      <c r="AQ251" s="127">
        <v>0</v>
      </c>
      <c r="AR251" s="127">
        <v>0</v>
      </c>
      <c r="AS251" s="127">
        <v>0</v>
      </c>
      <c r="AT251" s="127">
        <v>0</v>
      </c>
      <c r="AU251" s="127">
        <v>0</v>
      </c>
      <c r="AV251" s="127">
        <v>0</v>
      </c>
      <c r="AW251" s="127">
        <v>0</v>
      </c>
      <c r="AX251" s="127">
        <v>0</v>
      </c>
      <c r="AY251" s="127">
        <v>0</v>
      </c>
    </row>
    <row r="252" spans="1:51" x14ac:dyDescent="0.2">
      <c r="A252" s="126"/>
      <c r="B252" s="146">
        <v>44</v>
      </c>
      <c r="C252" s="123">
        <v>0</v>
      </c>
      <c r="D252" s="127">
        <v>0</v>
      </c>
      <c r="E252" s="127">
        <v>0</v>
      </c>
      <c r="F252" s="127">
        <v>0</v>
      </c>
      <c r="G252" s="127">
        <v>0</v>
      </c>
      <c r="H252" s="127">
        <v>0</v>
      </c>
      <c r="I252" s="127">
        <v>0</v>
      </c>
      <c r="J252" s="127">
        <v>0</v>
      </c>
      <c r="K252" s="127">
        <v>0</v>
      </c>
      <c r="L252" s="127">
        <v>0</v>
      </c>
      <c r="M252" s="127">
        <v>0</v>
      </c>
      <c r="N252" s="127">
        <v>0</v>
      </c>
      <c r="O252" s="127">
        <v>0</v>
      </c>
      <c r="P252" s="127">
        <v>0</v>
      </c>
      <c r="Q252" s="127">
        <v>0</v>
      </c>
      <c r="R252" s="127">
        <v>0</v>
      </c>
      <c r="S252" s="127">
        <v>0</v>
      </c>
      <c r="T252" s="127">
        <v>0</v>
      </c>
      <c r="U252" s="127">
        <v>0</v>
      </c>
      <c r="V252" s="127">
        <v>0</v>
      </c>
      <c r="W252" s="127">
        <v>0</v>
      </c>
      <c r="X252" s="127">
        <v>0</v>
      </c>
      <c r="Y252" s="127">
        <v>0</v>
      </c>
      <c r="Z252" s="127">
        <v>0</v>
      </c>
      <c r="AA252" s="127">
        <v>0</v>
      </c>
      <c r="AB252" s="127">
        <v>0</v>
      </c>
      <c r="AC252" s="127">
        <v>0</v>
      </c>
      <c r="AD252" s="127">
        <v>0</v>
      </c>
      <c r="AE252" s="127">
        <v>0</v>
      </c>
      <c r="AF252" s="127">
        <v>0</v>
      </c>
      <c r="AG252" s="127">
        <v>0</v>
      </c>
      <c r="AH252" s="127">
        <v>0</v>
      </c>
      <c r="AI252" s="127">
        <v>0</v>
      </c>
      <c r="AJ252" s="127">
        <v>0</v>
      </c>
      <c r="AK252" s="127">
        <v>0</v>
      </c>
      <c r="AL252" s="127">
        <v>0</v>
      </c>
      <c r="AM252" s="127">
        <v>0</v>
      </c>
      <c r="AN252" s="127">
        <v>0</v>
      </c>
      <c r="AO252" s="127">
        <v>0</v>
      </c>
      <c r="AP252" s="127">
        <v>0</v>
      </c>
      <c r="AQ252" s="127">
        <v>0</v>
      </c>
      <c r="AR252" s="127">
        <v>0</v>
      </c>
      <c r="AS252" s="127">
        <v>0</v>
      </c>
      <c r="AT252" s="127">
        <v>0</v>
      </c>
      <c r="AU252" s="127">
        <v>0</v>
      </c>
      <c r="AV252" s="127">
        <v>0</v>
      </c>
      <c r="AW252" s="127">
        <v>0</v>
      </c>
      <c r="AX252" s="127">
        <v>0</v>
      </c>
      <c r="AY252" s="127">
        <v>0</v>
      </c>
    </row>
    <row r="253" spans="1:51" x14ac:dyDescent="0.2">
      <c r="A253" s="126"/>
      <c r="B253" s="146">
        <v>45</v>
      </c>
      <c r="C253" s="123">
        <v>0</v>
      </c>
      <c r="D253" s="127">
        <v>0</v>
      </c>
      <c r="E253" s="127">
        <v>0</v>
      </c>
      <c r="F253" s="127">
        <v>0</v>
      </c>
      <c r="G253" s="127">
        <v>0</v>
      </c>
      <c r="H253" s="127">
        <v>0</v>
      </c>
      <c r="I253" s="127">
        <v>0</v>
      </c>
      <c r="J253" s="127">
        <v>0</v>
      </c>
      <c r="K253" s="127">
        <v>0</v>
      </c>
      <c r="L253" s="127">
        <v>0</v>
      </c>
      <c r="M253" s="127">
        <v>0</v>
      </c>
      <c r="N253" s="127">
        <v>0</v>
      </c>
      <c r="O253" s="127">
        <v>0</v>
      </c>
      <c r="P253" s="127">
        <v>0</v>
      </c>
      <c r="Q253" s="127">
        <v>0</v>
      </c>
      <c r="R253" s="127">
        <v>0</v>
      </c>
      <c r="S253" s="127">
        <v>0</v>
      </c>
      <c r="T253" s="127">
        <v>0</v>
      </c>
      <c r="U253" s="127">
        <v>0</v>
      </c>
      <c r="V253" s="127">
        <v>0</v>
      </c>
      <c r="W253" s="127">
        <v>0</v>
      </c>
      <c r="X253" s="127">
        <v>0</v>
      </c>
      <c r="Y253" s="127">
        <v>0</v>
      </c>
      <c r="Z253" s="127">
        <v>0</v>
      </c>
      <c r="AA253" s="127">
        <v>0</v>
      </c>
      <c r="AB253" s="127">
        <v>0</v>
      </c>
      <c r="AC253" s="127">
        <v>0</v>
      </c>
      <c r="AD253" s="127">
        <v>0</v>
      </c>
      <c r="AE253" s="127">
        <v>0</v>
      </c>
      <c r="AF253" s="127">
        <v>0</v>
      </c>
      <c r="AG253" s="127">
        <v>0</v>
      </c>
      <c r="AH253" s="127">
        <v>0</v>
      </c>
      <c r="AI253" s="127">
        <v>0</v>
      </c>
      <c r="AJ253" s="127">
        <v>0</v>
      </c>
      <c r="AK253" s="127">
        <v>0</v>
      </c>
      <c r="AL253" s="127">
        <v>0</v>
      </c>
      <c r="AM253" s="127">
        <v>0</v>
      </c>
      <c r="AN253" s="127">
        <v>0</v>
      </c>
      <c r="AO253" s="127">
        <v>0</v>
      </c>
      <c r="AP253" s="127">
        <v>0</v>
      </c>
      <c r="AQ253" s="127">
        <v>0</v>
      </c>
      <c r="AR253" s="127">
        <v>0</v>
      </c>
      <c r="AS253" s="127">
        <v>0</v>
      </c>
      <c r="AT253" s="127">
        <v>0</v>
      </c>
      <c r="AU253" s="127">
        <v>0</v>
      </c>
      <c r="AV253" s="127">
        <v>0</v>
      </c>
      <c r="AW253" s="127">
        <v>0</v>
      </c>
      <c r="AX253" s="127">
        <v>0</v>
      </c>
      <c r="AY253" s="127">
        <v>0</v>
      </c>
    </row>
    <row r="254" spans="1:51" x14ac:dyDescent="0.2">
      <c r="A254" s="126"/>
      <c r="B254" s="146">
        <v>46</v>
      </c>
      <c r="C254" s="123">
        <v>0</v>
      </c>
      <c r="D254" s="127">
        <v>0</v>
      </c>
      <c r="E254" s="127">
        <v>0</v>
      </c>
      <c r="F254" s="127">
        <v>0</v>
      </c>
      <c r="G254" s="127">
        <v>0</v>
      </c>
      <c r="H254" s="127">
        <v>0</v>
      </c>
      <c r="I254" s="127">
        <v>0</v>
      </c>
      <c r="J254" s="127">
        <v>0</v>
      </c>
      <c r="K254" s="127">
        <v>0</v>
      </c>
      <c r="L254" s="127">
        <v>0</v>
      </c>
      <c r="M254" s="127">
        <v>0</v>
      </c>
      <c r="N254" s="127">
        <v>0</v>
      </c>
      <c r="O254" s="127">
        <v>0</v>
      </c>
      <c r="P254" s="127">
        <v>0</v>
      </c>
      <c r="Q254" s="127">
        <v>0</v>
      </c>
      <c r="R254" s="127">
        <v>0</v>
      </c>
      <c r="S254" s="127">
        <v>0</v>
      </c>
      <c r="T254" s="127">
        <v>0</v>
      </c>
      <c r="U254" s="127">
        <v>0</v>
      </c>
      <c r="V254" s="127">
        <v>0</v>
      </c>
      <c r="W254" s="127">
        <v>0</v>
      </c>
      <c r="X254" s="127">
        <v>0</v>
      </c>
      <c r="Y254" s="127">
        <v>0</v>
      </c>
      <c r="Z254" s="127">
        <v>0</v>
      </c>
      <c r="AA254" s="127">
        <v>0</v>
      </c>
      <c r="AB254" s="127">
        <v>0</v>
      </c>
      <c r="AC254" s="127">
        <v>0</v>
      </c>
      <c r="AD254" s="127">
        <v>0</v>
      </c>
      <c r="AE254" s="127">
        <v>0</v>
      </c>
      <c r="AF254" s="127">
        <v>0</v>
      </c>
      <c r="AG254" s="127">
        <v>0</v>
      </c>
      <c r="AH254" s="127">
        <v>0</v>
      </c>
      <c r="AI254" s="127">
        <v>0</v>
      </c>
      <c r="AJ254" s="127">
        <v>0</v>
      </c>
      <c r="AK254" s="127">
        <v>0</v>
      </c>
      <c r="AL254" s="127">
        <v>0</v>
      </c>
      <c r="AM254" s="127">
        <v>0</v>
      </c>
      <c r="AN254" s="127">
        <v>0</v>
      </c>
      <c r="AO254" s="127">
        <v>0</v>
      </c>
      <c r="AP254" s="127">
        <v>0</v>
      </c>
      <c r="AQ254" s="127">
        <v>0</v>
      </c>
      <c r="AR254" s="127">
        <v>0</v>
      </c>
      <c r="AS254" s="127">
        <v>0</v>
      </c>
      <c r="AT254" s="127">
        <v>0</v>
      </c>
      <c r="AU254" s="127">
        <v>0</v>
      </c>
      <c r="AV254" s="127">
        <v>0</v>
      </c>
      <c r="AW254" s="127">
        <v>0</v>
      </c>
      <c r="AX254" s="127">
        <v>0</v>
      </c>
      <c r="AY254" s="127">
        <v>0</v>
      </c>
    </row>
    <row r="255" spans="1:51" x14ac:dyDescent="0.2">
      <c r="A255" s="126"/>
      <c r="B255" s="146">
        <v>47</v>
      </c>
      <c r="C255" s="123">
        <v>0</v>
      </c>
      <c r="D255" s="127">
        <v>0</v>
      </c>
      <c r="E255" s="127">
        <v>0</v>
      </c>
      <c r="F255" s="127">
        <v>0</v>
      </c>
      <c r="G255" s="127">
        <v>0</v>
      </c>
      <c r="H255" s="127">
        <v>0</v>
      </c>
      <c r="I255" s="127">
        <v>0</v>
      </c>
      <c r="J255" s="127">
        <v>0</v>
      </c>
      <c r="K255" s="127">
        <v>0</v>
      </c>
      <c r="L255" s="127">
        <v>0</v>
      </c>
      <c r="M255" s="127">
        <v>0</v>
      </c>
      <c r="N255" s="127">
        <v>0</v>
      </c>
      <c r="O255" s="127">
        <v>0</v>
      </c>
      <c r="P255" s="127">
        <v>0</v>
      </c>
      <c r="Q255" s="127">
        <v>0</v>
      </c>
      <c r="R255" s="127">
        <v>0</v>
      </c>
      <c r="S255" s="127">
        <v>0</v>
      </c>
      <c r="T255" s="127">
        <v>0</v>
      </c>
      <c r="U255" s="127">
        <v>0</v>
      </c>
      <c r="V255" s="127">
        <v>0</v>
      </c>
      <c r="W255" s="127">
        <v>0</v>
      </c>
      <c r="X255" s="127">
        <v>0</v>
      </c>
      <c r="Y255" s="127">
        <v>0</v>
      </c>
      <c r="Z255" s="127">
        <v>0</v>
      </c>
      <c r="AA255" s="127">
        <v>0</v>
      </c>
      <c r="AB255" s="127">
        <v>0</v>
      </c>
      <c r="AC255" s="127">
        <v>0</v>
      </c>
      <c r="AD255" s="127">
        <v>0</v>
      </c>
      <c r="AE255" s="127">
        <v>0</v>
      </c>
      <c r="AF255" s="127">
        <v>0</v>
      </c>
      <c r="AG255" s="127">
        <v>0</v>
      </c>
      <c r="AH255" s="127">
        <v>0</v>
      </c>
      <c r="AI255" s="127">
        <v>0</v>
      </c>
      <c r="AJ255" s="127">
        <v>0</v>
      </c>
      <c r="AK255" s="127">
        <v>0</v>
      </c>
      <c r="AL255" s="127">
        <v>0</v>
      </c>
      <c r="AM255" s="127">
        <v>0</v>
      </c>
      <c r="AN255" s="127">
        <v>0</v>
      </c>
      <c r="AO255" s="127">
        <v>0</v>
      </c>
      <c r="AP255" s="127">
        <v>0</v>
      </c>
      <c r="AQ255" s="127">
        <v>0</v>
      </c>
      <c r="AR255" s="127">
        <v>0</v>
      </c>
      <c r="AS255" s="127">
        <v>0</v>
      </c>
      <c r="AT255" s="127">
        <v>0</v>
      </c>
      <c r="AU255" s="127">
        <v>0</v>
      </c>
      <c r="AV255" s="127">
        <v>0</v>
      </c>
      <c r="AW255" s="127">
        <v>0</v>
      </c>
      <c r="AX255" s="127">
        <v>0</v>
      </c>
      <c r="AY255" s="127">
        <v>0</v>
      </c>
    </row>
    <row r="256" spans="1:51" x14ac:dyDescent="0.2">
      <c r="A256" s="144"/>
      <c r="B256" s="145">
        <v>48</v>
      </c>
      <c r="C256" s="130">
        <v>0</v>
      </c>
      <c r="D256" s="141">
        <v>0</v>
      </c>
      <c r="E256" s="141">
        <v>0</v>
      </c>
      <c r="F256" s="141">
        <v>0</v>
      </c>
      <c r="G256" s="141">
        <v>0</v>
      </c>
      <c r="H256" s="141">
        <v>0</v>
      </c>
      <c r="I256" s="141">
        <v>0</v>
      </c>
      <c r="J256" s="141">
        <v>0</v>
      </c>
      <c r="K256" s="141">
        <v>0</v>
      </c>
      <c r="L256" s="141">
        <v>0</v>
      </c>
      <c r="M256" s="141">
        <v>0</v>
      </c>
      <c r="N256" s="141">
        <v>0</v>
      </c>
      <c r="O256" s="141">
        <v>0</v>
      </c>
      <c r="P256" s="141">
        <v>0</v>
      </c>
      <c r="Q256" s="141">
        <v>0</v>
      </c>
      <c r="R256" s="141">
        <v>0</v>
      </c>
      <c r="S256" s="141">
        <v>0</v>
      </c>
      <c r="T256" s="141">
        <v>0</v>
      </c>
      <c r="U256" s="141">
        <v>0</v>
      </c>
      <c r="V256" s="141">
        <v>0</v>
      </c>
      <c r="W256" s="141">
        <v>0</v>
      </c>
      <c r="X256" s="141">
        <v>0</v>
      </c>
      <c r="Y256" s="141">
        <v>0</v>
      </c>
      <c r="Z256" s="141">
        <v>0</v>
      </c>
      <c r="AA256" s="141">
        <v>0</v>
      </c>
      <c r="AB256" s="141">
        <v>0</v>
      </c>
      <c r="AC256" s="141">
        <v>0</v>
      </c>
      <c r="AD256" s="141">
        <v>0</v>
      </c>
      <c r="AE256" s="141">
        <v>0</v>
      </c>
      <c r="AF256" s="141">
        <v>0</v>
      </c>
      <c r="AG256" s="141">
        <v>0</v>
      </c>
      <c r="AH256" s="141">
        <v>0</v>
      </c>
      <c r="AI256" s="141">
        <v>0</v>
      </c>
      <c r="AJ256" s="141">
        <v>0</v>
      </c>
      <c r="AK256" s="141">
        <v>0</v>
      </c>
      <c r="AL256" s="141">
        <v>0</v>
      </c>
      <c r="AM256" s="141">
        <v>0</v>
      </c>
      <c r="AN256" s="141">
        <v>0</v>
      </c>
      <c r="AO256" s="141">
        <v>0</v>
      </c>
      <c r="AP256" s="141">
        <v>0</v>
      </c>
      <c r="AQ256" s="141">
        <v>0</v>
      </c>
      <c r="AR256" s="141">
        <v>0</v>
      </c>
      <c r="AS256" s="141">
        <v>0</v>
      </c>
      <c r="AT256" s="141">
        <v>0</v>
      </c>
      <c r="AU256" s="141">
        <v>0</v>
      </c>
      <c r="AV256" s="141">
        <v>0</v>
      </c>
      <c r="AW256" s="141">
        <v>0</v>
      </c>
      <c r="AX256" s="141">
        <v>0</v>
      </c>
      <c r="AY256" s="141">
        <v>0</v>
      </c>
    </row>
    <row r="258" spans="1:52" x14ac:dyDescent="0.2">
      <c r="A258" s="1" t="s">
        <v>301</v>
      </c>
    </row>
    <row r="259" spans="1:52" x14ac:dyDescent="0.2">
      <c r="A259" s="153" t="s">
        <v>124</v>
      </c>
      <c r="B259" s="154">
        <v>650</v>
      </c>
      <c r="C259" s="140" t="s">
        <v>293</v>
      </c>
      <c r="D259" s="140">
        <f>E$14*$B$259</f>
        <v>2394038.7553373226</v>
      </c>
      <c r="E259" s="140">
        <f t="shared" ref="E259:AX259" si="5">F$14*$B$259</f>
        <v>2667957.8575321184</v>
      </c>
      <c r="F259" s="140">
        <f t="shared" si="5"/>
        <v>2810864.7008928917</v>
      </c>
      <c r="G259" s="140">
        <f t="shared" si="5"/>
        <v>2906876.9437765712</v>
      </c>
      <c r="H259" s="140">
        <f t="shared" si="5"/>
        <v>2981471.5343644526</v>
      </c>
      <c r="I259" s="140">
        <f t="shared" si="5"/>
        <v>2989682.1805289388</v>
      </c>
      <c r="J259" s="140">
        <f t="shared" si="5"/>
        <v>2980446.7811509203</v>
      </c>
      <c r="K259" s="140">
        <f t="shared" si="5"/>
        <v>3016710.833536549</v>
      </c>
      <c r="L259" s="140">
        <f t="shared" si="5"/>
        <v>3045616.5460156389</v>
      </c>
      <c r="M259" s="140">
        <f t="shared" si="5"/>
        <v>3042790.0877526742</v>
      </c>
      <c r="N259" s="140">
        <f t="shared" si="5"/>
        <v>3075370.6836296362</v>
      </c>
      <c r="O259" s="140">
        <f t="shared" si="5"/>
        <v>3074575.6530733532</v>
      </c>
      <c r="P259" s="140">
        <f t="shared" si="5"/>
        <v>3080010.734128457</v>
      </c>
      <c r="Q259" s="140">
        <f t="shared" si="5"/>
        <v>3109562.4843826219</v>
      </c>
      <c r="R259" s="140">
        <f t="shared" si="5"/>
        <v>3093798.569540204</v>
      </c>
      <c r="S259" s="140">
        <f t="shared" si="5"/>
        <v>3084024.9423379046</v>
      </c>
      <c r="T259" s="140">
        <f t="shared" si="5"/>
        <v>3089327.2934724796</v>
      </c>
      <c r="U259" s="140">
        <f t="shared" si="5"/>
        <v>3064950.7511759154</v>
      </c>
      <c r="V259" s="140">
        <f t="shared" si="5"/>
        <v>3077254.2949520461</v>
      </c>
      <c r="W259" s="140">
        <f t="shared" si="5"/>
        <v>3093774.4920932469</v>
      </c>
      <c r="X259" s="140">
        <f t="shared" si="5"/>
        <v>3064991.0143207912</v>
      </c>
      <c r="Y259" s="140">
        <f t="shared" si="5"/>
        <v>3051591.2581018689</v>
      </c>
      <c r="Z259" s="140">
        <f t="shared" si="5"/>
        <v>3076134.4092461374</v>
      </c>
      <c r="AA259" s="140">
        <f t="shared" si="5"/>
        <v>3059241.1629555835</v>
      </c>
      <c r="AB259" s="140">
        <f t="shared" si="5"/>
        <v>3052719.35025544</v>
      </c>
      <c r="AC259" s="140">
        <f t="shared" si="5"/>
        <v>3034596.8263813513</v>
      </c>
      <c r="AD259" s="140">
        <f t="shared" si="5"/>
        <v>3012492.8615794159</v>
      </c>
      <c r="AE259" s="140">
        <f t="shared" si="5"/>
        <v>3024970.4034022158</v>
      </c>
      <c r="AF259" s="140">
        <f t="shared" si="5"/>
        <v>2995409.4793323525</v>
      </c>
      <c r="AG259" s="140">
        <f t="shared" si="5"/>
        <v>3021788.7064090366</v>
      </c>
      <c r="AH259" s="140">
        <f t="shared" si="5"/>
        <v>3058397.8271965818</v>
      </c>
      <c r="AI259" s="140">
        <f t="shared" si="5"/>
        <v>3043798.4820848582</v>
      </c>
      <c r="AJ259" s="140">
        <f t="shared" si="5"/>
        <v>3030794.8881155904</v>
      </c>
      <c r="AK259" s="140">
        <f t="shared" si="5"/>
        <v>3045950.659854644</v>
      </c>
      <c r="AL259" s="140">
        <f t="shared" si="5"/>
        <v>3048431.2383328578</v>
      </c>
      <c r="AM259" s="140">
        <f t="shared" si="5"/>
        <v>3079609.1969893505</v>
      </c>
      <c r="AN259" s="140">
        <f t="shared" si="5"/>
        <v>3057937.5313563752</v>
      </c>
      <c r="AO259" s="140">
        <f t="shared" si="5"/>
        <v>3085256.0986639308</v>
      </c>
      <c r="AP259" s="140">
        <f t="shared" si="5"/>
        <v>3078975.6103946161</v>
      </c>
      <c r="AQ259" s="140">
        <f t="shared" si="5"/>
        <v>3102251.7076676399</v>
      </c>
      <c r="AR259" s="140">
        <f t="shared" si="5"/>
        <v>3035913.8879769151</v>
      </c>
      <c r="AS259" s="140">
        <f t="shared" si="5"/>
        <v>3065179.4397686655</v>
      </c>
      <c r="AT259" s="140">
        <f t="shared" si="5"/>
        <v>3054919.0818795511</v>
      </c>
      <c r="AU259" s="140">
        <f t="shared" si="5"/>
        <v>3016941.6599883004</v>
      </c>
      <c r="AV259" s="140">
        <f t="shared" si="5"/>
        <v>3044771.6584157241</v>
      </c>
      <c r="AW259" s="140">
        <f t="shared" si="5"/>
        <v>3042760.2574407272</v>
      </c>
      <c r="AX259" s="140">
        <f t="shared" si="5"/>
        <v>3029163.188836229</v>
      </c>
      <c r="AY259" s="140">
        <f>AZ$14*$B$259</f>
        <v>3019992.0063014408</v>
      </c>
      <c r="AZ259" s="155">
        <f>SUM($D259:$AY259)</f>
        <v>145014086.01292211</v>
      </c>
    </row>
    <row r="260" spans="1:52" x14ac:dyDescent="0.2">
      <c r="A260" s="156" t="s">
        <v>302</v>
      </c>
      <c r="B260" s="130">
        <v>60</v>
      </c>
      <c r="C260" s="141" t="s">
        <v>293</v>
      </c>
      <c r="D260" s="141">
        <f>(D$175-D$176+D$177-D$178+D$179-D$180+D$181-D$182)*$B$260</f>
        <v>2144631.8071996318</v>
      </c>
      <c r="E260" s="141">
        <f t="shared" ref="E260:AY260" si="6">(E$175-E$176+E$177-E$178+E$179-E$180+E$181-E$182)*$B$260</f>
        <v>2131466.9669970353</v>
      </c>
      <c r="F260" s="141">
        <f t="shared" si="6"/>
        <v>2108735.5660714251</v>
      </c>
      <c r="G260" s="141">
        <f t="shared" si="6"/>
        <v>2108812.8974975473</v>
      </c>
      <c r="H260" s="141">
        <f t="shared" si="6"/>
        <v>2094472.8076157465</v>
      </c>
      <c r="I260" s="141">
        <f t="shared" si="6"/>
        <v>2104349.3371819444</v>
      </c>
      <c r="J260" s="141">
        <f t="shared" si="6"/>
        <v>2125901.8355860692</v>
      </c>
      <c r="K260" s="141">
        <f t="shared" si="6"/>
        <v>2123574.3845966263</v>
      </c>
      <c r="L260" s="141">
        <f t="shared" si="6"/>
        <v>2126066.164983172</v>
      </c>
      <c r="M260" s="141">
        <f t="shared" si="6"/>
        <v>2129867.0688228304</v>
      </c>
      <c r="N260" s="141">
        <f t="shared" si="6"/>
        <v>2135559.6292034183</v>
      </c>
      <c r="O260" s="141">
        <f t="shared" si="6"/>
        <v>2119313.016639383</v>
      </c>
      <c r="P260" s="141">
        <f t="shared" si="6"/>
        <v>2135011.3168496806</v>
      </c>
      <c r="Q260" s="141">
        <f t="shared" si="6"/>
        <v>2128923.4629800655</v>
      </c>
      <c r="R260" s="141">
        <f t="shared" si="6"/>
        <v>2128458.5935809044</v>
      </c>
      <c r="S260" s="141">
        <f t="shared" si="6"/>
        <v>2120180.7745534242</v>
      </c>
      <c r="T260" s="141">
        <f t="shared" si="6"/>
        <v>2118971.3267563866</v>
      </c>
      <c r="U260" s="141">
        <f t="shared" si="6"/>
        <v>2131601.4691222236</v>
      </c>
      <c r="V260" s="141">
        <f t="shared" si="6"/>
        <v>2131245.7573890416</v>
      </c>
      <c r="W260" s="141">
        <f t="shared" si="6"/>
        <v>2121020.8161144694</v>
      </c>
      <c r="X260" s="141">
        <f t="shared" si="6"/>
        <v>2097217.7525242344</v>
      </c>
      <c r="Y260" s="141">
        <f t="shared" si="6"/>
        <v>2152334.6530982889</v>
      </c>
      <c r="Z260" s="141">
        <f t="shared" si="6"/>
        <v>2109509.1314542033</v>
      </c>
      <c r="AA260" s="141">
        <f t="shared" si="6"/>
        <v>2118148.5080348691</v>
      </c>
      <c r="AB260" s="141">
        <f t="shared" si="6"/>
        <v>2100810.5215148823</v>
      </c>
      <c r="AC260" s="141">
        <f t="shared" si="6"/>
        <v>2122283.3698724904</v>
      </c>
      <c r="AD260" s="141">
        <f t="shared" si="6"/>
        <v>2123303.735854208</v>
      </c>
      <c r="AE260" s="141">
        <f t="shared" si="6"/>
        <v>2126771.9627628722</v>
      </c>
      <c r="AF260" s="141">
        <f t="shared" si="6"/>
        <v>2138680.6634462443</v>
      </c>
      <c r="AG260" s="141">
        <f t="shared" si="6"/>
        <v>2131025.657869935</v>
      </c>
      <c r="AH260" s="141">
        <f t="shared" si="6"/>
        <v>2114206.3544126237</v>
      </c>
      <c r="AI260" s="141">
        <f t="shared" si="6"/>
        <v>2098273.9862690899</v>
      </c>
      <c r="AJ260" s="141">
        <f t="shared" si="6"/>
        <v>2105474.3180200993</v>
      </c>
      <c r="AK260" s="141">
        <f t="shared" si="6"/>
        <v>2107795.3237057254</v>
      </c>
      <c r="AL260" s="141">
        <f t="shared" si="6"/>
        <v>2128626.347230813</v>
      </c>
      <c r="AM260" s="141">
        <f t="shared" si="6"/>
        <v>2111708.3818163672</v>
      </c>
      <c r="AN260" s="141">
        <f t="shared" si="6"/>
        <v>2132008.8432594114</v>
      </c>
      <c r="AO260" s="141">
        <f t="shared" si="6"/>
        <v>2124387.1293540988</v>
      </c>
      <c r="AP260" s="141">
        <f t="shared" si="6"/>
        <v>2123706.866732805</v>
      </c>
      <c r="AQ260" s="141">
        <f t="shared" si="6"/>
        <v>2104758.3039076026</v>
      </c>
      <c r="AR260" s="141">
        <f t="shared" si="6"/>
        <v>2121201.7949559772</v>
      </c>
      <c r="AS260" s="141">
        <f t="shared" si="6"/>
        <v>2106140.3594059693</v>
      </c>
      <c r="AT260" s="141">
        <f t="shared" si="6"/>
        <v>2105287.4693649644</v>
      </c>
      <c r="AU260" s="141">
        <f t="shared" si="6"/>
        <v>2100993.0775395413</v>
      </c>
      <c r="AV260" s="141">
        <f t="shared" si="6"/>
        <v>2107664.1546077798</v>
      </c>
      <c r="AW260" s="141">
        <f t="shared" si="6"/>
        <v>2097049.8223900865</v>
      </c>
      <c r="AX260" s="141">
        <f t="shared" si="6"/>
        <v>2117864.9364151172</v>
      </c>
      <c r="AY260" s="141">
        <f t="shared" si="6"/>
        <v>2114751.5071106362</v>
      </c>
      <c r="AZ260" s="157">
        <f>SUM($D260:$AY260)</f>
        <v>101710149.93267196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sheetData>
    <row r="2" spans="1:99" x14ac:dyDescent="0.2">
      <c r="B2" s="1" t="s">
        <v>272</v>
      </c>
    </row>
    <row r="3" spans="1:99" x14ac:dyDescent="0.2">
      <c r="B3" s="120" t="s">
        <v>283</v>
      </c>
    </row>
    <row r="4" spans="1:99" x14ac:dyDescent="0.2">
      <c r="A4" s="119"/>
      <c r="B4" s="119"/>
      <c r="C4" s="118" t="s">
        <v>274</v>
      </c>
      <c r="D4" s="118" t="s">
        <v>92</v>
      </c>
      <c r="E4" s="119"/>
      <c r="F4" s="119"/>
      <c r="G4" s="119"/>
      <c r="H4" s="119"/>
      <c r="I4" s="119"/>
      <c r="J4" s="119"/>
      <c r="K4" s="119"/>
      <c r="L4" s="118" t="s">
        <v>93</v>
      </c>
      <c r="M4" s="119"/>
      <c r="N4" s="119"/>
      <c r="O4" s="119"/>
      <c r="P4" s="119"/>
      <c r="Q4" s="119"/>
      <c r="R4" s="119"/>
      <c r="S4" s="119"/>
      <c r="T4" s="118" t="s">
        <v>94</v>
      </c>
      <c r="U4" s="119"/>
      <c r="V4" s="119"/>
      <c r="W4" s="119"/>
      <c r="X4" s="119"/>
      <c r="Y4" s="119"/>
      <c r="Z4" s="119"/>
      <c r="AA4" s="119"/>
      <c r="AB4" s="118" t="s">
        <v>95</v>
      </c>
      <c r="AC4" s="119"/>
      <c r="AD4" s="119"/>
      <c r="AE4" s="119"/>
      <c r="AF4" s="119"/>
      <c r="AG4" s="119"/>
      <c r="AH4" s="119"/>
      <c r="AI4" s="119"/>
      <c r="AJ4" s="118" t="s">
        <v>96</v>
      </c>
      <c r="AK4" s="119"/>
      <c r="AL4" s="119"/>
      <c r="AM4" s="119"/>
      <c r="AN4" s="119"/>
      <c r="AO4" s="119"/>
      <c r="AP4" s="119"/>
      <c r="AQ4" s="119"/>
      <c r="AR4" s="118" t="s">
        <v>97</v>
      </c>
      <c r="AS4" s="119"/>
      <c r="AT4" s="119"/>
      <c r="AU4" s="119"/>
      <c r="AV4" s="119"/>
      <c r="AW4" s="119"/>
      <c r="AX4" s="119"/>
      <c r="AY4" s="119"/>
      <c r="AZ4" s="118" t="s">
        <v>98</v>
      </c>
      <c r="BA4" s="119"/>
      <c r="BB4" s="119"/>
      <c r="BC4" s="119"/>
      <c r="BD4" s="119"/>
      <c r="BE4" s="119"/>
      <c r="BF4" s="119"/>
      <c r="BG4" s="119"/>
      <c r="BH4" s="118" t="s">
        <v>99</v>
      </c>
      <c r="BI4" s="119"/>
      <c r="BJ4" s="119"/>
      <c r="BK4" s="119"/>
      <c r="BL4" s="119"/>
      <c r="BM4" s="119"/>
      <c r="BN4" s="119"/>
      <c r="BO4" s="119"/>
      <c r="BP4" s="118" t="s">
        <v>100</v>
      </c>
      <c r="BQ4" s="119"/>
      <c r="BR4" s="119"/>
      <c r="BS4" s="119"/>
      <c r="BT4" s="119"/>
      <c r="BU4" s="119"/>
      <c r="BV4" s="119"/>
      <c r="BW4" s="119"/>
      <c r="BX4" s="118" t="s">
        <v>101</v>
      </c>
      <c r="BY4" s="119"/>
      <c r="BZ4" s="119"/>
      <c r="CA4" s="119"/>
      <c r="CB4" s="119"/>
      <c r="CC4" s="119"/>
      <c r="CD4" s="119"/>
      <c r="CE4" s="119"/>
      <c r="CF4" s="118" t="s">
        <v>102</v>
      </c>
      <c r="CG4" s="119"/>
      <c r="CH4" s="119"/>
      <c r="CI4" s="119"/>
      <c r="CJ4" s="119"/>
      <c r="CK4" s="119"/>
      <c r="CL4" s="119"/>
      <c r="CM4" s="119"/>
      <c r="CN4" s="118" t="s">
        <v>103</v>
      </c>
      <c r="CO4" s="119"/>
      <c r="CP4" s="119"/>
      <c r="CQ4" s="119"/>
      <c r="CR4" s="119"/>
      <c r="CS4" s="119"/>
      <c r="CT4" s="119"/>
      <c r="CU4" s="119"/>
    </row>
    <row r="5" spans="1:99" x14ac:dyDescent="0.2">
      <c r="B5" s="118" t="s">
        <v>167</v>
      </c>
      <c r="C5" s="118" t="s">
        <v>275</v>
      </c>
      <c r="D5" s="118">
        <v>1</v>
      </c>
      <c r="E5" s="118"/>
      <c r="F5" s="118">
        <v>2</v>
      </c>
      <c r="G5" s="118"/>
      <c r="H5" s="118">
        <v>3</v>
      </c>
      <c r="I5" s="118"/>
      <c r="J5" s="118">
        <v>4</v>
      </c>
      <c r="K5" s="118"/>
      <c r="L5" s="118">
        <v>1</v>
      </c>
      <c r="M5" s="118"/>
      <c r="N5" s="118">
        <v>2</v>
      </c>
      <c r="O5" s="118"/>
      <c r="P5" s="118">
        <v>3</v>
      </c>
      <c r="Q5" s="118"/>
      <c r="R5" s="118">
        <v>4</v>
      </c>
      <c r="S5" s="118"/>
      <c r="T5" s="118">
        <v>1</v>
      </c>
      <c r="U5" s="118"/>
      <c r="V5" s="118">
        <v>2</v>
      </c>
      <c r="W5" s="118"/>
      <c r="X5" s="118">
        <v>3</v>
      </c>
      <c r="Y5" s="118"/>
      <c r="Z5" s="118">
        <v>4</v>
      </c>
      <c r="AA5" s="118"/>
      <c r="AB5" s="118">
        <v>1</v>
      </c>
      <c r="AC5" s="118"/>
      <c r="AD5" s="118">
        <v>2</v>
      </c>
      <c r="AE5" s="118"/>
      <c r="AF5" s="118">
        <v>3</v>
      </c>
      <c r="AG5" s="118"/>
      <c r="AH5" s="118">
        <v>4</v>
      </c>
      <c r="AI5" s="118"/>
      <c r="AJ5" s="118">
        <v>1</v>
      </c>
      <c r="AK5" s="118"/>
      <c r="AL5" s="118">
        <v>2</v>
      </c>
      <c r="AM5" s="118"/>
      <c r="AN5" s="118">
        <v>3</v>
      </c>
      <c r="AO5" s="118"/>
      <c r="AP5" s="118">
        <v>4</v>
      </c>
      <c r="AQ5" s="118"/>
      <c r="AR5" s="118">
        <v>1</v>
      </c>
      <c r="AS5" s="118"/>
      <c r="AT5" s="118">
        <v>2</v>
      </c>
      <c r="AU5" s="118"/>
      <c r="AV5" s="118">
        <v>3</v>
      </c>
      <c r="AW5" s="118"/>
      <c r="AX5" s="118">
        <v>4</v>
      </c>
      <c r="AY5" s="118"/>
      <c r="AZ5" s="118">
        <v>1</v>
      </c>
      <c r="BA5" s="118"/>
      <c r="BB5" s="118">
        <v>2</v>
      </c>
      <c r="BC5" s="118"/>
      <c r="BD5" s="118">
        <v>3</v>
      </c>
      <c r="BE5" s="118"/>
      <c r="BF5" s="118">
        <v>4</v>
      </c>
      <c r="BG5" s="118"/>
      <c r="BH5" s="118">
        <v>1</v>
      </c>
      <c r="BI5" s="118"/>
      <c r="BJ5" s="118">
        <v>2</v>
      </c>
      <c r="BK5" s="118"/>
      <c r="BL5" s="118">
        <v>3</v>
      </c>
      <c r="BM5" s="118"/>
      <c r="BN5" s="118">
        <v>4</v>
      </c>
      <c r="BO5" s="118"/>
      <c r="BP5" s="118">
        <v>1</v>
      </c>
      <c r="BQ5" s="118"/>
      <c r="BR5" s="118">
        <v>2</v>
      </c>
      <c r="BS5" s="118"/>
      <c r="BT5" s="118">
        <v>3</v>
      </c>
      <c r="BU5" s="118"/>
      <c r="BV5" s="118">
        <v>4</v>
      </c>
      <c r="BW5" s="118"/>
      <c r="BX5" s="118">
        <v>1</v>
      </c>
      <c r="BY5" s="118"/>
      <c r="BZ5" s="118">
        <v>2</v>
      </c>
      <c r="CA5" s="118"/>
      <c r="CB5" s="118">
        <v>3</v>
      </c>
      <c r="CC5" s="118"/>
      <c r="CD5" s="118">
        <v>4</v>
      </c>
      <c r="CE5" s="118"/>
      <c r="CF5" s="118">
        <v>1</v>
      </c>
      <c r="CG5" s="118"/>
      <c r="CH5" s="118">
        <v>2</v>
      </c>
      <c r="CI5" s="118"/>
      <c r="CJ5" s="118">
        <v>3</v>
      </c>
      <c r="CK5" s="118"/>
      <c r="CL5" s="118">
        <v>4</v>
      </c>
      <c r="CM5" s="118"/>
      <c r="CN5" s="118">
        <v>1</v>
      </c>
      <c r="CO5" s="118"/>
      <c r="CP5" s="118">
        <v>2</v>
      </c>
      <c r="CQ5" s="118"/>
      <c r="CR5" s="118">
        <v>3</v>
      </c>
      <c r="CS5" s="118"/>
      <c r="CT5" s="118">
        <v>4</v>
      </c>
      <c r="CU5" s="118"/>
    </row>
    <row r="6" spans="1:99" x14ac:dyDescent="0.2">
      <c r="B6" s="118" t="s">
        <v>126</v>
      </c>
      <c r="C6" s="118" t="s">
        <v>172</v>
      </c>
      <c r="D6">
        <v>7</v>
      </c>
      <c r="E6">
        <v>4048.7999999999997</v>
      </c>
      <c r="F6">
        <v>5</v>
      </c>
      <c r="G6">
        <v>2892</v>
      </c>
      <c r="H6">
        <v>4</v>
      </c>
      <c r="I6">
        <v>2313.6</v>
      </c>
      <c r="J6">
        <v>6</v>
      </c>
      <c r="K6">
        <v>3470.3999999999996</v>
      </c>
      <c r="L6">
        <v>3.5698068109474179</v>
      </c>
      <c r="M6">
        <v>2064.7762594519863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</row>
    <row r="7" spans="1:99" x14ac:dyDescent="0.2">
      <c r="C7" s="118" t="s">
        <v>173</v>
      </c>
      <c r="D7">
        <v>7</v>
      </c>
      <c r="E7">
        <v>5518.8</v>
      </c>
      <c r="F7">
        <v>5</v>
      </c>
      <c r="G7">
        <v>3942</v>
      </c>
      <c r="H7">
        <v>4</v>
      </c>
      <c r="I7">
        <v>3153.6</v>
      </c>
      <c r="J7">
        <v>6</v>
      </c>
      <c r="K7">
        <v>4730.3999999999996</v>
      </c>
      <c r="L7">
        <v>4.4622585136842723</v>
      </c>
      <c r="M7">
        <v>3518.0446121886803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</row>
    <row r="8" spans="1:99" x14ac:dyDescent="0.2">
      <c r="C8" s="118" t="s">
        <v>174</v>
      </c>
      <c r="D8">
        <v>7</v>
      </c>
      <c r="E8">
        <v>2167.1999999999998</v>
      </c>
      <c r="F8">
        <v>5</v>
      </c>
      <c r="G8">
        <v>1547.9999999999998</v>
      </c>
      <c r="H8">
        <v>4</v>
      </c>
      <c r="I8">
        <v>1238.3999999999999</v>
      </c>
      <c r="J8">
        <v>7</v>
      </c>
      <c r="K8">
        <v>2167.1999999999998</v>
      </c>
      <c r="L8">
        <v>4.4622585136842723</v>
      </c>
      <c r="M8">
        <v>1381.5152358366506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</row>
    <row r="9" spans="1:99" x14ac:dyDescent="0.2">
      <c r="C9" s="118" t="s">
        <v>175</v>
      </c>
      <c r="D9">
        <v>7</v>
      </c>
      <c r="E9">
        <v>4914</v>
      </c>
      <c r="F9">
        <v>5</v>
      </c>
      <c r="G9">
        <v>3510</v>
      </c>
      <c r="H9">
        <v>4</v>
      </c>
      <c r="I9">
        <v>2808</v>
      </c>
      <c r="J9">
        <v>6</v>
      </c>
      <c r="K9">
        <v>4212</v>
      </c>
      <c r="L9">
        <v>4.4622585136842723</v>
      </c>
      <c r="M9">
        <v>3132.505476606359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</row>
    <row r="10" spans="1:99" x14ac:dyDescent="0.2">
      <c r="C10" s="118" t="s">
        <v>176</v>
      </c>
      <c r="D10">
        <v>6</v>
      </c>
      <c r="E10">
        <v>3268.7999999999997</v>
      </c>
      <c r="F10">
        <v>5</v>
      </c>
      <c r="G10">
        <v>2724</v>
      </c>
      <c r="H10">
        <v>4</v>
      </c>
      <c r="I10">
        <v>2179.1999999999998</v>
      </c>
      <c r="J10">
        <v>6</v>
      </c>
      <c r="K10">
        <v>3268.7999999999997</v>
      </c>
      <c r="L10">
        <v>4.4622585136842723</v>
      </c>
      <c r="M10">
        <v>2431.0384382551915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</row>
    <row r="11" spans="1:99" x14ac:dyDescent="0.2">
      <c r="C11" s="118" t="s">
        <v>177</v>
      </c>
      <c r="D11">
        <v>7</v>
      </c>
      <c r="E11">
        <v>3729.5999999999995</v>
      </c>
      <c r="F11">
        <v>5</v>
      </c>
      <c r="G11">
        <v>2664</v>
      </c>
      <c r="H11">
        <v>4</v>
      </c>
      <c r="I11">
        <v>2131.1999999999998</v>
      </c>
      <c r="J11">
        <v>6</v>
      </c>
      <c r="K11">
        <v>3196.7999999999997</v>
      </c>
      <c r="L11">
        <v>3.5698068109474179</v>
      </c>
      <c r="M11">
        <v>1901.9930688727841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</row>
    <row r="12" spans="1:99" x14ac:dyDescent="0.2">
      <c r="C12" s="118" t="s">
        <v>178</v>
      </c>
      <c r="D12">
        <v>7</v>
      </c>
      <c r="E12">
        <v>3939.5999999999995</v>
      </c>
      <c r="F12">
        <v>5</v>
      </c>
      <c r="G12">
        <v>2814</v>
      </c>
      <c r="H12">
        <v>4</v>
      </c>
      <c r="I12">
        <v>2251.1999999999998</v>
      </c>
      <c r="J12">
        <v>6</v>
      </c>
      <c r="K12">
        <v>3376.7999999999997</v>
      </c>
      <c r="L12">
        <v>4.4622585136842723</v>
      </c>
      <c r="M12">
        <v>2511.3590915015084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</row>
    <row r="13" spans="1:99" x14ac:dyDescent="0.2">
      <c r="C13" s="118" t="s">
        <v>179</v>
      </c>
      <c r="D13">
        <v>8</v>
      </c>
      <c r="E13">
        <v>681.6</v>
      </c>
      <c r="F13">
        <v>5</v>
      </c>
      <c r="G13">
        <v>426</v>
      </c>
      <c r="H13">
        <v>4</v>
      </c>
      <c r="I13">
        <v>340.8</v>
      </c>
      <c r="J13">
        <v>6</v>
      </c>
      <c r="K13">
        <v>511.20000000000005</v>
      </c>
      <c r="L13">
        <v>3.5698068109474179</v>
      </c>
      <c r="M13">
        <v>304.14754029272001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</row>
    <row r="14" spans="1:99" x14ac:dyDescent="0.2">
      <c r="C14" s="118" t="s">
        <v>180</v>
      </c>
      <c r="D14">
        <v>7</v>
      </c>
      <c r="E14">
        <v>3418.7999999999997</v>
      </c>
      <c r="F14">
        <v>5</v>
      </c>
      <c r="G14">
        <v>2442</v>
      </c>
      <c r="H14">
        <v>4</v>
      </c>
      <c r="I14">
        <v>1953.6</v>
      </c>
      <c r="J14">
        <v>7</v>
      </c>
      <c r="K14">
        <v>3418.7999999999997</v>
      </c>
      <c r="L14">
        <v>3.5698068109474179</v>
      </c>
      <c r="M14">
        <v>1743.4936464667189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</row>
    <row r="15" spans="1:99" x14ac:dyDescent="0.2">
      <c r="C15" s="118" t="s">
        <v>181</v>
      </c>
      <c r="D15">
        <v>6</v>
      </c>
      <c r="E15">
        <v>4579.2</v>
      </c>
      <c r="F15">
        <v>5</v>
      </c>
      <c r="G15">
        <v>3815.9999999999995</v>
      </c>
      <c r="H15">
        <v>4</v>
      </c>
      <c r="I15">
        <v>3052.7999999999997</v>
      </c>
      <c r="J15">
        <v>6</v>
      </c>
      <c r="K15">
        <v>4579.2</v>
      </c>
      <c r="L15">
        <v>4.4622585136842723</v>
      </c>
      <c r="M15">
        <v>3405.5956976438365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</row>
    <row r="16" spans="1:99" x14ac:dyDescent="0.2">
      <c r="C16" s="118" t="s">
        <v>182</v>
      </c>
      <c r="D16">
        <v>8</v>
      </c>
      <c r="E16">
        <v>2726.4</v>
      </c>
      <c r="F16">
        <v>5</v>
      </c>
      <c r="G16">
        <v>1704</v>
      </c>
      <c r="H16">
        <v>4</v>
      </c>
      <c r="I16">
        <v>1363.2</v>
      </c>
      <c r="J16">
        <v>6</v>
      </c>
      <c r="K16">
        <v>2044.8000000000002</v>
      </c>
      <c r="L16">
        <v>3.5698068109474179</v>
      </c>
      <c r="M16">
        <v>1216.59016117088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</row>
    <row r="17" spans="2:99" x14ac:dyDescent="0.2">
      <c r="C17" s="118" t="s">
        <v>183</v>
      </c>
      <c r="D17">
        <v>7</v>
      </c>
      <c r="E17">
        <v>2956.7999999999997</v>
      </c>
      <c r="F17">
        <v>5</v>
      </c>
      <c r="G17">
        <v>2112</v>
      </c>
      <c r="H17">
        <v>4</v>
      </c>
      <c r="I17">
        <v>1689.6</v>
      </c>
      <c r="J17">
        <v>6</v>
      </c>
      <c r="K17">
        <v>2534.3999999999996</v>
      </c>
      <c r="L17">
        <v>4.4622585136842723</v>
      </c>
      <c r="M17">
        <v>1884.8579961802366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</row>
    <row r="18" spans="2:99" x14ac:dyDescent="0.2">
      <c r="C18" s="118" t="s">
        <v>184</v>
      </c>
      <c r="D18">
        <v>6</v>
      </c>
      <c r="E18">
        <v>3916.7999999999997</v>
      </c>
      <c r="F18">
        <v>5</v>
      </c>
      <c r="G18">
        <v>3264</v>
      </c>
      <c r="H18">
        <v>4</v>
      </c>
      <c r="I18">
        <v>2611.1999999999998</v>
      </c>
      <c r="J18">
        <v>6</v>
      </c>
      <c r="K18">
        <v>3916.7999999999997</v>
      </c>
      <c r="L18">
        <v>3.5698068109474179</v>
      </c>
      <c r="M18">
        <v>2330.3698861864741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</row>
    <row r="19" spans="2:99" x14ac:dyDescent="0.2">
      <c r="C19" s="118" t="s">
        <v>185</v>
      </c>
      <c r="D19">
        <v>8</v>
      </c>
      <c r="E19">
        <v>2640</v>
      </c>
      <c r="F19">
        <v>5</v>
      </c>
      <c r="G19">
        <v>1650</v>
      </c>
      <c r="H19">
        <v>4</v>
      </c>
      <c r="I19">
        <v>1320</v>
      </c>
      <c r="J19">
        <v>6</v>
      </c>
      <c r="K19">
        <v>1980</v>
      </c>
      <c r="L19">
        <v>3.5698068109474179</v>
      </c>
      <c r="M19">
        <v>1178.0362476126479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</row>
    <row r="20" spans="2:99" x14ac:dyDescent="0.2">
      <c r="B20" s="118" t="s">
        <v>127</v>
      </c>
      <c r="C20" s="118" t="s">
        <v>186</v>
      </c>
      <c r="D20">
        <v>13</v>
      </c>
      <c r="E20">
        <v>3728.4</v>
      </c>
      <c r="F20">
        <v>12</v>
      </c>
      <c r="G20">
        <v>3441.6000000000004</v>
      </c>
      <c r="H20">
        <v>14</v>
      </c>
      <c r="I20">
        <v>4015.2000000000003</v>
      </c>
      <c r="J20">
        <v>17</v>
      </c>
      <c r="K20">
        <v>4875.6000000000004</v>
      </c>
      <c r="L20">
        <v>17.849034054737089</v>
      </c>
      <c r="M20">
        <v>5119.1029668985975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</row>
    <row r="21" spans="2:99" x14ac:dyDescent="0.2">
      <c r="C21" s="118" t="s">
        <v>187</v>
      </c>
      <c r="D21">
        <v>14</v>
      </c>
      <c r="E21">
        <v>873.6</v>
      </c>
      <c r="F21">
        <v>13</v>
      </c>
      <c r="G21">
        <v>811.19999999999993</v>
      </c>
      <c r="H21">
        <v>17</v>
      </c>
      <c r="I21">
        <v>1060.8</v>
      </c>
      <c r="J21">
        <v>17</v>
      </c>
      <c r="K21">
        <v>1060.8</v>
      </c>
      <c r="L21">
        <v>16.956582352000236</v>
      </c>
      <c r="M21">
        <v>1058.0907387648147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</row>
    <row r="22" spans="2:99" x14ac:dyDescent="0.2">
      <c r="C22" s="118" t="s">
        <v>188</v>
      </c>
      <c r="D22">
        <v>15</v>
      </c>
      <c r="E22">
        <v>2808</v>
      </c>
      <c r="F22">
        <v>12</v>
      </c>
      <c r="G22">
        <v>2246.3999999999996</v>
      </c>
      <c r="H22">
        <v>16</v>
      </c>
      <c r="I22">
        <v>2995.2</v>
      </c>
      <c r="J22">
        <v>17</v>
      </c>
      <c r="K22">
        <v>3182.3999999999996</v>
      </c>
      <c r="L22">
        <v>16.956582352000236</v>
      </c>
      <c r="M22">
        <v>3174.2722162944442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</row>
    <row r="23" spans="2:99" x14ac:dyDescent="0.2">
      <c r="C23" s="118" t="s">
        <v>189</v>
      </c>
      <c r="D23">
        <v>15</v>
      </c>
      <c r="E23">
        <v>4410</v>
      </c>
      <c r="F23">
        <v>12</v>
      </c>
      <c r="G23">
        <v>3528</v>
      </c>
      <c r="H23">
        <v>15</v>
      </c>
      <c r="I23">
        <v>4410</v>
      </c>
      <c r="J23">
        <v>15</v>
      </c>
      <c r="K23">
        <v>4410</v>
      </c>
      <c r="L23">
        <v>16.064130649263383</v>
      </c>
      <c r="M23">
        <v>4722.8544108834349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</row>
    <row r="24" spans="2:99" x14ac:dyDescent="0.2">
      <c r="C24" s="118" t="s">
        <v>190</v>
      </c>
      <c r="D24">
        <v>14</v>
      </c>
      <c r="E24">
        <v>5140.8</v>
      </c>
      <c r="F24">
        <v>11</v>
      </c>
      <c r="G24">
        <v>4039.2</v>
      </c>
      <c r="H24">
        <v>15</v>
      </c>
      <c r="I24">
        <v>5508</v>
      </c>
      <c r="J24">
        <v>16</v>
      </c>
      <c r="K24">
        <v>5875.2</v>
      </c>
      <c r="L24">
        <v>16.064130649263383</v>
      </c>
      <c r="M24">
        <v>5898.7487744095142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</row>
    <row r="25" spans="2:99" x14ac:dyDescent="0.2">
      <c r="C25" s="118" t="s">
        <v>191</v>
      </c>
      <c r="D25">
        <v>14</v>
      </c>
      <c r="E25">
        <v>7425.5999999999995</v>
      </c>
      <c r="F25">
        <v>10</v>
      </c>
      <c r="G25">
        <v>5304</v>
      </c>
      <c r="H25">
        <v>16</v>
      </c>
      <c r="I25">
        <v>8486.4</v>
      </c>
      <c r="J25">
        <v>16</v>
      </c>
      <c r="K25">
        <v>8486.4</v>
      </c>
      <c r="L25">
        <v>15.171678946526526</v>
      </c>
      <c r="M25">
        <v>8047.0585132376691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</row>
    <row r="26" spans="2:99" x14ac:dyDescent="0.2">
      <c r="C26" s="118" t="s">
        <v>192</v>
      </c>
      <c r="D26">
        <v>13</v>
      </c>
      <c r="E26">
        <v>6318</v>
      </c>
      <c r="F26">
        <v>12</v>
      </c>
      <c r="G26">
        <v>5832</v>
      </c>
      <c r="H26">
        <v>15</v>
      </c>
      <c r="I26">
        <v>7290</v>
      </c>
      <c r="J26">
        <v>18</v>
      </c>
      <c r="K26">
        <v>8748</v>
      </c>
      <c r="L26">
        <v>16.956582352000236</v>
      </c>
      <c r="M26">
        <v>8240.8990230721156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</row>
    <row r="27" spans="2:99" x14ac:dyDescent="0.2">
      <c r="C27" s="118" t="s">
        <v>193</v>
      </c>
      <c r="D27">
        <v>13</v>
      </c>
      <c r="E27">
        <v>5553.5999999999995</v>
      </c>
      <c r="F27">
        <v>13</v>
      </c>
      <c r="G27">
        <v>5553.5999999999995</v>
      </c>
      <c r="H27">
        <v>15</v>
      </c>
      <c r="I27">
        <v>6408</v>
      </c>
      <c r="J27">
        <v>16</v>
      </c>
      <c r="K27">
        <v>6835.2</v>
      </c>
      <c r="L27">
        <v>15.171678946526526</v>
      </c>
      <c r="M27">
        <v>6481.3412459561323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</row>
    <row r="28" spans="2:99" x14ac:dyDescent="0.2">
      <c r="C28" s="118" t="s">
        <v>194</v>
      </c>
      <c r="D28">
        <v>12</v>
      </c>
      <c r="E28">
        <v>8856</v>
      </c>
      <c r="F28">
        <v>11</v>
      </c>
      <c r="G28">
        <v>8118</v>
      </c>
      <c r="H28">
        <v>15</v>
      </c>
      <c r="I28">
        <v>11070</v>
      </c>
      <c r="J28">
        <v>17</v>
      </c>
      <c r="K28">
        <v>12546</v>
      </c>
      <c r="L28">
        <v>16.064130649263383</v>
      </c>
      <c r="M28">
        <v>11855.328419156376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</row>
    <row r="29" spans="2:99" x14ac:dyDescent="0.2">
      <c r="C29" s="118" t="s">
        <v>195</v>
      </c>
      <c r="D29">
        <v>15</v>
      </c>
      <c r="E29">
        <v>5076</v>
      </c>
      <c r="F29">
        <v>12</v>
      </c>
      <c r="G29">
        <v>4060.7999999999997</v>
      </c>
      <c r="H29">
        <v>14</v>
      </c>
      <c r="I29">
        <v>4737.5999999999995</v>
      </c>
      <c r="J29">
        <v>17</v>
      </c>
      <c r="K29">
        <v>5752.7999999999993</v>
      </c>
      <c r="L29">
        <v>14.279227243789672</v>
      </c>
      <c r="M29">
        <v>4832.0904992984242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</row>
    <row r="30" spans="2:99" x14ac:dyDescent="0.2">
      <c r="C30" s="118" t="s">
        <v>196</v>
      </c>
      <c r="D30">
        <v>14</v>
      </c>
      <c r="E30">
        <v>1948.7999999999997</v>
      </c>
      <c r="F30">
        <v>12</v>
      </c>
      <c r="G30">
        <v>1670.3999999999999</v>
      </c>
      <c r="H30">
        <v>14</v>
      </c>
      <c r="I30">
        <v>1948.7999999999997</v>
      </c>
      <c r="J30">
        <v>16</v>
      </c>
      <c r="K30">
        <v>2227.1999999999998</v>
      </c>
      <c r="L30">
        <v>15.171678946526526</v>
      </c>
      <c r="M30">
        <v>2111.8977093564922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</row>
    <row r="31" spans="2:99" x14ac:dyDescent="0.2">
      <c r="C31" s="118" t="s">
        <v>197</v>
      </c>
      <c r="D31">
        <v>14</v>
      </c>
      <c r="E31">
        <v>4771.2</v>
      </c>
      <c r="F31">
        <v>11</v>
      </c>
      <c r="G31">
        <v>3748.8</v>
      </c>
      <c r="H31">
        <v>16</v>
      </c>
      <c r="I31">
        <v>5452.8</v>
      </c>
      <c r="J31">
        <v>18</v>
      </c>
      <c r="K31">
        <v>6134.4000000000005</v>
      </c>
      <c r="L31">
        <v>16.064130649263383</v>
      </c>
      <c r="M31">
        <v>5474.6557252689609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</row>
    <row r="32" spans="2:99" x14ac:dyDescent="0.2">
      <c r="C32" s="118" t="s">
        <v>198</v>
      </c>
      <c r="D32">
        <v>13</v>
      </c>
      <c r="E32">
        <v>10920</v>
      </c>
      <c r="F32">
        <v>10</v>
      </c>
      <c r="G32">
        <v>8400</v>
      </c>
      <c r="H32">
        <v>14</v>
      </c>
      <c r="I32">
        <v>11760</v>
      </c>
      <c r="J32">
        <v>17</v>
      </c>
      <c r="K32">
        <v>14280</v>
      </c>
      <c r="L32">
        <v>14.279227243789672</v>
      </c>
      <c r="M32">
        <v>11994.550884783324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</row>
    <row r="33" spans="2:99" x14ac:dyDescent="0.2">
      <c r="C33" s="118" t="s">
        <v>199</v>
      </c>
      <c r="D33">
        <v>13</v>
      </c>
      <c r="E33">
        <v>6162</v>
      </c>
      <c r="F33">
        <v>11</v>
      </c>
      <c r="G33">
        <v>5214</v>
      </c>
      <c r="H33">
        <v>16</v>
      </c>
      <c r="I33">
        <v>7584</v>
      </c>
      <c r="J33">
        <v>16</v>
      </c>
      <c r="K33">
        <v>7584</v>
      </c>
      <c r="L33">
        <v>14.279227243789672</v>
      </c>
      <c r="M33">
        <v>6768.3537135563047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</row>
    <row r="34" spans="2:99" x14ac:dyDescent="0.2">
      <c r="C34" s="118" t="s">
        <v>200</v>
      </c>
      <c r="D34">
        <v>14</v>
      </c>
      <c r="E34">
        <v>7677.5999999999995</v>
      </c>
      <c r="F34">
        <v>12</v>
      </c>
      <c r="G34">
        <v>6580.7999999999993</v>
      </c>
      <c r="H34">
        <v>14</v>
      </c>
      <c r="I34">
        <v>7677.5999999999995</v>
      </c>
      <c r="J34">
        <v>15</v>
      </c>
      <c r="K34">
        <v>8226</v>
      </c>
      <c r="L34">
        <v>16.064130649263383</v>
      </c>
      <c r="M34">
        <v>8809.5692480560392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</row>
    <row r="35" spans="2:99" x14ac:dyDescent="0.2">
      <c r="C35" s="118" t="s">
        <v>201</v>
      </c>
      <c r="D35">
        <v>14</v>
      </c>
      <c r="E35">
        <v>7039.1999999999989</v>
      </c>
      <c r="F35">
        <v>11</v>
      </c>
      <c r="G35">
        <v>5530.7999999999993</v>
      </c>
      <c r="H35">
        <v>13</v>
      </c>
      <c r="I35">
        <v>6536.3999999999987</v>
      </c>
      <c r="J35">
        <v>16</v>
      </c>
      <c r="K35">
        <v>8044.7999999999984</v>
      </c>
      <c r="L35">
        <v>16.956582352000236</v>
      </c>
      <c r="M35">
        <v>8525.7696065857162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</row>
    <row r="36" spans="2:99" x14ac:dyDescent="0.2">
      <c r="C36" s="118" t="s">
        <v>202</v>
      </c>
      <c r="D36">
        <v>14</v>
      </c>
      <c r="E36">
        <v>10651.199999999999</v>
      </c>
      <c r="F36">
        <v>11</v>
      </c>
      <c r="G36">
        <v>8368.7999999999993</v>
      </c>
      <c r="H36">
        <v>15</v>
      </c>
      <c r="I36">
        <v>11412</v>
      </c>
      <c r="J36">
        <v>15</v>
      </c>
      <c r="K36">
        <v>11412</v>
      </c>
      <c r="L36">
        <v>16.956582352000236</v>
      </c>
      <c r="M36">
        <v>12900.567853401779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</row>
    <row r="37" spans="2:99" x14ac:dyDescent="0.2">
      <c r="B37" s="118" t="s">
        <v>128</v>
      </c>
      <c r="C37" s="118" t="s">
        <v>203</v>
      </c>
      <c r="D37">
        <v>11</v>
      </c>
      <c r="E37">
        <v>9464.4</v>
      </c>
      <c r="F37">
        <v>16</v>
      </c>
      <c r="G37">
        <v>13766.4</v>
      </c>
      <c r="H37">
        <v>14</v>
      </c>
      <c r="I37">
        <v>12045.6</v>
      </c>
      <c r="J37">
        <v>12</v>
      </c>
      <c r="K37">
        <v>10324.799999999999</v>
      </c>
      <c r="L37">
        <v>12.494323838315964</v>
      </c>
      <c r="M37">
        <v>10750.116230487056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</row>
    <row r="38" spans="2:99" x14ac:dyDescent="0.2">
      <c r="C38" s="118" t="s">
        <v>204</v>
      </c>
      <c r="D38">
        <v>13</v>
      </c>
      <c r="E38">
        <v>16146</v>
      </c>
      <c r="F38">
        <v>18</v>
      </c>
      <c r="G38">
        <v>22356</v>
      </c>
      <c r="H38">
        <v>13</v>
      </c>
      <c r="I38">
        <v>16146</v>
      </c>
      <c r="J38">
        <v>13</v>
      </c>
      <c r="K38">
        <v>16146</v>
      </c>
      <c r="L38">
        <v>12.494323838315964</v>
      </c>
      <c r="M38">
        <v>15517.950207188427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</row>
    <row r="39" spans="2:99" x14ac:dyDescent="0.2">
      <c r="C39" s="118" t="s">
        <v>205</v>
      </c>
      <c r="D39">
        <v>11</v>
      </c>
      <c r="E39">
        <v>15655.2</v>
      </c>
      <c r="F39">
        <v>16</v>
      </c>
      <c r="G39">
        <v>22771.200000000001</v>
      </c>
      <c r="H39">
        <v>13</v>
      </c>
      <c r="I39">
        <v>18501.600000000002</v>
      </c>
      <c r="J39">
        <v>12</v>
      </c>
      <c r="K39">
        <v>17078.400000000001</v>
      </c>
      <c r="L39">
        <v>11.601872135579107</v>
      </c>
      <c r="M39">
        <v>16511.784423356185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</row>
    <row r="40" spans="2:99" x14ac:dyDescent="0.2">
      <c r="C40" s="118" t="s">
        <v>206</v>
      </c>
      <c r="D40">
        <v>12</v>
      </c>
      <c r="E40">
        <v>8697.5999999999985</v>
      </c>
      <c r="F40">
        <v>17</v>
      </c>
      <c r="G40">
        <v>12321.599999999999</v>
      </c>
      <c r="H40">
        <v>15</v>
      </c>
      <c r="I40">
        <v>10872</v>
      </c>
      <c r="J40">
        <v>12</v>
      </c>
      <c r="K40">
        <v>8697.5999999999985</v>
      </c>
      <c r="L40">
        <v>12.494323838315964</v>
      </c>
      <c r="M40">
        <v>9055.8859180114105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</row>
    <row r="41" spans="2:99" x14ac:dyDescent="0.2">
      <c r="C41" s="118" t="s">
        <v>207</v>
      </c>
      <c r="D41">
        <v>11</v>
      </c>
      <c r="E41">
        <v>7260</v>
      </c>
      <c r="F41">
        <v>16</v>
      </c>
      <c r="G41">
        <v>10560</v>
      </c>
      <c r="H41">
        <v>15</v>
      </c>
      <c r="I41">
        <v>9900</v>
      </c>
      <c r="J41">
        <v>14</v>
      </c>
      <c r="K41">
        <v>9240</v>
      </c>
      <c r="L41">
        <v>14.279227243789672</v>
      </c>
      <c r="M41">
        <v>9424.2899809011833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</row>
    <row r="42" spans="2:99" x14ac:dyDescent="0.2">
      <c r="C42" s="118" t="s">
        <v>208</v>
      </c>
      <c r="D42">
        <v>13</v>
      </c>
      <c r="E42">
        <v>10998</v>
      </c>
      <c r="F42">
        <v>18</v>
      </c>
      <c r="G42">
        <v>15228</v>
      </c>
      <c r="H42">
        <v>13</v>
      </c>
      <c r="I42">
        <v>10998</v>
      </c>
      <c r="J42">
        <v>12</v>
      </c>
      <c r="K42">
        <v>10152</v>
      </c>
      <c r="L42">
        <v>13.386775541052819</v>
      </c>
      <c r="M42">
        <v>11325.212107730684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</row>
    <row r="43" spans="2:99" x14ac:dyDescent="0.2">
      <c r="C43" s="118" t="s">
        <v>209</v>
      </c>
      <c r="D43">
        <v>11</v>
      </c>
      <c r="E43">
        <v>11246.4</v>
      </c>
      <c r="F43">
        <v>18</v>
      </c>
      <c r="G43">
        <v>18403.2</v>
      </c>
      <c r="H43">
        <v>12</v>
      </c>
      <c r="I43">
        <v>12268.8</v>
      </c>
      <c r="J43">
        <v>13</v>
      </c>
      <c r="K43">
        <v>13291.199999999999</v>
      </c>
      <c r="L43">
        <v>12.494323838315964</v>
      </c>
      <c r="M43">
        <v>12774.196692294241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</row>
    <row r="44" spans="2:99" x14ac:dyDescent="0.2">
      <c r="C44" s="118" t="s">
        <v>210</v>
      </c>
      <c r="D44">
        <v>12</v>
      </c>
      <c r="E44">
        <v>12268.8</v>
      </c>
      <c r="F44">
        <v>16</v>
      </c>
      <c r="G44">
        <v>16358.4</v>
      </c>
      <c r="H44">
        <v>13</v>
      </c>
      <c r="I44">
        <v>13291.199999999999</v>
      </c>
      <c r="J44">
        <v>12</v>
      </c>
      <c r="K44">
        <v>12268.8</v>
      </c>
      <c r="L44">
        <v>12.494323838315964</v>
      </c>
      <c r="M44">
        <v>12774.196692294241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</row>
    <row r="45" spans="2:99" x14ac:dyDescent="0.2">
      <c r="C45" s="118" t="s">
        <v>211</v>
      </c>
      <c r="D45">
        <v>12</v>
      </c>
      <c r="E45">
        <v>14990.400000000001</v>
      </c>
      <c r="F45">
        <v>16</v>
      </c>
      <c r="G45">
        <v>19987.2</v>
      </c>
      <c r="H45">
        <v>12</v>
      </c>
      <c r="I45">
        <v>14990.400000000001</v>
      </c>
      <c r="J45">
        <v>12</v>
      </c>
      <c r="K45">
        <v>14990.400000000001</v>
      </c>
      <c r="L45">
        <v>14.279227243789672</v>
      </c>
      <c r="M45">
        <v>17837.610672942057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</row>
    <row r="46" spans="2:99" x14ac:dyDescent="0.2">
      <c r="C46" s="118" t="s">
        <v>212</v>
      </c>
      <c r="D46">
        <v>12</v>
      </c>
      <c r="E46">
        <v>14544</v>
      </c>
      <c r="F46">
        <v>15</v>
      </c>
      <c r="G46">
        <v>18180</v>
      </c>
      <c r="H46">
        <v>14</v>
      </c>
      <c r="I46">
        <v>16968</v>
      </c>
      <c r="J46">
        <v>13</v>
      </c>
      <c r="K46">
        <v>15756</v>
      </c>
      <c r="L46">
        <v>12.494323838315964</v>
      </c>
      <c r="M46">
        <v>15143.120492038948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</row>
    <row r="47" spans="2:99" x14ac:dyDescent="0.2">
      <c r="C47" s="118" t="s">
        <v>213</v>
      </c>
      <c r="D47">
        <v>12</v>
      </c>
      <c r="E47">
        <v>18331.199999999997</v>
      </c>
      <c r="F47">
        <v>16</v>
      </c>
      <c r="G47">
        <v>24441.599999999999</v>
      </c>
      <c r="H47">
        <v>13</v>
      </c>
      <c r="I47">
        <v>19858.8</v>
      </c>
      <c r="J47">
        <v>11</v>
      </c>
      <c r="K47">
        <v>16803.599999999999</v>
      </c>
      <c r="L47">
        <v>13.386775541052819</v>
      </c>
      <c r="M47">
        <v>20449.638316512286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</row>
    <row r="48" spans="2:99" x14ac:dyDescent="0.2">
      <c r="C48" s="118" t="s">
        <v>214</v>
      </c>
      <c r="D48">
        <v>12</v>
      </c>
      <c r="E48">
        <v>10411.200000000001</v>
      </c>
      <c r="F48">
        <v>18</v>
      </c>
      <c r="G48">
        <v>15616.800000000001</v>
      </c>
      <c r="H48">
        <v>13</v>
      </c>
      <c r="I48">
        <v>11278.800000000001</v>
      </c>
      <c r="J48">
        <v>13</v>
      </c>
      <c r="K48">
        <v>11278.800000000001</v>
      </c>
      <c r="L48">
        <v>12.494323838315964</v>
      </c>
      <c r="M48">
        <v>10840.075362122931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</row>
    <row r="49" spans="2:99" x14ac:dyDescent="0.2">
      <c r="B49" s="118" t="s">
        <v>129</v>
      </c>
      <c r="C49" s="118" t="s">
        <v>215</v>
      </c>
      <c r="D49">
        <v>10</v>
      </c>
      <c r="E49">
        <v>9852</v>
      </c>
      <c r="F49">
        <v>15</v>
      </c>
      <c r="G49">
        <v>14777.999999999998</v>
      </c>
      <c r="H49">
        <v>16</v>
      </c>
      <c r="I49">
        <v>15763.199999999999</v>
      </c>
      <c r="J49">
        <v>12</v>
      </c>
      <c r="K49">
        <v>11822.4</v>
      </c>
      <c r="L49">
        <v>14</v>
      </c>
      <c r="M49">
        <v>13792.8</v>
      </c>
      <c r="N49">
        <v>14</v>
      </c>
      <c r="O49">
        <v>13792.8</v>
      </c>
      <c r="P49">
        <v>13</v>
      </c>
      <c r="Q49">
        <v>12807.599999999999</v>
      </c>
      <c r="R49">
        <v>16</v>
      </c>
      <c r="S49">
        <v>15763.199999999999</v>
      </c>
      <c r="T49">
        <v>8</v>
      </c>
      <c r="U49">
        <v>7881.5999999999995</v>
      </c>
      <c r="V49">
        <v>12</v>
      </c>
      <c r="W49">
        <v>11822.4</v>
      </c>
      <c r="X49">
        <v>11</v>
      </c>
      <c r="Y49">
        <v>10837.199999999999</v>
      </c>
      <c r="Z49">
        <v>14</v>
      </c>
      <c r="AA49">
        <v>13792.8</v>
      </c>
      <c r="AB49">
        <v>16</v>
      </c>
      <c r="AC49">
        <v>15763.199999999999</v>
      </c>
      <c r="AD49">
        <v>14</v>
      </c>
      <c r="AE49">
        <v>13792.8</v>
      </c>
      <c r="AF49">
        <v>17</v>
      </c>
      <c r="AG49">
        <v>16748.399999999998</v>
      </c>
      <c r="AH49">
        <v>8</v>
      </c>
      <c r="AI49">
        <v>7881.5999999999995</v>
      </c>
      <c r="AJ49">
        <v>14</v>
      </c>
      <c r="AK49">
        <v>13792.8</v>
      </c>
      <c r="AL49">
        <v>14</v>
      </c>
      <c r="AM49">
        <v>13792.8</v>
      </c>
      <c r="AN49">
        <v>15</v>
      </c>
      <c r="AO49">
        <v>14777.999999999998</v>
      </c>
      <c r="AP49">
        <v>12</v>
      </c>
      <c r="AQ49">
        <v>11822.4</v>
      </c>
      <c r="AR49">
        <v>14</v>
      </c>
      <c r="AS49">
        <v>13792.8</v>
      </c>
      <c r="AT49">
        <v>10</v>
      </c>
      <c r="AU49">
        <v>9852</v>
      </c>
      <c r="AV49">
        <v>9</v>
      </c>
      <c r="AW49">
        <v>8866.7999999999993</v>
      </c>
      <c r="AX49">
        <v>13</v>
      </c>
      <c r="AY49">
        <v>12807.599999999999</v>
      </c>
      <c r="AZ49">
        <v>12</v>
      </c>
      <c r="BA49">
        <v>11822.4</v>
      </c>
      <c r="BB49">
        <v>17</v>
      </c>
      <c r="BC49">
        <v>16748.399999999998</v>
      </c>
      <c r="BD49">
        <v>12</v>
      </c>
      <c r="BE49">
        <v>11822.4</v>
      </c>
      <c r="BF49">
        <v>9</v>
      </c>
      <c r="BG49">
        <v>8866.7999999999993</v>
      </c>
      <c r="BH49">
        <v>13</v>
      </c>
      <c r="BI49">
        <v>12807.599999999999</v>
      </c>
      <c r="BJ49">
        <v>18</v>
      </c>
      <c r="BK49">
        <v>17733.599999999999</v>
      </c>
      <c r="BL49">
        <v>8</v>
      </c>
      <c r="BM49">
        <v>7881.5999999999995</v>
      </c>
      <c r="BN49">
        <v>12</v>
      </c>
      <c r="BO49">
        <v>11822.4</v>
      </c>
      <c r="BP49">
        <v>16</v>
      </c>
      <c r="BQ49">
        <v>15763.199999999999</v>
      </c>
      <c r="BR49">
        <v>10</v>
      </c>
      <c r="BS49">
        <v>9852</v>
      </c>
      <c r="BT49">
        <v>9</v>
      </c>
      <c r="BU49">
        <v>8866.7999999999993</v>
      </c>
      <c r="BV49">
        <v>12</v>
      </c>
      <c r="BW49">
        <v>11822.4</v>
      </c>
      <c r="BX49">
        <v>15</v>
      </c>
      <c r="BY49">
        <v>14777.999999999998</v>
      </c>
      <c r="BZ49">
        <v>13</v>
      </c>
      <c r="CA49">
        <v>12807.599999999999</v>
      </c>
      <c r="CB49">
        <v>15</v>
      </c>
      <c r="CC49">
        <v>14777.999999999998</v>
      </c>
      <c r="CD49">
        <v>13</v>
      </c>
      <c r="CE49">
        <v>12807.599999999999</v>
      </c>
      <c r="CF49">
        <v>14</v>
      </c>
      <c r="CG49">
        <v>13792.8</v>
      </c>
      <c r="CH49">
        <v>14</v>
      </c>
      <c r="CI49">
        <v>13792.8</v>
      </c>
      <c r="CJ49">
        <v>18</v>
      </c>
      <c r="CK49">
        <v>17733.599999999999</v>
      </c>
      <c r="CL49">
        <v>13</v>
      </c>
      <c r="CM49">
        <v>12807.599999999999</v>
      </c>
      <c r="CN49">
        <v>12</v>
      </c>
      <c r="CO49">
        <v>11822.4</v>
      </c>
      <c r="CP49">
        <v>14</v>
      </c>
      <c r="CQ49">
        <v>13792.8</v>
      </c>
      <c r="CR49">
        <v>9</v>
      </c>
      <c r="CS49">
        <v>8866.7999999999993</v>
      </c>
      <c r="CT49">
        <v>16</v>
      </c>
      <c r="CU49">
        <v>15763.199999999999</v>
      </c>
    </row>
    <row r="50" spans="2:99" x14ac:dyDescent="0.2">
      <c r="C50" s="118" t="s">
        <v>216</v>
      </c>
      <c r="D50">
        <v>10</v>
      </c>
      <c r="E50">
        <v>2820</v>
      </c>
      <c r="F50">
        <v>17</v>
      </c>
      <c r="G50">
        <v>4794</v>
      </c>
      <c r="H50">
        <v>17</v>
      </c>
      <c r="I50">
        <v>4794</v>
      </c>
      <c r="J50">
        <v>15</v>
      </c>
      <c r="K50">
        <v>4230</v>
      </c>
      <c r="L50">
        <v>12.494323838315964</v>
      </c>
      <c r="M50">
        <v>3523.3993224051019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</row>
    <row r="51" spans="2:99" x14ac:dyDescent="0.2">
      <c r="C51" s="118" t="s">
        <v>217</v>
      </c>
      <c r="D51">
        <v>10</v>
      </c>
      <c r="E51">
        <v>8544</v>
      </c>
      <c r="F51">
        <v>14</v>
      </c>
      <c r="G51">
        <v>11961.6</v>
      </c>
      <c r="H51">
        <v>16</v>
      </c>
      <c r="I51">
        <v>13670.4</v>
      </c>
      <c r="J51">
        <v>12</v>
      </c>
      <c r="K51">
        <v>10252.799999999999</v>
      </c>
      <c r="L51">
        <v>13.386775541052819</v>
      </c>
      <c r="M51">
        <v>11437.661022275528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</row>
    <row r="52" spans="2:99" x14ac:dyDescent="0.2">
      <c r="C52" s="118" t="s">
        <v>218</v>
      </c>
      <c r="D52">
        <v>12</v>
      </c>
      <c r="E52">
        <v>6480</v>
      </c>
      <c r="F52">
        <v>15</v>
      </c>
      <c r="G52">
        <v>8100</v>
      </c>
      <c r="H52">
        <v>16</v>
      </c>
      <c r="I52">
        <v>8640</v>
      </c>
      <c r="J52">
        <v>14</v>
      </c>
      <c r="K52">
        <v>7560</v>
      </c>
      <c r="L52">
        <v>14.279227243789672</v>
      </c>
      <c r="M52">
        <v>7710.7827116464223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</row>
    <row r="53" spans="2:99" x14ac:dyDescent="0.2">
      <c r="C53" s="118" t="s">
        <v>219</v>
      </c>
      <c r="D53">
        <v>11</v>
      </c>
      <c r="E53">
        <v>4474.8</v>
      </c>
      <c r="F53">
        <v>16</v>
      </c>
      <c r="G53">
        <v>6508.8</v>
      </c>
      <c r="H53">
        <v>16</v>
      </c>
      <c r="I53">
        <v>6508.8</v>
      </c>
      <c r="J53">
        <v>13</v>
      </c>
      <c r="K53">
        <v>5288.4000000000005</v>
      </c>
      <c r="L53">
        <v>14.279227243789672</v>
      </c>
      <c r="M53">
        <v>5808.7896427736387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</row>
    <row r="54" spans="2:99" x14ac:dyDescent="0.2">
      <c r="C54" s="118" t="s">
        <v>220</v>
      </c>
      <c r="D54">
        <v>12</v>
      </c>
      <c r="E54">
        <v>4017.6000000000004</v>
      </c>
      <c r="F54">
        <v>16</v>
      </c>
      <c r="G54">
        <v>5356.8</v>
      </c>
      <c r="H54">
        <v>16</v>
      </c>
      <c r="I54">
        <v>5356.8</v>
      </c>
      <c r="J54">
        <v>13</v>
      </c>
      <c r="K54">
        <v>4352.4000000000005</v>
      </c>
      <c r="L54">
        <v>12.494323838315964</v>
      </c>
      <c r="M54">
        <v>4183.0996210681851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</row>
    <row r="55" spans="2:99" x14ac:dyDescent="0.2">
      <c r="C55" s="118" t="s">
        <v>221</v>
      </c>
      <c r="D55">
        <v>10</v>
      </c>
      <c r="E55">
        <v>6636</v>
      </c>
      <c r="F55">
        <v>16</v>
      </c>
      <c r="G55">
        <v>10617.6</v>
      </c>
      <c r="H55">
        <v>16</v>
      </c>
      <c r="I55">
        <v>10617.6</v>
      </c>
      <c r="J55">
        <v>12</v>
      </c>
      <c r="K55">
        <v>7963.2000000000007</v>
      </c>
      <c r="L55">
        <v>12.494323838315964</v>
      </c>
      <c r="M55">
        <v>8291.2332991064741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</row>
    <row r="56" spans="2:99" x14ac:dyDescent="0.2">
      <c r="C56" s="118" t="s">
        <v>222</v>
      </c>
      <c r="D56">
        <v>10</v>
      </c>
      <c r="E56">
        <v>11508</v>
      </c>
      <c r="F56">
        <v>16</v>
      </c>
      <c r="G56">
        <v>18412.8</v>
      </c>
      <c r="H56">
        <v>15</v>
      </c>
      <c r="I56">
        <v>17262</v>
      </c>
      <c r="J56">
        <v>12</v>
      </c>
      <c r="K56">
        <v>13809.599999999999</v>
      </c>
      <c r="L56">
        <v>13</v>
      </c>
      <c r="M56">
        <v>14960.4</v>
      </c>
      <c r="N56">
        <v>13</v>
      </c>
      <c r="O56">
        <v>14960.4</v>
      </c>
      <c r="P56">
        <v>13</v>
      </c>
      <c r="Q56">
        <v>14960.4</v>
      </c>
      <c r="R56">
        <v>16</v>
      </c>
      <c r="S56">
        <v>18412.8</v>
      </c>
      <c r="T56">
        <v>10</v>
      </c>
      <c r="U56">
        <v>11508</v>
      </c>
      <c r="V56">
        <v>10</v>
      </c>
      <c r="W56">
        <v>11508</v>
      </c>
      <c r="X56">
        <v>11</v>
      </c>
      <c r="Y56">
        <v>12658.8</v>
      </c>
      <c r="Z56">
        <v>12</v>
      </c>
      <c r="AA56">
        <v>13809.599999999999</v>
      </c>
      <c r="AB56">
        <v>17</v>
      </c>
      <c r="AC56">
        <v>19563.599999999999</v>
      </c>
      <c r="AD56">
        <v>14</v>
      </c>
      <c r="AE56">
        <v>16111.199999999999</v>
      </c>
      <c r="AF56">
        <v>16</v>
      </c>
      <c r="AG56">
        <v>18412.8</v>
      </c>
      <c r="AH56">
        <v>9</v>
      </c>
      <c r="AI56">
        <v>10357.199999999999</v>
      </c>
      <c r="AJ56">
        <v>15</v>
      </c>
      <c r="AK56">
        <v>17262</v>
      </c>
      <c r="AL56">
        <v>14</v>
      </c>
      <c r="AM56">
        <v>16111.199999999999</v>
      </c>
      <c r="AN56">
        <v>15</v>
      </c>
      <c r="AO56">
        <v>17262</v>
      </c>
      <c r="AP56">
        <v>12</v>
      </c>
      <c r="AQ56">
        <v>13809.599999999999</v>
      </c>
      <c r="AR56">
        <v>14</v>
      </c>
      <c r="AS56">
        <v>16111.199999999999</v>
      </c>
      <c r="AT56">
        <v>11</v>
      </c>
      <c r="AU56">
        <v>12658.8</v>
      </c>
      <c r="AV56">
        <v>9</v>
      </c>
      <c r="AW56">
        <v>10357.199999999999</v>
      </c>
      <c r="AX56">
        <v>13</v>
      </c>
      <c r="AY56">
        <v>14960.4</v>
      </c>
      <c r="AZ56">
        <v>12</v>
      </c>
      <c r="BA56">
        <v>13809.599999999999</v>
      </c>
      <c r="BB56">
        <v>15</v>
      </c>
      <c r="BC56">
        <v>17262</v>
      </c>
      <c r="BD56">
        <v>13</v>
      </c>
      <c r="BE56">
        <v>14960.4</v>
      </c>
      <c r="BF56">
        <v>9</v>
      </c>
      <c r="BG56">
        <v>10357.199999999999</v>
      </c>
      <c r="BH56">
        <v>15</v>
      </c>
      <c r="BI56">
        <v>17262</v>
      </c>
      <c r="BJ56">
        <v>18</v>
      </c>
      <c r="BK56">
        <v>20714.399999999998</v>
      </c>
      <c r="BL56">
        <v>9</v>
      </c>
      <c r="BM56">
        <v>10357.199999999999</v>
      </c>
      <c r="BN56">
        <v>11</v>
      </c>
      <c r="BO56">
        <v>12658.8</v>
      </c>
      <c r="BP56">
        <v>14</v>
      </c>
      <c r="BQ56">
        <v>16111.199999999999</v>
      </c>
      <c r="BR56">
        <v>10</v>
      </c>
      <c r="BS56">
        <v>11508</v>
      </c>
      <c r="BT56">
        <v>8</v>
      </c>
      <c r="BU56">
        <v>9206.4</v>
      </c>
      <c r="BV56">
        <v>12</v>
      </c>
      <c r="BW56">
        <v>13809.599999999999</v>
      </c>
      <c r="BX56">
        <v>15</v>
      </c>
      <c r="BY56">
        <v>17262</v>
      </c>
      <c r="BZ56">
        <v>13</v>
      </c>
      <c r="CA56">
        <v>14960.4</v>
      </c>
      <c r="CB56">
        <v>17</v>
      </c>
      <c r="CC56">
        <v>19563.599999999999</v>
      </c>
      <c r="CD56">
        <v>12</v>
      </c>
      <c r="CE56">
        <v>13809.599999999999</v>
      </c>
      <c r="CF56">
        <v>15</v>
      </c>
      <c r="CG56">
        <v>17262</v>
      </c>
      <c r="CH56">
        <v>13</v>
      </c>
      <c r="CI56">
        <v>14960.4</v>
      </c>
      <c r="CJ56">
        <v>18</v>
      </c>
      <c r="CK56">
        <v>20714.399999999998</v>
      </c>
      <c r="CL56">
        <v>14</v>
      </c>
      <c r="CM56">
        <v>16111.199999999999</v>
      </c>
      <c r="CN56">
        <v>12</v>
      </c>
      <c r="CO56">
        <v>13809.599999999999</v>
      </c>
      <c r="CP56">
        <v>13</v>
      </c>
      <c r="CQ56">
        <v>14960.4</v>
      </c>
      <c r="CR56">
        <v>10</v>
      </c>
      <c r="CS56">
        <v>11508</v>
      </c>
      <c r="CT56">
        <v>18</v>
      </c>
      <c r="CU56">
        <v>20714.399999999998</v>
      </c>
    </row>
    <row r="57" spans="2:99" x14ac:dyDescent="0.2">
      <c r="C57" s="118" t="s">
        <v>223</v>
      </c>
      <c r="D57">
        <v>11</v>
      </c>
      <c r="E57">
        <v>15523.2</v>
      </c>
      <c r="F57">
        <v>14</v>
      </c>
      <c r="G57">
        <v>19756.8</v>
      </c>
      <c r="H57">
        <v>15</v>
      </c>
      <c r="I57">
        <v>21168</v>
      </c>
      <c r="J57">
        <v>12</v>
      </c>
      <c r="K57">
        <v>16934.400000000001</v>
      </c>
      <c r="L57">
        <v>13.386775541052819</v>
      </c>
      <c r="M57">
        <v>18891.417643533739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</row>
    <row r="58" spans="2:99" x14ac:dyDescent="0.2">
      <c r="C58" s="118" t="s">
        <v>224</v>
      </c>
      <c r="D58">
        <v>10</v>
      </c>
      <c r="E58">
        <v>11772</v>
      </c>
      <c r="F58">
        <v>14</v>
      </c>
      <c r="G58">
        <v>16480.8</v>
      </c>
      <c r="H58">
        <v>14</v>
      </c>
      <c r="I58">
        <v>16480.8</v>
      </c>
      <c r="J58">
        <v>13</v>
      </c>
      <c r="K58">
        <v>15303.6</v>
      </c>
      <c r="L58">
        <v>13</v>
      </c>
      <c r="M58">
        <v>15303.6</v>
      </c>
      <c r="N58">
        <v>14</v>
      </c>
      <c r="O58">
        <v>16480.8</v>
      </c>
      <c r="P58">
        <v>15</v>
      </c>
      <c r="Q58">
        <v>17658</v>
      </c>
      <c r="R58">
        <v>15</v>
      </c>
      <c r="S58">
        <v>17658</v>
      </c>
      <c r="T58">
        <v>10</v>
      </c>
      <c r="U58">
        <v>11772</v>
      </c>
      <c r="V58">
        <v>11</v>
      </c>
      <c r="W58">
        <v>12949.2</v>
      </c>
      <c r="X58">
        <v>10</v>
      </c>
      <c r="Y58">
        <v>11772</v>
      </c>
      <c r="Z58">
        <v>12</v>
      </c>
      <c r="AA58">
        <v>14126.400000000001</v>
      </c>
      <c r="AB58">
        <v>16</v>
      </c>
      <c r="AC58">
        <v>18835.2</v>
      </c>
      <c r="AD58">
        <v>12</v>
      </c>
      <c r="AE58">
        <v>14126.400000000001</v>
      </c>
      <c r="AF58">
        <v>17</v>
      </c>
      <c r="AG58">
        <v>20012.400000000001</v>
      </c>
      <c r="AH58">
        <v>9</v>
      </c>
      <c r="AI58">
        <v>10594.800000000001</v>
      </c>
      <c r="AJ58">
        <v>14</v>
      </c>
      <c r="AK58">
        <v>16480.8</v>
      </c>
      <c r="AL58">
        <v>12</v>
      </c>
      <c r="AM58">
        <v>14126.400000000001</v>
      </c>
      <c r="AN58">
        <v>15</v>
      </c>
      <c r="AO58">
        <v>17658</v>
      </c>
      <c r="AP58">
        <v>14</v>
      </c>
      <c r="AQ58">
        <v>16480.8</v>
      </c>
      <c r="AR58">
        <v>12</v>
      </c>
      <c r="AS58">
        <v>14126.400000000001</v>
      </c>
      <c r="AT58">
        <v>11</v>
      </c>
      <c r="AU58">
        <v>12949.2</v>
      </c>
      <c r="AV58">
        <v>10</v>
      </c>
      <c r="AW58">
        <v>11772</v>
      </c>
      <c r="AX58">
        <v>14</v>
      </c>
      <c r="AY58">
        <v>16480.8</v>
      </c>
      <c r="AZ58">
        <v>11</v>
      </c>
      <c r="BA58">
        <v>12949.2</v>
      </c>
      <c r="BB58">
        <v>15</v>
      </c>
      <c r="BC58">
        <v>17658</v>
      </c>
      <c r="BD58">
        <v>13</v>
      </c>
      <c r="BE58">
        <v>15303.6</v>
      </c>
      <c r="BF58">
        <v>9</v>
      </c>
      <c r="BG58">
        <v>10594.800000000001</v>
      </c>
      <c r="BH58">
        <v>14</v>
      </c>
      <c r="BI58">
        <v>16480.8</v>
      </c>
      <c r="BJ58">
        <v>16</v>
      </c>
      <c r="BK58">
        <v>18835.2</v>
      </c>
      <c r="BL58">
        <v>9</v>
      </c>
      <c r="BM58">
        <v>10594.800000000001</v>
      </c>
      <c r="BN58">
        <v>11</v>
      </c>
      <c r="BO58">
        <v>12949.2</v>
      </c>
      <c r="BP58">
        <v>15</v>
      </c>
      <c r="BQ58">
        <v>17658</v>
      </c>
      <c r="BR58">
        <v>10</v>
      </c>
      <c r="BS58">
        <v>11772</v>
      </c>
      <c r="BT58">
        <v>9</v>
      </c>
      <c r="BU58">
        <v>10594.800000000001</v>
      </c>
      <c r="BV58">
        <v>12</v>
      </c>
      <c r="BW58">
        <v>14126.400000000001</v>
      </c>
      <c r="BX58">
        <v>16</v>
      </c>
      <c r="BY58">
        <v>18835.2</v>
      </c>
      <c r="BZ58">
        <v>12</v>
      </c>
      <c r="CA58">
        <v>14126.400000000001</v>
      </c>
      <c r="CB58">
        <v>15</v>
      </c>
      <c r="CC58">
        <v>17658</v>
      </c>
      <c r="CD58">
        <v>12</v>
      </c>
      <c r="CE58">
        <v>14126.400000000001</v>
      </c>
      <c r="CF58">
        <v>14</v>
      </c>
      <c r="CG58">
        <v>16480.8</v>
      </c>
      <c r="CH58">
        <v>12</v>
      </c>
      <c r="CI58">
        <v>14126.400000000001</v>
      </c>
      <c r="CJ58">
        <v>18</v>
      </c>
      <c r="CK58">
        <v>21189.600000000002</v>
      </c>
      <c r="CL58">
        <v>13</v>
      </c>
      <c r="CM58">
        <v>15303.6</v>
      </c>
      <c r="CN58">
        <v>12</v>
      </c>
      <c r="CO58">
        <v>14126.400000000001</v>
      </c>
      <c r="CP58">
        <v>14</v>
      </c>
      <c r="CQ58">
        <v>16480.8</v>
      </c>
      <c r="CR58">
        <v>9</v>
      </c>
      <c r="CS58">
        <v>10594.800000000001</v>
      </c>
      <c r="CT58">
        <v>18</v>
      </c>
      <c r="CU58">
        <v>21189.600000000002</v>
      </c>
    </row>
    <row r="59" spans="2:99" x14ac:dyDescent="0.2">
      <c r="C59" s="118" t="s">
        <v>225</v>
      </c>
      <c r="D59">
        <v>10</v>
      </c>
      <c r="E59">
        <v>3035.9999999999995</v>
      </c>
      <c r="F59">
        <v>15</v>
      </c>
      <c r="G59">
        <v>4553.9999999999991</v>
      </c>
      <c r="H59">
        <v>16</v>
      </c>
      <c r="I59">
        <v>4857.5999999999995</v>
      </c>
      <c r="J59">
        <v>14</v>
      </c>
      <c r="K59">
        <v>4250.3999999999996</v>
      </c>
      <c r="L59">
        <v>14.279227243789672</v>
      </c>
      <c r="M59">
        <v>4335.1733912145437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</row>
    <row r="60" spans="2:99" x14ac:dyDescent="0.2">
      <c r="C60" s="118" t="s">
        <v>226</v>
      </c>
      <c r="D60">
        <v>10</v>
      </c>
      <c r="E60">
        <v>6516</v>
      </c>
      <c r="F60">
        <v>16</v>
      </c>
      <c r="G60">
        <v>10425.6</v>
      </c>
      <c r="H60">
        <v>15</v>
      </c>
      <c r="I60">
        <v>9774</v>
      </c>
      <c r="J60">
        <v>13</v>
      </c>
      <c r="K60">
        <v>8470.8000000000011</v>
      </c>
      <c r="L60">
        <v>12.494323838315964</v>
      </c>
      <c r="M60">
        <v>8141.3014130466827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</row>
    <row r="61" spans="2:99" x14ac:dyDescent="0.2">
      <c r="C61" s="118" t="s">
        <v>227</v>
      </c>
      <c r="D61">
        <v>11</v>
      </c>
      <c r="E61">
        <v>10467.599999999999</v>
      </c>
      <c r="F61">
        <v>14</v>
      </c>
      <c r="G61">
        <v>13322.399999999998</v>
      </c>
      <c r="H61">
        <v>17</v>
      </c>
      <c r="I61">
        <v>16177.199999999999</v>
      </c>
      <c r="J61">
        <v>14</v>
      </c>
      <c r="K61">
        <v>13322.399999999998</v>
      </c>
      <c r="L61">
        <v>11.601872135579107</v>
      </c>
      <c r="M61">
        <v>11040.341524217078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</row>
    <row r="62" spans="2:99" x14ac:dyDescent="0.2">
      <c r="C62" s="118" t="s">
        <v>228</v>
      </c>
      <c r="D62">
        <v>10</v>
      </c>
      <c r="E62">
        <v>17052</v>
      </c>
      <c r="F62">
        <v>13</v>
      </c>
      <c r="G62">
        <v>22167.600000000002</v>
      </c>
      <c r="H62">
        <v>15</v>
      </c>
      <c r="I62">
        <v>25578</v>
      </c>
      <c r="J62">
        <v>12</v>
      </c>
      <c r="K62">
        <v>20462.400000000001</v>
      </c>
      <c r="L62">
        <v>11.601872135579107</v>
      </c>
      <c r="M62">
        <v>19783.512365589493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</row>
    <row r="63" spans="2:99" x14ac:dyDescent="0.2">
      <c r="C63" s="118" t="s">
        <v>229</v>
      </c>
      <c r="D63">
        <v>11</v>
      </c>
      <c r="E63">
        <v>8751.6</v>
      </c>
      <c r="F63">
        <v>14</v>
      </c>
      <c r="G63">
        <v>11138.4</v>
      </c>
      <c r="H63">
        <v>15</v>
      </c>
      <c r="I63">
        <v>11934</v>
      </c>
      <c r="J63">
        <v>12</v>
      </c>
      <c r="K63">
        <v>9547.2000000000007</v>
      </c>
      <c r="L63">
        <v>14.279227243789672</v>
      </c>
      <c r="M63">
        <v>11360.553195159064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</row>
    <row r="64" spans="2:99" x14ac:dyDescent="0.2">
      <c r="C64" s="118" t="s">
        <v>230</v>
      </c>
      <c r="D64">
        <v>11</v>
      </c>
      <c r="E64">
        <v>11101.199999999997</v>
      </c>
      <c r="F64">
        <v>15</v>
      </c>
      <c r="G64">
        <v>15137.999999999996</v>
      </c>
      <c r="H64">
        <v>17</v>
      </c>
      <c r="I64">
        <v>17156.399999999998</v>
      </c>
      <c r="J64">
        <v>12</v>
      </c>
      <c r="K64">
        <v>12110.399999999998</v>
      </c>
      <c r="L64">
        <v>13.386775541052819</v>
      </c>
      <c r="M64">
        <v>13509.933876030502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</row>
    <row r="65" spans="2:99" x14ac:dyDescent="0.2">
      <c r="C65" s="118" t="s">
        <v>231</v>
      </c>
      <c r="D65">
        <v>11</v>
      </c>
      <c r="E65">
        <v>11286</v>
      </c>
      <c r="F65">
        <v>16</v>
      </c>
      <c r="G65">
        <v>16416</v>
      </c>
      <c r="H65">
        <v>15</v>
      </c>
      <c r="I65">
        <v>15390</v>
      </c>
      <c r="J65">
        <v>13</v>
      </c>
      <c r="K65">
        <v>13338</v>
      </c>
      <c r="L65">
        <v>13.386775541052819</v>
      </c>
      <c r="M65">
        <v>13734.831705120192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</row>
    <row r="66" spans="2:99" x14ac:dyDescent="0.2">
      <c r="C66" s="118" t="s">
        <v>232</v>
      </c>
      <c r="D66">
        <v>10</v>
      </c>
      <c r="E66">
        <v>11903.999999999998</v>
      </c>
      <c r="F66">
        <v>13</v>
      </c>
      <c r="G66">
        <v>15475.199999999999</v>
      </c>
      <c r="H66">
        <v>16</v>
      </c>
      <c r="I66">
        <v>19046.399999999998</v>
      </c>
      <c r="J66">
        <v>14</v>
      </c>
      <c r="K66">
        <v>16665.599999999999</v>
      </c>
      <c r="L66">
        <v>11.601872135579107</v>
      </c>
      <c r="M66">
        <v>13810.868590193368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</row>
    <row r="67" spans="2:99" x14ac:dyDescent="0.2">
      <c r="C67" s="118" t="s">
        <v>233</v>
      </c>
      <c r="D67">
        <v>11</v>
      </c>
      <c r="E67">
        <v>12355.2</v>
      </c>
      <c r="F67">
        <v>15</v>
      </c>
      <c r="G67">
        <v>16848</v>
      </c>
      <c r="H67">
        <v>17</v>
      </c>
      <c r="I67">
        <v>19094.400000000001</v>
      </c>
      <c r="J67">
        <v>12</v>
      </c>
      <c r="K67">
        <v>13478.400000000001</v>
      </c>
      <c r="L67">
        <v>13.386775541052819</v>
      </c>
      <c r="M67">
        <v>15036.026287710527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</row>
    <row r="68" spans="2:99" x14ac:dyDescent="0.2">
      <c r="C68" s="118" t="s">
        <v>234</v>
      </c>
      <c r="D68">
        <v>10</v>
      </c>
      <c r="E68">
        <v>10332</v>
      </c>
      <c r="F68">
        <v>16</v>
      </c>
      <c r="G68">
        <v>16531.2</v>
      </c>
      <c r="H68">
        <v>15</v>
      </c>
      <c r="I68">
        <v>15498</v>
      </c>
      <c r="J68">
        <v>13</v>
      </c>
      <c r="K68">
        <v>13431.6</v>
      </c>
      <c r="L68">
        <v>12.494323838315964</v>
      </c>
      <c r="M68">
        <v>12909.135389748055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</row>
    <row r="69" spans="2:99" x14ac:dyDescent="0.2">
      <c r="C69" s="118" t="s">
        <v>235</v>
      </c>
      <c r="D69">
        <v>11</v>
      </c>
      <c r="E69">
        <v>8342.4</v>
      </c>
      <c r="F69">
        <v>14</v>
      </c>
      <c r="G69">
        <v>10617.6</v>
      </c>
      <c r="H69">
        <v>17</v>
      </c>
      <c r="I69">
        <v>12892.8</v>
      </c>
      <c r="J69">
        <v>13</v>
      </c>
      <c r="K69">
        <v>9859.1999999999989</v>
      </c>
      <c r="L69">
        <v>12.494323838315964</v>
      </c>
      <c r="M69">
        <v>9475.6951989788267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</row>
    <row r="70" spans="2:99" x14ac:dyDescent="0.2">
      <c r="C70" s="118" t="s">
        <v>236</v>
      </c>
      <c r="D70">
        <v>11</v>
      </c>
      <c r="E70">
        <v>5887.1999999999989</v>
      </c>
      <c r="F70">
        <v>16</v>
      </c>
      <c r="G70">
        <v>8563.1999999999989</v>
      </c>
      <c r="H70">
        <v>16</v>
      </c>
      <c r="I70">
        <v>8563.1999999999989</v>
      </c>
      <c r="J70">
        <v>14</v>
      </c>
      <c r="K70">
        <v>7492.7999999999993</v>
      </c>
      <c r="L70">
        <v>12.494323838315964</v>
      </c>
      <c r="M70">
        <v>6686.9621182667033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</row>
    <row r="71" spans="2:99" x14ac:dyDescent="0.2">
      <c r="B71" s="118" t="s">
        <v>130</v>
      </c>
      <c r="C71" s="118" t="s">
        <v>237</v>
      </c>
      <c r="D71">
        <v>11</v>
      </c>
      <c r="E71">
        <v>6204</v>
      </c>
      <c r="F71">
        <v>15</v>
      </c>
      <c r="G71">
        <v>8460</v>
      </c>
      <c r="H71">
        <v>11</v>
      </c>
      <c r="I71">
        <v>6204</v>
      </c>
      <c r="J71">
        <v>11</v>
      </c>
      <c r="K71">
        <v>6204</v>
      </c>
      <c r="L71">
        <v>11</v>
      </c>
      <c r="M71">
        <v>6204</v>
      </c>
      <c r="N71">
        <v>15</v>
      </c>
      <c r="O71">
        <v>8460</v>
      </c>
      <c r="P71">
        <v>13</v>
      </c>
      <c r="Q71">
        <v>7332</v>
      </c>
      <c r="R71">
        <v>12</v>
      </c>
      <c r="S71">
        <v>6768</v>
      </c>
      <c r="T71">
        <v>14</v>
      </c>
      <c r="U71">
        <v>7896</v>
      </c>
      <c r="V71">
        <v>11</v>
      </c>
      <c r="W71">
        <v>6204</v>
      </c>
      <c r="X71">
        <v>9</v>
      </c>
      <c r="Y71">
        <v>5076</v>
      </c>
      <c r="Z71">
        <v>14</v>
      </c>
      <c r="AA71">
        <v>7896</v>
      </c>
      <c r="AB71">
        <v>8</v>
      </c>
      <c r="AC71">
        <v>4512</v>
      </c>
      <c r="AD71">
        <v>13</v>
      </c>
      <c r="AE71">
        <v>7332</v>
      </c>
      <c r="AF71">
        <v>15</v>
      </c>
      <c r="AG71">
        <v>8460</v>
      </c>
      <c r="AH71">
        <v>13</v>
      </c>
      <c r="AI71">
        <v>7332</v>
      </c>
      <c r="AJ71">
        <v>13</v>
      </c>
      <c r="AK71">
        <v>7332</v>
      </c>
      <c r="AL71">
        <v>14</v>
      </c>
      <c r="AM71">
        <v>7896</v>
      </c>
      <c r="AN71">
        <v>11</v>
      </c>
      <c r="AO71">
        <v>6204</v>
      </c>
      <c r="AP71">
        <v>16</v>
      </c>
      <c r="AQ71">
        <v>9024</v>
      </c>
      <c r="AR71">
        <v>16</v>
      </c>
      <c r="AS71">
        <v>9024</v>
      </c>
      <c r="AT71">
        <v>14</v>
      </c>
      <c r="AU71">
        <v>7896</v>
      </c>
      <c r="AV71">
        <v>8</v>
      </c>
      <c r="AW71">
        <v>4512</v>
      </c>
      <c r="AX71">
        <v>18</v>
      </c>
      <c r="AY71">
        <v>10152</v>
      </c>
      <c r="AZ71">
        <v>15</v>
      </c>
      <c r="BA71">
        <v>8460</v>
      </c>
      <c r="BB71">
        <v>14</v>
      </c>
      <c r="BC71">
        <v>7896</v>
      </c>
      <c r="BD71">
        <v>8</v>
      </c>
      <c r="BE71">
        <v>4512</v>
      </c>
      <c r="BF71">
        <v>11</v>
      </c>
      <c r="BG71">
        <v>6204</v>
      </c>
      <c r="BH71">
        <v>13</v>
      </c>
      <c r="BI71">
        <v>7332</v>
      </c>
      <c r="BJ71">
        <v>12</v>
      </c>
      <c r="BK71">
        <v>6768</v>
      </c>
      <c r="BL71">
        <v>18</v>
      </c>
      <c r="BM71">
        <v>10152</v>
      </c>
      <c r="BN71">
        <v>18</v>
      </c>
      <c r="BO71">
        <v>10152</v>
      </c>
      <c r="BP71">
        <v>13</v>
      </c>
      <c r="BQ71">
        <v>7332</v>
      </c>
      <c r="BR71">
        <v>13</v>
      </c>
      <c r="BS71">
        <v>7332</v>
      </c>
      <c r="BT71">
        <v>11</v>
      </c>
      <c r="BU71">
        <v>6204</v>
      </c>
      <c r="BV71">
        <v>16</v>
      </c>
      <c r="BW71">
        <v>9024</v>
      </c>
      <c r="BX71">
        <v>13</v>
      </c>
      <c r="BY71">
        <v>7332</v>
      </c>
      <c r="BZ71">
        <v>17</v>
      </c>
      <c r="CA71">
        <v>9588</v>
      </c>
      <c r="CB71">
        <v>11</v>
      </c>
      <c r="CC71">
        <v>6204</v>
      </c>
      <c r="CD71">
        <v>15</v>
      </c>
      <c r="CE71">
        <v>8460</v>
      </c>
      <c r="CF71">
        <v>18</v>
      </c>
      <c r="CG71">
        <v>10152</v>
      </c>
      <c r="CH71">
        <v>13</v>
      </c>
      <c r="CI71">
        <v>7332</v>
      </c>
      <c r="CJ71">
        <v>12</v>
      </c>
      <c r="CK71">
        <v>6768</v>
      </c>
      <c r="CL71">
        <v>16</v>
      </c>
      <c r="CM71">
        <v>9024</v>
      </c>
      <c r="CN71">
        <v>13</v>
      </c>
      <c r="CO71">
        <v>7332</v>
      </c>
      <c r="CP71">
        <v>14</v>
      </c>
      <c r="CQ71">
        <v>7896</v>
      </c>
      <c r="CR71">
        <v>9</v>
      </c>
      <c r="CS71">
        <v>5076</v>
      </c>
      <c r="CT71">
        <v>11</v>
      </c>
      <c r="CU71">
        <v>6204</v>
      </c>
    </row>
    <row r="72" spans="2:99" x14ac:dyDescent="0.2">
      <c r="C72" s="118" t="s">
        <v>238</v>
      </c>
      <c r="D72">
        <v>11</v>
      </c>
      <c r="E72">
        <v>818.39999999999986</v>
      </c>
      <c r="F72">
        <v>14</v>
      </c>
      <c r="G72">
        <v>1041.5999999999999</v>
      </c>
      <c r="H72">
        <v>12</v>
      </c>
      <c r="I72">
        <v>892.8</v>
      </c>
      <c r="J72">
        <v>10</v>
      </c>
      <c r="K72">
        <v>743.99999999999989</v>
      </c>
      <c r="L72">
        <v>11</v>
      </c>
      <c r="M72">
        <v>818.39999999999986</v>
      </c>
      <c r="N72">
        <v>15</v>
      </c>
      <c r="O72">
        <v>1115.9999999999998</v>
      </c>
      <c r="P72">
        <v>16</v>
      </c>
      <c r="Q72">
        <v>1190.3999999999999</v>
      </c>
      <c r="R72">
        <v>14</v>
      </c>
      <c r="S72">
        <v>1041.5999999999999</v>
      </c>
      <c r="T72">
        <v>13</v>
      </c>
      <c r="U72">
        <v>967.19999999999993</v>
      </c>
      <c r="V72">
        <v>13</v>
      </c>
      <c r="W72">
        <v>967.19999999999993</v>
      </c>
      <c r="X72">
        <v>9</v>
      </c>
      <c r="Y72">
        <v>669.59999999999991</v>
      </c>
      <c r="Z72">
        <v>17</v>
      </c>
      <c r="AA72">
        <v>1264.8</v>
      </c>
      <c r="AB72">
        <v>9</v>
      </c>
      <c r="AC72">
        <v>669.59999999999991</v>
      </c>
      <c r="AD72">
        <v>15</v>
      </c>
      <c r="AE72">
        <v>1115.9999999999998</v>
      </c>
      <c r="AF72">
        <v>17</v>
      </c>
      <c r="AG72">
        <v>1264.8</v>
      </c>
      <c r="AH72">
        <v>17</v>
      </c>
      <c r="AI72">
        <v>1264.8</v>
      </c>
      <c r="AJ72">
        <v>14</v>
      </c>
      <c r="AK72">
        <v>1041.5999999999999</v>
      </c>
      <c r="AL72">
        <v>16</v>
      </c>
      <c r="AM72">
        <v>1190.3999999999999</v>
      </c>
      <c r="AN72">
        <v>14</v>
      </c>
      <c r="AO72">
        <v>1041.5999999999999</v>
      </c>
      <c r="AP72">
        <v>16</v>
      </c>
      <c r="AQ72">
        <v>1190.3999999999999</v>
      </c>
      <c r="AR72">
        <v>16</v>
      </c>
      <c r="AS72">
        <v>1190.3999999999999</v>
      </c>
      <c r="AT72">
        <v>15</v>
      </c>
      <c r="AU72">
        <v>1115.9999999999998</v>
      </c>
      <c r="AV72">
        <v>10</v>
      </c>
      <c r="AW72">
        <v>743.99999999999989</v>
      </c>
      <c r="AX72">
        <v>18</v>
      </c>
      <c r="AY72">
        <v>1339.1999999999998</v>
      </c>
      <c r="AZ72">
        <v>16</v>
      </c>
      <c r="BA72">
        <v>1190.3999999999999</v>
      </c>
      <c r="BB72">
        <v>14</v>
      </c>
      <c r="BC72">
        <v>1041.5999999999999</v>
      </c>
      <c r="BD72">
        <v>10</v>
      </c>
      <c r="BE72">
        <v>743.99999999999989</v>
      </c>
      <c r="BF72">
        <v>13</v>
      </c>
      <c r="BG72">
        <v>967.19999999999993</v>
      </c>
      <c r="BH72">
        <v>14</v>
      </c>
      <c r="BI72">
        <v>1041.5999999999999</v>
      </c>
      <c r="BJ72">
        <v>12</v>
      </c>
      <c r="BK72">
        <v>892.8</v>
      </c>
      <c r="BL72">
        <v>18</v>
      </c>
      <c r="BM72">
        <v>1339.1999999999998</v>
      </c>
      <c r="BN72">
        <v>17</v>
      </c>
      <c r="BO72">
        <v>1264.8</v>
      </c>
      <c r="BP72">
        <v>14</v>
      </c>
      <c r="BQ72">
        <v>1041.5999999999999</v>
      </c>
      <c r="BR72">
        <v>11</v>
      </c>
      <c r="BS72">
        <v>818.39999999999986</v>
      </c>
      <c r="BT72">
        <v>12</v>
      </c>
      <c r="BU72">
        <v>892.8</v>
      </c>
      <c r="BV72">
        <v>15</v>
      </c>
      <c r="BW72">
        <v>1115.9999999999998</v>
      </c>
      <c r="BX72">
        <v>13</v>
      </c>
      <c r="BY72">
        <v>967.19999999999993</v>
      </c>
      <c r="BZ72">
        <v>18</v>
      </c>
      <c r="CA72">
        <v>1339.1999999999998</v>
      </c>
      <c r="CB72">
        <v>13</v>
      </c>
      <c r="CC72">
        <v>967.19999999999993</v>
      </c>
      <c r="CD72">
        <v>15</v>
      </c>
      <c r="CE72">
        <v>1115.9999999999998</v>
      </c>
      <c r="CF72">
        <v>18</v>
      </c>
      <c r="CG72">
        <v>1339.1999999999998</v>
      </c>
      <c r="CH72">
        <v>13</v>
      </c>
      <c r="CI72">
        <v>967.19999999999993</v>
      </c>
      <c r="CJ72">
        <v>12</v>
      </c>
      <c r="CK72">
        <v>892.8</v>
      </c>
      <c r="CL72">
        <v>15</v>
      </c>
      <c r="CM72">
        <v>1115.9999999999998</v>
      </c>
      <c r="CN72">
        <v>14</v>
      </c>
      <c r="CO72">
        <v>1041.5999999999999</v>
      </c>
      <c r="CP72">
        <v>17</v>
      </c>
      <c r="CQ72">
        <v>1264.8</v>
      </c>
      <c r="CR72">
        <v>10</v>
      </c>
      <c r="CS72">
        <v>743.99999999999989</v>
      </c>
      <c r="CT72">
        <v>12</v>
      </c>
      <c r="CU72">
        <v>892.8</v>
      </c>
    </row>
    <row r="73" spans="2:99" x14ac:dyDescent="0.2">
      <c r="C73" s="118" t="s">
        <v>239</v>
      </c>
      <c r="D73">
        <v>11</v>
      </c>
      <c r="E73">
        <v>6151.1999999999989</v>
      </c>
      <c r="F73">
        <v>15</v>
      </c>
      <c r="G73">
        <v>8387.9999999999982</v>
      </c>
      <c r="H73">
        <v>10</v>
      </c>
      <c r="I73">
        <v>5591.9999999999991</v>
      </c>
      <c r="J73">
        <v>10</v>
      </c>
      <c r="K73">
        <v>5591.9999999999991</v>
      </c>
      <c r="L73">
        <v>12</v>
      </c>
      <c r="M73">
        <v>6710.4</v>
      </c>
      <c r="N73">
        <v>13</v>
      </c>
      <c r="O73">
        <v>7269.5999999999995</v>
      </c>
      <c r="P73">
        <v>15</v>
      </c>
      <c r="Q73">
        <v>8387.9999999999982</v>
      </c>
      <c r="R73">
        <v>13</v>
      </c>
      <c r="S73">
        <v>7269.5999999999995</v>
      </c>
      <c r="T73">
        <v>12</v>
      </c>
      <c r="U73">
        <v>6710.4</v>
      </c>
      <c r="V73">
        <v>11</v>
      </c>
      <c r="W73">
        <v>6151.1999999999989</v>
      </c>
      <c r="X73">
        <v>9</v>
      </c>
      <c r="Y73">
        <v>5032.7999999999993</v>
      </c>
      <c r="Z73">
        <v>15</v>
      </c>
      <c r="AA73">
        <v>8387.9999999999982</v>
      </c>
      <c r="AB73">
        <v>8</v>
      </c>
      <c r="AC73">
        <v>4473.5999999999995</v>
      </c>
      <c r="AD73">
        <v>15</v>
      </c>
      <c r="AE73">
        <v>8387.9999999999982</v>
      </c>
      <c r="AF73">
        <v>15</v>
      </c>
      <c r="AG73">
        <v>8387.9999999999982</v>
      </c>
      <c r="AH73">
        <v>14</v>
      </c>
      <c r="AI73">
        <v>7828.7999999999993</v>
      </c>
      <c r="AJ73">
        <v>14</v>
      </c>
      <c r="AK73">
        <v>7828.7999999999993</v>
      </c>
      <c r="AL73">
        <v>13</v>
      </c>
      <c r="AM73">
        <v>7269.5999999999995</v>
      </c>
      <c r="AN73">
        <v>12</v>
      </c>
      <c r="AO73">
        <v>6710.4</v>
      </c>
      <c r="AP73">
        <v>15</v>
      </c>
      <c r="AQ73">
        <v>8387.9999999999982</v>
      </c>
      <c r="AR73">
        <v>17</v>
      </c>
      <c r="AS73">
        <v>9506.4</v>
      </c>
      <c r="AT73">
        <v>14</v>
      </c>
      <c r="AU73">
        <v>7828.7999999999993</v>
      </c>
      <c r="AV73">
        <v>8</v>
      </c>
      <c r="AW73">
        <v>4473.5999999999995</v>
      </c>
      <c r="AX73">
        <v>17</v>
      </c>
      <c r="AY73">
        <v>9506.4</v>
      </c>
      <c r="AZ73">
        <v>15</v>
      </c>
      <c r="BA73">
        <v>8387.9999999999982</v>
      </c>
      <c r="BB73">
        <v>14</v>
      </c>
      <c r="BC73">
        <v>7828.7999999999993</v>
      </c>
      <c r="BD73">
        <v>9</v>
      </c>
      <c r="BE73">
        <v>5032.7999999999993</v>
      </c>
      <c r="BF73">
        <v>12</v>
      </c>
      <c r="BG73">
        <v>6710.4</v>
      </c>
      <c r="BH73">
        <v>12</v>
      </c>
      <c r="BI73">
        <v>6710.4</v>
      </c>
      <c r="BJ73">
        <v>11</v>
      </c>
      <c r="BK73">
        <v>6151.1999999999989</v>
      </c>
      <c r="BL73">
        <v>16</v>
      </c>
      <c r="BM73">
        <v>8947.1999999999989</v>
      </c>
      <c r="BN73">
        <v>15</v>
      </c>
      <c r="BO73">
        <v>8387.9999999999982</v>
      </c>
      <c r="BP73">
        <v>12</v>
      </c>
      <c r="BQ73">
        <v>6710.4</v>
      </c>
      <c r="BR73">
        <v>13</v>
      </c>
      <c r="BS73">
        <v>7269.5999999999995</v>
      </c>
      <c r="BT73">
        <v>13</v>
      </c>
      <c r="BU73">
        <v>7269.5999999999995</v>
      </c>
      <c r="BV73">
        <v>14</v>
      </c>
      <c r="BW73">
        <v>7828.7999999999993</v>
      </c>
      <c r="BX73">
        <v>14</v>
      </c>
      <c r="BY73">
        <v>7828.7999999999993</v>
      </c>
      <c r="BZ73">
        <v>17</v>
      </c>
      <c r="CA73">
        <v>9506.4</v>
      </c>
      <c r="CB73">
        <v>12</v>
      </c>
      <c r="CC73">
        <v>6710.4</v>
      </c>
      <c r="CD73">
        <v>15</v>
      </c>
      <c r="CE73">
        <v>8387.9999999999982</v>
      </c>
      <c r="CF73">
        <v>16</v>
      </c>
      <c r="CG73">
        <v>8947.1999999999989</v>
      </c>
      <c r="CH73">
        <v>12</v>
      </c>
      <c r="CI73">
        <v>6710.4</v>
      </c>
      <c r="CJ73">
        <v>13</v>
      </c>
      <c r="CK73">
        <v>7269.5999999999995</v>
      </c>
      <c r="CL73">
        <v>15</v>
      </c>
      <c r="CM73">
        <v>8387.9999999999982</v>
      </c>
      <c r="CN73">
        <v>14</v>
      </c>
      <c r="CO73">
        <v>7828.7999999999993</v>
      </c>
      <c r="CP73">
        <v>16</v>
      </c>
      <c r="CQ73">
        <v>8947.1999999999989</v>
      </c>
      <c r="CR73">
        <v>9</v>
      </c>
      <c r="CS73">
        <v>5032.7999999999993</v>
      </c>
      <c r="CT73">
        <v>11</v>
      </c>
      <c r="CU73">
        <v>6151.1999999999989</v>
      </c>
    </row>
    <row r="74" spans="2:99" x14ac:dyDescent="0.2">
      <c r="C74" s="118" t="s">
        <v>240</v>
      </c>
      <c r="D74">
        <v>10</v>
      </c>
      <c r="E74">
        <v>4032</v>
      </c>
      <c r="F74">
        <v>14</v>
      </c>
      <c r="G74">
        <v>5644.8</v>
      </c>
      <c r="H74">
        <v>11</v>
      </c>
      <c r="I74">
        <v>4435.2</v>
      </c>
      <c r="J74">
        <v>11</v>
      </c>
      <c r="K74">
        <v>4435.2</v>
      </c>
      <c r="L74">
        <v>11</v>
      </c>
      <c r="M74">
        <v>4435.2</v>
      </c>
      <c r="N74">
        <v>14</v>
      </c>
      <c r="O74">
        <v>5644.8</v>
      </c>
      <c r="P74">
        <v>14</v>
      </c>
      <c r="Q74">
        <v>5644.8</v>
      </c>
      <c r="R74">
        <v>14</v>
      </c>
      <c r="S74">
        <v>5644.8</v>
      </c>
      <c r="T74">
        <v>12</v>
      </c>
      <c r="U74">
        <v>4838.3999999999996</v>
      </c>
      <c r="V74">
        <v>11</v>
      </c>
      <c r="W74">
        <v>4435.2</v>
      </c>
      <c r="X74">
        <v>9</v>
      </c>
      <c r="Y74">
        <v>3628.7999999999997</v>
      </c>
      <c r="Z74">
        <v>15</v>
      </c>
      <c r="AA74">
        <v>6048</v>
      </c>
      <c r="AB74">
        <v>9</v>
      </c>
      <c r="AC74">
        <v>3628.7999999999997</v>
      </c>
      <c r="AD74">
        <v>14</v>
      </c>
      <c r="AE74">
        <v>5644.8</v>
      </c>
      <c r="AF74">
        <v>16</v>
      </c>
      <c r="AG74">
        <v>6451.2</v>
      </c>
      <c r="AH74">
        <v>14</v>
      </c>
      <c r="AI74">
        <v>5644.8</v>
      </c>
      <c r="AJ74">
        <v>14</v>
      </c>
      <c r="AK74">
        <v>5644.8</v>
      </c>
      <c r="AL74">
        <v>16</v>
      </c>
      <c r="AM74">
        <v>6451.2</v>
      </c>
      <c r="AN74">
        <v>13</v>
      </c>
      <c r="AO74">
        <v>5241.5999999999995</v>
      </c>
      <c r="AP74">
        <v>16</v>
      </c>
      <c r="AQ74">
        <v>6451.2</v>
      </c>
      <c r="AR74">
        <v>15</v>
      </c>
      <c r="AS74">
        <v>6048</v>
      </c>
      <c r="AT74">
        <v>13</v>
      </c>
      <c r="AU74">
        <v>5241.5999999999995</v>
      </c>
      <c r="AV74">
        <v>10</v>
      </c>
      <c r="AW74">
        <v>4032</v>
      </c>
      <c r="AX74">
        <v>17</v>
      </c>
      <c r="AY74">
        <v>6854.4</v>
      </c>
      <c r="AZ74">
        <v>14</v>
      </c>
      <c r="BA74">
        <v>5644.8</v>
      </c>
      <c r="BB74">
        <v>16</v>
      </c>
      <c r="BC74">
        <v>6451.2</v>
      </c>
      <c r="BD74">
        <v>10</v>
      </c>
      <c r="BE74">
        <v>4032</v>
      </c>
      <c r="BF74">
        <v>12</v>
      </c>
      <c r="BG74">
        <v>4838.3999999999996</v>
      </c>
      <c r="BH74">
        <v>13</v>
      </c>
      <c r="BI74">
        <v>5241.5999999999995</v>
      </c>
      <c r="BJ74">
        <v>11</v>
      </c>
      <c r="BK74">
        <v>4435.2</v>
      </c>
      <c r="BL74">
        <v>15</v>
      </c>
      <c r="BM74">
        <v>6048</v>
      </c>
      <c r="BN74">
        <v>17</v>
      </c>
      <c r="BO74">
        <v>6854.4</v>
      </c>
      <c r="BP74">
        <v>13</v>
      </c>
      <c r="BQ74">
        <v>5241.5999999999995</v>
      </c>
      <c r="BR74">
        <v>12</v>
      </c>
      <c r="BS74">
        <v>4838.3999999999996</v>
      </c>
      <c r="BT74">
        <v>12</v>
      </c>
      <c r="BU74">
        <v>4838.3999999999996</v>
      </c>
      <c r="BV74">
        <v>14</v>
      </c>
      <c r="BW74">
        <v>5644.8</v>
      </c>
      <c r="BX74">
        <v>13</v>
      </c>
      <c r="BY74">
        <v>5241.5999999999995</v>
      </c>
      <c r="BZ74">
        <v>16</v>
      </c>
      <c r="CA74">
        <v>6451.2</v>
      </c>
      <c r="CB74">
        <v>11</v>
      </c>
      <c r="CC74">
        <v>4435.2</v>
      </c>
      <c r="CD74">
        <v>14</v>
      </c>
      <c r="CE74">
        <v>5644.8</v>
      </c>
      <c r="CF74">
        <v>17</v>
      </c>
      <c r="CG74">
        <v>6854.4</v>
      </c>
      <c r="CH74">
        <v>11</v>
      </c>
      <c r="CI74">
        <v>4435.2</v>
      </c>
      <c r="CJ74">
        <v>12</v>
      </c>
      <c r="CK74">
        <v>4838.3999999999996</v>
      </c>
      <c r="CL74">
        <v>17</v>
      </c>
      <c r="CM74">
        <v>6854.4</v>
      </c>
      <c r="CN74">
        <v>13</v>
      </c>
      <c r="CO74">
        <v>5241.5999999999995</v>
      </c>
      <c r="CP74">
        <v>15</v>
      </c>
      <c r="CQ74">
        <v>6048</v>
      </c>
      <c r="CR74">
        <v>10</v>
      </c>
      <c r="CS74">
        <v>4032</v>
      </c>
      <c r="CT74">
        <v>11</v>
      </c>
      <c r="CU74">
        <v>4435.2</v>
      </c>
    </row>
    <row r="75" spans="2:99" x14ac:dyDescent="0.2">
      <c r="C75" s="118" t="s">
        <v>241</v>
      </c>
      <c r="D75">
        <v>10</v>
      </c>
      <c r="E75">
        <v>6431.9999999999991</v>
      </c>
      <c r="F75">
        <v>15</v>
      </c>
      <c r="G75">
        <v>9647.9999999999982</v>
      </c>
      <c r="H75">
        <v>10</v>
      </c>
      <c r="I75">
        <v>6431.9999999999991</v>
      </c>
      <c r="J75">
        <v>11</v>
      </c>
      <c r="K75">
        <v>7075.1999999999989</v>
      </c>
      <c r="L75">
        <v>11</v>
      </c>
      <c r="M75">
        <v>7075.1999999999989</v>
      </c>
      <c r="N75">
        <v>14</v>
      </c>
      <c r="O75">
        <v>9004.7999999999993</v>
      </c>
      <c r="P75">
        <v>15</v>
      </c>
      <c r="Q75">
        <v>9647.9999999999982</v>
      </c>
      <c r="R75">
        <v>14</v>
      </c>
      <c r="S75">
        <v>9004.7999999999993</v>
      </c>
      <c r="T75">
        <v>13</v>
      </c>
      <c r="U75">
        <v>8361.5999999999985</v>
      </c>
      <c r="V75">
        <v>10</v>
      </c>
      <c r="W75">
        <v>6431.9999999999991</v>
      </c>
      <c r="X75">
        <v>9</v>
      </c>
      <c r="Y75">
        <v>5788.7999999999993</v>
      </c>
      <c r="Z75">
        <v>16</v>
      </c>
      <c r="AA75">
        <v>10291.199999999999</v>
      </c>
      <c r="AB75">
        <v>9</v>
      </c>
      <c r="AC75">
        <v>5788.7999999999993</v>
      </c>
      <c r="AD75">
        <v>14</v>
      </c>
      <c r="AE75">
        <v>9004.7999999999993</v>
      </c>
      <c r="AF75">
        <v>13</v>
      </c>
      <c r="AG75">
        <v>8361.5999999999985</v>
      </c>
      <c r="AH75">
        <v>16</v>
      </c>
      <c r="AI75">
        <v>10291.199999999999</v>
      </c>
      <c r="AJ75">
        <v>15</v>
      </c>
      <c r="AK75">
        <v>9647.9999999999982</v>
      </c>
      <c r="AL75">
        <v>15</v>
      </c>
      <c r="AM75">
        <v>9647.9999999999982</v>
      </c>
      <c r="AN75">
        <v>12</v>
      </c>
      <c r="AO75">
        <v>7718.4</v>
      </c>
      <c r="AP75">
        <v>16</v>
      </c>
      <c r="AQ75">
        <v>10291.199999999999</v>
      </c>
      <c r="AR75">
        <v>15</v>
      </c>
      <c r="AS75">
        <v>9647.9999999999982</v>
      </c>
      <c r="AT75">
        <v>13</v>
      </c>
      <c r="AU75">
        <v>8361.5999999999985</v>
      </c>
      <c r="AV75">
        <v>8</v>
      </c>
      <c r="AW75">
        <v>5145.5999999999995</v>
      </c>
      <c r="AX75">
        <v>16</v>
      </c>
      <c r="AY75">
        <v>10291.199999999999</v>
      </c>
      <c r="AZ75">
        <v>14</v>
      </c>
      <c r="BA75">
        <v>9004.7999999999993</v>
      </c>
      <c r="BB75">
        <v>13</v>
      </c>
      <c r="BC75">
        <v>8361.5999999999985</v>
      </c>
      <c r="BD75">
        <v>8</v>
      </c>
      <c r="BE75">
        <v>5145.5999999999995</v>
      </c>
      <c r="BF75">
        <v>13</v>
      </c>
      <c r="BG75">
        <v>8361.5999999999985</v>
      </c>
      <c r="BH75">
        <v>13</v>
      </c>
      <c r="BI75">
        <v>8361.5999999999985</v>
      </c>
      <c r="BJ75">
        <v>11</v>
      </c>
      <c r="BK75">
        <v>7075.1999999999989</v>
      </c>
      <c r="BL75">
        <v>15</v>
      </c>
      <c r="BM75">
        <v>9647.9999999999982</v>
      </c>
      <c r="BN75">
        <v>16</v>
      </c>
      <c r="BO75">
        <v>10291.199999999999</v>
      </c>
      <c r="BP75">
        <v>12</v>
      </c>
      <c r="BQ75">
        <v>7718.4</v>
      </c>
      <c r="BR75">
        <v>11</v>
      </c>
      <c r="BS75">
        <v>7075.1999999999989</v>
      </c>
      <c r="BT75">
        <v>11</v>
      </c>
      <c r="BU75">
        <v>7075.1999999999989</v>
      </c>
      <c r="BV75">
        <v>14</v>
      </c>
      <c r="BW75">
        <v>9004.7999999999993</v>
      </c>
      <c r="BX75">
        <v>13</v>
      </c>
      <c r="BY75">
        <v>8361.5999999999985</v>
      </c>
      <c r="BZ75">
        <v>18</v>
      </c>
      <c r="CA75">
        <v>11577.599999999999</v>
      </c>
      <c r="CB75">
        <v>12</v>
      </c>
      <c r="CC75">
        <v>7718.4</v>
      </c>
      <c r="CD75">
        <v>14</v>
      </c>
      <c r="CE75">
        <v>9004.7999999999993</v>
      </c>
      <c r="CF75">
        <v>18</v>
      </c>
      <c r="CG75">
        <v>11577.599999999999</v>
      </c>
      <c r="CH75">
        <v>11</v>
      </c>
      <c r="CI75">
        <v>7075.1999999999989</v>
      </c>
      <c r="CJ75">
        <v>11</v>
      </c>
      <c r="CK75">
        <v>7075.1999999999989</v>
      </c>
      <c r="CL75">
        <v>17</v>
      </c>
      <c r="CM75">
        <v>10934.4</v>
      </c>
      <c r="CN75">
        <v>14</v>
      </c>
      <c r="CO75">
        <v>9004.7999999999993</v>
      </c>
      <c r="CP75">
        <v>15</v>
      </c>
      <c r="CQ75">
        <v>9647.9999999999982</v>
      </c>
      <c r="CR75">
        <v>9</v>
      </c>
      <c r="CS75">
        <v>5788.7999999999993</v>
      </c>
      <c r="CT75">
        <v>13</v>
      </c>
      <c r="CU75">
        <v>8361.5999999999985</v>
      </c>
    </row>
    <row r="76" spans="2:99" x14ac:dyDescent="0.2">
      <c r="C76" s="118" t="s">
        <v>242</v>
      </c>
      <c r="D76">
        <v>10</v>
      </c>
      <c r="E76">
        <v>7788</v>
      </c>
      <c r="F76">
        <v>14</v>
      </c>
      <c r="G76">
        <v>10903.199999999999</v>
      </c>
      <c r="H76">
        <v>11</v>
      </c>
      <c r="I76">
        <v>8566.7999999999993</v>
      </c>
      <c r="J76">
        <v>9</v>
      </c>
      <c r="K76">
        <v>7009.2</v>
      </c>
      <c r="L76">
        <v>12</v>
      </c>
      <c r="M76">
        <v>9345.5999999999985</v>
      </c>
      <c r="N76">
        <v>12</v>
      </c>
      <c r="O76">
        <v>9345.5999999999985</v>
      </c>
      <c r="P76">
        <v>14</v>
      </c>
      <c r="Q76">
        <v>10903.199999999999</v>
      </c>
      <c r="R76">
        <v>13</v>
      </c>
      <c r="S76">
        <v>10124.4</v>
      </c>
      <c r="T76">
        <v>11</v>
      </c>
      <c r="U76">
        <v>8566.7999999999993</v>
      </c>
      <c r="V76">
        <v>11</v>
      </c>
      <c r="W76">
        <v>8566.7999999999993</v>
      </c>
      <c r="X76">
        <v>9</v>
      </c>
      <c r="Y76">
        <v>7009.2</v>
      </c>
      <c r="Z76">
        <v>14</v>
      </c>
      <c r="AA76">
        <v>10903.199999999999</v>
      </c>
      <c r="AB76">
        <v>8</v>
      </c>
      <c r="AC76">
        <v>6230.4</v>
      </c>
      <c r="AD76">
        <v>14</v>
      </c>
      <c r="AE76">
        <v>10903.199999999999</v>
      </c>
      <c r="AF76">
        <v>15</v>
      </c>
      <c r="AG76">
        <v>11682</v>
      </c>
      <c r="AH76">
        <v>14</v>
      </c>
      <c r="AI76">
        <v>10903.199999999999</v>
      </c>
      <c r="AJ76">
        <v>13</v>
      </c>
      <c r="AK76">
        <v>10124.4</v>
      </c>
      <c r="AL76">
        <v>15</v>
      </c>
      <c r="AM76">
        <v>11682</v>
      </c>
      <c r="AN76">
        <v>12</v>
      </c>
      <c r="AO76">
        <v>9345.5999999999985</v>
      </c>
      <c r="AP76">
        <v>13</v>
      </c>
      <c r="AQ76">
        <v>10124.4</v>
      </c>
      <c r="AR76">
        <v>17</v>
      </c>
      <c r="AS76">
        <v>13239.599999999999</v>
      </c>
      <c r="AT76">
        <v>12</v>
      </c>
      <c r="AU76">
        <v>9345.5999999999985</v>
      </c>
      <c r="AV76">
        <v>9</v>
      </c>
      <c r="AW76">
        <v>7009.2</v>
      </c>
      <c r="AX76">
        <v>16</v>
      </c>
      <c r="AY76">
        <v>12460.8</v>
      </c>
      <c r="AZ76">
        <v>13</v>
      </c>
      <c r="BA76">
        <v>10124.4</v>
      </c>
      <c r="BB76">
        <v>14</v>
      </c>
      <c r="BC76">
        <v>10903.199999999999</v>
      </c>
      <c r="BD76">
        <v>9</v>
      </c>
      <c r="BE76">
        <v>7009.2</v>
      </c>
      <c r="BF76">
        <v>11</v>
      </c>
      <c r="BG76">
        <v>8566.7999999999993</v>
      </c>
      <c r="BH76">
        <v>13</v>
      </c>
      <c r="BI76">
        <v>10124.4</v>
      </c>
      <c r="BJ76">
        <v>11</v>
      </c>
      <c r="BK76">
        <v>8566.7999999999993</v>
      </c>
      <c r="BL76">
        <v>15</v>
      </c>
      <c r="BM76">
        <v>11682</v>
      </c>
      <c r="BN76">
        <v>15</v>
      </c>
      <c r="BO76">
        <v>11682</v>
      </c>
      <c r="BP76">
        <v>13</v>
      </c>
      <c r="BQ76">
        <v>10124.4</v>
      </c>
      <c r="BR76">
        <v>12</v>
      </c>
      <c r="BS76">
        <v>9345.5999999999985</v>
      </c>
      <c r="BT76">
        <v>12</v>
      </c>
      <c r="BU76">
        <v>9345.5999999999985</v>
      </c>
      <c r="BV76">
        <v>15</v>
      </c>
      <c r="BW76">
        <v>11682</v>
      </c>
      <c r="BX76">
        <v>12</v>
      </c>
      <c r="BY76">
        <v>9345.5999999999985</v>
      </c>
      <c r="BZ76">
        <v>16</v>
      </c>
      <c r="CA76">
        <v>12460.8</v>
      </c>
      <c r="CB76">
        <v>11</v>
      </c>
      <c r="CC76">
        <v>8566.7999999999993</v>
      </c>
      <c r="CD76">
        <v>15</v>
      </c>
      <c r="CE76">
        <v>11682</v>
      </c>
      <c r="CF76">
        <v>15</v>
      </c>
      <c r="CG76">
        <v>11682</v>
      </c>
      <c r="CH76">
        <v>13</v>
      </c>
      <c r="CI76">
        <v>10124.4</v>
      </c>
      <c r="CJ76">
        <v>13</v>
      </c>
      <c r="CK76">
        <v>10124.4</v>
      </c>
      <c r="CL76">
        <v>15</v>
      </c>
      <c r="CM76">
        <v>11682</v>
      </c>
      <c r="CN76">
        <v>15</v>
      </c>
      <c r="CO76">
        <v>11682</v>
      </c>
      <c r="CP76">
        <v>14</v>
      </c>
      <c r="CQ76">
        <v>10903.199999999999</v>
      </c>
      <c r="CR76">
        <v>9</v>
      </c>
      <c r="CS76">
        <v>7009.2</v>
      </c>
      <c r="CT76">
        <v>11</v>
      </c>
      <c r="CU76">
        <v>8566.7999999999993</v>
      </c>
    </row>
    <row r="77" spans="2:99" x14ac:dyDescent="0.2">
      <c r="C77" s="118" t="s">
        <v>243</v>
      </c>
      <c r="D77">
        <v>11</v>
      </c>
      <c r="E77">
        <v>3062.3999999999996</v>
      </c>
      <c r="F77">
        <v>15</v>
      </c>
      <c r="G77">
        <v>4176</v>
      </c>
      <c r="H77">
        <v>12</v>
      </c>
      <c r="I77">
        <v>3340.7999999999997</v>
      </c>
      <c r="J77">
        <v>11</v>
      </c>
      <c r="K77">
        <v>3062.3999999999996</v>
      </c>
      <c r="L77">
        <v>12</v>
      </c>
      <c r="M77">
        <v>3340.7999999999997</v>
      </c>
      <c r="N77">
        <v>13</v>
      </c>
      <c r="O77">
        <v>3619.2</v>
      </c>
      <c r="P77">
        <v>14</v>
      </c>
      <c r="Q77">
        <v>3897.5999999999995</v>
      </c>
      <c r="R77">
        <v>14</v>
      </c>
      <c r="S77">
        <v>3897.5999999999995</v>
      </c>
      <c r="T77">
        <v>13</v>
      </c>
      <c r="U77">
        <v>3619.2</v>
      </c>
      <c r="V77">
        <v>11</v>
      </c>
      <c r="W77">
        <v>3062.3999999999996</v>
      </c>
      <c r="X77">
        <v>9</v>
      </c>
      <c r="Y77">
        <v>2505.6</v>
      </c>
      <c r="Z77">
        <v>15</v>
      </c>
      <c r="AA77">
        <v>4176</v>
      </c>
      <c r="AB77">
        <v>8</v>
      </c>
      <c r="AC77">
        <v>2227.1999999999998</v>
      </c>
      <c r="AD77">
        <v>14</v>
      </c>
      <c r="AE77">
        <v>3897.5999999999995</v>
      </c>
      <c r="AF77">
        <v>15</v>
      </c>
      <c r="AG77">
        <v>4176</v>
      </c>
      <c r="AH77">
        <v>15</v>
      </c>
      <c r="AI77">
        <v>4176</v>
      </c>
      <c r="AJ77">
        <v>13</v>
      </c>
      <c r="AK77">
        <v>3619.2</v>
      </c>
      <c r="AL77">
        <v>15</v>
      </c>
      <c r="AM77">
        <v>4176</v>
      </c>
      <c r="AN77">
        <v>11</v>
      </c>
      <c r="AO77">
        <v>3062.3999999999996</v>
      </c>
      <c r="AP77">
        <v>16</v>
      </c>
      <c r="AQ77">
        <v>4454.3999999999996</v>
      </c>
      <c r="AR77">
        <v>18</v>
      </c>
      <c r="AS77">
        <v>5011.2</v>
      </c>
      <c r="AT77">
        <v>13</v>
      </c>
      <c r="AU77">
        <v>3619.2</v>
      </c>
      <c r="AV77">
        <v>9</v>
      </c>
      <c r="AW77">
        <v>2505.6</v>
      </c>
      <c r="AX77">
        <v>18</v>
      </c>
      <c r="AY77">
        <v>5011.2</v>
      </c>
      <c r="AZ77">
        <v>14</v>
      </c>
      <c r="BA77">
        <v>3897.5999999999995</v>
      </c>
      <c r="BB77">
        <v>14</v>
      </c>
      <c r="BC77">
        <v>3897.5999999999995</v>
      </c>
      <c r="BD77">
        <v>9</v>
      </c>
      <c r="BE77">
        <v>2505.6</v>
      </c>
      <c r="BF77">
        <v>13</v>
      </c>
      <c r="BG77">
        <v>3619.2</v>
      </c>
      <c r="BH77">
        <v>13</v>
      </c>
      <c r="BI77">
        <v>3619.2</v>
      </c>
      <c r="BJ77">
        <v>12</v>
      </c>
      <c r="BK77">
        <v>3340.7999999999997</v>
      </c>
      <c r="BL77">
        <v>17</v>
      </c>
      <c r="BM77">
        <v>4732.7999999999993</v>
      </c>
      <c r="BN77">
        <v>17</v>
      </c>
      <c r="BO77">
        <v>4732.7999999999993</v>
      </c>
      <c r="BP77">
        <v>14</v>
      </c>
      <c r="BQ77">
        <v>3897.5999999999995</v>
      </c>
      <c r="BR77">
        <v>13</v>
      </c>
      <c r="BS77">
        <v>3619.2</v>
      </c>
      <c r="BT77">
        <v>13</v>
      </c>
      <c r="BU77">
        <v>3619.2</v>
      </c>
      <c r="BV77">
        <v>14</v>
      </c>
      <c r="BW77">
        <v>3897.5999999999995</v>
      </c>
      <c r="BX77">
        <v>13</v>
      </c>
      <c r="BY77">
        <v>3619.2</v>
      </c>
      <c r="BZ77">
        <v>17</v>
      </c>
      <c r="CA77">
        <v>4732.7999999999993</v>
      </c>
      <c r="CB77">
        <v>12</v>
      </c>
      <c r="CC77">
        <v>3340.7999999999997</v>
      </c>
      <c r="CD77">
        <v>15</v>
      </c>
      <c r="CE77">
        <v>4176</v>
      </c>
      <c r="CF77">
        <v>18</v>
      </c>
      <c r="CG77">
        <v>5011.2</v>
      </c>
      <c r="CH77">
        <v>11</v>
      </c>
      <c r="CI77">
        <v>3062.3999999999996</v>
      </c>
      <c r="CJ77">
        <v>13</v>
      </c>
      <c r="CK77">
        <v>3619.2</v>
      </c>
      <c r="CL77">
        <v>15</v>
      </c>
      <c r="CM77">
        <v>4176</v>
      </c>
      <c r="CN77">
        <v>13</v>
      </c>
      <c r="CO77">
        <v>3619.2</v>
      </c>
      <c r="CP77">
        <v>15</v>
      </c>
      <c r="CQ77">
        <v>4176</v>
      </c>
      <c r="CR77">
        <v>10</v>
      </c>
      <c r="CS77">
        <v>2784</v>
      </c>
      <c r="CT77">
        <v>12</v>
      </c>
      <c r="CU77">
        <v>3340.7999999999997</v>
      </c>
    </row>
    <row r="78" spans="2:99" x14ac:dyDescent="0.2">
      <c r="C78" s="118" t="s">
        <v>244</v>
      </c>
      <c r="D78">
        <v>12</v>
      </c>
      <c r="E78">
        <v>6624</v>
      </c>
      <c r="F78">
        <v>14</v>
      </c>
      <c r="G78">
        <v>7728</v>
      </c>
      <c r="H78">
        <v>10</v>
      </c>
      <c r="I78">
        <v>5520</v>
      </c>
      <c r="J78">
        <v>10</v>
      </c>
      <c r="K78">
        <v>5520</v>
      </c>
      <c r="L78">
        <v>12</v>
      </c>
      <c r="M78">
        <v>6624</v>
      </c>
      <c r="N78">
        <v>13</v>
      </c>
      <c r="O78">
        <v>7176</v>
      </c>
      <c r="P78">
        <v>13</v>
      </c>
      <c r="Q78">
        <v>7176</v>
      </c>
      <c r="R78">
        <v>14</v>
      </c>
      <c r="S78">
        <v>7728</v>
      </c>
      <c r="T78">
        <v>12</v>
      </c>
      <c r="U78">
        <v>6624</v>
      </c>
      <c r="V78">
        <v>11</v>
      </c>
      <c r="W78">
        <v>6072</v>
      </c>
      <c r="X78">
        <v>9</v>
      </c>
      <c r="Y78">
        <v>4968</v>
      </c>
      <c r="Z78">
        <v>16</v>
      </c>
      <c r="AA78">
        <v>8832</v>
      </c>
      <c r="AB78">
        <v>9</v>
      </c>
      <c r="AC78">
        <v>4968</v>
      </c>
      <c r="AD78">
        <v>13</v>
      </c>
      <c r="AE78">
        <v>7176</v>
      </c>
      <c r="AF78">
        <v>15</v>
      </c>
      <c r="AG78">
        <v>8280</v>
      </c>
      <c r="AH78">
        <v>13</v>
      </c>
      <c r="AI78">
        <v>7176</v>
      </c>
      <c r="AJ78">
        <v>16</v>
      </c>
      <c r="AK78">
        <v>8832</v>
      </c>
      <c r="AL78">
        <v>15</v>
      </c>
      <c r="AM78">
        <v>8280</v>
      </c>
      <c r="AN78">
        <v>12</v>
      </c>
      <c r="AO78">
        <v>6624</v>
      </c>
      <c r="AP78">
        <v>16</v>
      </c>
      <c r="AQ78">
        <v>8832</v>
      </c>
      <c r="AR78">
        <v>17</v>
      </c>
      <c r="AS78">
        <v>9384</v>
      </c>
      <c r="AT78">
        <v>14</v>
      </c>
      <c r="AU78">
        <v>7728</v>
      </c>
      <c r="AV78">
        <v>9</v>
      </c>
      <c r="AW78">
        <v>4968</v>
      </c>
      <c r="AX78">
        <v>18</v>
      </c>
      <c r="AY78">
        <v>9936</v>
      </c>
      <c r="AZ78">
        <v>14</v>
      </c>
      <c r="BA78">
        <v>7728</v>
      </c>
      <c r="BB78">
        <v>15</v>
      </c>
      <c r="BC78">
        <v>8280</v>
      </c>
      <c r="BD78">
        <v>9</v>
      </c>
      <c r="BE78">
        <v>4968</v>
      </c>
      <c r="BF78">
        <v>13</v>
      </c>
      <c r="BG78">
        <v>7176</v>
      </c>
      <c r="BH78">
        <v>13</v>
      </c>
      <c r="BI78">
        <v>7176</v>
      </c>
      <c r="BJ78">
        <v>12</v>
      </c>
      <c r="BK78">
        <v>6624</v>
      </c>
      <c r="BL78">
        <v>15</v>
      </c>
      <c r="BM78">
        <v>8280</v>
      </c>
      <c r="BN78">
        <v>17</v>
      </c>
      <c r="BO78">
        <v>9384</v>
      </c>
      <c r="BP78">
        <v>13</v>
      </c>
      <c r="BQ78">
        <v>7176</v>
      </c>
      <c r="BR78">
        <v>12</v>
      </c>
      <c r="BS78">
        <v>6624</v>
      </c>
      <c r="BT78">
        <v>14</v>
      </c>
      <c r="BU78">
        <v>7728</v>
      </c>
      <c r="BV78">
        <v>14</v>
      </c>
      <c r="BW78">
        <v>7728</v>
      </c>
      <c r="BX78">
        <v>13</v>
      </c>
      <c r="BY78">
        <v>7176</v>
      </c>
      <c r="BZ78">
        <v>16</v>
      </c>
      <c r="CA78">
        <v>8832</v>
      </c>
      <c r="CB78">
        <v>11</v>
      </c>
      <c r="CC78">
        <v>6072</v>
      </c>
      <c r="CD78">
        <v>17</v>
      </c>
      <c r="CE78">
        <v>9384</v>
      </c>
      <c r="CF78">
        <v>15</v>
      </c>
      <c r="CG78">
        <v>8280</v>
      </c>
      <c r="CH78">
        <v>12</v>
      </c>
      <c r="CI78">
        <v>6624</v>
      </c>
      <c r="CJ78">
        <v>12</v>
      </c>
      <c r="CK78">
        <v>6624</v>
      </c>
      <c r="CL78">
        <v>17</v>
      </c>
      <c r="CM78">
        <v>9384</v>
      </c>
      <c r="CN78">
        <v>14</v>
      </c>
      <c r="CO78">
        <v>7728</v>
      </c>
      <c r="CP78">
        <v>16</v>
      </c>
      <c r="CQ78">
        <v>8832</v>
      </c>
      <c r="CR78">
        <v>10</v>
      </c>
      <c r="CS78">
        <v>5520</v>
      </c>
      <c r="CT78">
        <v>13</v>
      </c>
      <c r="CU78">
        <v>7176</v>
      </c>
    </row>
    <row r="79" spans="2:99" x14ac:dyDescent="0.2">
      <c r="C79" s="118" t="s">
        <v>245</v>
      </c>
      <c r="D79">
        <v>11</v>
      </c>
      <c r="E79">
        <v>8329.1999999999989</v>
      </c>
      <c r="F79">
        <v>13</v>
      </c>
      <c r="G79">
        <v>9843.5999999999985</v>
      </c>
      <c r="H79">
        <v>11</v>
      </c>
      <c r="I79">
        <v>8329.1999999999989</v>
      </c>
      <c r="J79">
        <v>9</v>
      </c>
      <c r="K79">
        <v>6814.7999999999993</v>
      </c>
      <c r="L79">
        <v>12</v>
      </c>
      <c r="M79">
        <v>9086.4</v>
      </c>
      <c r="N79">
        <v>13</v>
      </c>
      <c r="O79">
        <v>9843.5999999999985</v>
      </c>
      <c r="P79">
        <v>15</v>
      </c>
      <c r="Q79">
        <v>11357.999999999998</v>
      </c>
      <c r="R79">
        <v>14</v>
      </c>
      <c r="S79">
        <v>10600.8</v>
      </c>
      <c r="T79">
        <v>12</v>
      </c>
      <c r="U79">
        <v>9086.4</v>
      </c>
      <c r="V79">
        <v>12</v>
      </c>
      <c r="W79">
        <v>9086.4</v>
      </c>
      <c r="X79">
        <v>10</v>
      </c>
      <c r="Y79">
        <v>7571.9999999999991</v>
      </c>
      <c r="Z79">
        <v>14</v>
      </c>
      <c r="AA79">
        <v>10600.8</v>
      </c>
      <c r="AB79">
        <v>8</v>
      </c>
      <c r="AC79">
        <v>6057.5999999999995</v>
      </c>
      <c r="AD79">
        <v>13</v>
      </c>
      <c r="AE79">
        <v>9843.5999999999985</v>
      </c>
      <c r="AF79">
        <v>14</v>
      </c>
      <c r="AG79">
        <v>10600.8</v>
      </c>
      <c r="AH79">
        <v>13</v>
      </c>
      <c r="AI79">
        <v>9843.5999999999985</v>
      </c>
      <c r="AJ79">
        <v>13</v>
      </c>
      <c r="AK79">
        <v>9843.5999999999985</v>
      </c>
      <c r="AL79">
        <v>13</v>
      </c>
      <c r="AM79">
        <v>9843.5999999999985</v>
      </c>
      <c r="AN79">
        <v>13</v>
      </c>
      <c r="AO79">
        <v>9843.5999999999985</v>
      </c>
      <c r="AP79">
        <v>14</v>
      </c>
      <c r="AQ79">
        <v>10600.8</v>
      </c>
      <c r="AR79">
        <v>15</v>
      </c>
      <c r="AS79">
        <v>11357.999999999998</v>
      </c>
      <c r="AT79">
        <v>12</v>
      </c>
      <c r="AU79">
        <v>9086.4</v>
      </c>
      <c r="AV79">
        <v>9</v>
      </c>
      <c r="AW79">
        <v>6814.7999999999993</v>
      </c>
      <c r="AX79">
        <v>17</v>
      </c>
      <c r="AY79">
        <v>12872.4</v>
      </c>
      <c r="AZ79">
        <v>15</v>
      </c>
      <c r="BA79">
        <v>11357.999999999998</v>
      </c>
      <c r="BB79">
        <v>14</v>
      </c>
      <c r="BC79">
        <v>10600.8</v>
      </c>
      <c r="BD79">
        <v>9</v>
      </c>
      <c r="BE79">
        <v>6814.7999999999993</v>
      </c>
      <c r="BF79">
        <v>12</v>
      </c>
      <c r="BG79">
        <v>9086.4</v>
      </c>
      <c r="BH79">
        <v>12</v>
      </c>
      <c r="BI79">
        <v>9086.4</v>
      </c>
      <c r="BJ79">
        <v>11</v>
      </c>
      <c r="BK79">
        <v>8329.1999999999989</v>
      </c>
      <c r="BL79">
        <v>15</v>
      </c>
      <c r="BM79">
        <v>11357.999999999998</v>
      </c>
      <c r="BN79">
        <v>15</v>
      </c>
      <c r="BO79">
        <v>11357.999999999998</v>
      </c>
      <c r="BP79">
        <v>13</v>
      </c>
      <c r="BQ79">
        <v>9843.5999999999985</v>
      </c>
      <c r="BR79">
        <v>11</v>
      </c>
      <c r="BS79">
        <v>8329.1999999999989</v>
      </c>
      <c r="BT79">
        <v>12</v>
      </c>
      <c r="BU79">
        <v>9086.4</v>
      </c>
      <c r="BV79">
        <v>14</v>
      </c>
      <c r="BW79">
        <v>10600.8</v>
      </c>
      <c r="BX79">
        <v>13</v>
      </c>
      <c r="BY79">
        <v>9843.5999999999985</v>
      </c>
      <c r="BZ79">
        <v>17</v>
      </c>
      <c r="CA79">
        <v>12872.4</v>
      </c>
      <c r="CB79">
        <v>10</v>
      </c>
      <c r="CC79">
        <v>7571.9999999999991</v>
      </c>
      <c r="CD79">
        <v>14</v>
      </c>
      <c r="CE79">
        <v>10600.8</v>
      </c>
      <c r="CF79">
        <v>17</v>
      </c>
      <c r="CG79">
        <v>12872.4</v>
      </c>
      <c r="CH79">
        <v>11</v>
      </c>
      <c r="CI79">
        <v>8329.1999999999989</v>
      </c>
      <c r="CJ79">
        <v>11</v>
      </c>
      <c r="CK79">
        <v>8329.1999999999989</v>
      </c>
      <c r="CL79">
        <v>17</v>
      </c>
      <c r="CM79">
        <v>12872.4</v>
      </c>
      <c r="CN79">
        <v>14</v>
      </c>
      <c r="CO79">
        <v>10600.8</v>
      </c>
      <c r="CP79">
        <v>14</v>
      </c>
      <c r="CQ79">
        <v>10600.8</v>
      </c>
      <c r="CR79">
        <v>9</v>
      </c>
      <c r="CS79">
        <v>6814.7999999999993</v>
      </c>
      <c r="CT79">
        <v>10</v>
      </c>
      <c r="CU79">
        <v>7571.9999999999991</v>
      </c>
    </row>
    <row r="80" spans="2:99" x14ac:dyDescent="0.2">
      <c r="C80" s="118" t="s">
        <v>246</v>
      </c>
      <c r="D80">
        <v>10</v>
      </c>
      <c r="E80">
        <v>8051.9999999999991</v>
      </c>
      <c r="F80">
        <v>13</v>
      </c>
      <c r="G80">
        <v>10467.599999999999</v>
      </c>
      <c r="H80">
        <v>11</v>
      </c>
      <c r="I80">
        <v>8857.1999999999989</v>
      </c>
      <c r="J80">
        <v>9</v>
      </c>
      <c r="K80">
        <v>7246.7999999999993</v>
      </c>
      <c r="L80">
        <v>12</v>
      </c>
      <c r="M80">
        <v>9662.4</v>
      </c>
      <c r="N80">
        <v>12</v>
      </c>
      <c r="O80">
        <v>9662.4</v>
      </c>
      <c r="P80">
        <v>13</v>
      </c>
      <c r="Q80">
        <v>10467.599999999999</v>
      </c>
      <c r="R80">
        <v>14</v>
      </c>
      <c r="S80">
        <v>11272.8</v>
      </c>
      <c r="T80">
        <v>13</v>
      </c>
      <c r="U80">
        <v>10467.599999999999</v>
      </c>
      <c r="V80">
        <v>10</v>
      </c>
      <c r="W80">
        <v>8051.9999999999991</v>
      </c>
      <c r="X80">
        <v>10</v>
      </c>
      <c r="Y80">
        <v>8051.9999999999991</v>
      </c>
      <c r="Z80">
        <v>16</v>
      </c>
      <c r="AA80">
        <v>12883.199999999999</v>
      </c>
      <c r="AB80">
        <v>8</v>
      </c>
      <c r="AC80">
        <v>6441.5999999999995</v>
      </c>
      <c r="AD80">
        <v>12</v>
      </c>
      <c r="AE80">
        <v>9662.4</v>
      </c>
      <c r="AF80">
        <v>15</v>
      </c>
      <c r="AG80">
        <v>12077.999999999998</v>
      </c>
      <c r="AH80">
        <v>13</v>
      </c>
      <c r="AI80">
        <v>10467.599999999999</v>
      </c>
      <c r="AJ80">
        <v>14</v>
      </c>
      <c r="AK80">
        <v>11272.8</v>
      </c>
      <c r="AL80">
        <v>14</v>
      </c>
      <c r="AM80">
        <v>11272.8</v>
      </c>
      <c r="AN80">
        <v>12</v>
      </c>
      <c r="AO80">
        <v>9662.4</v>
      </c>
      <c r="AP80">
        <v>16</v>
      </c>
      <c r="AQ80">
        <v>12883.199999999999</v>
      </c>
      <c r="AR80">
        <v>17</v>
      </c>
      <c r="AS80">
        <v>13688.4</v>
      </c>
      <c r="AT80">
        <v>13</v>
      </c>
      <c r="AU80">
        <v>10467.599999999999</v>
      </c>
      <c r="AV80">
        <v>9</v>
      </c>
      <c r="AW80">
        <v>7246.7999999999993</v>
      </c>
      <c r="AX80">
        <v>16</v>
      </c>
      <c r="AY80">
        <v>12883.199999999999</v>
      </c>
      <c r="AZ80">
        <v>14</v>
      </c>
      <c r="BA80">
        <v>11272.8</v>
      </c>
      <c r="BB80">
        <v>15</v>
      </c>
      <c r="BC80">
        <v>12077.999999999998</v>
      </c>
      <c r="BD80">
        <v>8</v>
      </c>
      <c r="BE80">
        <v>6441.5999999999995</v>
      </c>
      <c r="BF80">
        <v>12</v>
      </c>
      <c r="BG80">
        <v>9662.4</v>
      </c>
      <c r="BH80">
        <v>11</v>
      </c>
      <c r="BI80">
        <v>8857.1999999999989</v>
      </c>
      <c r="BJ80">
        <v>12</v>
      </c>
      <c r="BK80">
        <v>9662.4</v>
      </c>
      <c r="BL80">
        <v>16</v>
      </c>
      <c r="BM80">
        <v>12883.199999999999</v>
      </c>
      <c r="BN80">
        <v>16</v>
      </c>
      <c r="BO80">
        <v>12883.199999999999</v>
      </c>
      <c r="BP80">
        <v>12</v>
      </c>
      <c r="BQ80">
        <v>9662.4</v>
      </c>
      <c r="BR80">
        <v>11</v>
      </c>
      <c r="BS80">
        <v>8857.1999999999989</v>
      </c>
      <c r="BT80">
        <v>12</v>
      </c>
      <c r="BU80">
        <v>9662.4</v>
      </c>
      <c r="BV80">
        <v>15</v>
      </c>
      <c r="BW80">
        <v>12077.999999999998</v>
      </c>
      <c r="BX80">
        <v>13</v>
      </c>
      <c r="BY80">
        <v>10467.599999999999</v>
      </c>
      <c r="BZ80">
        <v>15</v>
      </c>
      <c r="CA80">
        <v>12077.999999999998</v>
      </c>
      <c r="CB80">
        <v>11</v>
      </c>
      <c r="CC80">
        <v>8857.1999999999989</v>
      </c>
      <c r="CD80">
        <v>13</v>
      </c>
      <c r="CE80">
        <v>10467.599999999999</v>
      </c>
      <c r="CF80">
        <v>15</v>
      </c>
      <c r="CG80">
        <v>12077.999999999998</v>
      </c>
      <c r="CH80">
        <v>12</v>
      </c>
      <c r="CI80">
        <v>9662.4</v>
      </c>
      <c r="CJ80">
        <v>13</v>
      </c>
      <c r="CK80">
        <v>10467.599999999999</v>
      </c>
      <c r="CL80">
        <v>15</v>
      </c>
      <c r="CM80">
        <v>12077.999999999998</v>
      </c>
      <c r="CN80">
        <v>14</v>
      </c>
      <c r="CO80">
        <v>11272.8</v>
      </c>
      <c r="CP80">
        <v>15</v>
      </c>
      <c r="CQ80">
        <v>12077.999999999998</v>
      </c>
      <c r="CR80">
        <v>9</v>
      </c>
      <c r="CS80">
        <v>7246.7999999999993</v>
      </c>
      <c r="CT80">
        <v>11</v>
      </c>
      <c r="CU80">
        <v>8857.1999999999989</v>
      </c>
    </row>
    <row r="81" spans="2:99" x14ac:dyDescent="0.2">
      <c r="C81" s="118" t="s">
        <v>247</v>
      </c>
      <c r="D81">
        <v>10</v>
      </c>
      <c r="E81">
        <v>7536</v>
      </c>
      <c r="F81">
        <v>14</v>
      </c>
      <c r="G81">
        <v>10550.4</v>
      </c>
      <c r="H81">
        <v>10</v>
      </c>
      <c r="I81">
        <v>7536</v>
      </c>
      <c r="J81">
        <v>10</v>
      </c>
      <c r="K81">
        <v>7536</v>
      </c>
      <c r="L81">
        <v>11</v>
      </c>
      <c r="M81">
        <v>8289.6</v>
      </c>
      <c r="N81">
        <v>14</v>
      </c>
      <c r="O81">
        <v>10550.4</v>
      </c>
      <c r="P81">
        <v>15</v>
      </c>
      <c r="Q81">
        <v>11304</v>
      </c>
      <c r="R81">
        <v>14</v>
      </c>
      <c r="S81">
        <v>10550.4</v>
      </c>
      <c r="T81">
        <v>13</v>
      </c>
      <c r="U81">
        <v>9796.8000000000011</v>
      </c>
      <c r="V81">
        <v>11</v>
      </c>
      <c r="W81">
        <v>8289.6</v>
      </c>
      <c r="X81">
        <v>9</v>
      </c>
      <c r="Y81">
        <v>6782.4000000000005</v>
      </c>
      <c r="Z81">
        <v>14</v>
      </c>
      <c r="AA81">
        <v>10550.4</v>
      </c>
      <c r="AB81">
        <v>8</v>
      </c>
      <c r="AC81">
        <v>6028.8</v>
      </c>
      <c r="AD81">
        <v>14</v>
      </c>
      <c r="AE81">
        <v>10550.4</v>
      </c>
      <c r="AF81">
        <v>16</v>
      </c>
      <c r="AG81">
        <v>12057.6</v>
      </c>
      <c r="AH81">
        <v>14</v>
      </c>
      <c r="AI81">
        <v>10550.4</v>
      </c>
      <c r="AJ81">
        <v>14</v>
      </c>
      <c r="AK81">
        <v>10550.4</v>
      </c>
      <c r="AL81">
        <v>15</v>
      </c>
      <c r="AM81">
        <v>11304</v>
      </c>
      <c r="AN81">
        <v>12</v>
      </c>
      <c r="AO81">
        <v>9043.2000000000007</v>
      </c>
      <c r="AP81">
        <v>14</v>
      </c>
      <c r="AQ81">
        <v>10550.4</v>
      </c>
      <c r="AR81">
        <v>17</v>
      </c>
      <c r="AS81">
        <v>12811.2</v>
      </c>
      <c r="AT81">
        <v>13</v>
      </c>
      <c r="AU81">
        <v>9796.8000000000011</v>
      </c>
      <c r="AV81">
        <v>9</v>
      </c>
      <c r="AW81">
        <v>6782.4000000000005</v>
      </c>
      <c r="AX81">
        <v>17</v>
      </c>
      <c r="AY81">
        <v>12811.2</v>
      </c>
      <c r="AZ81">
        <v>15</v>
      </c>
      <c r="BA81">
        <v>11304</v>
      </c>
      <c r="BB81">
        <v>13</v>
      </c>
      <c r="BC81">
        <v>9796.8000000000011</v>
      </c>
      <c r="BD81">
        <v>9</v>
      </c>
      <c r="BE81">
        <v>6782.4000000000005</v>
      </c>
      <c r="BF81">
        <v>10</v>
      </c>
      <c r="BG81">
        <v>7536</v>
      </c>
      <c r="BH81">
        <v>13</v>
      </c>
      <c r="BI81">
        <v>9796.8000000000011</v>
      </c>
      <c r="BJ81">
        <v>10</v>
      </c>
      <c r="BK81">
        <v>7536</v>
      </c>
      <c r="BL81">
        <v>15</v>
      </c>
      <c r="BM81">
        <v>11304</v>
      </c>
      <c r="BN81">
        <v>16</v>
      </c>
      <c r="BO81">
        <v>12057.6</v>
      </c>
      <c r="BP81">
        <v>12</v>
      </c>
      <c r="BQ81">
        <v>9043.2000000000007</v>
      </c>
      <c r="BR81">
        <v>12</v>
      </c>
      <c r="BS81">
        <v>9043.2000000000007</v>
      </c>
      <c r="BT81">
        <v>13</v>
      </c>
      <c r="BU81">
        <v>9796.8000000000011</v>
      </c>
      <c r="BV81">
        <v>15</v>
      </c>
      <c r="BW81">
        <v>11304</v>
      </c>
      <c r="BX81">
        <v>13</v>
      </c>
      <c r="BY81">
        <v>9796.8000000000011</v>
      </c>
      <c r="BZ81">
        <v>16</v>
      </c>
      <c r="CA81">
        <v>12057.6</v>
      </c>
      <c r="CB81">
        <v>11</v>
      </c>
      <c r="CC81">
        <v>8289.6</v>
      </c>
      <c r="CD81">
        <v>15</v>
      </c>
      <c r="CE81">
        <v>11304</v>
      </c>
      <c r="CF81">
        <v>15</v>
      </c>
      <c r="CG81">
        <v>11304</v>
      </c>
      <c r="CH81">
        <v>12</v>
      </c>
      <c r="CI81">
        <v>9043.2000000000007</v>
      </c>
      <c r="CJ81">
        <v>12</v>
      </c>
      <c r="CK81">
        <v>9043.2000000000007</v>
      </c>
      <c r="CL81">
        <v>16</v>
      </c>
      <c r="CM81">
        <v>12057.6</v>
      </c>
      <c r="CN81">
        <v>14</v>
      </c>
      <c r="CO81">
        <v>10550.4</v>
      </c>
      <c r="CP81">
        <v>14</v>
      </c>
      <c r="CQ81">
        <v>10550.4</v>
      </c>
      <c r="CR81">
        <v>9</v>
      </c>
      <c r="CS81">
        <v>6782.4000000000005</v>
      </c>
      <c r="CT81">
        <v>12</v>
      </c>
      <c r="CU81">
        <v>9043.2000000000007</v>
      </c>
    </row>
    <row r="82" spans="2:99" x14ac:dyDescent="0.2">
      <c r="C82" s="118" t="s">
        <v>248</v>
      </c>
      <c r="D82">
        <v>11</v>
      </c>
      <c r="E82">
        <v>5596.7999999999993</v>
      </c>
      <c r="F82">
        <v>15</v>
      </c>
      <c r="G82">
        <v>7631.9999999999982</v>
      </c>
      <c r="H82">
        <v>12</v>
      </c>
      <c r="I82">
        <v>6105.5999999999985</v>
      </c>
      <c r="J82">
        <v>10</v>
      </c>
      <c r="K82">
        <v>5087.9999999999991</v>
      </c>
      <c r="L82">
        <v>11</v>
      </c>
      <c r="M82">
        <v>5596.7999999999993</v>
      </c>
      <c r="N82">
        <v>14</v>
      </c>
      <c r="O82">
        <v>7123.1999999999989</v>
      </c>
      <c r="P82">
        <v>14</v>
      </c>
      <c r="Q82">
        <v>7123.1999999999989</v>
      </c>
      <c r="R82">
        <v>14</v>
      </c>
      <c r="S82">
        <v>7123.1999999999989</v>
      </c>
      <c r="T82">
        <v>12</v>
      </c>
      <c r="U82">
        <v>6105.5999999999985</v>
      </c>
      <c r="V82">
        <v>11</v>
      </c>
      <c r="W82">
        <v>5596.7999999999993</v>
      </c>
      <c r="X82">
        <v>9</v>
      </c>
      <c r="Y82">
        <v>4579.1999999999989</v>
      </c>
      <c r="Z82">
        <v>14</v>
      </c>
      <c r="AA82">
        <v>7123.1999999999989</v>
      </c>
      <c r="AB82">
        <v>8</v>
      </c>
      <c r="AC82">
        <v>4070.3999999999992</v>
      </c>
      <c r="AD82">
        <v>15</v>
      </c>
      <c r="AE82">
        <v>7631.9999999999982</v>
      </c>
      <c r="AF82">
        <v>16</v>
      </c>
      <c r="AG82">
        <v>8140.7999999999984</v>
      </c>
      <c r="AH82">
        <v>16</v>
      </c>
      <c r="AI82">
        <v>8140.7999999999984</v>
      </c>
      <c r="AJ82">
        <v>14</v>
      </c>
      <c r="AK82">
        <v>7123.1999999999989</v>
      </c>
      <c r="AL82">
        <v>15</v>
      </c>
      <c r="AM82">
        <v>7631.9999999999982</v>
      </c>
      <c r="AN82">
        <v>13</v>
      </c>
      <c r="AO82">
        <v>6614.3999999999987</v>
      </c>
      <c r="AP82">
        <v>14</v>
      </c>
      <c r="AQ82">
        <v>7123.1999999999989</v>
      </c>
      <c r="AR82">
        <v>15</v>
      </c>
      <c r="AS82">
        <v>7631.9999999999982</v>
      </c>
      <c r="AT82">
        <v>14</v>
      </c>
      <c r="AU82">
        <v>7123.1999999999989</v>
      </c>
      <c r="AV82">
        <v>8</v>
      </c>
      <c r="AW82">
        <v>4070.3999999999992</v>
      </c>
      <c r="AX82">
        <v>15</v>
      </c>
      <c r="AY82">
        <v>7631.9999999999982</v>
      </c>
      <c r="AZ82">
        <v>14</v>
      </c>
      <c r="BA82">
        <v>7123.1999999999989</v>
      </c>
      <c r="BB82">
        <v>14</v>
      </c>
      <c r="BC82">
        <v>7123.1999999999989</v>
      </c>
      <c r="BD82">
        <v>9</v>
      </c>
      <c r="BE82">
        <v>4579.1999999999989</v>
      </c>
      <c r="BF82">
        <v>13</v>
      </c>
      <c r="BG82">
        <v>6614.3999999999987</v>
      </c>
      <c r="BH82">
        <v>13</v>
      </c>
      <c r="BI82">
        <v>6614.3999999999987</v>
      </c>
      <c r="BJ82">
        <v>12</v>
      </c>
      <c r="BK82">
        <v>6105.5999999999985</v>
      </c>
      <c r="BL82">
        <v>17</v>
      </c>
      <c r="BM82">
        <v>8649.5999999999985</v>
      </c>
      <c r="BN82">
        <v>17</v>
      </c>
      <c r="BO82">
        <v>8649.5999999999985</v>
      </c>
      <c r="BP82">
        <v>12</v>
      </c>
      <c r="BQ82">
        <v>6105.5999999999985</v>
      </c>
      <c r="BR82">
        <v>12</v>
      </c>
      <c r="BS82">
        <v>6105.5999999999985</v>
      </c>
      <c r="BT82">
        <v>14</v>
      </c>
      <c r="BU82">
        <v>7123.1999999999989</v>
      </c>
      <c r="BV82">
        <v>16</v>
      </c>
      <c r="BW82">
        <v>8140.7999999999984</v>
      </c>
      <c r="BX82">
        <v>14</v>
      </c>
      <c r="BY82">
        <v>7123.1999999999989</v>
      </c>
      <c r="BZ82">
        <v>17</v>
      </c>
      <c r="CA82">
        <v>8649.5999999999985</v>
      </c>
      <c r="CB82">
        <v>12</v>
      </c>
      <c r="CC82">
        <v>6105.5999999999985</v>
      </c>
      <c r="CD82">
        <v>16</v>
      </c>
      <c r="CE82">
        <v>8140.7999999999984</v>
      </c>
      <c r="CF82">
        <v>16</v>
      </c>
      <c r="CG82">
        <v>8140.7999999999984</v>
      </c>
      <c r="CH82">
        <v>12</v>
      </c>
      <c r="CI82">
        <v>6105.5999999999985</v>
      </c>
      <c r="CJ82">
        <v>13</v>
      </c>
      <c r="CK82">
        <v>6614.3999999999987</v>
      </c>
      <c r="CL82">
        <v>16</v>
      </c>
      <c r="CM82">
        <v>8140.7999999999984</v>
      </c>
      <c r="CN82">
        <v>15</v>
      </c>
      <c r="CO82">
        <v>7631.9999999999982</v>
      </c>
      <c r="CP82">
        <v>16</v>
      </c>
      <c r="CQ82">
        <v>8140.7999999999984</v>
      </c>
      <c r="CR82">
        <v>10</v>
      </c>
      <c r="CS82">
        <v>5087.9999999999991</v>
      </c>
      <c r="CT82">
        <v>12</v>
      </c>
      <c r="CU82">
        <v>6105.5999999999985</v>
      </c>
    </row>
    <row r="83" spans="2:99" x14ac:dyDescent="0.2">
      <c r="C83" s="118" t="s">
        <v>249</v>
      </c>
      <c r="D83">
        <v>10</v>
      </c>
      <c r="E83">
        <v>8604</v>
      </c>
      <c r="F83">
        <v>14</v>
      </c>
      <c r="G83">
        <v>12045.6</v>
      </c>
      <c r="H83">
        <v>10</v>
      </c>
      <c r="I83">
        <v>8604</v>
      </c>
      <c r="J83">
        <v>9</v>
      </c>
      <c r="K83">
        <v>7743.5999999999995</v>
      </c>
      <c r="L83">
        <v>10</v>
      </c>
      <c r="M83">
        <v>8604</v>
      </c>
      <c r="N83">
        <v>14</v>
      </c>
      <c r="O83">
        <v>12045.6</v>
      </c>
      <c r="P83">
        <v>14</v>
      </c>
      <c r="Q83">
        <v>12045.6</v>
      </c>
      <c r="R83">
        <v>12</v>
      </c>
      <c r="S83">
        <v>10324.799999999999</v>
      </c>
      <c r="T83">
        <v>13</v>
      </c>
      <c r="U83">
        <v>11185.199999999999</v>
      </c>
      <c r="V83">
        <v>11</v>
      </c>
      <c r="W83">
        <v>9464.4</v>
      </c>
      <c r="X83">
        <v>10</v>
      </c>
      <c r="Y83">
        <v>8604</v>
      </c>
      <c r="Z83">
        <v>15</v>
      </c>
      <c r="AA83">
        <v>12906</v>
      </c>
      <c r="AB83">
        <v>8</v>
      </c>
      <c r="AC83">
        <v>6883.2</v>
      </c>
      <c r="AD83">
        <v>12</v>
      </c>
      <c r="AE83">
        <v>10324.799999999999</v>
      </c>
      <c r="AF83">
        <v>15</v>
      </c>
      <c r="AG83">
        <v>12906</v>
      </c>
      <c r="AH83">
        <v>14</v>
      </c>
      <c r="AI83">
        <v>12045.6</v>
      </c>
      <c r="AJ83">
        <v>13</v>
      </c>
      <c r="AK83">
        <v>11185.199999999999</v>
      </c>
      <c r="AL83">
        <v>13</v>
      </c>
      <c r="AM83">
        <v>11185.199999999999</v>
      </c>
      <c r="AN83">
        <v>12</v>
      </c>
      <c r="AO83">
        <v>10324.799999999999</v>
      </c>
      <c r="AP83">
        <v>13</v>
      </c>
      <c r="AQ83">
        <v>11185.199999999999</v>
      </c>
      <c r="AR83">
        <v>16</v>
      </c>
      <c r="AS83">
        <v>13766.4</v>
      </c>
      <c r="AT83">
        <v>14</v>
      </c>
      <c r="AU83">
        <v>12045.6</v>
      </c>
      <c r="AV83">
        <v>9</v>
      </c>
      <c r="AW83">
        <v>7743.5999999999995</v>
      </c>
      <c r="AX83">
        <v>17</v>
      </c>
      <c r="AY83">
        <v>14626.8</v>
      </c>
      <c r="AZ83">
        <v>15</v>
      </c>
      <c r="BA83">
        <v>12906</v>
      </c>
      <c r="BB83">
        <v>13</v>
      </c>
      <c r="BC83">
        <v>11185.199999999999</v>
      </c>
      <c r="BD83">
        <v>8</v>
      </c>
      <c r="BE83">
        <v>6883.2</v>
      </c>
      <c r="BF83">
        <v>11</v>
      </c>
      <c r="BG83">
        <v>9464.4</v>
      </c>
      <c r="BH83">
        <v>12</v>
      </c>
      <c r="BI83">
        <v>10324.799999999999</v>
      </c>
      <c r="BJ83">
        <v>11</v>
      </c>
      <c r="BK83">
        <v>9464.4</v>
      </c>
      <c r="BL83">
        <v>17</v>
      </c>
      <c r="BM83">
        <v>14626.8</v>
      </c>
      <c r="BN83">
        <v>17</v>
      </c>
      <c r="BO83">
        <v>14626.8</v>
      </c>
      <c r="BP83">
        <v>13</v>
      </c>
      <c r="BQ83">
        <v>11185.199999999999</v>
      </c>
      <c r="BR83">
        <v>12</v>
      </c>
      <c r="BS83">
        <v>10324.799999999999</v>
      </c>
      <c r="BT83">
        <v>12</v>
      </c>
      <c r="BU83">
        <v>10324.799999999999</v>
      </c>
      <c r="BV83">
        <v>13</v>
      </c>
      <c r="BW83">
        <v>11185.199999999999</v>
      </c>
      <c r="BX83">
        <v>12</v>
      </c>
      <c r="BY83">
        <v>10324.799999999999</v>
      </c>
      <c r="BZ83">
        <v>15</v>
      </c>
      <c r="CA83">
        <v>12906</v>
      </c>
      <c r="CB83">
        <v>11</v>
      </c>
      <c r="CC83">
        <v>9464.4</v>
      </c>
      <c r="CD83">
        <v>14</v>
      </c>
      <c r="CE83">
        <v>12045.6</v>
      </c>
      <c r="CF83">
        <v>15</v>
      </c>
      <c r="CG83">
        <v>12906</v>
      </c>
      <c r="CH83">
        <v>11</v>
      </c>
      <c r="CI83">
        <v>9464.4</v>
      </c>
      <c r="CJ83">
        <v>13</v>
      </c>
      <c r="CK83">
        <v>11185.199999999999</v>
      </c>
      <c r="CL83">
        <v>15</v>
      </c>
      <c r="CM83">
        <v>12906</v>
      </c>
      <c r="CN83">
        <v>13</v>
      </c>
      <c r="CO83">
        <v>11185.199999999999</v>
      </c>
      <c r="CP83">
        <v>16</v>
      </c>
      <c r="CQ83">
        <v>13766.4</v>
      </c>
      <c r="CR83">
        <v>10</v>
      </c>
      <c r="CS83">
        <v>8604</v>
      </c>
      <c r="CT83">
        <v>11</v>
      </c>
      <c r="CU83">
        <v>9464.4</v>
      </c>
    </row>
    <row r="84" spans="2:99" x14ac:dyDescent="0.2">
      <c r="C84" s="118" t="s">
        <v>250</v>
      </c>
      <c r="D84">
        <v>10</v>
      </c>
      <c r="E84">
        <v>7811.9999999999991</v>
      </c>
      <c r="F84">
        <v>13</v>
      </c>
      <c r="G84">
        <v>10155.599999999999</v>
      </c>
      <c r="H84">
        <v>10</v>
      </c>
      <c r="I84">
        <v>7811.9999999999991</v>
      </c>
      <c r="J84">
        <v>9</v>
      </c>
      <c r="K84">
        <v>7030.7999999999993</v>
      </c>
      <c r="L84">
        <v>12</v>
      </c>
      <c r="M84">
        <v>9374.4</v>
      </c>
      <c r="N84">
        <v>14</v>
      </c>
      <c r="O84">
        <v>10936.8</v>
      </c>
      <c r="P84">
        <v>13</v>
      </c>
      <c r="Q84">
        <v>10155.599999999999</v>
      </c>
      <c r="R84">
        <v>13</v>
      </c>
      <c r="S84">
        <v>10155.599999999999</v>
      </c>
      <c r="T84">
        <v>13</v>
      </c>
      <c r="U84">
        <v>10155.599999999999</v>
      </c>
      <c r="V84">
        <v>11</v>
      </c>
      <c r="W84">
        <v>8593.1999999999989</v>
      </c>
      <c r="X84">
        <v>9</v>
      </c>
      <c r="Y84">
        <v>7030.7999999999993</v>
      </c>
      <c r="Z84">
        <v>15</v>
      </c>
      <c r="AA84">
        <v>11717.999999999998</v>
      </c>
      <c r="AB84">
        <v>7</v>
      </c>
      <c r="AC84">
        <v>5468.4</v>
      </c>
      <c r="AD84">
        <v>13</v>
      </c>
      <c r="AE84">
        <v>10155.599999999999</v>
      </c>
      <c r="AF84">
        <v>13</v>
      </c>
      <c r="AG84">
        <v>10155.599999999999</v>
      </c>
      <c r="AH84">
        <v>14</v>
      </c>
      <c r="AI84">
        <v>10936.8</v>
      </c>
      <c r="AJ84">
        <v>14</v>
      </c>
      <c r="AK84">
        <v>10936.8</v>
      </c>
      <c r="AL84">
        <v>14</v>
      </c>
      <c r="AM84">
        <v>10936.8</v>
      </c>
      <c r="AN84">
        <v>10</v>
      </c>
      <c r="AO84">
        <v>7811.9999999999991</v>
      </c>
      <c r="AP84">
        <v>14</v>
      </c>
      <c r="AQ84">
        <v>10936.8</v>
      </c>
      <c r="AR84">
        <v>16</v>
      </c>
      <c r="AS84">
        <v>12499.199999999999</v>
      </c>
      <c r="AT84">
        <v>12</v>
      </c>
      <c r="AU84">
        <v>9374.4</v>
      </c>
      <c r="AV84">
        <v>8</v>
      </c>
      <c r="AW84">
        <v>6249.5999999999995</v>
      </c>
      <c r="AX84">
        <v>16</v>
      </c>
      <c r="AY84">
        <v>12499.199999999999</v>
      </c>
      <c r="AZ84">
        <v>13</v>
      </c>
      <c r="BA84">
        <v>10155.599999999999</v>
      </c>
      <c r="BB84">
        <v>14</v>
      </c>
      <c r="BC84">
        <v>10936.8</v>
      </c>
      <c r="BD84">
        <v>8</v>
      </c>
      <c r="BE84">
        <v>6249.5999999999995</v>
      </c>
      <c r="BF84">
        <v>12</v>
      </c>
      <c r="BG84">
        <v>9374.4</v>
      </c>
      <c r="BH84">
        <v>13</v>
      </c>
      <c r="BI84">
        <v>10155.599999999999</v>
      </c>
      <c r="BJ84">
        <v>12</v>
      </c>
      <c r="BK84">
        <v>9374.4</v>
      </c>
      <c r="BL84">
        <v>17</v>
      </c>
      <c r="BM84">
        <v>13280.4</v>
      </c>
      <c r="BN84">
        <v>14</v>
      </c>
      <c r="BO84">
        <v>10936.8</v>
      </c>
      <c r="BP84">
        <v>11</v>
      </c>
      <c r="BQ84">
        <v>8593.1999999999989</v>
      </c>
      <c r="BR84">
        <v>12</v>
      </c>
      <c r="BS84">
        <v>9374.4</v>
      </c>
      <c r="BT84">
        <v>12</v>
      </c>
      <c r="BU84">
        <v>9374.4</v>
      </c>
      <c r="BV84">
        <v>15</v>
      </c>
      <c r="BW84">
        <v>11717.999999999998</v>
      </c>
      <c r="BX84">
        <v>11</v>
      </c>
      <c r="BY84">
        <v>8593.1999999999989</v>
      </c>
      <c r="BZ84">
        <v>15</v>
      </c>
      <c r="CA84">
        <v>11717.999999999998</v>
      </c>
      <c r="CB84">
        <v>10</v>
      </c>
      <c r="CC84">
        <v>7811.9999999999991</v>
      </c>
      <c r="CD84">
        <v>14</v>
      </c>
      <c r="CE84">
        <v>10936.8</v>
      </c>
      <c r="CF84">
        <v>17</v>
      </c>
      <c r="CG84">
        <v>13280.4</v>
      </c>
      <c r="CH84">
        <v>12</v>
      </c>
      <c r="CI84">
        <v>9374.4</v>
      </c>
      <c r="CJ84">
        <v>12</v>
      </c>
      <c r="CK84">
        <v>9374.4</v>
      </c>
      <c r="CL84">
        <v>15</v>
      </c>
      <c r="CM84">
        <v>11717.999999999998</v>
      </c>
      <c r="CN84">
        <v>14</v>
      </c>
      <c r="CO84">
        <v>10936.8</v>
      </c>
      <c r="CP84">
        <v>13</v>
      </c>
      <c r="CQ84">
        <v>10155.599999999999</v>
      </c>
      <c r="CR84">
        <v>9</v>
      </c>
      <c r="CS84">
        <v>7030.7999999999993</v>
      </c>
      <c r="CT84">
        <v>11</v>
      </c>
      <c r="CU84">
        <v>8593.1999999999989</v>
      </c>
    </row>
    <row r="85" spans="2:99" x14ac:dyDescent="0.2">
      <c r="C85" s="118" t="s">
        <v>251</v>
      </c>
      <c r="D85">
        <v>11</v>
      </c>
      <c r="E85">
        <v>1650</v>
      </c>
      <c r="F85">
        <v>15</v>
      </c>
      <c r="G85">
        <v>2250</v>
      </c>
      <c r="H85">
        <v>12</v>
      </c>
      <c r="I85">
        <v>1800</v>
      </c>
      <c r="J85">
        <v>11</v>
      </c>
      <c r="K85">
        <v>1650</v>
      </c>
      <c r="L85">
        <v>13</v>
      </c>
      <c r="M85">
        <v>1950</v>
      </c>
      <c r="N85">
        <v>13</v>
      </c>
      <c r="O85">
        <v>1950</v>
      </c>
      <c r="P85">
        <v>15</v>
      </c>
      <c r="Q85">
        <v>2250</v>
      </c>
      <c r="R85">
        <v>15</v>
      </c>
      <c r="S85">
        <v>2250</v>
      </c>
      <c r="T85">
        <v>13</v>
      </c>
      <c r="U85">
        <v>1950</v>
      </c>
      <c r="V85">
        <v>11</v>
      </c>
      <c r="W85">
        <v>1650</v>
      </c>
      <c r="X85">
        <v>10</v>
      </c>
      <c r="Y85">
        <v>1500</v>
      </c>
      <c r="Z85">
        <v>15</v>
      </c>
      <c r="AA85">
        <v>2250</v>
      </c>
      <c r="AB85">
        <v>8</v>
      </c>
      <c r="AC85">
        <v>1200</v>
      </c>
      <c r="AD85">
        <v>14</v>
      </c>
      <c r="AE85">
        <v>2100</v>
      </c>
      <c r="AF85">
        <v>17</v>
      </c>
      <c r="AG85">
        <v>2550</v>
      </c>
      <c r="AH85">
        <v>15</v>
      </c>
      <c r="AI85">
        <v>2250</v>
      </c>
      <c r="AJ85">
        <v>15</v>
      </c>
      <c r="AK85">
        <v>2250</v>
      </c>
      <c r="AL85">
        <v>15</v>
      </c>
      <c r="AM85">
        <v>2250</v>
      </c>
      <c r="AN85">
        <v>12</v>
      </c>
      <c r="AO85">
        <v>1800</v>
      </c>
      <c r="AP85">
        <v>15</v>
      </c>
      <c r="AQ85">
        <v>2250</v>
      </c>
      <c r="AR85">
        <v>17</v>
      </c>
      <c r="AS85">
        <v>2550</v>
      </c>
      <c r="AT85">
        <v>15</v>
      </c>
      <c r="AU85">
        <v>2250</v>
      </c>
      <c r="AV85">
        <v>10</v>
      </c>
      <c r="AW85">
        <v>1500</v>
      </c>
      <c r="AX85">
        <v>17</v>
      </c>
      <c r="AY85">
        <v>2550</v>
      </c>
      <c r="AZ85">
        <v>15</v>
      </c>
      <c r="BA85">
        <v>2250</v>
      </c>
      <c r="BB85">
        <v>16</v>
      </c>
      <c r="BC85">
        <v>2400</v>
      </c>
      <c r="BD85">
        <v>10</v>
      </c>
      <c r="BE85">
        <v>1500</v>
      </c>
      <c r="BF85">
        <v>11</v>
      </c>
      <c r="BG85">
        <v>1650</v>
      </c>
      <c r="BH85">
        <v>14</v>
      </c>
      <c r="BI85">
        <v>2100</v>
      </c>
      <c r="BJ85">
        <v>12</v>
      </c>
      <c r="BK85">
        <v>1800</v>
      </c>
      <c r="BL85">
        <v>16</v>
      </c>
      <c r="BM85">
        <v>2400</v>
      </c>
      <c r="BN85">
        <v>19</v>
      </c>
      <c r="BO85">
        <v>2850</v>
      </c>
      <c r="BP85">
        <v>14</v>
      </c>
      <c r="BQ85">
        <v>2100</v>
      </c>
      <c r="BR85">
        <v>12</v>
      </c>
      <c r="BS85">
        <v>1800</v>
      </c>
      <c r="BT85">
        <v>15</v>
      </c>
      <c r="BU85">
        <v>2250</v>
      </c>
      <c r="BV85">
        <v>16</v>
      </c>
      <c r="BW85">
        <v>2400</v>
      </c>
      <c r="BX85">
        <v>13</v>
      </c>
      <c r="BY85">
        <v>1950</v>
      </c>
      <c r="BZ85">
        <v>19</v>
      </c>
      <c r="CA85">
        <v>2850</v>
      </c>
      <c r="CB85">
        <v>12</v>
      </c>
      <c r="CC85">
        <v>1800</v>
      </c>
      <c r="CD85">
        <v>15</v>
      </c>
      <c r="CE85">
        <v>2250</v>
      </c>
      <c r="CF85">
        <v>19</v>
      </c>
      <c r="CG85">
        <v>2850</v>
      </c>
      <c r="CH85">
        <v>13</v>
      </c>
      <c r="CI85">
        <v>1950</v>
      </c>
      <c r="CJ85">
        <v>13</v>
      </c>
      <c r="CK85">
        <v>1950</v>
      </c>
      <c r="CL85">
        <v>16</v>
      </c>
      <c r="CM85">
        <v>2400</v>
      </c>
      <c r="CN85">
        <v>14</v>
      </c>
      <c r="CO85">
        <v>2100</v>
      </c>
      <c r="CP85">
        <v>16</v>
      </c>
      <c r="CQ85">
        <v>2400</v>
      </c>
      <c r="CR85">
        <v>11</v>
      </c>
      <c r="CS85">
        <v>1650</v>
      </c>
      <c r="CT85">
        <v>13</v>
      </c>
      <c r="CU85">
        <v>1950</v>
      </c>
    </row>
    <row r="86" spans="2:99" x14ac:dyDescent="0.2">
      <c r="C86" s="118" t="s">
        <v>252</v>
      </c>
      <c r="D86">
        <v>12</v>
      </c>
      <c r="E86">
        <v>6480</v>
      </c>
      <c r="F86">
        <v>14</v>
      </c>
      <c r="G86">
        <v>7560</v>
      </c>
      <c r="H86">
        <v>11</v>
      </c>
      <c r="I86">
        <v>5940</v>
      </c>
      <c r="J86">
        <v>11</v>
      </c>
      <c r="K86">
        <v>5940</v>
      </c>
      <c r="L86">
        <v>12</v>
      </c>
      <c r="M86">
        <v>6480</v>
      </c>
      <c r="N86">
        <v>13</v>
      </c>
      <c r="O86">
        <v>7020</v>
      </c>
      <c r="P86">
        <v>15</v>
      </c>
      <c r="Q86">
        <v>8100</v>
      </c>
      <c r="R86">
        <v>14</v>
      </c>
      <c r="S86">
        <v>7560</v>
      </c>
      <c r="T86">
        <v>12</v>
      </c>
      <c r="U86">
        <v>6480</v>
      </c>
      <c r="V86">
        <v>11</v>
      </c>
      <c r="W86">
        <v>5940</v>
      </c>
      <c r="X86">
        <v>9</v>
      </c>
      <c r="Y86">
        <v>4860</v>
      </c>
      <c r="Z86">
        <v>15</v>
      </c>
      <c r="AA86">
        <v>8100</v>
      </c>
      <c r="AB86">
        <v>8</v>
      </c>
      <c r="AC86">
        <v>4320</v>
      </c>
      <c r="AD86">
        <v>13</v>
      </c>
      <c r="AE86">
        <v>7020</v>
      </c>
      <c r="AF86">
        <v>15</v>
      </c>
      <c r="AG86">
        <v>8100</v>
      </c>
      <c r="AH86">
        <v>14</v>
      </c>
      <c r="AI86">
        <v>7560</v>
      </c>
      <c r="AJ86">
        <v>14</v>
      </c>
      <c r="AK86">
        <v>7560</v>
      </c>
      <c r="AL86">
        <v>15</v>
      </c>
      <c r="AM86">
        <v>8100</v>
      </c>
      <c r="AN86">
        <v>13</v>
      </c>
      <c r="AO86">
        <v>7020</v>
      </c>
      <c r="AP86">
        <v>15</v>
      </c>
      <c r="AQ86">
        <v>8100</v>
      </c>
      <c r="AR86">
        <v>17</v>
      </c>
      <c r="AS86">
        <v>9180</v>
      </c>
      <c r="AT86">
        <v>14</v>
      </c>
      <c r="AU86">
        <v>7560</v>
      </c>
      <c r="AV86">
        <v>8</v>
      </c>
      <c r="AW86">
        <v>4320</v>
      </c>
      <c r="AX86">
        <v>16</v>
      </c>
      <c r="AY86">
        <v>8640</v>
      </c>
      <c r="AZ86">
        <v>16</v>
      </c>
      <c r="BA86">
        <v>8640</v>
      </c>
      <c r="BB86">
        <v>15</v>
      </c>
      <c r="BC86">
        <v>8100</v>
      </c>
      <c r="BD86">
        <v>8</v>
      </c>
      <c r="BE86">
        <v>4320</v>
      </c>
      <c r="BF86">
        <v>12</v>
      </c>
      <c r="BG86">
        <v>6480</v>
      </c>
      <c r="BH86">
        <v>12</v>
      </c>
      <c r="BI86">
        <v>6480</v>
      </c>
      <c r="BJ86">
        <v>11</v>
      </c>
      <c r="BK86">
        <v>5940</v>
      </c>
      <c r="BL86">
        <v>15</v>
      </c>
      <c r="BM86">
        <v>8100</v>
      </c>
      <c r="BN86">
        <v>16</v>
      </c>
      <c r="BO86">
        <v>8640</v>
      </c>
      <c r="BP86">
        <v>13</v>
      </c>
      <c r="BQ86">
        <v>7020</v>
      </c>
      <c r="BR86">
        <v>11</v>
      </c>
      <c r="BS86">
        <v>5940</v>
      </c>
      <c r="BT86">
        <v>12</v>
      </c>
      <c r="BU86">
        <v>6480</v>
      </c>
      <c r="BV86">
        <v>14</v>
      </c>
      <c r="BW86">
        <v>7560</v>
      </c>
      <c r="BX86">
        <v>13</v>
      </c>
      <c r="BY86">
        <v>7020</v>
      </c>
      <c r="BZ86">
        <v>16</v>
      </c>
      <c r="CA86">
        <v>8640</v>
      </c>
      <c r="CB86">
        <v>12</v>
      </c>
      <c r="CC86">
        <v>6480</v>
      </c>
      <c r="CD86">
        <v>14</v>
      </c>
      <c r="CE86">
        <v>7560</v>
      </c>
      <c r="CF86">
        <v>18</v>
      </c>
      <c r="CG86">
        <v>9720</v>
      </c>
      <c r="CH86">
        <v>11</v>
      </c>
      <c r="CI86">
        <v>5940</v>
      </c>
      <c r="CJ86">
        <v>11</v>
      </c>
      <c r="CK86">
        <v>5940</v>
      </c>
      <c r="CL86">
        <v>17</v>
      </c>
      <c r="CM86">
        <v>9180</v>
      </c>
      <c r="CN86">
        <v>14</v>
      </c>
      <c r="CO86">
        <v>7560</v>
      </c>
      <c r="CP86">
        <v>16</v>
      </c>
      <c r="CQ86">
        <v>8640</v>
      </c>
      <c r="CR86">
        <v>9</v>
      </c>
      <c r="CS86">
        <v>4860</v>
      </c>
      <c r="CT86">
        <v>12</v>
      </c>
      <c r="CU86">
        <v>6480</v>
      </c>
    </row>
    <row r="87" spans="2:99" x14ac:dyDescent="0.2">
      <c r="B87" s="118" t="s">
        <v>131</v>
      </c>
      <c r="C87" s="118" t="s">
        <v>253</v>
      </c>
      <c r="D87">
        <v>12</v>
      </c>
      <c r="E87">
        <v>23457.599999999999</v>
      </c>
      <c r="F87">
        <v>13</v>
      </c>
      <c r="G87">
        <v>25412.399999999998</v>
      </c>
      <c r="H87">
        <v>9</v>
      </c>
      <c r="I87">
        <v>17593.2</v>
      </c>
      <c r="J87">
        <v>9</v>
      </c>
      <c r="K87">
        <v>17593.2</v>
      </c>
      <c r="L87">
        <v>16</v>
      </c>
      <c r="M87">
        <v>31276.799999999999</v>
      </c>
      <c r="N87">
        <v>9</v>
      </c>
      <c r="O87">
        <v>17593.2</v>
      </c>
      <c r="P87">
        <v>9</v>
      </c>
      <c r="Q87">
        <v>17593.2</v>
      </c>
      <c r="R87">
        <v>12</v>
      </c>
      <c r="S87">
        <v>23457.599999999999</v>
      </c>
      <c r="T87">
        <v>11</v>
      </c>
      <c r="U87">
        <v>21502.799999999999</v>
      </c>
      <c r="V87">
        <v>13</v>
      </c>
      <c r="W87">
        <v>25412.399999999998</v>
      </c>
      <c r="X87">
        <v>9</v>
      </c>
      <c r="Y87">
        <v>17593.2</v>
      </c>
      <c r="Z87">
        <v>7</v>
      </c>
      <c r="AA87">
        <v>13683.6</v>
      </c>
      <c r="AB87">
        <v>11</v>
      </c>
      <c r="AC87">
        <v>21502.799999999999</v>
      </c>
      <c r="AD87">
        <v>9</v>
      </c>
      <c r="AE87">
        <v>17593.2</v>
      </c>
      <c r="AF87">
        <v>15</v>
      </c>
      <c r="AG87">
        <v>29322</v>
      </c>
      <c r="AH87">
        <v>14</v>
      </c>
      <c r="AI87">
        <v>27367.200000000001</v>
      </c>
      <c r="AJ87">
        <v>13</v>
      </c>
      <c r="AK87">
        <v>25412.399999999998</v>
      </c>
      <c r="AL87">
        <v>8</v>
      </c>
      <c r="AM87">
        <v>15638.4</v>
      </c>
      <c r="AN87">
        <v>16</v>
      </c>
      <c r="AO87">
        <v>31276.799999999999</v>
      </c>
      <c r="AP87">
        <v>14</v>
      </c>
      <c r="AQ87">
        <v>27367.200000000001</v>
      </c>
      <c r="AR87">
        <v>12</v>
      </c>
      <c r="AS87">
        <v>23457.599999999999</v>
      </c>
      <c r="AT87">
        <v>8</v>
      </c>
      <c r="AU87">
        <v>15638.4</v>
      </c>
      <c r="AV87">
        <v>10</v>
      </c>
      <c r="AW87">
        <v>19548</v>
      </c>
      <c r="AX87">
        <v>14</v>
      </c>
      <c r="AY87">
        <v>27367.200000000001</v>
      </c>
      <c r="AZ87">
        <v>9</v>
      </c>
      <c r="BA87">
        <v>17593.2</v>
      </c>
      <c r="BB87">
        <v>14</v>
      </c>
      <c r="BC87">
        <v>27367.200000000001</v>
      </c>
      <c r="BD87">
        <v>10</v>
      </c>
      <c r="BE87">
        <v>19548</v>
      </c>
      <c r="BF87">
        <v>13</v>
      </c>
      <c r="BG87">
        <v>25412.399999999998</v>
      </c>
      <c r="BH87">
        <v>11</v>
      </c>
      <c r="BI87">
        <v>21502.799999999999</v>
      </c>
      <c r="BJ87">
        <v>11</v>
      </c>
      <c r="BK87">
        <v>21502.799999999999</v>
      </c>
      <c r="BL87">
        <v>14</v>
      </c>
      <c r="BM87">
        <v>27367.200000000001</v>
      </c>
      <c r="BN87">
        <v>12</v>
      </c>
      <c r="BO87">
        <v>23457.599999999999</v>
      </c>
      <c r="BP87">
        <v>11</v>
      </c>
      <c r="BQ87">
        <v>21502.799999999999</v>
      </c>
      <c r="BR87">
        <v>15</v>
      </c>
      <c r="BS87">
        <v>29322</v>
      </c>
      <c r="BT87">
        <v>14</v>
      </c>
      <c r="BU87">
        <v>27367.200000000001</v>
      </c>
      <c r="BV87">
        <v>13</v>
      </c>
      <c r="BW87">
        <v>25412.399999999998</v>
      </c>
      <c r="BX87">
        <v>16</v>
      </c>
      <c r="BY87">
        <v>31276.799999999999</v>
      </c>
      <c r="BZ87">
        <v>14</v>
      </c>
      <c r="CA87">
        <v>27367.200000000001</v>
      </c>
      <c r="CB87">
        <v>14</v>
      </c>
      <c r="CC87">
        <v>27367.200000000001</v>
      </c>
      <c r="CD87">
        <v>14</v>
      </c>
      <c r="CE87">
        <v>27367.200000000001</v>
      </c>
      <c r="CF87">
        <v>13</v>
      </c>
      <c r="CG87">
        <v>25412.399999999998</v>
      </c>
      <c r="CH87">
        <v>10</v>
      </c>
      <c r="CI87">
        <v>19548</v>
      </c>
      <c r="CJ87">
        <v>10</v>
      </c>
      <c r="CK87">
        <v>19548</v>
      </c>
      <c r="CL87">
        <v>9</v>
      </c>
      <c r="CM87">
        <v>17593.2</v>
      </c>
      <c r="CN87">
        <v>11</v>
      </c>
      <c r="CO87">
        <v>21502.799999999999</v>
      </c>
      <c r="CP87">
        <v>10</v>
      </c>
      <c r="CQ87">
        <v>19548</v>
      </c>
      <c r="CR87">
        <v>9</v>
      </c>
      <c r="CS87">
        <v>17593.2</v>
      </c>
      <c r="CT87">
        <v>16</v>
      </c>
      <c r="CU87">
        <v>31276.799999999999</v>
      </c>
    </row>
    <row r="88" spans="2:99" x14ac:dyDescent="0.2">
      <c r="C88" s="118" t="s">
        <v>254</v>
      </c>
      <c r="D88">
        <v>12</v>
      </c>
      <c r="E88">
        <v>22708.799999999999</v>
      </c>
      <c r="F88">
        <v>12</v>
      </c>
      <c r="G88">
        <v>22708.799999999999</v>
      </c>
      <c r="H88">
        <v>9</v>
      </c>
      <c r="I88">
        <v>17031.599999999999</v>
      </c>
      <c r="J88">
        <v>8</v>
      </c>
      <c r="K88">
        <v>15139.199999999999</v>
      </c>
      <c r="L88">
        <v>14</v>
      </c>
      <c r="M88">
        <v>26493.599999999999</v>
      </c>
      <c r="N88">
        <v>8</v>
      </c>
      <c r="O88">
        <v>15139.199999999999</v>
      </c>
      <c r="P88">
        <v>8</v>
      </c>
      <c r="Q88">
        <v>15139.199999999999</v>
      </c>
      <c r="R88">
        <v>13</v>
      </c>
      <c r="S88">
        <v>24601.199999999997</v>
      </c>
      <c r="T88">
        <v>13</v>
      </c>
      <c r="U88">
        <v>24601.199999999997</v>
      </c>
      <c r="V88">
        <v>14</v>
      </c>
      <c r="W88">
        <v>26493.599999999999</v>
      </c>
      <c r="X88">
        <v>11</v>
      </c>
      <c r="Y88">
        <v>20816.399999999998</v>
      </c>
      <c r="Z88">
        <v>7</v>
      </c>
      <c r="AA88">
        <v>13246.8</v>
      </c>
      <c r="AB88">
        <v>10</v>
      </c>
      <c r="AC88">
        <v>18924</v>
      </c>
      <c r="AD88">
        <v>8</v>
      </c>
      <c r="AE88">
        <v>15139.199999999999</v>
      </c>
      <c r="AF88">
        <v>13</v>
      </c>
      <c r="AG88">
        <v>24601.199999999997</v>
      </c>
      <c r="AH88">
        <v>14</v>
      </c>
      <c r="AI88">
        <v>26493.599999999999</v>
      </c>
      <c r="AJ88">
        <v>12</v>
      </c>
      <c r="AK88">
        <v>22708.799999999999</v>
      </c>
      <c r="AL88">
        <v>7</v>
      </c>
      <c r="AM88">
        <v>13246.8</v>
      </c>
      <c r="AN88">
        <v>14</v>
      </c>
      <c r="AO88">
        <v>26493.599999999999</v>
      </c>
      <c r="AP88">
        <v>14</v>
      </c>
      <c r="AQ88">
        <v>26493.599999999999</v>
      </c>
      <c r="AR88">
        <v>13</v>
      </c>
      <c r="AS88">
        <v>24601.199999999997</v>
      </c>
      <c r="AT88">
        <v>9</v>
      </c>
      <c r="AU88">
        <v>17031.599999999999</v>
      </c>
      <c r="AV88">
        <v>9</v>
      </c>
      <c r="AW88">
        <v>17031.599999999999</v>
      </c>
      <c r="AX88">
        <v>14</v>
      </c>
      <c r="AY88">
        <v>26493.599999999999</v>
      </c>
      <c r="AZ88">
        <v>9</v>
      </c>
      <c r="BA88">
        <v>17031.599999999999</v>
      </c>
      <c r="BB88">
        <v>15</v>
      </c>
      <c r="BC88">
        <v>28385.999999999996</v>
      </c>
      <c r="BD88">
        <v>9</v>
      </c>
      <c r="BE88">
        <v>17031.599999999999</v>
      </c>
      <c r="BF88">
        <v>14</v>
      </c>
      <c r="BG88">
        <v>26493.599999999999</v>
      </c>
      <c r="BH88">
        <v>9</v>
      </c>
      <c r="BI88">
        <v>17031.599999999999</v>
      </c>
      <c r="BJ88">
        <v>10</v>
      </c>
      <c r="BK88">
        <v>18924</v>
      </c>
      <c r="BL88">
        <v>15</v>
      </c>
      <c r="BM88">
        <v>28385.999999999996</v>
      </c>
      <c r="BN88">
        <v>12</v>
      </c>
      <c r="BO88">
        <v>22708.799999999999</v>
      </c>
      <c r="BP88">
        <v>11</v>
      </c>
      <c r="BQ88">
        <v>20816.399999999998</v>
      </c>
      <c r="BR88">
        <v>13</v>
      </c>
      <c r="BS88">
        <v>24601.199999999997</v>
      </c>
      <c r="BT88">
        <v>13</v>
      </c>
      <c r="BU88">
        <v>24601.199999999997</v>
      </c>
      <c r="BV88">
        <v>12</v>
      </c>
      <c r="BW88">
        <v>22708.799999999999</v>
      </c>
      <c r="BX88">
        <v>14</v>
      </c>
      <c r="BY88">
        <v>26493.599999999999</v>
      </c>
      <c r="BZ88">
        <v>13</v>
      </c>
      <c r="CA88">
        <v>24601.199999999997</v>
      </c>
      <c r="CB88">
        <v>13</v>
      </c>
      <c r="CC88">
        <v>24601.199999999997</v>
      </c>
      <c r="CD88">
        <v>16</v>
      </c>
      <c r="CE88">
        <v>30278.399999999998</v>
      </c>
      <c r="CF88">
        <v>14</v>
      </c>
      <c r="CG88">
        <v>26493.599999999999</v>
      </c>
      <c r="CH88">
        <v>10</v>
      </c>
      <c r="CI88">
        <v>18924</v>
      </c>
      <c r="CJ88">
        <v>9</v>
      </c>
      <c r="CK88">
        <v>17031.599999999999</v>
      </c>
      <c r="CL88">
        <v>9</v>
      </c>
      <c r="CM88">
        <v>17031.599999999999</v>
      </c>
      <c r="CN88">
        <v>12</v>
      </c>
      <c r="CO88">
        <v>22708.799999999999</v>
      </c>
      <c r="CP88">
        <v>11</v>
      </c>
      <c r="CQ88">
        <v>20816.399999999998</v>
      </c>
      <c r="CR88">
        <v>11</v>
      </c>
      <c r="CS88">
        <v>20816.399999999998</v>
      </c>
      <c r="CT88">
        <v>16</v>
      </c>
      <c r="CU88">
        <v>30278.399999999998</v>
      </c>
    </row>
    <row r="89" spans="2:99" x14ac:dyDescent="0.2">
      <c r="C89" s="118" t="s">
        <v>255</v>
      </c>
      <c r="D89">
        <v>12</v>
      </c>
      <c r="E89">
        <v>28771.199999999997</v>
      </c>
      <c r="F89">
        <v>13</v>
      </c>
      <c r="G89">
        <v>31168.799999999999</v>
      </c>
      <c r="H89">
        <v>9</v>
      </c>
      <c r="I89">
        <v>21578.399999999998</v>
      </c>
      <c r="J89">
        <v>9</v>
      </c>
      <c r="K89">
        <v>21578.399999999998</v>
      </c>
      <c r="L89">
        <v>14</v>
      </c>
      <c r="M89">
        <v>33566.400000000001</v>
      </c>
      <c r="N89">
        <v>7</v>
      </c>
      <c r="O89">
        <v>16783.2</v>
      </c>
      <c r="P89">
        <v>8</v>
      </c>
      <c r="Q89">
        <v>19180.8</v>
      </c>
      <c r="R89">
        <v>12</v>
      </c>
      <c r="S89">
        <v>28771.199999999997</v>
      </c>
      <c r="T89">
        <v>10</v>
      </c>
      <c r="U89">
        <v>23976</v>
      </c>
      <c r="V89">
        <v>13</v>
      </c>
      <c r="W89">
        <v>31168.799999999999</v>
      </c>
      <c r="X89">
        <v>9</v>
      </c>
      <c r="Y89">
        <v>21578.399999999998</v>
      </c>
      <c r="Z89">
        <v>8</v>
      </c>
      <c r="AA89">
        <v>19180.8</v>
      </c>
      <c r="AB89">
        <v>11</v>
      </c>
      <c r="AC89">
        <v>26373.599999999999</v>
      </c>
      <c r="AD89">
        <v>8</v>
      </c>
      <c r="AE89">
        <v>19180.8</v>
      </c>
      <c r="AF89">
        <v>13</v>
      </c>
      <c r="AG89">
        <v>31168.799999999999</v>
      </c>
      <c r="AH89">
        <v>14</v>
      </c>
      <c r="AI89">
        <v>33566.400000000001</v>
      </c>
      <c r="AJ89">
        <v>13</v>
      </c>
      <c r="AK89">
        <v>31168.799999999999</v>
      </c>
      <c r="AL89">
        <v>7</v>
      </c>
      <c r="AM89">
        <v>16783.2</v>
      </c>
      <c r="AN89">
        <v>16</v>
      </c>
      <c r="AO89">
        <v>38361.599999999999</v>
      </c>
      <c r="AP89">
        <v>13</v>
      </c>
      <c r="AQ89">
        <v>31168.799999999999</v>
      </c>
      <c r="AR89">
        <v>11</v>
      </c>
      <c r="AS89">
        <v>26373.599999999999</v>
      </c>
      <c r="AT89">
        <v>9</v>
      </c>
      <c r="AU89">
        <v>21578.399999999998</v>
      </c>
      <c r="AV89">
        <v>10</v>
      </c>
      <c r="AW89">
        <v>23976</v>
      </c>
      <c r="AX89">
        <v>13</v>
      </c>
      <c r="AY89">
        <v>31168.799999999999</v>
      </c>
      <c r="AZ89">
        <v>8</v>
      </c>
      <c r="BA89">
        <v>19180.8</v>
      </c>
      <c r="BB89">
        <v>13</v>
      </c>
      <c r="BC89">
        <v>31168.799999999999</v>
      </c>
      <c r="BD89">
        <v>9</v>
      </c>
      <c r="BE89">
        <v>21578.399999999998</v>
      </c>
      <c r="BF89">
        <v>13</v>
      </c>
      <c r="BG89">
        <v>31168.799999999999</v>
      </c>
      <c r="BH89">
        <v>9</v>
      </c>
      <c r="BI89">
        <v>21578.399999999998</v>
      </c>
      <c r="BJ89">
        <v>10</v>
      </c>
      <c r="BK89">
        <v>23976</v>
      </c>
      <c r="BL89">
        <v>15</v>
      </c>
      <c r="BM89">
        <v>35964</v>
      </c>
      <c r="BN89">
        <v>12</v>
      </c>
      <c r="BO89">
        <v>28771.199999999997</v>
      </c>
      <c r="BP89">
        <v>11</v>
      </c>
      <c r="BQ89">
        <v>26373.599999999999</v>
      </c>
      <c r="BR89">
        <v>13</v>
      </c>
      <c r="BS89">
        <v>31168.799999999999</v>
      </c>
      <c r="BT89">
        <v>15</v>
      </c>
      <c r="BU89">
        <v>35964</v>
      </c>
      <c r="BV89">
        <v>12</v>
      </c>
      <c r="BW89">
        <v>28771.199999999997</v>
      </c>
      <c r="BX89">
        <v>15</v>
      </c>
      <c r="BY89">
        <v>35964</v>
      </c>
      <c r="BZ89">
        <v>12</v>
      </c>
      <c r="CA89">
        <v>28771.199999999997</v>
      </c>
      <c r="CB89">
        <v>12</v>
      </c>
      <c r="CC89">
        <v>28771.199999999997</v>
      </c>
      <c r="CD89">
        <v>14</v>
      </c>
      <c r="CE89">
        <v>33566.400000000001</v>
      </c>
      <c r="CF89">
        <v>13</v>
      </c>
      <c r="CG89">
        <v>31168.799999999999</v>
      </c>
      <c r="CH89">
        <v>10</v>
      </c>
      <c r="CI89">
        <v>23976</v>
      </c>
      <c r="CJ89">
        <v>10</v>
      </c>
      <c r="CK89">
        <v>23976</v>
      </c>
      <c r="CL89">
        <v>8</v>
      </c>
      <c r="CM89">
        <v>19180.8</v>
      </c>
      <c r="CN89">
        <v>12</v>
      </c>
      <c r="CO89">
        <v>28771.199999999997</v>
      </c>
      <c r="CP89">
        <v>9</v>
      </c>
      <c r="CQ89">
        <v>21578.399999999998</v>
      </c>
      <c r="CR89">
        <v>9</v>
      </c>
      <c r="CS89">
        <v>21578.399999999998</v>
      </c>
      <c r="CT89">
        <v>16</v>
      </c>
      <c r="CU89">
        <v>38361.599999999999</v>
      </c>
    </row>
    <row r="90" spans="2:99" x14ac:dyDescent="0.2">
      <c r="C90" s="118" t="s">
        <v>256</v>
      </c>
      <c r="D90">
        <v>11</v>
      </c>
      <c r="E90">
        <v>24169.199999999997</v>
      </c>
      <c r="F90">
        <v>12</v>
      </c>
      <c r="G90">
        <v>26366.399999999998</v>
      </c>
      <c r="H90">
        <v>8</v>
      </c>
      <c r="I90">
        <v>17577.599999999999</v>
      </c>
      <c r="J90">
        <v>9</v>
      </c>
      <c r="K90">
        <v>19774.8</v>
      </c>
      <c r="L90">
        <v>13</v>
      </c>
      <c r="M90">
        <v>28563.599999999999</v>
      </c>
      <c r="N90">
        <v>8</v>
      </c>
      <c r="O90">
        <v>17577.599999999999</v>
      </c>
      <c r="P90">
        <v>8</v>
      </c>
      <c r="Q90">
        <v>17577.599999999999</v>
      </c>
      <c r="R90">
        <v>13</v>
      </c>
      <c r="S90">
        <v>28563.599999999999</v>
      </c>
      <c r="T90">
        <v>11</v>
      </c>
      <c r="U90">
        <v>24169.199999999997</v>
      </c>
      <c r="V90">
        <v>14</v>
      </c>
      <c r="W90">
        <v>30760.799999999996</v>
      </c>
      <c r="X90">
        <v>9</v>
      </c>
      <c r="Y90">
        <v>19774.8</v>
      </c>
      <c r="Z90">
        <v>7</v>
      </c>
      <c r="AA90">
        <v>15380.399999999998</v>
      </c>
      <c r="AB90">
        <v>11</v>
      </c>
      <c r="AC90">
        <v>24169.199999999997</v>
      </c>
      <c r="AD90">
        <v>7</v>
      </c>
      <c r="AE90">
        <v>15380.399999999998</v>
      </c>
      <c r="AF90">
        <v>14</v>
      </c>
      <c r="AG90">
        <v>30760.799999999996</v>
      </c>
      <c r="AH90">
        <v>14</v>
      </c>
      <c r="AI90">
        <v>30760.799999999996</v>
      </c>
      <c r="AJ90">
        <v>13</v>
      </c>
      <c r="AK90">
        <v>28563.599999999999</v>
      </c>
      <c r="AL90">
        <v>7</v>
      </c>
      <c r="AM90">
        <v>15380.399999999998</v>
      </c>
      <c r="AN90">
        <v>15</v>
      </c>
      <c r="AO90">
        <v>32958</v>
      </c>
      <c r="AP90">
        <v>14</v>
      </c>
      <c r="AQ90">
        <v>30760.799999999996</v>
      </c>
      <c r="AR90">
        <v>12</v>
      </c>
      <c r="AS90">
        <v>26366.399999999998</v>
      </c>
      <c r="AT90">
        <v>10</v>
      </c>
      <c r="AU90">
        <v>21972</v>
      </c>
      <c r="AV90">
        <v>9</v>
      </c>
      <c r="AW90">
        <v>19774.8</v>
      </c>
      <c r="AX90">
        <v>15</v>
      </c>
      <c r="AY90">
        <v>32958</v>
      </c>
      <c r="AZ90">
        <v>8</v>
      </c>
      <c r="BA90">
        <v>17577.599999999999</v>
      </c>
      <c r="BB90">
        <v>13</v>
      </c>
      <c r="BC90">
        <v>28563.599999999999</v>
      </c>
      <c r="BD90">
        <v>10</v>
      </c>
      <c r="BE90">
        <v>21972</v>
      </c>
      <c r="BF90">
        <v>13</v>
      </c>
      <c r="BG90">
        <v>28563.599999999999</v>
      </c>
      <c r="BH90">
        <v>10</v>
      </c>
      <c r="BI90">
        <v>21972</v>
      </c>
      <c r="BJ90">
        <v>10</v>
      </c>
      <c r="BK90">
        <v>21972</v>
      </c>
      <c r="BL90">
        <v>16</v>
      </c>
      <c r="BM90">
        <v>35155.199999999997</v>
      </c>
      <c r="BN90">
        <v>12</v>
      </c>
      <c r="BO90">
        <v>26366.399999999998</v>
      </c>
      <c r="BP90">
        <v>11</v>
      </c>
      <c r="BQ90">
        <v>24169.199999999997</v>
      </c>
      <c r="BR90">
        <v>15</v>
      </c>
      <c r="BS90">
        <v>32958</v>
      </c>
      <c r="BT90">
        <v>14</v>
      </c>
      <c r="BU90">
        <v>30760.799999999996</v>
      </c>
      <c r="BV90">
        <v>11</v>
      </c>
      <c r="BW90">
        <v>24169.199999999997</v>
      </c>
      <c r="BX90">
        <v>15</v>
      </c>
      <c r="BY90">
        <v>32958</v>
      </c>
      <c r="BZ90">
        <v>12</v>
      </c>
      <c r="CA90">
        <v>26366.399999999998</v>
      </c>
      <c r="CB90">
        <v>13</v>
      </c>
      <c r="CC90">
        <v>28563.599999999999</v>
      </c>
      <c r="CD90">
        <v>15</v>
      </c>
      <c r="CE90">
        <v>32958</v>
      </c>
      <c r="CF90">
        <v>13</v>
      </c>
      <c r="CG90">
        <v>28563.599999999999</v>
      </c>
      <c r="CH90">
        <v>11</v>
      </c>
      <c r="CI90">
        <v>24169.199999999997</v>
      </c>
      <c r="CJ90">
        <v>10</v>
      </c>
      <c r="CK90">
        <v>21972</v>
      </c>
      <c r="CL90">
        <v>8</v>
      </c>
      <c r="CM90">
        <v>17577.599999999999</v>
      </c>
      <c r="CN90">
        <v>11</v>
      </c>
      <c r="CO90">
        <v>24169.199999999997</v>
      </c>
      <c r="CP90">
        <v>9</v>
      </c>
      <c r="CQ90">
        <v>19774.8</v>
      </c>
      <c r="CR90">
        <v>10</v>
      </c>
      <c r="CS90">
        <v>21972</v>
      </c>
      <c r="CT90">
        <v>15</v>
      </c>
      <c r="CU90">
        <v>32958</v>
      </c>
    </row>
    <row r="91" spans="2:99" x14ac:dyDescent="0.2">
      <c r="C91" s="118" t="s">
        <v>257</v>
      </c>
      <c r="D91">
        <v>10</v>
      </c>
      <c r="E91">
        <v>22967.999999999996</v>
      </c>
      <c r="F91">
        <v>12</v>
      </c>
      <c r="G91">
        <v>27561.599999999999</v>
      </c>
      <c r="H91">
        <v>9</v>
      </c>
      <c r="I91">
        <v>20671.199999999997</v>
      </c>
      <c r="J91">
        <v>9</v>
      </c>
      <c r="K91">
        <v>20671.199999999997</v>
      </c>
      <c r="L91">
        <v>13</v>
      </c>
      <c r="M91">
        <v>29858.399999999998</v>
      </c>
      <c r="N91">
        <v>9</v>
      </c>
      <c r="O91">
        <v>20671.199999999997</v>
      </c>
      <c r="P91">
        <v>8</v>
      </c>
      <c r="Q91">
        <v>18374.399999999998</v>
      </c>
      <c r="R91">
        <v>14</v>
      </c>
      <c r="S91">
        <v>32155.199999999997</v>
      </c>
      <c r="T91">
        <v>11</v>
      </c>
      <c r="U91">
        <v>25264.799999999996</v>
      </c>
      <c r="V91">
        <v>15</v>
      </c>
      <c r="W91">
        <v>34451.999999999993</v>
      </c>
      <c r="X91">
        <v>9</v>
      </c>
      <c r="Y91">
        <v>20671.199999999997</v>
      </c>
      <c r="Z91">
        <v>7</v>
      </c>
      <c r="AA91">
        <v>16077.599999999999</v>
      </c>
      <c r="AB91">
        <v>11</v>
      </c>
      <c r="AC91">
        <v>25264.799999999996</v>
      </c>
      <c r="AD91">
        <v>9</v>
      </c>
      <c r="AE91">
        <v>20671.199999999997</v>
      </c>
      <c r="AF91">
        <v>15</v>
      </c>
      <c r="AG91">
        <v>34451.999999999993</v>
      </c>
      <c r="AH91">
        <v>15</v>
      </c>
      <c r="AI91">
        <v>34451.999999999993</v>
      </c>
      <c r="AJ91">
        <v>11</v>
      </c>
      <c r="AK91">
        <v>25264.799999999996</v>
      </c>
      <c r="AL91">
        <v>7</v>
      </c>
      <c r="AM91">
        <v>16077.599999999999</v>
      </c>
      <c r="AN91">
        <v>14</v>
      </c>
      <c r="AO91">
        <v>32155.199999999997</v>
      </c>
      <c r="AP91">
        <v>12</v>
      </c>
      <c r="AQ91">
        <v>27561.599999999999</v>
      </c>
      <c r="AR91">
        <v>11</v>
      </c>
      <c r="AS91">
        <v>25264.799999999996</v>
      </c>
      <c r="AT91">
        <v>9</v>
      </c>
      <c r="AU91">
        <v>20671.199999999997</v>
      </c>
      <c r="AV91">
        <v>10</v>
      </c>
      <c r="AW91">
        <v>22967.999999999996</v>
      </c>
      <c r="AX91">
        <v>14</v>
      </c>
      <c r="AY91">
        <v>32155.199999999997</v>
      </c>
      <c r="AZ91">
        <v>8</v>
      </c>
      <c r="BA91">
        <v>18374.399999999998</v>
      </c>
      <c r="BB91">
        <v>15</v>
      </c>
      <c r="BC91">
        <v>34451.999999999993</v>
      </c>
      <c r="BD91">
        <v>9</v>
      </c>
      <c r="BE91">
        <v>20671.199999999997</v>
      </c>
      <c r="BF91">
        <v>12</v>
      </c>
      <c r="BG91">
        <v>27561.599999999999</v>
      </c>
      <c r="BH91">
        <v>11</v>
      </c>
      <c r="BI91">
        <v>25264.799999999996</v>
      </c>
      <c r="BJ91">
        <v>11</v>
      </c>
      <c r="BK91">
        <v>25264.799999999996</v>
      </c>
      <c r="BL91">
        <v>15</v>
      </c>
      <c r="BM91">
        <v>34451.999999999993</v>
      </c>
      <c r="BN91">
        <v>12</v>
      </c>
      <c r="BO91">
        <v>27561.599999999999</v>
      </c>
      <c r="BP91">
        <v>10</v>
      </c>
      <c r="BQ91">
        <v>22967.999999999996</v>
      </c>
      <c r="BR91">
        <v>14</v>
      </c>
      <c r="BS91">
        <v>32155.199999999997</v>
      </c>
      <c r="BT91">
        <v>15</v>
      </c>
      <c r="BU91">
        <v>34451.999999999993</v>
      </c>
      <c r="BV91">
        <v>11</v>
      </c>
      <c r="BW91">
        <v>25264.799999999996</v>
      </c>
      <c r="BX91">
        <v>14</v>
      </c>
      <c r="BY91">
        <v>32155.199999999997</v>
      </c>
      <c r="BZ91">
        <v>13</v>
      </c>
      <c r="CA91">
        <v>29858.399999999998</v>
      </c>
      <c r="CB91">
        <v>13</v>
      </c>
      <c r="CC91">
        <v>29858.399999999998</v>
      </c>
      <c r="CD91">
        <v>15</v>
      </c>
      <c r="CE91">
        <v>34451.999999999993</v>
      </c>
      <c r="CF91">
        <v>12</v>
      </c>
      <c r="CG91">
        <v>27561.599999999999</v>
      </c>
      <c r="CH91">
        <v>9</v>
      </c>
      <c r="CI91">
        <v>20671.199999999997</v>
      </c>
      <c r="CJ91">
        <v>10</v>
      </c>
      <c r="CK91">
        <v>22967.999999999996</v>
      </c>
      <c r="CL91">
        <v>8</v>
      </c>
      <c r="CM91">
        <v>18374.399999999998</v>
      </c>
      <c r="CN91">
        <v>11</v>
      </c>
      <c r="CO91">
        <v>25264.799999999996</v>
      </c>
      <c r="CP91">
        <v>9</v>
      </c>
      <c r="CQ91">
        <v>20671.199999999997</v>
      </c>
      <c r="CR91">
        <v>9</v>
      </c>
      <c r="CS91">
        <v>20671.199999999997</v>
      </c>
      <c r="CT91">
        <v>15</v>
      </c>
      <c r="CU91">
        <v>34451.999999999993</v>
      </c>
    </row>
    <row r="92" spans="2:99" x14ac:dyDescent="0.2">
      <c r="C92" s="118" t="s">
        <v>258</v>
      </c>
      <c r="D92">
        <v>11</v>
      </c>
      <c r="E92">
        <v>15628.8</v>
      </c>
      <c r="F92">
        <v>13</v>
      </c>
      <c r="G92">
        <v>18470.399999999998</v>
      </c>
      <c r="H92">
        <v>8</v>
      </c>
      <c r="I92">
        <v>11366.4</v>
      </c>
      <c r="J92">
        <v>9</v>
      </c>
      <c r="K92">
        <v>12787.199999999999</v>
      </c>
      <c r="L92">
        <v>13</v>
      </c>
      <c r="M92">
        <v>18470.399999999998</v>
      </c>
      <c r="N92">
        <v>9</v>
      </c>
      <c r="O92">
        <v>12787.199999999999</v>
      </c>
      <c r="P92">
        <v>9</v>
      </c>
      <c r="Q92">
        <v>12787.199999999999</v>
      </c>
      <c r="R92">
        <v>13</v>
      </c>
      <c r="S92">
        <v>18470.399999999998</v>
      </c>
      <c r="T92">
        <v>13</v>
      </c>
      <c r="U92">
        <v>18470.399999999998</v>
      </c>
      <c r="V92">
        <v>15</v>
      </c>
      <c r="W92">
        <v>21312</v>
      </c>
      <c r="X92">
        <v>11</v>
      </c>
      <c r="Y92">
        <v>15628.8</v>
      </c>
      <c r="Z92">
        <v>7</v>
      </c>
      <c r="AA92">
        <v>9945.6</v>
      </c>
      <c r="AB92">
        <v>12</v>
      </c>
      <c r="AC92">
        <v>17049.599999999999</v>
      </c>
      <c r="AD92">
        <v>9</v>
      </c>
      <c r="AE92">
        <v>12787.199999999999</v>
      </c>
      <c r="AF92">
        <v>16</v>
      </c>
      <c r="AG92">
        <v>22732.799999999999</v>
      </c>
      <c r="AH92">
        <v>14</v>
      </c>
      <c r="AI92">
        <v>19891.2</v>
      </c>
      <c r="AJ92">
        <v>14</v>
      </c>
      <c r="AK92">
        <v>19891.2</v>
      </c>
      <c r="AL92">
        <v>8</v>
      </c>
      <c r="AM92">
        <v>11366.4</v>
      </c>
      <c r="AN92">
        <v>17</v>
      </c>
      <c r="AO92">
        <v>24153.599999999999</v>
      </c>
      <c r="AP92">
        <v>13</v>
      </c>
      <c r="AQ92">
        <v>18470.399999999998</v>
      </c>
      <c r="AR92">
        <v>13</v>
      </c>
      <c r="AS92">
        <v>18470.399999999998</v>
      </c>
      <c r="AT92">
        <v>9</v>
      </c>
      <c r="AU92">
        <v>12787.199999999999</v>
      </c>
      <c r="AV92">
        <v>11</v>
      </c>
      <c r="AW92">
        <v>15628.8</v>
      </c>
      <c r="AX92">
        <v>16</v>
      </c>
      <c r="AY92">
        <v>22732.799999999999</v>
      </c>
      <c r="AZ92">
        <v>9</v>
      </c>
      <c r="BA92">
        <v>12787.199999999999</v>
      </c>
      <c r="BB92">
        <v>16</v>
      </c>
      <c r="BC92">
        <v>22732.799999999999</v>
      </c>
      <c r="BD92">
        <v>10</v>
      </c>
      <c r="BE92">
        <v>14208</v>
      </c>
      <c r="BF92">
        <v>13</v>
      </c>
      <c r="BG92">
        <v>18470.399999999998</v>
      </c>
      <c r="BH92">
        <v>10</v>
      </c>
      <c r="BI92">
        <v>14208</v>
      </c>
      <c r="BJ92">
        <v>12</v>
      </c>
      <c r="BK92">
        <v>17049.599999999999</v>
      </c>
      <c r="BL92">
        <v>15</v>
      </c>
      <c r="BM92">
        <v>21312</v>
      </c>
      <c r="BN92">
        <v>13</v>
      </c>
      <c r="BO92">
        <v>18470.399999999998</v>
      </c>
      <c r="BP92">
        <v>11</v>
      </c>
      <c r="BQ92">
        <v>15628.8</v>
      </c>
      <c r="BR92">
        <v>14</v>
      </c>
      <c r="BS92">
        <v>19891.2</v>
      </c>
      <c r="BT92">
        <v>16</v>
      </c>
      <c r="BU92">
        <v>22732.799999999999</v>
      </c>
      <c r="BV92">
        <v>12</v>
      </c>
      <c r="BW92">
        <v>17049.599999999999</v>
      </c>
      <c r="BX92">
        <v>17</v>
      </c>
      <c r="BY92">
        <v>24153.599999999999</v>
      </c>
      <c r="BZ92">
        <v>13</v>
      </c>
      <c r="CA92">
        <v>18470.399999999998</v>
      </c>
      <c r="CB92">
        <v>16</v>
      </c>
      <c r="CC92">
        <v>22732.799999999999</v>
      </c>
      <c r="CD92">
        <v>17</v>
      </c>
      <c r="CE92">
        <v>24153.599999999999</v>
      </c>
      <c r="CF92">
        <v>14</v>
      </c>
      <c r="CG92">
        <v>19891.2</v>
      </c>
      <c r="CH92">
        <v>12</v>
      </c>
      <c r="CI92">
        <v>17049.599999999999</v>
      </c>
      <c r="CJ92">
        <v>10</v>
      </c>
      <c r="CK92">
        <v>14208</v>
      </c>
      <c r="CL92">
        <v>9</v>
      </c>
      <c r="CM92">
        <v>12787.199999999999</v>
      </c>
      <c r="CN92">
        <v>12</v>
      </c>
      <c r="CO92">
        <v>17049.599999999999</v>
      </c>
      <c r="CP92">
        <v>11</v>
      </c>
      <c r="CQ92">
        <v>15628.8</v>
      </c>
      <c r="CR92">
        <v>11</v>
      </c>
      <c r="CS92">
        <v>15628.8</v>
      </c>
      <c r="CT92">
        <v>17</v>
      </c>
      <c r="CU92">
        <v>24153.599999999999</v>
      </c>
    </row>
    <row r="93" spans="2:99" x14ac:dyDescent="0.2">
      <c r="C93" s="118" t="s">
        <v>259</v>
      </c>
      <c r="D93">
        <v>11</v>
      </c>
      <c r="E93">
        <v>19496.399999999998</v>
      </c>
      <c r="F93">
        <v>13</v>
      </c>
      <c r="G93">
        <v>23041.199999999997</v>
      </c>
      <c r="H93">
        <v>8</v>
      </c>
      <c r="I93">
        <v>14179.199999999999</v>
      </c>
      <c r="J93">
        <v>9</v>
      </c>
      <c r="K93">
        <v>15951.599999999999</v>
      </c>
      <c r="L93">
        <v>16</v>
      </c>
      <c r="M93">
        <v>28358.399999999998</v>
      </c>
      <c r="N93">
        <v>9</v>
      </c>
      <c r="O93">
        <v>15951.599999999999</v>
      </c>
      <c r="P93">
        <v>8</v>
      </c>
      <c r="Q93">
        <v>14179.199999999999</v>
      </c>
      <c r="R93">
        <v>13</v>
      </c>
      <c r="S93">
        <v>23041.199999999997</v>
      </c>
      <c r="T93">
        <v>13</v>
      </c>
      <c r="U93">
        <v>23041.199999999997</v>
      </c>
      <c r="V93">
        <v>15</v>
      </c>
      <c r="W93">
        <v>26585.999999999996</v>
      </c>
      <c r="X93">
        <v>10</v>
      </c>
      <c r="Y93">
        <v>17724</v>
      </c>
      <c r="Z93">
        <v>8</v>
      </c>
      <c r="AA93">
        <v>14179.199999999999</v>
      </c>
      <c r="AB93">
        <v>11</v>
      </c>
      <c r="AC93">
        <v>19496.399999999998</v>
      </c>
      <c r="AD93">
        <v>8</v>
      </c>
      <c r="AE93">
        <v>14179.199999999999</v>
      </c>
      <c r="AF93">
        <v>14</v>
      </c>
      <c r="AG93">
        <v>24813.599999999999</v>
      </c>
      <c r="AH93">
        <v>14</v>
      </c>
      <c r="AI93">
        <v>24813.599999999999</v>
      </c>
      <c r="AJ93">
        <v>12</v>
      </c>
      <c r="AK93">
        <v>21268.799999999999</v>
      </c>
      <c r="AL93">
        <v>8</v>
      </c>
      <c r="AM93">
        <v>14179.199999999999</v>
      </c>
      <c r="AN93">
        <v>14</v>
      </c>
      <c r="AO93">
        <v>24813.599999999999</v>
      </c>
      <c r="AP93">
        <v>13</v>
      </c>
      <c r="AQ93">
        <v>23041.199999999997</v>
      </c>
      <c r="AR93">
        <v>12</v>
      </c>
      <c r="AS93">
        <v>21268.799999999999</v>
      </c>
      <c r="AT93">
        <v>9</v>
      </c>
      <c r="AU93">
        <v>15951.599999999999</v>
      </c>
      <c r="AV93">
        <v>9</v>
      </c>
      <c r="AW93">
        <v>15951.599999999999</v>
      </c>
      <c r="AX93">
        <v>16</v>
      </c>
      <c r="AY93">
        <v>28358.399999999998</v>
      </c>
      <c r="AZ93">
        <v>8</v>
      </c>
      <c r="BA93">
        <v>14179.199999999999</v>
      </c>
      <c r="BB93">
        <v>15</v>
      </c>
      <c r="BC93">
        <v>26585.999999999996</v>
      </c>
      <c r="BD93">
        <v>9</v>
      </c>
      <c r="BE93">
        <v>15951.599999999999</v>
      </c>
      <c r="BF93">
        <v>13</v>
      </c>
      <c r="BG93">
        <v>23041.199999999997</v>
      </c>
      <c r="BH93">
        <v>10</v>
      </c>
      <c r="BI93">
        <v>17724</v>
      </c>
      <c r="BJ93">
        <v>11</v>
      </c>
      <c r="BK93">
        <v>19496.399999999998</v>
      </c>
      <c r="BL93">
        <v>14</v>
      </c>
      <c r="BM93">
        <v>24813.599999999999</v>
      </c>
      <c r="BN93">
        <v>12</v>
      </c>
      <c r="BO93">
        <v>21268.799999999999</v>
      </c>
      <c r="BP93">
        <v>11</v>
      </c>
      <c r="BQ93">
        <v>19496.399999999998</v>
      </c>
      <c r="BR93">
        <v>14</v>
      </c>
      <c r="BS93">
        <v>24813.599999999999</v>
      </c>
      <c r="BT93">
        <v>15</v>
      </c>
      <c r="BU93">
        <v>26585.999999999996</v>
      </c>
      <c r="BV93">
        <v>13</v>
      </c>
      <c r="BW93">
        <v>23041.199999999997</v>
      </c>
      <c r="BX93">
        <v>15</v>
      </c>
      <c r="BY93">
        <v>26585.999999999996</v>
      </c>
      <c r="BZ93">
        <v>14</v>
      </c>
      <c r="CA93">
        <v>24813.599999999999</v>
      </c>
      <c r="CB93">
        <v>13</v>
      </c>
      <c r="CC93">
        <v>23041.199999999997</v>
      </c>
      <c r="CD93">
        <v>16</v>
      </c>
      <c r="CE93">
        <v>28358.399999999998</v>
      </c>
      <c r="CF93">
        <v>14</v>
      </c>
      <c r="CG93">
        <v>24813.599999999999</v>
      </c>
      <c r="CH93">
        <v>11</v>
      </c>
      <c r="CI93">
        <v>19496.399999999998</v>
      </c>
      <c r="CJ93">
        <v>11</v>
      </c>
      <c r="CK93">
        <v>19496.399999999998</v>
      </c>
      <c r="CL93">
        <v>8</v>
      </c>
      <c r="CM93">
        <v>14179.199999999999</v>
      </c>
      <c r="CN93">
        <v>13</v>
      </c>
      <c r="CO93">
        <v>23041.199999999997</v>
      </c>
      <c r="CP93">
        <v>9</v>
      </c>
      <c r="CQ93">
        <v>15951.599999999999</v>
      </c>
      <c r="CR93">
        <v>11</v>
      </c>
      <c r="CS93">
        <v>19496.399999999998</v>
      </c>
      <c r="CT93">
        <v>15</v>
      </c>
      <c r="CU93">
        <v>26585.999999999996</v>
      </c>
    </row>
    <row r="94" spans="2:99" x14ac:dyDescent="0.2">
      <c r="C94" s="118" t="s">
        <v>260</v>
      </c>
      <c r="D94">
        <v>10</v>
      </c>
      <c r="E94">
        <v>23952</v>
      </c>
      <c r="F94">
        <v>13</v>
      </c>
      <c r="G94">
        <v>31137.599999999999</v>
      </c>
      <c r="H94">
        <v>8</v>
      </c>
      <c r="I94">
        <v>19161.599999999999</v>
      </c>
      <c r="J94">
        <v>9</v>
      </c>
      <c r="K94">
        <v>21556.799999999999</v>
      </c>
      <c r="L94">
        <v>13</v>
      </c>
      <c r="M94">
        <v>31137.599999999999</v>
      </c>
      <c r="N94">
        <v>9</v>
      </c>
      <c r="O94">
        <v>21556.799999999999</v>
      </c>
      <c r="P94">
        <v>8</v>
      </c>
      <c r="Q94">
        <v>19161.599999999999</v>
      </c>
      <c r="R94">
        <v>13</v>
      </c>
      <c r="S94">
        <v>31137.599999999999</v>
      </c>
      <c r="T94">
        <v>12</v>
      </c>
      <c r="U94">
        <v>28742.399999999998</v>
      </c>
      <c r="V94">
        <v>14</v>
      </c>
      <c r="W94">
        <v>33532.799999999996</v>
      </c>
      <c r="X94">
        <v>9</v>
      </c>
      <c r="Y94">
        <v>21556.799999999999</v>
      </c>
      <c r="Z94">
        <v>6</v>
      </c>
      <c r="AA94">
        <v>14371.199999999999</v>
      </c>
      <c r="AB94">
        <v>11</v>
      </c>
      <c r="AC94">
        <v>26347.199999999997</v>
      </c>
      <c r="AD94">
        <v>8</v>
      </c>
      <c r="AE94">
        <v>19161.599999999999</v>
      </c>
      <c r="AF94">
        <v>13</v>
      </c>
      <c r="AG94">
        <v>31137.599999999999</v>
      </c>
      <c r="AH94">
        <v>13</v>
      </c>
      <c r="AI94">
        <v>31137.599999999999</v>
      </c>
      <c r="AJ94">
        <v>13</v>
      </c>
      <c r="AK94">
        <v>31137.599999999999</v>
      </c>
      <c r="AL94">
        <v>8</v>
      </c>
      <c r="AM94">
        <v>19161.599999999999</v>
      </c>
      <c r="AN94">
        <v>15</v>
      </c>
      <c r="AO94">
        <v>35928</v>
      </c>
      <c r="AP94">
        <v>12</v>
      </c>
      <c r="AQ94">
        <v>28742.399999999998</v>
      </c>
      <c r="AR94">
        <v>11</v>
      </c>
      <c r="AS94">
        <v>26347.199999999997</v>
      </c>
      <c r="AT94">
        <v>10</v>
      </c>
      <c r="AU94">
        <v>23952</v>
      </c>
      <c r="AV94">
        <v>10</v>
      </c>
      <c r="AW94">
        <v>23952</v>
      </c>
      <c r="AX94">
        <v>15</v>
      </c>
      <c r="AY94">
        <v>35928</v>
      </c>
      <c r="AZ94">
        <v>8</v>
      </c>
      <c r="BA94">
        <v>19161.599999999999</v>
      </c>
      <c r="BB94">
        <v>14</v>
      </c>
      <c r="BC94">
        <v>33532.799999999996</v>
      </c>
      <c r="BD94">
        <v>9</v>
      </c>
      <c r="BE94">
        <v>21556.799999999999</v>
      </c>
      <c r="BF94">
        <v>11</v>
      </c>
      <c r="BG94">
        <v>26347.199999999997</v>
      </c>
      <c r="BH94">
        <v>11</v>
      </c>
      <c r="BI94">
        <v>26347.199999999997</v>
      </c>
      <c r="BJ94">
        <v>11</v>
      </c>
      <c r="BK94">
        <v>26347.199999999997</v>
      </c>
      <c r="BL94">
        <v>14</v>
      </c>
      <c r="BM94">
        <v>33532.799999999996</v>
      </c>
      <c r="BN94">
        <v>12</v>
      </c>
      <c r="BO94">
        <v>28742.399999999998</v>
      </c>
      <c r="BP94">
        <v>11</v>
      </c>
      <c r="BQ94">
        <v>26347.199999999997</v>
      </c>
      <c r="BR94">
        <v>13</v>
      </c>
      <c r="BS94">
        <v>31137.599999999999</v>
      </c>
      <c r="BT94">
        <v>15</v>
      </c>
      <c r="BU94">
        <v>35928</v>
      </c>
      <c r="BV94">
        <v>11</v>
      </c>
      <c r="BW94">
        <v>26347.199999999997</v>
      </c>
      <c r="BX94">
        <v>16</v>
      </c>
      <c r="BY94">
        <v>38323.199999999997</v>
      </c>
      <c r="BZ94">
        <v>13</v>
      </c>
      <c r="CA94">
        <v>31137.599999999999</v>
      </c>
      <c r="CB94">
        <v>13</v>
      </c>
      <c r="CC94">
        <v>31137.599999999999</v>
      </c>
      <c r="CD94">
        <v>15</v>
      </c>
      <c r="CE94">
        <v>35928</v>
      </c>
      <c r="CF94">
        <v>13</v>
      </c>
      <c r="CG94">
        <v>31137.599999999999</v>
      </c>
      <c r="CH94">
        <v>11</v>
      </c>
      <c r="CI94">
        <v>26347.199999999997</v>
      </c>
      <c r="CJ94">
        <v>10</v>
      </c>
      <c r="CK94">
        <v>23952</v>
      </c>
      <c r="CL94">
        <v>8</v>
      </c>
      <c r="CM94">
        <v>19161.599999999999</v>
      </c>
      <c r="CN94">
        <v>11</v>
      </c>
      <c r="CO94">
        <v>26347.199999999997</v>
      </c>
      <c r="CP94">
        <v>10</v>
      </c>
      <c r="CQ94">
        <v>23952</v>
      </c>
      <c r="CR94">
        <v>10</v>
      </c>
      <c r="CS94">
        <v>23952</v>
      </c>
      <c r="CT94">
        <v>14</v>
      </c>
      <c r="CU94">
        <v>33532.799999999996</v>
      </c>
    </row>
    <row r="95" spans="2:99" x14ac:dyDescent="0.2">
      <c r="B95" s="118" t="s">
        <v>132</v>
      </c>
      <c r="C95" s="118" t="s">
        <v>261</v>
      </c>
      <c r="D95">
        <v>7</v>
      </c>
      <c r="E95">
        <v>12129.6</v>
      </c>
      <c r="F95">
        <v>9</v>
      </c>
      <c r="G95">
        <v>15595.199999999999</v>
      </c>
      <c r="H95">
        <v>6</v>
      </c>
      <c r="I95">
        <v>10396.799999999999</v>
      </c>
      <c r="J95">
        <v>10</v>
      </c>
      <c r="K95">
        <v>17328</v>
      </c>
      <c r="L95">
        <v>9</v>
      </c>
      <c r="M95">
        <v>15595.199999999999</v>
      </c>
      <c r="N95">
        <v>7</v>
      </c>
      <c r="O95">
        <v>12129.6</v>
      </c>
      <c r="P95">
        <v>7</v>
      </c>
      <c r="Q95">
        <v>12129.6</v>
      </c>
      <c r="R95">
        <v>9</v>
      </c>
      <c r="S95">
        <v>15595.199999999999</v>
      </c>
      <c r="T95">
        <v>11</v>
      </c>
      <c r="U95">
        <v>19060.8</v>
      </c>
      <c r="V95">
        <v>8</v>
      </c>
      <c r="W95">
        <v>13862.4</v>
      </c>
      <c r="X95">
        <v>9</v>
      </c>
      <c r="Y95">
        <v>15595.199999999999</v>
      </c>
      <c r="Z95">
        <v>8</v>
      </c>
      <c r="AA95">
        <v>13862.4</v>
      </c>
      <c r="AB95">
        <v>8</v>
      </c>
      <c r="AC95">
        <v>13862.4</v>
      </c>
      <c r="AD95">
        <v>10</v>
      </c>
      <c r="AE95">
        <v>17328</v>
      </c>
      <c r="AF95">
        <v>11</v>
      </c>
      <c r="AG95">
        <v>19060.8</v>
      </c>
      <c r="AH95">
        <v>8</v>
      </c>
      <c r="AI95">
        <v>13862.4</v>
      </c>
      <c r="AJ95">
        <v>10</v>
      </c>
      <c r="AK95">
        <v>17328</v>
      </c>
      <c r="AL95">
        <v>11</v>
      </c>
      <c r="AM95">
        <v>19060.8</v>
      </c>
      <c r="AN95">
        <v>9</v>
      </c>
      <c r="AO95">
        <v>15595.199999999999</v>
      </c>
      <c r="AP95">
        <v>10</v>
      </c>
      <c r="AQ95">
        <v>17328</v>
      </c>
      <c r="AR95">
        <v>6</v>
      </c>
      <c r="AS95">
        <v>10396.799999999999</v>
      </c>
      <c r="AT95">
        <v>10</v>
      </c>
      <c r="AU95">
        <v>17328</v>
      </c>
      <c r="AV95">
        <v>11</v>
      </c>
      <c r="AW95">
        <v>19060.8</v>
      </c>
      <c r="AX95">
        <v>11</v>
      </c>
      <c r="AY95">
        <v>19060.8</v>
      </c>
      <c r="AZ95">
        <v>7</v>
      </c>
      <c r="BA95">
        <v>12129.6</v>
      </c>
      <c r="BB95">
        <v>9</v>
      </c>
      <c r="BC95">
        <v>15595.199999999999</v>
      </c>
      <c r="BD95">
        <v>8</v>
      </c>
      <c r="BE95">
        <v>13862.4</v>
      </c>
      <c r="BF95">
        <v>9</v>
      </c>
      <c r="BG95">
        <v>15595.199999999999</v>
      </c>
      <c r="BH95">
        <v>8</v>
      </c>
      <c r="BI95">
        <v>13862.4</v>
      </c>
      <c r="BJ95">
        <v>7</v>
      </c>
      <c r="BK95">
        <v>12129.6</v>
      </c>
      <c r="BL95">
        <v>6</v>
      </c>
      <c r="BM95">
        <v>10396.799999999999</v>
      </c>
      <c r="BN95">
        <v>12</v>
      </c>
      <c r="BO95">
        <v>20793.599999999999</v>
      </c>
      <c r="BP95">
        <v>11</v>
      </c>
      <c r="BQ95">
        <v>19060.8</v>
      </c>
      <c r="BR95">
        <v>9</v>
      </c>
      <c r="BS95">
        <v>15595.199999999999</v>
      </c>
      <c r="BT95">
        <v>6</v>
      </c>
      <c r="BU95">
        <v>10396.799999999999</v>
      </c>
      <c r="BV95">
        <v>7</v>
      </c>
      <c r="BW95">
        <v>12129.6</v>
      </c>
      <c r="BX95">
        <v>7</v>
      </c>
      <c r="BY95">
        <v>12129.6</v>
      </c>
      <c r="BZ95">
        <v>7</v>
      </c>
      <c r="CA95">
        <v>12129.6</v>
      </c>
      <c r="CB95">
        <v>11</v>
      </c>
      <c r="CC95">
        <v>19060.8</v>
      </c>
      <c r="CD95">
        <v>12</v>
      </c>
      <c r="CE95">
        <v>20793.599999999999</v>
      </c>
      <c r="CF95">
        <v>11</v>
      </c>
      <c r="CG95">
        <v>19060.8</v>
      </c>
      <c r="CH95">
        <v>9</v>
      </c>
      <c r="CI95">
        <v>15595.199999999999</v>
      </c>
      <c r="CJ95">
        <v>9</v>
      </c>
      <c r="CK95">
        <v>15595.199999999999</v>
      </c>
      <c r="CL95">
        <v>11</v>
      </c>
      <c r="CM95">
        <v>19060.8</v>
      </c>
      <c r="CN95">
        <v>6</v>
      </c>
      <c r="CO95">
        <v>10396.799999999999</v>
      </c>
      <c r="CP95">
        <v>8</v>
      </c>
      <c r="CQ95">
        <v>13862.4</v>
      </c>
      <c r="CR95">
        <v>7</v>
      </c>
      <c r="CS95">
        <v>12129.6</v>
      </c>
      <c r="CT95">
        <v>6</v>
      </c>
      <c r="CU95">
        <v>10396.799999999999</v>
      </c>
    </row>
    <row r="96" spans="2:99" x14ac:dyDescent="0.2">
      <c r="C96" s="118" t="s">
        <v>262</v>
      </c>
      <c r="D96">
        <v>8</v>
      </c>
      <c r="E96">
        <v>6585.5999999999995</v>
      </c>
      <c r="F96">
        <v>8</v>
      </c>
      <c r="G96">
        <v>6585.5999999999995</v>
      </c>
      <c r="H96">
        <v>6</v>
      </c>
      <c r="I96">
        <v>4939.2</v>
      </c>
      <c r="J96">
        <v>11</v>
      </c>
      <c r="K96">
        <v>9055.1999999999989</v>
      </c>
      <c r="L96">
        <v>8</v>
      </c>
      <c r="M96">
        <v>6585.5999999999995</v>
      </c>
      <c r="N96">
        <v>7</v>
      </c>
      <c r="O96">
        <v>5762.4</v>
      </c>
      <c r="P96">
        <v>8</v>
      </c>
      <c r="Q96">
        <v>6585.5999999999995</v>
      </c>
      <c r="R96">
        <v>12</v>
      </c>
      <c r="S96">
        <v>9878.4</v>
      </c>
      <c r="T96">
        <v>11</v>
      </c>
      <c r="U96">
        <v>9055.1999999999989</v>
      </c>
      <c r="V96">
        <v>10</v>
      </c>
      <c r="W96">
        <v>8232</v>
      </c>
      <c r="X96">
        <v>9</v>
      </c>
      <c r="Y96">
        <v>7408.7999999999993</v>
      </c>
      <c r="Z96">
        <v>9</v>
      </c>
      <c r="AA96">
        <v>7408.7999999999993</v>
      </c>
      <c r="AB96">
        <v>10</v>
      </c>
      <c r="AC96">
        <v>8232</v>
      </c>
      <c r="AD96">
        <v>12</v>
      </c>
      <c r="AE96">
        <v>9878.4</v>
      </c>
      <c r="AF96">
        <v>12</v>
      </c>
      <c r="AG96">
        <v>9878.4</v>
      </c>
      <c r="AH96">
        <v>8</v>
      </c>
      <c r="AI96">
        <v>6585.5999999999995</v>
      </c>
      <c r="AJ96">
        <v>10</v>
      </c>
      <c r="AK96">
        <v>8232</v>
      </c>
      <c r="AL96">
        <v>11</v>
      </c>
      <c r="AM96">
        <v>9055.1999999999989</v>
      </c>
      <c r="AN96">
        <v>10</v>
      </c>
      <c r="AO96">
        <v>8232</v>
      </c>
      <c r="AP96">
        <v>12</v>
      </c>
      <c r="AQ96">
        <v>9878.4</v>
      </c>
      <c r="AR96">
        <v>7</v>
      </c>
      <c r="AS96">
        <v>5762.4</v>
      </c>
      <c r="AT96">
        <v>9</v>
      </c>
      <c r="AU96">
        <v>7408.7999999999993</v>
      </c>
      <c r="AV96">
        <v>12</v>
      </c>
      <c r="AW96">
        <v>9878.4</v>
      </c>
      <c r="AX96">
        <v>11</v>
      </c>
      <c r="AY96">
        <v>9055.1999999999989</v>
      </c>
      <c r="AZ96">
        <v>8</v>
      </c>
      <c r="BA96">
        <v>6585.5999999999995</v>
      </c>
      <c r="BB96">
        <v>12</v>
      </c>
      <c r="BC96">
        <v>9878.4</v>
      </c>
      <c r="BD96">
        <v>9</v>
      </c>
      <c r="BE96">
        <v>7408.7999999999993</v>
      </c>
      <c r="BF96">
        <v>9</v>
      </c>
      <c r="BG96">
        <v>7408.7999999999993</v>
      </c>
      <c r="BH96">
        <v>8</v>
      </c>
      <c r="BI96">
        <v>6585.5999999999995</v>
      </c>
      <c r="BJ96">
        <v>7</v>
      </c>
      <c r="BK96">
        <v>5762.4</v>
      </c>
      <c r="BL96">
        <v>7</v>
      </c>
      <c r="BM96">
        <v>5762.4</v>
      </c>
      <c r="BN96">
        <v>12</v>
      </c>
      <c r="BO96">
        <v>9878.4</v>
      </c>
      <c r="BP96">
        <v>11</v>
      </c>
      <c r="BQ96">
        <v>9055.1999999999989</v>
      </c>
      <c r="BR96">
        <v>9</v>
      </c>
      <c r="BS96">
        <v>7408.7999999999993</v>
      </c>
      <c r="BT96">
        <v>7</v>
      </c>
      <c r="BU96">
        <v>5762.4</v>
      </c>
      <c r="BV96">
        <v>7</v>
      </c>
      <c r="BW96">
        <v>5762.4</v>
      </c>
      <c r="BX96">
        <v>7</v>
      </c>
      <c r="BY96">
        <v>5762.4</v>
      </c>
      <c r="BZ96">
        <v>7</v>
      </c>
      <c r="CA96">
        <v>5762.4</v>
      </c>
      <c r="CB96">
        <v>11</v>
      </c>
      <c r="CC96">
        <v>9055.1999999999989</v>
      </c>
      <c r="CD96">
        <v>13</v>
      </c>
      <c r="CE96">
        <v>10701.599999999999</v>
      </c>
      <c r="CF96">
        <v>12</v>
      </c>
      <c r="CG96">
        <v>9878.4</v>
      </c>
      <c r="CH96">
        <v>9</v>
      </c>
      <c r="CI96">
        <v>7408.7999999999993</v>
      </c>
      <c r="CJ96">
        <v>10</v>
      </c>
      <c r="CK96">
        <v>8232</v>
      </c>
      <c r="CL96">
        <v>12</v>
      </c>
      <c r="CM96">
        <v>9878.4</v>
      </c>
      <c r="CN96">
        <v>7</v>
      </c>
      <c r="CO96">
        <v>5762.4</v>
      </c>
      <c r="CP96">
        <v>9</v>
      </c>
      <c r="CQ96">
        <v>7408.7999999999993</v>
      </c>
      <c r="CR96">
        <v>8</v>
      </c>
      <c r="CS96">
        <v>6585.5999999999995</v>
      </c>
      <c r="CT96">
        <v>7</v>
      </c>
      <c r="CU96">
        <v>5762.4</v>
      </c>
    </row>
    <row r="97" spans="2:99" x14ac:dyDescent="0.2">
      <c r="C97" s="118" t="s">
        <v>263</v>
      </c>
      <c r="D97">
        <v>8</v>
      </c>
      <c r="E97">
        <v>14630.4</v>
      </c>
      <c r="F97">
        <v>8</v>
      </c>
      <c r="G97">
        <v>14630.4</v>
      </c>
      <c r="H97">
        <v>7</v>
      </c>
      <c r="I97">
        <v>12801.6</v>
      </c>
      <c r="J97">
        <v>11</v>
      </c>
      <c r="K97">
        <v>20116.8</v>
      </c>
      <c r="L97">
        <v>9</v>
      </c>
      <c r="M97">
        <v>16459.2</v>
      </c>
      <c r="N97">
        <v>6</v>
      </c>
      <c r="O97">
        <v>10972.8</v>
      </c>
      <c r="P97">
        <v>7</v>
      </c>
      <c r="Q97">
        <v>12801.6</v>
      </c>
      <c r="R97">
        <v>10</v>
      </c>
      <c r="S97">
        <v>18288</v>
      </c>
      <c r="T97">
        <v>11</v>
      </c>
      <c r="U97">
        <v>20116.8</v>
      </c>
      <c r="V97">
        <v>9</v>
      </c>
      <c r="W97">
        <v>16459.2</v>
      </c>
      <c r="X97">
        <v>7</v>
      </c>
      <c r="Y97">
        <v>12801.6</v>
      </c>
      <c r="Z97">
        <v>8</v>
      </c>
      <c r="AA97">
        <v>14630.4</v>
      </c>
      <c r="AB97">
        <v>7</v>
      </c>
      <c r="AC97">
        <v>12801.6</v>
      </c>
      <c r="AD97">
        <v>11</v>
      </c>
      <c r="AE97">
        <v>20116.8</v>
      </c>
      <c r="AF97">
        <v>11</v>
      </c>
      <c r="AG97">
        <v>20116.8</v>
      </c>
      <c r="AH97">
        <v>9</v>
      </c>
      <c r="AI97">
        <v>16459.2</v>
      </c>
      <c r="AJ97">
        <v>10</v>
      </c>
      <c r="AK97">
        <v>18288</v>
      </c>
      <c r="AL97">
        <v>10</v>
      </c>
      <c r="AM97">
        <v>18288</v>
      </c>
      <c r="AN97">
        <v>9</v>
      </c>
      <c r="AO97">
        <v>16459.2</v>
      </c>
      <c r="AP97">
        <v>11</v>
      </c>
      <c r="AQ97">
        <v>20116.8</v>
      </c>
      <c r="AR97">
        <v>7</v>
      </c>
      <c r="AS97">
        <v>12801.6</v>
      </c>
      <c r="AT97">
        <v>10</v>
      </c>
      <c r="AU97">
        <v>18288</v>
      </c>
      <c r="AV97">
        <v>10</v>
      </c>
      <c r="AW97">
        <v>18288</v>
      </c>
      <c r="AX97">
        <v>11</v>
      </c>
      <c r="AY97">
        <v>20116.8</v>
      </c>
      <c r="AZ97">
        <v>8</v>
      </c>
      <c r="BA97">
        <v>14630.4</v>
      </c>
      <c r="BB97">
        <v>10</v>
      </c>
      <c r="BC97">
        <v>18288</v>
      </c>
      <c r="BD97">
        <v>8</v>
      </c>
      <c r="BE97">
        <v>14630.4</v>
      </c>
      <c r="BF97">
        <v>8</v>
      </c>
      <c r="BG97">
        <v>14630.4</v>
      </c>
      <c r="BH97">
        <v>7</v>
      </c>
      <c r="BI97">
        <v>12801.6</v>
      </c>
      <c r="BJ97">
        <v>7</v>
      </c>
      <c r="BK97">
        <v>12801.6</v>
      </c>
      <c r="BL97">
        <v>6</v>
      </c>
      <c r="BM97">
        <v>10972.8</v>
      </c>
      <c r="BN97">
        <v>11</v>
      </c>
      <c r="BO97">
        <v>20116.8</v>
      </c>
      <c r="BP97">
        <v>10</v>
      </c>
      <c r="BQ97">
        <v>18288</v>
      </c>
      <c r="BR97">
        <v>8</v>
      </c>
      <c r="BS97">
        <v>14630.4</v>
      </c>
      <c r="BT97">
        <v>6</v>
      </c>
      <c r="BU97">
        <v>10972.8</v>
      </c>
      <c r="BV97">
        <v>7</v>
      </c>
      <c r="BW97">
        <v>12801.6</v>
      </c>
      <c r="BX97">
        <v>7</v>
      </c>
      <c r="BY97">
        <v>12801.6</v>
      </c>
      <c r="BZ97">
        <v>6</v>
      </c>
      <c r="CA97">
        <v>10972.8</v>
      </c>
      <c r="CB97">
        <v>10</v>
      </c>
      <c r="CC97">
        <v>18288</v>
      </c>
      <c r="CD97">
        <v>12</v>
      </c>
      <c r="CE97">
        <v>21945.599999999999</v>
      </c>
      <c r="CF97">
        <v>13</v>
      </c>
      <c r="CG97">
        <v>23774.399999999998</v>
      </c>
      <c r="CH97">
        <v>8</v>
      </c>
      <c r="CI97">
        <v>14630.4</v>
      </c>
      <c r="CJ97">
        <v>9</v>
      </c>
      <c r="CK97">
        <v>16459.2</v>
      </c>
      <c r="CL97">
        <v>12</v>
      </c>
      <c r="CM97">
        <v>21945.599999999999</v>
      </c>
      <c r="CN97">
        <v>6</v>
      </c>
      <c r="CO97">
        <v>10972.8</v>
      </c>
      <c r="CP97">
        <v>9</v>
      </c>
      <c r="CQ97">
        <v>16459.2</v>
      </c>
      <c r="CR97">
        <v>7</v>
      </c>
      <c r="CS97">
        <v>12801.6</v>
      </c>
      <c r="CT97">
        <v>6</v>
      </c>
      <c r="CU97">
        <v>10972.8</v>
      </c>
    </row>
    <row r="98" spans="2:99" x14ac:dyDescent="0.2">
      <c r="C98" s="118" t="s">
        <v>264</v>
      </c>
      <c r="D98">
        <v>8</v>
      </c>
      <c r="E98">
        <v>10108.799999999999</v>
      </c>
      <c r="F98">
        <v>8</v>
      </c>
      <c r="G98">
        <v>10108.799999999999</v>
      </c>
      <c r="H98">
        <v>7</v>
      </c>
      <c r="I98">
        <v>8845.1999999999989</v>
      </c>
      <c r="J98">
        <v>11</v>
      </c>
      <c r="K98">
        <v>13899.599999999999</v>
      </c>
      <c r="L98">
        <v>9</v>
      </c>
      <c r="M98">
        <v>11372.4</v>
      </c>
      <c r="N98">
        <v>8</v>
      </c>
      <c r="O98">
        <v>10108.799999999999</v>
      </c>
      <c r="P98">
        <v>8</v>
      </c>
      <c r="Q98">
        <v>10108.799999999999</v>
      </c>
      <c r="R98">
        <v>11</v>
      </c>
      <c r="S98">
        <v>13899.599999999999</v>
      </c>
      <c r="T98">
        <v>11</v>
      </c>
      <c r="U98">
        <v>13899.599999999999</v>
      </c>
      <c r="V98">
        <v>10</v>
      </c>
      <c r="W98">
        <v>12636</v>
      </c>
      <c r="X98">
        <v>9</v>
      </c>
      <c r="Y98">
        <v>11372.4</v>
      </c>
      <c r="Z98">
        <v>9</v>
      </c>
      <c r="AA98">
        <v>11372.4</v>
      </c>
      <c r="AB98">
        <v>8</v>
      </c>
      <c r="AC98">
        <v>10108.799999999999</v>
      </c>
      <c r="AD98">
        <v>11</v>
      </c>
      <c r="AE98">
        <v>13899.599999999999</v>
      </c>
      <c r="AF98">
        <v>11</v>
      </c>
      <c r="AG98">
        <v>13899.599999999999</v>
      </c>
      <c r="AH98">
        <v>9</v>
      </c>
      <c r="AI98">
        <v>11372.4</v>
      </c>
      <c r="AJ98">
        <v>9</v>
      </c>
      <c r="AK98">
        <v>11372.4</v>
      </c>
      <c r="AL98">
        <v>12</v>
      </c>
      <c r="AM98">
        <v>15163.199999999999</v>
      </c>
      <c r="AN98">
        <v>10</v>
      </c>
      <c r="AO98">
        <v>12636</v>
      </c>
      <c r="AP98">
        <v>11</v>
      </c>
      <c r="AQ98">
        <v>13899.599999999999</v>
      </c>
      <c r="AR98">
        <v>7</v>
      </c>
      <c r="AS98">
        <v>8845.1999999999989</v>
      </c>
      <c r="AT98">
        <v>10</v>
      </c>
      <c r="AU98">
        <v>12636</v>
      </c>
      <c r="AV98">
        <v>10</v>
      </c>
      <c r="AW98">
        <v>12636</v>
      </c>
      <c r="AX98">
        <v>11</v>
      </c>
      <c r="AY98">
        <v>13899.599999999999</v>
      </c>
      <c r="AZ98">
        <v>8</v>
      </c>
      <c r="BA98">
        <v>10108.799999999999</v>
      </c>
      <c r="BB98">
        <v>10</v>
      </c>
      <c r="BC98">
        <v>12636</v>
      </c>
      <c r="BD98">
        <v>8</v>
      </c>
      <c r="BE98">
        <v>10108.799999999999</v>
      </c>
      <c r="BF98">
        <v>9</v>
      </c>
      <c r="BG98">
        <v>11372.4</v>
      </c>
      <c r="BH98">
        <v>9</v>
      </c>
      <c r="BI98">
        <v>11372.4</v>
      </c>
      <c r="BJ98">
        <v>7</v>
      </c>
      <c r="BK98">
        <v>8845.1999999999989</v>
      </c>
      <c r="BL98">
        <v>7</v>
      </c>
      <c r="BM98">
        <v>8845.1999999999989</v>
      </c>
      <c r="BN98">
        <v>12</v>
      </c>
      <c r="BO98">
        <v>15163.199999999999</v>
      </c>
      <c r="BP98">
        <v>10</v>
      </c>
      <c r="BQ98">
        <v>12636</v>
      </c>
      <c r="BR98">
        <v>8</v>
      </c>
      <c r="BS98">
        <v>10108.799999999999</v>
      </c>
      <c r="BT98">
        <v>6</v>
      </c>
      <c r="BU98">
        <v>7581.5999999999995</v>
      </c>
      <c r="BV98">
        <v>7</v>
      </c>
      <c r="BW98">
        <v>8845.1999999999989</v>
      </c>
      <c r="BX98">
        <v>7</v>
      </c>
      <c r="BY98">
        <v>8845.1999999999989</v>
      </c>
      <c r="BZ98">
        <v>6</v>
      </c>
      <c r="CA98">
        <v>7581.5999999999995</v>
      </c>
      <c r="CB98">
        <v>10</v>
      </c>
      <c r="CC98">
        <v>12636</v>
      </c>
      <c r="CD98">
        <v>13</v>
      </c>
      <c r="CE98">
        <v>16426.8</v>
      </c>
      <c r="CF98">
        <v>12</v>
      </c>
      <c r="CG98">
        <v>15163.199999999999</v>
      </c>
      <c r="CH98">
        <v>8</v>
      </c>
      <c r="CI98">
        <v>10108.799999999999</v>
      </c>
      <c r="CJ98">
        <v>9</v>
      </c>
      <c r="CK98">
        <v>11372.4</v>
      </c>
      <c r="CL98">
        <v>13</v>
      </c>
      <c r="CM98">
        <v>16426.8</v>
      </c>
      <c r="CN98">
        <v>7</v>
      </c>
      <c r="CO98">
        <v>8845.1999999999989</v>
      </c>
      <c r="CP98">
        <v>9</v>
      </c>
      <c r="CQ98">
        <v>11372.4</v>
      </c>
      <c r="CR98">
        <v>8</v>
      </c>
      <c r="CS98">
        <v>10108.799999999999</v>
      </c>
      <c r="CT98">
        <v>7</v>
      </c>
      <c r="CU98">
        <v>8845.1999999999989</v>
      </c>
    </row>
    <row r="99" spans="2:99" x14ac:dyDescent="0.2">
      <c r="C99" s="118" t="s">
        <v>265</v>
      </c>
      <c r="D99">
        <v>6</v>
      </c>
      <c r="E99">
        <v>32889.599999999999</v>
      </c>
      <c r="F99">
        <v>6</v>
      </c>
      <c r="G99">
        <v>32889.599999999999</v>
      </c>
      <c r="H99">
        <v>4</v>
      </c>
      <c r="I99">
        <v>21926.399999999998</v>
      </c>
      <c r="J99">
        <v>7</v>
      </c>
      <c r="K99">
        <v>38371.199999999997</v>
      </c>
      <c r="L99">
        <v>6</v>
      </c>
      <c r="M99">
        <v>32889.599999999999</v>
      </c>
      <c r="N99">
        <v>5</v>
      </c>
      <c r="O99">
        <v>27407.999999999996</v>
      </c>
      <c r="P99">
        <v>5</v>
      </c>
      <c r="Q99">
        <v>27407.999999999996</v>
      </c>
      <c r="R99">
        <v>8</v>
      </c>
      <c r="S99">
        <v>43852.799999999996</v>
      </c>
      <c r="T99">
        <v>8</v>
      </c>
      <c r="U99">
        <v>43852.799999999996</v>
      </c>
      <c r="V99">
        <v>7</v>
      </c>
      <c r="W99">
        <v>38371.199999999997</v>
      </c>
      <c r="X99">
        <v>6</v>
      </c>
      <c r="Y99">
        <v>32889.599999999999</v>
      </c>
      <c r="Z99">
        <v>6</v>
      </c>
      <c r="AA99">
        <v>32889.599999999999</v>
      </c>
      <c r="AB99">
        <v>6</v>
      </c>
      <c r="AC99">
        <v>32889.599999999999</v>
      </c>
      <c r="AD99">
        <v>8</v>
      </c>
      <c r="AE99">
        <v>43852.799999999996</v>
      </c>
      <c r="AF99">
        <v>9</v>
      </c>
      <c r="AG99">
        <v>49334.399999999994</v>
      </c>
      <c r="AH99">
        <v>6</v>
      </c>
      <c r="AI99">
        <v>32889.599999999999</v>
      </c>
      <c r="AJ99">
        <v>6</v>
      </c>
      <c r="AK99">
        <v>32889.599999999999</v>
      </c>
      <c r="AL99">
        <v>7</v>
      </c>
      <c r="AM99">
        <v>38371.199999999997</v>
      </c>
      <c r="AN99">
        <v>7</v>
      </c>
      <c r="AO99">
        <v>38371.199999999997</v>
      </c>
      <c r="AP99">
        <v>9</v>
      </c>
      <c r="AQ99">
        <v>49334.399999999994</v>
      </c>
      <c r="AR99">
        <v>6</v>
      </c>
      <c r="AS99">
        <v>32889.599999999999</v>
      </c>
      <c r="AT99">
        <v>7</v>
      </c>
      <c r="AU99">
        <v>38371.199999999997</v>
      </c>
      <c r="AV99">
        <v>8</v>
      </c>
      <c r="AW99">
        <v>43852.799999999996</v>
      </c>
      <c r="AX99">
        <v>8</v>
      </c>
      <c r="AY99">
        <v>43852.799999999996</v>
      </c>
      <c r="AZ99">
        <v>6</v>
      </c>
      <c r="BA99">
        <v>32889.599999999999</v>
      </c>
      <c r="BB99">
        <v>7</v>
      </c>
      <c r="BC99">
        <v>38371.199999999997</v>
      </c>
      <c r="BD99">
        <v>7</v>
      </c>
      <c r="BE99">
        <v>38371.199999999997</v>
      </c>
      <c r="BF99">
        <v>6</v>
      </c>
      <c r="BG99">
        <v>32889.599999999999</v>
      </c>
      <c r="BH99">
        <v>6</v>
      </c>
      <c r="BI99">
        <v>32889.599999999999</v>
      </c>
      <c r="BJ99">
        <v>5</v>
      </c>
      <c r="BK99">
        <v>27407.999999999996</v>
      </c>
      <c r="BL99">
        <v>5</v>
      </c>
      <c r="BM99">
        <v>27407.999999999996</v>
      </c>
      <c r="BN99">
        <v>8</v>
      </c>
      <c r="BO99">
        <v>43852.799999999996</v>
      </c>
      <c r="BP99">
        <v>8</v>
      </c>
      <c r="BQ99">
        <v>43852.799999999996</v>
      </c>
      <c r="BR99">
        <v>6</v>
      </c>
      <c r="BS99">
        <v>32889.599999999999</v>
      </c>
      <c r="BT99">
        <v>4</v>
      </c>
      <c r="BU99">
        <v>21926.399999999998</v>
      </c>
      <c r="BV99">
        <v>6</v>
      </c>
      <c r="BW99">
        <v>32889.599999999999</v>
      </c>
      <c r="BX99">
        <v>5</v>
      </c>
      <c r="BY99">
        <v>27407.999999999996</v>
      </c>
      <c r="BZ99">
        <v>5</v>
      </c>
      <c r="CA99">
        <v>27407.999999999996</v>
      </c>
      <c r="CB99">
        <v>8</v>
      </c>
      <c r="CC99">
        <v>43852.799999999996</v>
      </c>
      <c r="CD99">
        <v>9</v>
      </c>
      <c r="CE99">
        <v>49334.399999999994</v>
      </c>
      <c r="CF99">
        <v>8</v>
      </c>
      <c r="CG99">
        <v>43852.799999999996</v>
      </c>
      <c r="CH99">
        <v>6</v>
      </c>
      <c r="CI99">
        <v>32889.599999999999</v>
      </c>
      <c r="CJ99">
        <v>7</v>
      </c>
      <c r="CK99">
        <v>38371.199999999997</v>
      </c>
      <c r="CL99">
        <v>9</v>
      </c>
      <c r="CM99">
        <v>49334.399999999994</v>
      </c>
      <c r="CN99">
        <v>5</v>
      </c>
      <c r="CO99">
        <v>27407.999999999996</v>
      </c>
      <c r="CP99">
        <v>7</v>
      </c>
      <c r="CQ99">
        <v>38371.199999999997</v>
      </c>
      <c r="CR99">
        <v>5</v>
      </c>
      <c r="CS99">
        <v>27407.999999999996</v>
      </c>
      <c r="CT99">
        <v>5</v>
      </c>
      <c r="CU99">
        <v>27407.999999999996</v>
      </c>
    </row>
    <row r="100" spans="2:99" x14ac:dyDescent="0.2">
      <c r="C100" s="118" t="s">
        <v>266</v>
      </c>
      <c r="D100">
        <v>7</v>
      </c>
      <c r="E100">
        <v>11356.8</v>
      </c>
      <c r="F100">
        <v>9</v>
      </c>
      <c r="G100">
        <v>14601.599999999999</v>
      </c>
      <c r="H100">
        <v>7</v>
      </c>
      <c r="I100">
        <v>11356.8</v>
      </c>
      <c r="J100">
        <v>12</v>
      </c>
      <c r="K100">
        <v>19468.8</v>
      </c>
      <c r="L100">
        <v>8</v>
      </c>
      <c r="M100">
        <v>12979.199999999999</v>
      </c>
      <c r="N100">
        <v>7</v>
      </c>
      <c r="O100">
        <v>11356.8</v>
      </c>
      <c r="P100">
        <v>8</v>
      </c>
      <c r="Q100">
        <v>12979.199999999999</v>
      </c>
      <c r="R100">
        <v>10</v>
      </c>
      <c r="S100">
        <v>16223.999999999998</v>
      </c>
      <c r="T100">
        <v>10</v>
      </c>
      <c r="U100">
        <v>16223.999999999998</v>
      </c>
      <c r="V100">
        <v>10</v>
      </c>
      <c r="W100">
        <v>16223.999999999998</v>
      </c>
      <c r="X100">
        <v>7</v>
      </c>
      <c r="Y100">
        <v>11356.8</v>
      </c>
      <c r="Z100">
        <v>9</v>
      </c>
      <c r="AA100">
        <v>14601.599999999999</v>
      </c>
      <c r="AB100">
        <v>8</v>
      </c>
      <c r="AC100">
        <v>12979.199999999999</v>
      </c>
      <c r="AD100">
        <v>11</v>
      </c>
      <c r="AE100">
        <v>17846.399999999998</v>
      </c>
      <c r="AF100">
        <v>11</v>
      </c>
      <c r="AG100">
        <v>17846.399999999998</v>
      </c>
      <c r="AH100">
        <v>9</v>
      </c>
      <c r="AI100">
        <v>14601.599999999999</v>
      </c>
      <c r="AJ100">
        <v>10</v>
      </c>
      <c r="AK100">
        <v>16223.999999999998</v>
      </c>
      <c r="AL100">
        <v>11</v>
      </c>
      <c r="AM100">
        <v>17846.399999999998</v>
      </c>
      <c r="AN100">
        <v>8</v>
      </c>
      <c r="AO100">
        <v>12979.199999999999</v>
      </c>
      <c r="AP100">
        <v>12</v>
      </c>
      <c r="AQ100">
        <v>19468.8</v>
      </c>
      <c r="AR100">
        <v>7</v>
      </c>
      <c r="AS100">
        <v>11356.8</v>
      </c>
      <c r="AT100">
        <v>9</v>
      </c>
      <c r="AU100">
        <v>14601.599999999999</v>
      </c>
      <c r="AV100">
        <v>10</v>
      </c>
      <c r="AW100">
        <v>16223.999999999998</v>
      </c>
      <c r="AX100">
        <v>11</v>
      </c>
      <c r="AY100">
        <v>17846.399999999998</v>
      </c>
      <c r="AZ100">
        <v>8</v>
      </c>
      <c r="BA100">
        <v>12979.199999999999</v>
      </c>
      <c r="BB100">
        <v>10</v>
      </c>
      <c r="BC100">
        <v>16223.999999999998</v>
      </c>
      <c r="BD100">
        <v>8</v>
      </c>
      <c r="BE100">
        <v>12979.199999999999</v>
      </c>
      <c r="BF100">
        <v>8</v>
      </c>
      <c r="BG100">
        <v>12979.199999999999</v>
      </c>
      <c r="BH100">
        <v>9</v>
      </c>
      <c r="BI100">
        <v>14601.599999999999</v>
      </c>
      <c r="BJ100">
        <v>7</v>
      </c>
      <c r="BK100">
        <v>11356.8</v>
      </c>
      <c r="BL100">
        <v>6</v>
      </c>
      <c r="BM100">
        <v>9734.4</v>
      </c>
      <c r="BN100">
        <v>11</v>
      </c>
      <c r="BO100">
        <v>17846.399999999998</v>
      </c>
      <c r="BP100">
        <v>9</v>
      </c>
      <c r="BQ100">
        <v>14601.599999999999</v>
      </c>
      <c r="BR100">
        <v>8</v>
      </c>
      <c r="BS100">
        <v>12979.199999999999</v>
      </c>
      <c r="BT100">
        <v>7</v>
      </c>
      <c r="BU100">
        <v>11356.8</v>
      </c>
      <c r="BV100">
        <v>7</v>
      </c>
      <c r="BW100">
        <v>11356.8</v>
      </c>
      <c r="BX100">
        <v>8</v>
      </c>
      <c r="BY100">
        <v>12979.199999999999</v>
      </c>
      <c r="BZ100">
        <v>6</v>
      </c>
      <c r="CA100">
        <v>9734.4</v>
      </c>
      <c r="CB100">
        <v>11</v>
      </c>
      <c r="CC100">
        <v>17846.399999999998</v>
      </c>
      <c r="CD100">
        <v>13</v>
      </c>
      <c r="CE100">
        <v>21091.199999999997</v>
      </c>
      <c r="CF100">
        <v>12</v>
      </c>
      <c r="CG100">
        <v>19468.8</v>
      </c>
      <c r="CH100">
        <v>8</v>
      </c>
      <c r="CI100">
        <v>12979.199999999999</v>
      </c>
      <c r="CJ100">
        <v>10</v>
      </c>
      <c r="CK100">
        <v>16223.999999999998</v>
      </c>
      <c r="CL100">
        <v>12</v>
      </c>
      <c r="CM100">
        <v>19468.8</v>
      </c>
      <c r="CN100">
        <v>7</v>
      </c>
      <c r="CO100">
        <v>11356.8</v>
      </c>
      <c r="CP100">
        <v>10</v>
      </c>
      <c r="CQ100">
        <v>16223.999999999998</v>
      </c>
      <c r="CR100">
        <v>8</v>
      </c>
      <c r="CS100">
        <v>12979.199999999999</v>
      </c>
      <c r="CT100">
        <v>7</v>
      </c>
      <c r="CU100">
        <v>11356.8</v>
      </c>
    </row>
    <row r="101" spans="2:99" x14ac:dyDescent="0.2">
      <c r="C101" s="118" t="s">
        <v>267</v>
      </c>
      <c r="D101">
        <v>8</v>
      </c>
      <c r="E101">
        <v>9523.1999999999989</v>
      </c>
      <c r="F101">
        <v>8</v>
      </c>
      <c r="G101">
        <v>9523.1999999999989</v>
      </c>
      <c r="H101">
        <v>7</v>
      </c>
      <c r="I101">
        <v>8332.7999999999993</v>
      </c>
      <c r="J101">
        <v>12</v>
      </c>
      <c r="K101">
        <v>14284.8</v>
      </c>
      <c r="L101">
        <v>9</v>
      </c>
      <c r="M101">
        <v>10713.599999999999</v>
      </c>
      <c r="N101">
        <v>7</v>
      </c>
      <c r="O101">
        <v>8332.7999999999993</v>
      </c>
      <c r="P101">
        <v>8</v>
      </c>
      <c r="Q101">
        <v>9523.1999999999989</v>
      </c>
      <c r="R101">
        <v>11</v>
      </c>
      <c r="S101">
        <v>13094.399999999998</v>
      </c>
      <c r="T101">
        <v>11</v>
      </c>
      <c r="U101">
        <v>13094.399999999998</v>
      </c>
      <c r="V101">
        <v>9</v>
      </c>
      <c r="W101">
        <v>10713.599999999999</v>
      </c>
      <c r="X101">
        <v>8</v>
      </c>
      <c r="Y101">
        <v>9523.1999999999989</v>
      </c>
      <c r="Z101">
        <v>9</v>
      </c>
      <c r="AA101">
        <v>10713.599999999999</v>
      </c>
      <c r="AB101">
        <v>9</v>
      </c>
      <c r="AC101">
        <v>10713.599999999999</v>
      </c>
      <c r="AD101">
        <v>10</v>
      </c>
      <c r="AE101">
        <v>11903.999999999998</v>
      </c>
      <c r="AF101">
        <v>12</v>
      </c>
      <c r="AG101">
        <v>14284.8</v>
      </c>
      <c r="AH101">
        <v>8</v>
      </c>
      <c r="AI101">
        <v>9523.1999999999989</v>
      </c>
      <c r="AJ101">
        <v>9</v>
      </c>
      <c r="AK101">
        <v>10713.599999999999</v>
      </c>
      <c r="AL101">
        <v>10</v>
      </c>
      <c r="AM101">
        <v>11903.999999999998</v>
      </c>
      <c r="AN101">
        <v>9</v>
      </c>
      <c r="AO101">
        <v>10713.599999999999</v>
      </c>
      <c r="AP101">
        <v>12</v>
      </c>
      <c r="AQ101">
        <v>14284.8</v>
      </c>
      <c r="AR101">
        <v>8</v>
      </c>
      <c r="AS101">
        <v>9523.1999999999989</v>
      </c>
      <c r="AT101">
        <v>10</v>
      </c>
      <c r="AU101">
        <v>11903.999999999998</v>
      </c>
      <c r="AV101">
        <v>11</v>
      </c>
      <c r="AW101">
        <v>13094.399999999998</v>
      </c>
      <c r="AX101">
        <v>13</v>
      </c>
      <c r="AY101">
        <v>15475.199999999999</v>
      </c>
      <c r="AZ101">
        <v>8</v>
      </c>
      <c r="BA101">
        <v>9523.1999999999989</v>
      </c>
      <c r="BB101">
        <v>12</v>
      </c>
      <c r="BC101">
        <v>14284.8</v>
      </c>
      <c r="BD101">
        <v>9</v>
      </c>
      <c r="BE101">
        <v>10713.599999999999</v>
      </c>
      <c r="BF101">
        <v>9</v>
      </c>
      <c r="BG101">
        <v>10713.599999999999</v>
      </c>
      <c r="BH101">
        <v>8</v>
      </c>
      <c r="BI101">
        <v>9523.1999999999989</v>
      </c>
      <c r="BJ101">
        <v>7</v>
      </c>
      <c r="BK101">
        <v>8332.7999999999993</v>
      </c>
      <c r="BL101">
        <v>7</v>
      </c>
      <c r="BM101">
        <v>8332.7999999999993</v>
      </c>
      <c r="BN101">
        <v>11</v>
      </c>
      <c r="BO101">
        <v>13094.399999999998</v>
      </c>
      <c r="BP101">
        <v>10</v>
      </c>
      <c r="BQ101">
        <v>11903.999999999998</v>
      </c>
      <c r="BR101">
        <v>9</v>
      </c>
      <c r="BS101">
        <v>10713.599999999999</v>
      </c>
      <c r="BT101">
        <v>7</v>
      </c>
      <c r="BU101">
        <v>8332.7999999999993</v>
      </c>
      <c r="BV101">
        <v>8</v>
      </c>
      <c r="BW101">
        <v>9523.1999999999989</v>
      </c>
      <c r="BX101">
        <v>7</v>
      </c>
      <c r="BY101">
        <v>8332.7999999999993</v>
      </c>
      <c r="BZ101">
        <v>7</v>
      </c>
      <c r="CA101">
        <v>8332.7999999999993</v>
      </c>
      <c r="CB101">
        <v>10</v>
      </c>
      <c r="CC101">
        <v>11903.999999999998</v>
      </c>
      <c r="CD101">
        <v>13</v>
      </c>
      <c r="CE101">
        <v>15475.199999999999</v>
      </c>
      <c r="CF101">
        <v>11</v>
      </c>
      <c r="CG101">
        <v>13094.399999999998</v>
      </c>
      <c r="CH101">
        <v>8</v>
      </c>
      <c r="CI101">
        <v>9523.1999999999989</v>
      </c>
      <c r="CJ101">
        <v>10</v>
      </c>
      <c r="CK101">
        <v>11903.999999999998</v>
      </c>
      <c r="CL101">
        <v>11</v>
      </c>
      <c r="CM101">
        <v>13094.399999999998</v>
      </c>
      <c r="CN101">
        <v>7</v>
      </c>
      <c r="CO101">
        <v>8332.7999999999993</v>
      </c>
      <c r="CP101">
        <v>9</v>
      </c>
      <c r="CQ101">
        <v>10713.599999999999</v>
      </c>
      <c r="CR101">
        <v>7</v>
      </c>
      <c r="CS101">
        <v>8332.7999999999993</v>
      </c>
      <c r="CT101">
        <v>7</v>
      </c>
      <c r="CU101">
        <v>8332.7999999999993</v>
      </c>
    </row>
    <row r="102" spans="2:99" x14ac:dyDescent="0.2">
      <c r="C102" s="118" t="s">
        <v>268</v>
      </c>
      <c r="D102">
        <v>7</v>
      </c>
      <c r="E102">
        <v>13574.399999999998</v>
      </c>
      <c r="F102">
        <v>8</v>
      </c>
      <c r="G102">
        <v>15513.599999999999</v>
      </c>
      <c r="H102">
        <v>6</v>
      </c>
      <c r="I102">
        <v>11635.199999999999</v>
      </c>
      <c r="J102">
        <v>12</v>
      </c>
      <c r="K102">
        <v>23270.399999999998</v>
      </c>
      <c r="L102">
        <v>8</v>
      </c>
      <c r="M102">
        <v>15513.599999999999</v>
      </c>
      <c r="N102">
        <v>7</v>
      </c>
      <c r="O102">
        <v>13574.399999999998</v>
      </c>
      <c r="P102">
        <v>7</v>
      </c>
      <c r="Q102">
        <v>13574.399999999998</v>
      </c>
      <c r="R102">
        <v>10</v>
      </c>
      <c r="S102">
        <v>19392</v>
      </c>
      <c r="T102">
        <v>10</v>
      </c>
      <c r="U102">
        <v>19392</v>
      </c>
      <c r="V102">
        <v>8</v>
      </c>
      <c r="W102">
        <v>15513.599999999999</v>
      </c>
      <c r="X102">
        <v>8</v>
      </c>
      <c r="Y102">
        <v>15513.599999999999</v>
      </c>
      <c r="Z102">
        <v>8</v>
      </c>
      <c r="AA102">
        <v>15513.599999999999</v>
      </c>
      <c r="AB102">
        <v>8</v>
      </c>
      <c r="AC102">
        <v>15513.599999999999</v>
      </c>
      <c r="AD102">
        <v>10</v>
      </c>
      <c r="AE102">
        <v>19392</v>
      </c>
      <c r="AF102">
        <v>12</v>
      </c>
      <c r="AG102">
        <v>23270.399999999998</v>
      </c>
      <c r="AH102">
        <v>8</v>
      </c>
      <c r="AI102">
        <v>15513.599999999999</v>
      </c>
      <c r="AJ102">
        <v>8</v>
      </c>
      <c r="AK102">
        <v>15513.599999999999</v>
      </c>
      <c r="AL102">
        <v>11</v>
      </c>
      <c r="AM102">
        <v>21331.199999999997</v>
      </c>
      <c r="AN102">
        <v>8</v>
      </c>
      <c r="AO102">
        <v>15513.599999999999</v>
      </c>
      <c r="AP102">
        <v>11</v>
      </c>
      <c r="AQ102">
        <v>21331.199999999997</v>
      </c>
      <c r="AR102">
        <v>6</v>
      </c>
      <c r="AS102">
        <v>11635.199999999999</v>
      </c>
      <c r="AT102">
        <v>10</v>
      </c>
      <c r="AU102">
        <v>19392</v>
      </c>
      <c r="AV102">
        <v>12</v>
      </c>
      <c r="AW102">
        <v>23270.399999999998</v>
      </c>
      <c r="AX102">
        <v>11</v>
      </c>
      <c r="AY102">
        <v>21331.199999999997</v>
      </c>
      <c r="AZ102">
        <v>7</v>
      </c>
      <c r="BA102">
        <v>13574.399999999998</v>
      </c>
      <c r="BB102">
        <v>10</v>
      </c>
      <c r="BC102">
        <v>19392</v>
      </c>
      <c r="BD102">
        <v>8</v>
      </c>
      <c r="BE102">
        <v>15513.599999999999</v>
      </c>
      <c r="BF102">
        <v>9</v>
      </c>
      <c r="BG102">
        <v>17452.8</v>
      </c>
      <c r="BH102">
        <v>9</v>
      </c>
      <c r="BI102">
        <v>17452.8</v>
      </c>
      <c r="BJ102">
        <v>7</v>
      </c>
      <c r="BK102">
        <v>13574.399999999998</v>
      </c>
      <c r="BL102">
        <v>6</v>
      </c>
      <c r="BM102">
        <v>11635.199999999999</v>
      </c>
      <c r="BN102">
        <v>12</v>
      </c>
      <c r="BO102">
        <v>23270.399999999998</v>
      </c>
      <c r="BP102">
        <v>10</v>
      </c>
      <c r="BQ102">
        <v>19392</v>
      </c>
      <c r="BR102">
        <v>8</v>
      </c>
      <c r="BS102">
        <v>15513.599999999999</v>
      </c>
      <c r="BT102">
        <v>6</v>
      </c>
      <c r="BU102">
        <v>11635.199999999999</v>
      </c>
      <c r="BV102">
        <v>7</v>
      </c>
      <c r="BW102">
        <v>13574.399999999998</v>
      </c>
      <c r="BX102">
        <v>7</v>
      </c>
      <c r="BY102">
        <v>13574.399999999998</v>
      </c>
      <c r="BZ102">
        <v>7</v>
      </c>
      <c r="CA102">
        <v>13574.399999999998</v>
      </c>
      <c r="CB102">
        <v>10</v>
      </c>
      <c r="CC102">
        <v>19392</v>
      </c>
      <c r="CD102">
        <v>11</v>
      </c>
      <c r="CE102">
        <v>21331.199999999997</v>
      </c>
      <c r="CF102">
        <v>13</v>
      </c>
      <c r="CG102">
        <v>25209.599999999999</v>
      </c>
      <c r="CH102">
        <v>8</v>
      </c>
      <c r="CI102">
        <v>15513.599999999999</v>
      </c>
      <c r="CJ102">
        <v>8</v>
      </c>
      <c r="CK102">
        <v>15513.599999999999</v>
      </c>
      <c r="CL102">
        <v>11</v>
      </c>
      <c r="CM102">
        <v>21331.199999999997</v>
      </c>
      <c r="CN102">
        <v>7</v>
      </c>
      <c r="CO102">
        <v>13574.399999999998</v>
      </c>
      <c r="CP102">
        <v>9</v>
      </c>
      <c r="CQ102">
        <v>17452.8</v>
      </c>
      <c r="CR102">
        <v>8</v>
      </c>
      <c r="CS102">
        <v>15513.599999999999</v>
      </c>
      <c r="CT102">
        <v>7</v>
      </c>
      <c r="CU102">
        <v>13574.399999999998</v>
      </c>
    </row>
    <row r="103" spans="2:99" x14ac:dyDescent="0.2">
      <c r="C103" s="118" t="s">
        <v>269</v>
      </c>
      <c r="D103">
        <v>7</v>
      </c>
      <c r="E103">
        <v>14196</v>
      </c>
      <c r="F103">
        <v>7</v>
      </c>
      <c r="G103">
        <v>14196</v>
      </c>
      <c r="H103">
        <v>6</v>
      </c>
      <c r="I103">
        <v>12168</v>
      </c>
      <c r="J103">
        <v>10</v>
      </c>
      <c r="K103">
        <v>20280</v>
      </c>
      <c r="L103">
        <v>9</v>
      </c>
      <c r="M103">
        <v>18252</v>
      </c>
      <c r="N103">
        <v>7</v>
      </c>
      <c r="O103">
        <v>14196</v>
      </c>
      <c r="P103">
        <v>8</v>
      </c>
      <c r="Q103">
        <v>16224</v>
      </c>
      <c r="R103">
        <v>10</v>
      </c>
      <c r="S103">
        <v>20280</v>
      </c>
      <c r="T103">
        <v>11</v>
      </c>
      <c r="U103">
        <v>22308</v>
      </c>
      <c r="V103">
        <v>8</v>
      </c>
      <c r="W103">
        <v>16224</v>
      </c>
      <c r="X103">
        <v>8</v>
      </c>
      <c r="Y103">
        <v>16224</v>
      </c>
      <c r="Z103">
        <v>8</v>
      </c>
      <c r="AA103">
        <v>16224</v>
      </c>
      <c r="AB103">
        <v>8</v>
      </c>
      <c r="AC103">
        <v>16224</v>
      </c>
      <c r="AD103">
        <v>10</v>
      </c>
      <c r="AE103">
        <v>20280</v>
      </c>
      <c r="AF103">
        <v>10</v>
      </c>
      <c r="AG103">
        <v>20280</v>
      </c>
      <c r="AH103">
        <v>8</v>
      </c>
      <c r="AI103">
        <v>16224</v>
      </c>
      <c r="AJ103">
        <v>8</v>
      </c>
      <c r="AK103">
        <v>16224</v>
      </c>
      <c r="AL103">
        <v>10</v>
      </c>
      <c r="AM103">
        <v>20280</v>
      </c>
      <c r="AN103">
        <v>9</v>
      </c>
      <c r="AO103">
        <v>18252</v>
      </c>
      <c r="AP103">
        <v>12</v>
      </c>
      <c r="AQ103">
        <v>24336</v>
      </c>
      <c r="AR103">
        <v>7</v>
      </c>
      <c r="AS103">
        <v>14196</v>
      </c>
      <c r="AT103">
        <v>10</v>
      </c>
      <c r="AU103">
        <v>20280</v>
      </c>
      <c r="AV103">
        <v>12</v>
      </c>
      <c r="AW103">
        <v>24336</v>
      </c>
      <c r="AX103">
        <v>12</v>
      </c>
      <c r="AY103">
        <v>24336</v>
      </c>
      <c r="AZ103">
        <v>7</v>
      </c>
      <c r="BA103">
        <v>14196</v>
      </c>
      <c r="BB103">
        <v>11</v>
      </c>
      <c r="BC103">
        <v>22308</v>
      </c>
      <c r="BD103">
        <v>9</v>
      </c>
      <c r="BE103">
        <v>18252</v>
      </c>
      <c r="BF103">
        <v>9</v>
      </c>
      <c r="BG103">
        <v>18252</v>
      </c>
      <c r="BH103">
        <v>8</v>
      </c>
      <c r="BI103">
        <v>16224</v>
      </c>
      <c r="BJ103">
        <v>6</v>
      </c>
      <c r="BK103">
        <v>12168</v>
      </c>
      <c r="BL103">
        <v>6</v>
      </c>
      <c r="BM103">
        <v>12168</v>
      </c>
      <c r="BN103">
        <v>11</v>
      </c>
      <c r="BO103">
        <v>22308</v>
      </c>
      <c r="BP103">
        <v>9</v>
      </c>
      <c r="BQ103">
        <v>18252</v>
      </c>
      <c r="BR103">
        <v>8</v>
      </c>
      <c r="BS103">
        <v>16224</v>
      </c>
      <c r="BT103">
        <v>6</v>
      </c>
      <c r="BU103">
        <v>12168</v>
      </c>
      <c r="BV103">
        <v>7</v>
      </c>
      <c r="BW103">
        <v>14196</v>
      </c>
      <c r="BX103">
        <v>7</v>
      </c>
      <c r="BY103">
        <v>14196</v>
      </c>
      <c r="BZ103">
        <v>7</v>
      </c>
      <c r="CA103">
        <v>14196</v>
      </c>
      <c r="CB103">
        <v>10</v>
      </c>
      <c r="CC103">
        <v>20280</v>
      </c>
      <c r="CD103">
        <v>12</v>
      </c>
      <c r="CE103">
        <v>24336</v>
      </c>
      <c r="CF103">
        <v>12</v>
      </c>
      <c r="CG103">
        <v>24336</v>
      </c>
      <c r="CH103">
        <v>8</v>
      </c>
      <c r="CI103">
        <v>16224</v>
      </c>
      <c r="CJ103">
        <v>9</v>
      </c>
      <c r="CK103">
        <v>18252</v>
      </c>
      <c r="CL103">
        <v>11</v>
      </c>
      <c r="CM103">
        <v>22308</v>
      </c>
      <c r="CN103">
        <v>6</v>
      </c>
      <c r="CO103">
        <v>12168</v>
      </c>
      <c r="CP103">
        <v>9</v>
      </c>
      <c r="CQ103">
        <v>18252</v>
      </c>
      <c r="CR103">
        <v>7</v>
      </c>
      <c r="CS103">
        <v>14196</v>
      </c>
      <c r="CT103">
        <v>6</v>
      </c>
      <c r="CU103">
        <v>12168</v>
      </c>
    </row>
    <row r="104" spans="2:99" x14ac:dyDescent="0.2">
      <c r="C104" s="118" t="s">
        <v>270</v>
      </c>
      <c r="D104">
        <v>7</v>
      </c>
      <c r="E104">
        <v>14506.800000000001</v>
      </c>
      <c r="F104">
        <v>8</v>
      </c>
      <c r="G104">
        <v>16579.2</v>
      </c>
      <c r="H104">
        <v>6</v>
      </c>
      <c r="I104">
        <v>12434.400000000001</v>
      </c>
      <c r="J104">
        <v>11</v>
      </c>
      <c r="K104">
        <v>22796.400000000001</v>
      </c>
      <c r="L104">
        <v>8</v>
      </c>
      <c r="M104">
        <v>16579.2</v>
      </c>
      <c r="N104">
        <v>6</v>
      </c>
      <c r="O104">
        <v>12434.400000000001</v>
      </c>
      <c r="P104">
        <v>7</v>
      </c>
      <c r="Q104">
        <v>14506.800000000001</v>
      </c>
      <c r="R104">
        <v>9</v>
      </c>
      <c r="S104">
        <v>18651.600000000002</v>
      </c>
      <c r="T104">
        <v>11</v>
      </c>
      <c r="U104">
        <v>22796.400000000001</v>
      </c>
      <c r="V104">
        <v>9</v>
      </c>
      <c r="W104">
        <v>18651.600000000002</v>
      </c>
      <c r="X104">
        <v>8</v>
      </c>
      <c r="Y104">
        <v>16579.2</v>
      </c>
      <c r="Z104">
        <v>8</v>
      </c>
      <c r="AA104">
        <v>16579.2</v>
      </c>
      <c r="AB104">
        <v>8</v>
      </c>
      <c r="AC104">
        <v>16579.2</v>
      </c>
      <c r="AD104">
        <v>10</v>
      </c>
      <c r="AE104">
        <v>20724</v>
      </c>
      <c r="AF104">
        <v>10</v>
      </c>
      <c r="AG104">
        <v>20724</v>
      </c>
      <c r="AH104">
        <v>8</v>
      </c>
      <c r="AI104">
        <v>16579.2</v>
      </c>
      <c r="AJ104">
        <v>9</v>
      </c>
      <c r="AK104">
        <v>18651.600000000002</v>
      </c>
      <c r="AL104">
        <v>11</v>
      </c>
      <c r="AM104">
        <v>22796.400000000001</v>
      </c>
      <c r="AN104">
        <v>9</v>
      </c>
      <c r="AO104">
        <v>18651.600000000002</v>
      </c>
      <c r="AP104">
        <v>11</v>
      </c>
      <c r="AQ104">
        <v>22796.400000000001</v>
      </c>
      <c r="AR104">
        <v>6</v>
      </c>
      <c r="AS104">
        <v>12434.400000000001</v>
      </c>
      <c r="AT104">
        <v>10</v>
      </c>
      <c r="AU104">
        <v>20724</v>
      </c>
      <c r="AV104">
        <v>11</v>
      </c>
      <c r="AW104">
        <v>22796.400000000001</v>
      </c>
      <c r="AX104">
        <v>11</v>
      </c>
      <c r="AY104">
        <v>22796.400000000001</v>
      </c>
      <c r="AZ104">
        <v>7</v>
      </c>
      <c r="BA104">
        <v>14506.800000000001</v>
      </c>
      <c r="BB104">
        <v>9</v>
      </c>
      <c r="BC104">
        <v>18651.600000000002</v>
      </c>
      <c r="BD104">
        <v>9</v>
      </c>
      <c r="BE104">
        <v>18651.600000000002</v>
      </c>
      <c r="BF104">
        <v>9</v>
      </c>
      <c r="BG104">
        <v>18651.600000000002</v>
      </c>
      <c r="BH104">
        <v>8</v>
      </c>
      <c r="BI104">
        <v>16579.2</v>
      </c>
      <c r="BJ104">
        <v>7</v>
      </c>
      <c r="BK104">
        <v>14506.800000000001</v>
      </c>
      <c r="BL104">
        <v>6</v>
      </c>
      <c r="BM104">
        <v>12434.400000000001</v>
      </c>
      <c r="BN104">
        <v>10</v>
      </c>
      <c r="BO104">
        <v>20724</v>
      </c>
      <c r="BP104">
        <v>10</v>
      </c>
      <c r="BQ104">
        <v>20724</v>
      </c>
      <c r="BR104">
        <v>9</v>
      </c>
      <c r="BS104">
        <v>18651.600000000002</v>
      </c>
      <c r="BT104">
        <v>6</v>
      </c>
      <c r="BU104">
        <v>12434.400000000001</v>
      </c>
      <c r="BV104">
        <v>7</v>
      </c>
      <c r="BW104">
        <v>14506.800000000001</v>
      </c>
      <c r="BX104">
        <v>6</v>
      </c>
      <c r="BY104">
        <v>12434.400000000001</v>
      </c>
      <c r="BZ104">
        <v>6</v>
      </c>
      <c r="CA104">
        <v>12434.400000000001</v>
      </c>
      <c r="CB104">
        <v>10</v>
      </c>
      <c r="CC104">
        <v>20724</v>
      </c>
      <c r="CD104">
        <v>12</v>
      </c>
      <c r="CE104">
        <v>24868.800000000003</v>
      </c>
      <c r="CF104">
        <v>12</v>
      </c>
      <c r="CG104">
        <v>24868.800000000003</v>
      </c>
      <c r="CH104">
        <v>8</v>
      </c>
      <c r="CI104">
        <v>16579.2</v>
      </c>
      <c r="CJ104">
        <v>9</v>
      </c>
      <c r="CK104">
        <v>18651.600000000002</v>
      </c>
      <c r="CL104">
        <v>12</v>
      </c>
      <c r="CM104">
        <v>24868.800000000003</v>
      </c>
      <c r="CN104">
        <v>6</v>
      </c>
      <c r="CO104">
        <v>12434.400000000001</v>
      </c>
      <c r="CP104">
        <v>9</v>
      </c>
      <c r="CQ104">
        <v>18651.600000000002</v>
      </c>
      <c r="CR104">
        <v>7</v>
      </c>
      <c r="CS104">
        <v>14506.800000000001</v>
      </c>
      <c r="CT104">
        <v>6</v>
      </c>
      <c r="CU104">
        <v>12434.400000000001</v>
      </c>
    </row>
    <row r="105" spans="2:99" x14ac:dyDescent="0.2">
      <c r="C105" s="118" t="s">
        <v>271</v>
      </c>
      <c r="D105">
        <v>8</v>
      </c>
      <c r="E105">
        <v>15984</v>
      </c>
      <c r="F105">
        <v>8</v>
      </c>
      <c r="G105">
        <v>15984</v>
      </c>
      <c r="H105">
        <v>6</v>
      </c>
      <c r="I105">
        <v>11988</v>
      </c>
      <c r="J105">
        <v>11</v>
      </c>
      <c r="K105">
        <v>21978</v>
      </c>
      <c r="L105">
        <v>8</v>
      </c>
      <c r="M105">
        <v>15984</v>
      </c>
      <c r="N105">
        <v>6</v>
      </c>
      <c r="O105">
        <v>11988</v>
      </c>
      <c r="P105">
        <v>8</v>
      </c>
      <c r="Q105">
        <v>15984</v>
      </c>
      <c r="R105">
        <v>9</v>
      </c>
      <c r="S105">
        <v>17982</v>
      </c>
      <c r="T105">
        <v>10</v>
      </c>
      <c r="U105">
        <v>19980</v>
      </c>
      <c r="V105">
        <v>8</v>
      </c>
      <c r="W105">
        <v>15984</v>
      </c>
      <c r="X105">
        <v>8</v>
      </c>
      <c r="Y105">
        <v>15984</v>
      </c>
      <c r="Z105">
        <v>9</v>
      </c>
      <c r="AA105">
        <v>17982</v>
      </c>
      <c r="AB105">
        <v>8</v>
      </c>
      <c r="AC105">
        <v>15984</v>
      </c>
      <c r="AD105">
        <v>10</v>
      </c>
      <c r="AE105">
        <v>19980</v>
      </c>
      <c r="AF105">
        <v>11</v>
      </c>
      <c r="AG105">
        <v>21978</v>
      </c>
      <c r="AH105">
        <v>8</v>
      </c>
      <c r="AI105">
        <v>15984</v>
      </c>
      <c r="AJ105">
        <v>9</v>
      </c>
      <c r="AK105">
        <v>17982</v>
      </c>
      <c r="AL105">
        <v>11</v>
      </c>
      <c r="AM105">
        <v>21978</v>
      </c>
      <c r="AN105">
        <v>8</v>
      </c>
      <c r="AO105">
        <v>15984</v>
      </c>
      <c r="AP105">
        <v>12</v>
      </c>
      <c r="AQ105">
        <v>23976</v>
      </c>
      <c r="AR105">
        <v>8</v>
      </c>
      <c r="AS105">
        <v>15984</v>
      </c>
      <c r="AT105">
        <v>9</v>
      </c>
      <c r="AU105">
        <v>17982</v>
      </c>
      <c r="AV105">
        <v>10</v>
      </c>
      <c r="AW105">
        <v>19980</v>
      </c>
      <c r="AX105">
        <v>11</v>
      </c>
      <c r="AY105">
        <v>21978</v>
      </c>
      <c r="AZ105">
        <v>7</v>
      </c>
      <c r="BA105">
        <v>13986</v>
      </c>
      <c r="BB105">
        <v>9</v>
      </c>
      <c r="BC105">
        <v>17982</v>
      </c>
      <c r="BD105">
        <v>8</v>
      </c>
      <c r="BE105">
        <v>15984</v>
      </c>
      <c r="BF105">
        <v>9</v>
      </c>
      <c r="BG105">
        <v>17982</v>
      </c>
      <c r="BH105">
        <v>8</v>
      </c>
      <c r="BI105">
        <v>15984</v>
      </c>
      <c r="BJ105">
        <v>6</v>
      </c>
      <c r="BK105">
        <v>11988</v>
      </c>
      <c r="BL105">
        <v>6</v>
      </c>
      <c r="BM105">
        <v>11988</v>
      </c>
      <c r="BN105">
        <v>10</v>
      </c>
      <c r="BO105">
        <v>19980</v>
      </c>
      <c r="BP105">
        <v>10</v>
      </c>
      <c r="BQ105">
        <v>19980</v>
      </c>
      <c r="BR105">
        <v>8</v>
      </c>
      <c r="BS105">
        <v>15984</v>
      </c>
      <c r="BT105">
        <v>7</v>
      </c>
      <c r="BU105">
        <v>13986</v>
      </c>
      <c r="BV105">
        <v>7</v>
      </c>
      <c r="BW105">
        <v>13986</v>
      </c>
      <c r="BX105">
        <v>6</v>
      </c>
      <c r="BY105">
        <v>11988</v>
      </c>
      <c r="BZ105">
        <v>6</v>
      </c>
      <c r="CA105">
        <v>11988</v>
      </c>
      <c r="CB105">
        <v>10</v>
      </c>
      <c r="CC105">
        <v>19980</v>
      </c>
      <c r="CD105">
        <v>11</v>
      </c>
      <c r="CE105">
        <v>21978</v>
      </c>
      <c r="CF105">
        <v>12</v>
      </c>
      <c r="CG105">
        <v>23976</v>
      </c>
      <c r="CH105">
        <v>8</v>
      </c>
      <c r="CI105">
        <v>15984</v>
      </c>
      <c r="CJ105">
        <v>9</v>
      </c>
      <c r="CK105">
        <v>17982</v>
      </c>
      <c r="CL105">
        <v>10</v>
      </c>
      <c r="CM105">
        <v>19980</v>
      </c>
      <c r="CN105">
        <v>7</v>
      </c>
      <c r="CO105">
        <v>13986</v>
      </c>
      <c r="CP105">
        <v>9</v>
      </c>
      <c r="CQ105">
        <v>17982</v>
      </c>
      <c r="CR105">
        <v>7</v>
      </c>
      <c r="CS105">
        <v>13986</v>
      </c>
      <c r="CT105">
        <v>6</v>
      </c>
      <c r="CU105">
        <v>11988</v>
      </c>
    </row>
    <row r="107" spans="2:99" x14ac:dyDescent="0.2">
      <c r="B107" s="121" t="s">
        <v>276</v>
      </c>
    </row>
    <row r="108" spans="2:99" x14ac:dyDescent="0.2">
      <c r="C108" s="118" t="s">
        <v>277</v>
      </c>
      <c r="D108" s="118" t="s">
        <v>92</v>
      </c>
      <c r="E108" s="118" t="s">
        <v>93</v>
      </c>
      <c r="F108" s="118" t="s">
        <v>94</v>
      </c>
      <c r="G108" s="118" t="s">
        <v>95</v>
      </c>
      <c r="H108" s="118" t="s">
        <v>96</v>
      </c>
      <c r="I108" s="118" t="s">
        <v>97</v>
      </c>
      <c r="J108" s="118" t="s">
        <v>98</v>
      </c>
      <c r="K108" s="118" t="s">
        <v>99</v>
      </c>
      <c r="L108" s="118" t="s">
        <v>100</v>
      </c>
      <c r="M108" s="118" t="s">
        <v>101</v>
      </c>
      <c r="N108" s="118" t="s">
        <v>102</v>
      </c>
      <c r="O108" s="118" t="s">
        <v>103</v>
      </c>
    </row>
    <row r="109" spans="2:99" x14ac:dyDescent="0.2">
      <c r="C109" s="118" t="s">
        <v>126</v>
      </c>
      <c r="D109">
        <f>SUM(D$6:D$19)+SUM(F$6:F$19)+SUM(H$6:H$19)+SUM(J$6:J$19)</f>
        <v>310</v>
      </c>
      <c r="E109">
        <f>SUM(L$6:L$19)+SUM(N$6:N$19)+SUM(P$6:P$19)+SUM(R$6:R$19)</f>
        <v>56.22445727242183</v>
      </c>
      <c r="F109">
        <f>SUM(T$6:T$19)+SUM(V$6:V$19)+SUM(X$6:X$19)+SUM(Z$6:Z$19)</f>
        <v>0</v>
      </c>
      <c r="G109">
        <f>SUM(AB$6:AB$19)+SUM(AD$6:AD$19)+SUM(AF$6:AF$19)+SUM(AH$6:AH$19)</f>
        <v>0</v>
      </c>
      <c r="H109">
        <f>SUM(AJ$6:AJ$19)+SUM(AL$6:AL$19)+SUM(AN$6:AN$19)+SUM(AP$6:AP$19)</f>
        <v>0</v>
      </c>
      <c r="I109">
        <f>SUM(AR$6:AR$19)+SUM(AT$6:AT$19)+SUM(AV$6:AV$19)+SUM(AX$6:AX$19)</f>
        <v>0</v>
      </c>
      <c r="J109">
        <f>SUM(AZ$6:AZ$19)+SUM(BB$6:BB$19)+SUM(BD$6:BD$19)+SUM(BF$6:BF$19)</f>
        <v>0</v>
      </c>
      <c r="K109">
        <f>SUM(BH$6:BH$19)+SUM(BJ$6:BJ$19)+SUM(BL$6:BL$19)+SUM(BN$6:BN$19)</f>
        <v>0</v>
      </c>
      <c r="L109">
        <f>SUM(BP$6:BP$19)+SUM(BR$6:BR$19)+SUM(BT$6:BT$19)+SUM(BV$6:BV$19)</f>
        <v>0</v>
      </c>
      <c r="M109">
        <f>SUM(BX$6:BX$19)+SUM(BZ$6:BZ$19)+SUM(CB$6:CB$19)+SUM(CD$6:CD$19)</f>
        <v>0</v>
      </c>
      <c r="N109">
        <f>SUM(CF$6:CF$19)+SUM(CH$6:CH$19)+SUM(CJ$6:CJ$19)+SUM(CL$6:CL$19)</f>
        <v>0</v>
      </c>
      <c r="O109">
        <f>SUM(CN$6:CN$19)+SUM(CP$6:CP$19)+SUM(CR$6:CR$19)+SUM(CT$6:CT$19)</f>
        <v>0</v>
      </c>
    </row>
    <row r="110" spans="2:99" x14ac:dyDescent="0.2">
      <c r="C110" s="118" t="s">
        <v>127</v>
      </c>
      <c r="D110">
        <f>SUM(D$20:D$36)+SUM(F$20:F$36)+SUM(H$20:H$36)+SUM(J$20:J$36)</f>
        <v>963</v>
      </c>
      <c r="E110">
        <f>SUM(L$20:L$36)+SUM(N$20:N$36)+SUM(P$20:P$36)+SUM(R$20:R$36)</f>
        <v>271.30531763200378</v>
      </c>
      <c r="F110">
        <f>SUM(T$20:T$36)+SUM(V$20:V$36)+SUM(X$20:X$36)+SUM(Z$20:Z$36)</f>
        <v>0</v>
      </c>
      <c r="G110">
        <f>SUM(AB$20:AB$36)+SUM(AD$20:AD$36)+SUM(AF$20:AF$36)+SUM(AH$20:AH$36)</f>
        <v>0</v>
      </c>
      <c r="H110">
        <f>SUM(AJ$20:AJ$36)+SUM(AL$20:AL$36)+SUM(AN$20:AN$36)+SUM(AP$20:AP$36)</f>
        <v>0</v>
      </c>
      <c r="I110">
        <f>SUM(AR$20:AR$36)+SUM(AT$20:AT$36)+SUM(AV$20:AV$36)+SUM(AX$20:AX$36)</f>
        <v>0</v>
      </c>
      <c r="J110">
        <f>SUM(AZ$20:AZ$36)+SUM(BB$20:BB$36)+SUM(BD$20:BD$36)+SUM(BF$20:BF$36)</f>
        <v>0</v>
      </c>
      <c r="K110">
        <f>SUM(BH$20:BH$36)+SUM(BJ$20:BJ$36)+SUM(BL$20:BL$36)+SUM(BN$20:BN$36)</f>
        <v>0</v>
      </c>
      <c r="L110">
        <f>SUM(BP$20:BP$36)+SUM(BR$20:BR$36)+SUM(BT$20:BT$36)+SUM(BV$20:BV$36)</f>
        <v>0</v>
      </c>
      <c r="M110">
        <f>SUM(BX$20:BX$36)+SUM(BZ$20:BZ$36)+SUM(CB$20:CB$36)+SUM(CD$20:CD$36)</f>
        <v>0</v>
      </c>
      <c r="N110">
        <f>SUM(CF$20:CF$36)+SUM(CH$20:CH$36)+SUM(CJ$20:CJ$36)+SUM(CL$20:CL$36)</f>
        <v>0</v>
      </c>
      <c r="O110">
        <f>SUM(CN$20:CN$36)+SUM(CP$20:CP$36)+SUM(CR$20:CR$36)+SUM(CT$20:CT$36)</f>
        <v>0</v>
      </c>
    </row>
    <row r="111" spans="2:99" x14ac:dyDescent="0.2">
      <c r="C111" s="118" t="s">
        <v>128</v>
      </c>
      <c r="D111">
        <f>SUM(D$37:D$48)+SUM(F$37:F$48)+SUM(H$37:H$48)+SUM(J$37:J$48)</f>
        <v>651</v>
      </c>
      <c r="E111">
        <f>SUM(L$37:L$48)+SUM(N$37:N$48)+SUM(P$37:P$48)+SUM(R$37:R$48)</f>
        <v>154.39414457347584</v>
      </c>
      <c r="F111">
        <f>SUM(T$37:T$48)+SUM(V$37:V$48)+SUM(X$37:X$48)+SUM(Z$37:Z$48)</f>
        <v>0</v>
      </c>
      <c r="G111">
        <f>SUM(AB$37:AB$48)+SUM(AD$37:AD$48)+SUM(AF$37:AF$48)+SUM(AH$37:AH$48)</f>
        <v>0</v>
      </c>
      <c r="H111">
        <f>SUM(AJ$37:AJ$48)+SUM(AL$37:AL$48)+SUM(AN$37:AN$48)+SUM(AP$37:AP$48)</f>
        <v>0</v>
      </c>
      <c r="I111">
        <f>SUM(AR$37:AR$48)+SUM(AT$37:AT$48)+SUM(AV$37:AV$48)+SUM(AX$37:AX$48)</f>
        <v>0</v>
      </c>
      <c r="J111">
        <f>SUM(AZ$37:AZ$48)+SUM(BB$37:BB$48)+SUM(BD$37:BD$48)+SUM(BF$37:BF$48)</f>
        <v>0</v>
      </c>
      <c r="K111">
        <f>SUM(BH$37:BH$48)+SUM(BJ$37:BJ$48)+SUM(BL$37:BL$48)+SUM(BN$37:BN$48)</f>
        <v>0</v>
      </c>
      <c r="L111">
        <f>SUM(BP$37:BP$48)+SUM(BR$37:BR$48)+SUM(BT$37:BT$48)+SUM(BV$37:BV$48)</f>
        <v>0</v>
      </c>
      <c r="M111">
        <f>SUM(BX$37:BX$48)+SUM(BZ$37:BZ$48)+SUM(CB$37:CB$48)+SUM(CD$37:CD$48)</f>
        <v>0</v>
      </c>
      <c r="N111">
        <f>SUM(CF$37:CF$48)+SUM(CH$37:CH$48)+SUM(CJ$37:CJ$48)+SUM(CL$37:CL$48)</f>
        <v>0</v>
      </c>
      <c r="O111">
        <f>SUM(CN$37:CN$48)+SUM(CP$37:CP$48)+SUM(CR$37:CR$48)+SUM(CT$37:CT$48)</f>
        <v>0</v>
      </c>
    </row>
    <row r="112" spans="2:99" x14ac:dyDescent="0.2">
      <c r="C112" s="118" t="s">
        <v>129</v>
      </c>
      <c r="D112">
        <f>SUM(D$49:D$70)+SUM(F$49:F$70)+SUM(H$49:H$70)+SUM(J$49:J$70)</f>
        <v>1195</v>
      </c>
      <c r="E112">
        <f>SUM(L$49:L$70)+SUM(N$49:N$70)+SUM(P$49:P$70)+SUM(R$49:R$70)</f>
        <v>415.31666995537182</v>
      </c>
      <c r="F112">
        <f>SUM(T$49:T$70)+SUM(V$49:V$70)+SUM(X$49:X$70)+SUM(Z$49:Z$70)</f>
        <v>131</v>
      </c>
      <c r="G112">
        <f>SUM(AB$49:AB$70)+SUM(AD$49:AD$70)+SUM(AF$49:AF$70)+SUM(AH$49:AH$70)</f>
        <v>165</v>
      </c>
      <c r="H112">
        <f>SUM(AJ$49:AJ$70)+SUM(AL$49:AL$70)+SUM(AN$49:AN$70)+SUM(AP$49:AP$70)</f>
        <v>166</v>
      </c>
      <c r="I112">
        <f>SUM(AR$49:AR$70)+SUM(AT$49:AT$70)+SUM(AV$49:AV$70)+SUM(AX$49:AX$70)</f>
        <v>140</v>
      </c>
      <c r="J112">
        <f>SUM(AZ$49:AZ$70)+SUM(BB$49:BB$70)+SUM(BD$49:BD$70)+SUM(BF$49:BF$70)</f>
        <v>147</v>
      </c>
      <c r="K112">
        <f>SUM(BH$49:BH$70)+SUM(BJ$49:BJ$70)+SUM(BL$49:BL$70)+SUM(BN$49:BN$70)</f>
        <v>154</v>
      </c>
      <c r="L112">
        <f>SUM(BP$49:BP$70)+SUM(BR$49:BR$70)+SUM(BT$49:BT$70)+SUM(BV$49:BV$70)</f>
        <v>137</v>
      </c>
      <c r="M112">
        <f>SUM(BX$49:BX$70)+SUM(BZ$49:BZ$70)+SUM(CB$49:CB$70)+SUM(CD$49:CD$70)</f>
        <v>168</v>
      </c>
      <c r="N112">
        <f>SUM(CF$49:CF$70)+SUM(CH$49:CH$70)+SUM(CJ$49:CJ$70)+SUM(CL$49:CL$70)</f>
        <v>176</v>
      </c>
      <c r="O112">
        <f>SUM(CN$49:CN$70)+SUM(CP$49:CP$70)+SUM(CR$49:CR$70)+SUM(CT$49:CT$70)</f>
        <v>157</v>
      </c>
    </row>
    <row r="113" spans="2:15" x14ac:dyDescent="0.2">
      <c r="C113" s="118" t="s">
        <v>130</v>
      </c>
      <c r="D113">
        <f>SUM(D$71:D$86)+SUM(F$71:F$86)+SUM(H$71:H$86)+SUM(J$71:J$86)</f>
        <v>733</v>
      </c>
      <c r="E113">
        <f>SUM(L$71:L$86)+SUM(N$71:N$86)+SUM(P$71:P$86)+SUM(R$71:R$86)</f>
        <v>847</v>
      </c>
      <c r="F113">
        <f>SUM(T$71:T$86)+SUM(V$71:V$86)+SUM(X$71:X$86)+SUM(Z$71:Z$86)</f>
        <v>766</v>
      </c>
      <c r="G113">
        <f>SUM(AB$71:AB$86)+SUM(AD$71:AD$86)+SUM(AF$71:AF$86)+SUM(AH$71:AH$86)</f>
        <v>820</v>
      </c>
      <c r="H113">
        <f>SUM(AJ$71:AJ$86)+SUM(AL$71:AL$86)+SUM(AN$71:AN$86)+SUM(AP$71:AP$86)</f>
        <v>889</v>
      </c>
      <c r="I113">
        <f>SUM(AR$71:AR$86)+SUM(AT$71:AT$86)+SUM(AV$71:AV$86)+SUM(AX$71:AX$86)</f>
        <v>886</v>
      </c>
      <c r="J113">
        <f>SUM(AZ$71:AZ$86)+SUM(BB$71:BB$86)+SUM(BD$71:BD$86)+SUM(BF$71:BF$86)</f>
        <v>792</v>
      </c>
      <c r="K113">
        <f>SUM(BH$71:BH$86)+SUM(BJ$71:BJ$86)+SUM(BL$71:BL$86)+SUM(BN$71:BN$86)</f>
        <v>906</v>
      </c>
      <c r="L113">
        <f>SUM(BP$71:BP$86)+SUM(BR$71:BR$86)+SUM(BT$71:BT$86)+SUM(BV$71:BV$86)</f>
        <v>828</v>
      </c>
      <c r="M113">
        <f>SUM(BX$71:BX$86)+SUM(BZ$71:BZ$86)+SUM(CB$71:CB$86)+SUM(CD$71:CD$86)</f>
        <v>888</v>
      </c>
      <c r="N113">
        <f>SUM(CF$71:CF$86)+SUM(CH$71:CH$86)+SUM(CJ$71:CJ$86)+SUM(CL$71:CL$86)</f>
        <v>907</v>
      </c>
      <c r="O113">
        <f>SUM(CN$71:CN$86)+SUM(CP$71:CP$86)+SUM(CR$71:CR$86)+SUM(CT$71:CT$86)</f>
        <v>802</v>
      </c>
    </row>
    <row r="114" spans="2:15" x14ac:dyDescent="0.2">
      <c r="C114" s="118" t="s">
        <v>131</v>
      </c>
      <c r="D114">
        <f>SUM(D$87:D$94)+SUM(F$87:F$94)+SUM(H$87:H$94)+SUM(J$87:J$94)</f>
        <v>329</v>
      </c>
      <c r="E114">
        <f>SUM(L$87:L$94)+SUM(N$87:N$94)+SUM(P$87:P$94)+SUM(R$87:R$94)</f>
        <v>349</v>
      </c>
      <c r="F114">
        <f>SUM(T$87:T$94)+SUM(V$87:V$94)+SUM(X$87:X$94)+SUM(Z$87:Z$94)</f>
        <v>341</v>
      </c>
      <c r="G114">
        <f>SUM(AB$87:AB$94)+SUM(AD$87:AD$94)+SUM(AF$87:AF$94)+SUM(AH$87:AH$94)</f>
        <v>379</v>
      </c>
      <c r="H114">
        <f>SUM(AJ$87:AJ$94)+SUM(AL$87:AL$94)+SUM(AN$87:AN$94)+SUM(AP$87:AP$94)</f>
        <v>387</v>
      </c>
      <c r="I114">
        <f>SUM(AR$87:AR$94)+SUM(AT$87:AT$94)+SUM(AV$87:AV$94)+SUM(AX$87:AX$94)</f>
        <v>363</v>
      </c>
      <c r="J114">
        <f>SUM(AZ$87:AZ$94)+SUM(BB$87:BB$94)+SUM(BD$87:BD$94)+SUM(BF$87:BF$94)</f>
        <v>359</v>
      </c>
      <c r="K114">
        <f>SUM(BH$87:BH$94)+SUM(BJ$87:BJ$94)+SUM(BL$87:BL$94)+SUM(BN$87:BN$94)</f>
        <v>382</v>
      </c>
      <c r="L114">
        <f>SUM(BP$87:BP$94)+SUM(BR$87:BR$94)+SUM(BT$87:BT$94)+SUM(BV$87:BV$94)</f>
        <v>410</v>
      </c>
      <c r="M114">
        <f>SUM(BX$87:BX$94)+SUM(BZ$87:BZ$94)+SUM(CB$87:CB$94)+SUM(CD$87:CD$94)</f>
        <v>455</v>
      </c>
      <c r="N114">
        <f>SUM(CF$87:CF$94)+SUM(CH$87:CH$94)+SUM(CJ$87:CJ$94)+SUM(CL$87:CL$94)</f>
        <v>337</v>
      </c>
      <c r="O114">
        <f>SUM(CN$87:CN$94)+SUM(CP$87:CP$94)+SUM(CR$87:CR$94)+SUM(CT$87:CT$94)</f>
        <v>375</v>
      </c>
    </row>
    <row r="115" spans="2:15" x14ac:dyDescent="0.2">
      <c r="C115" s="118" t="s">
        <v>132</v>
      </c>
      <c r="D115">
        <f>SUM(D$95:D$105)+SUM(F$95:F$105)+SUM(H$95:H$105)+SUM(J$95:J$105)</f>
        <v>354</v>
      </c>
      <c r="E115">
        <f>SUM(L$95:L$105)+SUM(N$95:N$105)+SUM(P$95:P$105)+SUM(R$95:R$105)</f>
        <v>354</v>
      </c>
      <c r="F115">
        <f>SUM(T$95:T$105)+SUM(V$95:V$105)+SUM(X$95:X$105)+SUM(Z$95:Z$105)</f>
        <v>389</v>
      </c>
      <c r="G115">
        <f>SUM(AB$95:AB$105)+SUM(AD$95:AD$105)+SUM(AF$95:AF$105)+SUM(AH$95:AH$105)</f>
        <v>410</v>
      </c>
      <c r="H115">
        <f>SUM(AJ$95:AJ$105)+SUM(AL$95:AL$105)+SUM(AN$95:AN$105)+SUM(AP$95:AP$105)</f>
        <v>432</v>
      </c>
      <c r="I115">
        <f>SUM(AR$95:AR$105)+SUM(AT$95:AT$105)+SUM(AV$95:AV$105)+SUM(AX$95:AX$105)</f>
        <v>417</v>
      </c>
      <c r="J115">
        <f>SUM(AZ$95:AZ$105)+SUM(BB$95:BB$105)+SUM(BD$95:BD$105)+SUM(BF$95:BF$105)</f>
        <v>375</v>
      </c>
      <c r="K115">
        <f>SUM(BH$95:BH$105)+SUM(BJ$95:BJ$105)+SUM(BL$95:BL$105)+SUM(BN$95:BN$105)</f>
        <v>349</v>
      </c>
      <c r="L115">
        <f>SUM(BP$95:BP$105)+SUM(BR$95:BR$105)+SUM(BT$95:BT$105)+SUM(BV$95:BV$105)</f>
        <v>343</v>
      </c>
      <c r="M115">
        <f>SUM(BX$95:BX$105)+SUM(BZ$95:BZ$105)+SUM(CB$95:CB$105)+SUM(CD$95:CD$105)</f>
        <v>386</v>
      </c>
      <c r="N115">
        <f>SUM(CF$95:CF$105)+SUM(CH$95:CH$105)+SUM(CJ$95:CJ$105)+SUM(CL$95:CL$105)</f>
        <v>439</v>
      </c>
      <c r="O115">
        <f>SUM(CN$95:CN$105)+SUM(CP$95:CP$105)+SUM(CR$95:CR$105)+SUM(CT$95:CT$105)</f>
        <v>317</v>
      </c>
    </row>
    <row r="116" spans="2:15" x14ac:dyDescent="0.2">
      <c r="C116" s="118" t="s">
        <v>278</v>
      </c>
      <c r="D116">
        <f t="shared" ref="D116:O116" si="0">SUM(D$109:D$115)</f>
        <v>4535</v>
      </c>
      <c r="E116">
        <f t="shared" si="0"/>
        <v>2447.2405894332733</v>
      </c>
      <c r="F116">
        <f t="shared" si="0"/>
        <v>1627</v>
      </c>
      <c r="G116">
        <f t="shared" si="0"/>
        <v>1774</v>
      </c>
      <c r="H116">
        <f t="shared" si="0"/>
        <v>1874</v>
      </c>
      <c r="I116">
        <f t="shared" si="0"/>
        <v>1806</v>
      </c>
      <c r="J116">
        <f t="shared" si="0"/>
        <v>1673</v>
      </c>
      <c r="K116">
        <f t="shared" si="0"/>
        <v>1791</v>
      </c>
      <c r="L116">
        <f t="shared" si="0"/>
        <v>1718</v>
      </c>
      <c r="M116">
        <f t="shared" si="0"/>
        <v>1897</v>
      </c>
      <c r="N116">
        <f t="shared" si="0"/>
        <v>1859</v>
      </c>
      <c r="O116">
        <f t="shared" si="0"/>
        <v>1651</v>
      </c>
    </row>
    <row r="118" spans="2:15" x14ac:dyDescent="0.2">
      <c r="B118" s="120" t="s">
        <v>279</v>
      </c>
    </row>
    <row r="119" spans="2:15" x14ac:dyDescent="0.2">
      <c r="C119" s="118" t="s">
        <v>277</v>
      </c>
      <c r="D119" s="118" t="s">
        <v>92</v>
      </c>
      <c r="E119" s="118" t="s">
        <v>93</v>
      </c>
      <c r="F119" s="118" t="s">
        <v>94</v>
      </c>
      <c r="G119" s="118" t="s">
        <v>95</v>
      </c>
      <c r="H119" s="118" t="s">
        <v>96</v>
      </c>
      <c r="I119" s="118" t="s">
        <v>97</v>
      </c>
      <c r="J119" s="118" t="s">
        <v>98</v>
      </c>
      <c r="K119" s="118" t="s">
        <v>99</v>
      </c>
      <c r="L119" s="118" t="s">
        <v>100</v>
      </c>
      <c r="M119" s="118" t="s">
        <v>101</v>
      </c>
      <c r="N119" s="118" t="s">
        <v>102</v>
      </c>
      <c r="O119" s="118" t="s">
        <v>103</v>
      </c>
    </row>
    <row r="120" spans="2:15" x14ac:dyDescent="0.2">
      <c r="C120" s="118" t="s">
        <v>126</v>
      </c>
      <c r="D120">
        <f>D109*pricing!D6*2000</f>
        <v>1800779.7128681855</v>
      </c>
      <c r="E120">
        <f>E109*pricing!E6*2000</f>
        <v>326606.00652645598</v>
      </c>
      <c r="F120">
        <f>F109*pricing!F6*2000</f>
        <v>0</v>
      </c>
      <c r="G120">
        <f>G109*pricing!G6*2000</f>
        <v>0</v>
      </c>
      <c r="H120">
        <f>H109*pricing!H6*2000</f>
        <v>0</v>
      </c>
      <c r="I120">
        <f>I109*pricing!I6*2000</f>
        <v>0</v>
      </c>
      <c r="J120">
        <f>J109*pricing!J6*2000</f>
        <v>0</v>
      </c>
      <c r="K120">
        <f>K109*pricing!K6*2000</f>
        <v>0</v>
      </c>
      <c r="L120">
        <f>L109*pricing!L6*2000</f>
        <v>0</v>
      </c>
      <c r="M120">
        <f>M109*pricing!M6*2000</f>
        <v>0</v>
      </c>
      <c r="N120">
        <f>N109*pricing!N6*2000</f>
        <v>0</v>
      </c>
      <c r="O120">
        <f>O109*pricing!O6*2000</f>
        <v>0</v>
      </c>
    </row>
    <row r="121" spans="2:15" x14ac:dyDescent="0.2">
      <c r="C121" s="118" t="s">
        <v>127</v>
      </c>
      <c r="D121">
        <f>D110*pricing!D7*2000</f>
        <v>4656403.7170183286</v>
      </c>
      <c r="E121">
        <f>E110*pricing!E7*2000</f>
        <v>1311845.3680877471</v>
      </c>
      <c r="F121">
        <f>F110*pricing!F7*2000</f>
        <v>0</v>
      </c>
      <c r="G121">
        <f>G110*pricing!G7*2000</f>
        <v>0</v>
      </c>
      <c r="H121">
        <f>H110*pricing!H7*2000</f>
        <v>0</v>
      </c>
      <c r="I121">
        <f>I110*pricing!I7*2000</f>
        <v>0</v>
      </c>
      <c r="J121">
        <f>J110*pricing!J7*2000</f>
        <v>0</v>
      </c>
      <c r="K121">
        <f>K110*pricing!K7*2000</f>
        <v>0</v>
      </c>
      <c r="L121">
        <f>L110*pricing!L7*2000</f>
        <v>0</v>
      </c>
      <c r="M121">
        <f>M110*pricing!M7*2000</f>
        <v>0</v>
      </c>
      <c r="N121">
        <f>N110*pricing!N7*2000</f>
        <v>0</v>
      </c>
      <c r="O121">
        <f>O110*pricing!O7*2000</f>
        <v>0</v>
      </c>
    </row>
    <row r="122" spans="2:15" x14ac:dyDescent="0.2">
      <c r="C122" s="118" t="s">
        <v>128</v>
      </c>
      <c r="D122">
        <f>D111*pricing!D8*2000</f>
        <v>2886926.5817041155</v>
      </c>
      <c r="E122">
        <f>E111*pricing!E8*2000</f>
        <v>684676.74351556937</v>
      </c>
      <c r="F122">
        <f>F111*pricing!F8*2000</f>
        <v>0</v>
      </c>
      <c r="G122">
        <f>G111*pricing!G8*2000</f>
        <v>0</v>
      </c>
      <c r="H122">
        <f>H111*pricing!H8*2000</f>
        <v>0</v>
      </c>
      <c r="I122">
        <f>I111*pricing!I8*2000</f>
        <v>0</v>
      </c>
      <c r="J122">
        <f>J111*pricing!J8*2000</f>
        <v>0</v>
      </c>
      <c r="K122">
        <f>K111*pricing!K8*2000</f>
        <v>0</v>
      </c>
      <c r="L122">
        <f>L111*pricing!L8*2000</f>
        <v>0</v>
      </c>
      <c r="M122">
        <f>M111*pricing!M8*2000</f>
        <v>0</v>
      </c>
      <c r="N122">
        <f>N111*pricing!N8*2000</f>
        <v>0</v>
      </c>
      <c r="O122">
        <f>O111*pricing!O8*2000</f>
        <v>0</v>
      </c>
    </row>
    <row r="123" spans="2:15" x14ac:dyDescent="0.2">
      <c r="C123" s="118" t="s">
        <v>129</v>
      </c>
      <c r="D123">
        <f>D112*pricing!D9*2000</f>
        <v>5225549.6509461608</v>
      </c>
      <c r="E123">
        <f>E112*pricing!E9*2000</f>
        <v>1816115.3805166653</v>
      </c>
      <c r="F123">
        <f>F112*pricing!F9*2000</f>
        <v>572842.68140079256</v>
      </c>
      <c r="G123">
        <f>G112*pricing!G9*2000</f>
        <v>721519.40787122725</v>
      </c>
      <c r="H123">
        <f>H112*pricing!H9*2000</f>
        <v>725892.25276741653</v>
      </c>
      <c r="I123">
        <f>I112*pricing!I9*2000</f>
        <v>612198.28546649578</v>
      </c>
      <c r="J123">
        <f>J112*pricing!J9*2000</f>
        <v>642808.19973982056</v>
      </c>
      <c r="K123">
        <f>K112*pricing!K9*2000</f>
        <v>673418.11401314544</v>
      </c>
      <c r="L123">
        <f>L112*pricing!L9*2000</f>
        <v>599079.75077792804</v>
      </c>
      <c r="M123">
        <f>M112*pricing!M9*2000</f>
        <v>734637.94255979499</v>
      </c>
      <c r="N123">
        <f>N112*pricing!N9*2000</f>
        <v>769620.70172930905</v>
      </c>
      <c r="O123">
        <f>O112*pricing!O9*2000</f>
        <v>686536.64870171319</v>
      </c>
    </row>
    <row r="124" spans="2:15" x14ac:dyDescent="0.2">
      <c r="C124" s="118" t="s">
        <v>130</v>
      </c>
      <c r="D124">
        <f>D113*pricing!D10*2000</f>
        <v>2944257.4439511453</v>
      </c>
      <c r="E124">
        <f>E113*pricing!E10*2000</f>
        <v>3402163.7858480494</v>
      </c>
      <c r="F124">
        <f>F113*pricing!F10*2000</f>
        <v>3076809.2797634071</v>
      </c>
      <c r="G124">
        <f>G113*pricing!G10*2000</f>
        <v>3293712.2838198352</v>
      </c>
      <c r="H124">
        <f>H113*pricing!H10*2000</f>
        <v>3570866.1223363825</v>
      </c>
      <c r="I124">
        <f>I113*pricing!I10*2000</f>
        <v>3558815.9554443588</v>
      </c>
      <c r="J124">
        <f>J113*pricing!J10*2000</f>
        <v>3181244.0594942798</v>
      </c>
      <c r="K124">
        <f>K113*pricing!K10*2000</f>
        <v>3639150.4013911835</v>
      </c>
      <c r="L124">
        <f>L113*pricing!L10*2000</f>
        <v>3325846.0621985649</v>
      </c>
      <c r="M124">
        <f>M113*pricing!M10*2000</f>
        <v>3566849.4000390409</v>
      </c>
      <c r="N124">
        <f>N113*pricing!N10*2000</f>
        <v>3643167.1236885251</v>
      </c>
      <c r="O124">
        <f>O113*pricing!O10*2000</f>
        <v>3221411.2824676926</v>
      </c>
    </row>
    <row r="125" spans="2:15" x14ac:dyDescent="0.2">
      <c r="C125" s="118" t="s">
        <v>131</v>
      </c>
      <c r="D125">
        <f>D114*pricing!D11*2000</f>
        <v>1480500</v>
      </c>
      <c r="E125">
        <f>E114*pricing!E11*2000</f>
        <v>1570500</v>
      </c>
      <c r="F125">
        <f>F114*pricing!F11*2000</f>
        <v>1534500</v>
      </c>
      <c r="G125">
        <f>G114*pricing!G11*2000</f>
        <v>1705500</v>
      </c>
      <c r="H125">
        <f>H114*pricing!H11*2000</f>
        <v>1741500</v>
      </c>
      <c r="I125">
        <f>I114*pricing!I11*2000</f>
        <v>1633500</v>
      </c>
      <c r="J125">
        <f>J114*pricing!J11*2000</f>
        <v>1615500</v>
      </c>
      <c r="K125">
        <f>K114*pricing!K11*2000</f>
        <v>1719000</v>
      </c>
      <c r="L125">
        <f>L114*pricing!L11*2000</f>
        <v>1845000</v>
      </c>
      <c r="M125">
        <f>M114*pricing!M11*2000</f>
        <v>2047500</v>
      </c>
      <c r="N125">
        <f>N114*pricing!N11*2000</f>
        <v>1516500</v>
      </c>
      <c r="O125">
        <f>O114*pricing!O11*2000</f>
        <v>1687500</v>
      </c>
    </row>
    <row r="126" spans="2:15" x14ac:dyDescent="0.2">
      <c r="C126" s="118" t="s">
        <v>132</v>
      </c>
      <c r="D126">
        <f>D115*pricing!D12*2000</f>
        <v>1806878.334155699</v>
      </c>
      <c r="E126">
        <f>E115*pricing!E12*2000</f>
        <v>1806878.334155699</v>
      </c>
      <c r="F126">
        <f>F115*pricing!F12*2000</f>
        <v>1985524.4971371945</v>
      </c>
      <c r="G126">
        <f>G115*pricing!G12*2000</f>
        <v>2092712.1949260917</v>
      </c>
      <c r="H126">
        <f>H115*pricing!H12*2000</f>
        <v>2205004.0688001751</v>
      </c>
      <c r="I126">
        <f>I115*pricing!I12*2000</f>
        <v>2128441.4275223911</v>
      </c>
      <c r="J126">
        <f>J115*pricing!J12*2000</f>
        <v>1914066.0319445962</v>
      </c>
      <c r="K126">
        <f>K115*pricing!K12*2000</f>
        <v>1781357.4537297708</v>
      </c>
      <c r="L126">
        <f>L115*pricing!L12*2000</f>
        <v>1750732.3972186572</v>
      </c>
      <c r="M126">
        <f>M115*pricing!M12*2000</f>
        <v>1970211.9688816376</v>
      </c>
      <c r="N126">
        <f>N115*pricing!N12*2000</f>
        <v>2240733.3013964738</v>
      </c>
      <c r="O126">
        <f>O115*pricing!O12*2000</f>
        <v>1618023.8190038318</v>
      </c>
    </row>
    <row r="127" spans="2:15" x14ac:dyDescent="0.2">
      <c r="C127" s="118" t="s">
        <v>278</v>
      </c>
      <c r="D127">
        <f t="shared" ref="D127:O127" si="1">SUM(D$120:D$126)</f>
        <v>20801295.440643635</v>
      </c>
      <c r="E127">
        <f t="shared" si="1"/>
        <v>10918785.618650187</v>
      </c>
      <c r="F127">
        <f t="shared" si="1"/>
        <v>7169676.4583013942</v>
      </c>
      <c r="G127">
        <f t="shared" si="1"/>
        <v>7813443.8866171539</v>
      </c>
      <c r="H127">
        <f t="shared" si="1"/>
        <v>8243262.4439039733</v>
      </c>
      <c r="I127">
        <f t="shared" si="1"/>
        <v>7932955.6684332453</v>
      </c>
      <c r="J127">
        <f t="shared" si="1"/>
        <v>7353618.2911786968</v>
      </c>
      <c r="K127">
        <f t="shared" si="1"/>
        <v>7812925.9691340998</v>
      </c>
      <c r="L127">
        <f t="shared" si="1"/>
        <v>7520658.2101951502</v>
      </c>
      <c r="M127">
        <f t="shared" si="1"/>
        <v>8319199.3114804737</v>
      </c>
      <c r="N127">
        <f t="shared" si="1"/>
        <v>8170021.1268143076</v>
      </c>
      <c r="O127">
        <f t="shared" si="1"/>
        <v>7213471.7501732372</v>
      </c>
    </row>
    <row r="129" spans="2:15" x14ac:dyDescent="0.2">
      <c r="B129" s="120" t="s">
        <v>280</v>
      </c>
    </row>
    <row r="130" spans="2:15" x14ac:dyDescent="0.2">
      <c r="C130" s="122" t="s">
        <v>277</v>
      </c>
      <c r="D130" s="122" t="s">
        <v>92</v>
      </c>
      <c r="E130" s="122" t="s">
        <v>93</v>
      </c>
      <c r="F130" s="122" t="s">
        <v>94</v>
      </c>
      <c r="G130" s="122" t="s">
        <v>95</v>
      </c>
      <c r="H130" s="122" t="s">
        <v>96</v>
      </c>
      <c r="I130" s="122" t="s">
        <v>97</v>
      </c>
      <c r="J130" s="122" t="s">
        <v>98</v>
      </c>
      <c r="K130" s="122" t="s">
        <v>99</v>
      </c>
      <c r="L130" s="122" t="s">
        <v>100</v>
      </c>
      <c r="M130" s="122" t="s">
        <v>101</v>
      </c>
      <c r="N130" s="122" t="s">
        <v>102</v>
      </c>
      <c r="O130" s="122" t="s">
        <v>103</v>
      </c>
    </row>
    <row r="131" spans="2:15" x14ac:dyDescent="0.2">
      <c r="C131" s="122" t="s">
        <v>126</v>
      </c>
      <c r="D131" s="123">
        <f>SUM(E$6:E$19)+SUM(G$6:G$19)+SUM(I$6:I$19)+SUM(K$6:K$19)</f>
        <v>155828.4</v>
      </c>
      <c r="E131" s="123">
        <f>SUM(M$6:M$19)+SUM(O$6:O$19)+SUM(Q$6:Q$19)+SUM(S$6:S$19)</f>
        <v>29004.323358266673</v>
      </c>
      <c r="F131" s="123">
        <f>SUM(U$6:U$19)+SUM(W$6:W$19)+SUM(Y$6:Y$19)+SUM(AA$6:AA$19)</f>
        <v>0</v>
      </c>
      <c r="G131" s="123">
        <f>SUM(AC$6:AC$19)+SUM(AE$6:AE$19)+SUM(AG$6:AG$19)+SUM(AI$6:AI$19)</f>
        <v>0</v>
      </c>
      <c r="H131" s="123">
        <f>SUM(AK$6:AK$19)+SUM(AM$6:AM$19)+SUM(AO$6:AO$19)+SUM(AQ$6:AQ$19)</f>
        <v>0</v>
      </c>
      <c r="I131" s="123">
        <f>SUM(AS$6:AS$19)+SUM(AU$6:AU$19)+SUM(AW$6:AW$19)+SUM(AY$6:AY$19)</f>
        <v>0</v>
      </c>
      <c r="J131" s="123">
        <f>SUM(BA$6:BA$19)+SUM(BC$6:BC$19)+SUM(BE$6:BE$19)+SUM(BG$6:BG$19)</f>
        <v>0</v>
      </c>
      <c r="K131" s="123">
        <f>SUM(BI$6:BI$19)+SUM(BK$6:BK$19)+SUM(BM$6:BM$19)+SUM(BO$6:BO$19)</f>
        <v>0</v>
      </c>
      <c r="L131" s="123">
        <f>SUM(BQ$6:BQ$19)+SUM(BS$6:BS$19)+SUM(BU$6:BU$19)+SUM(BW$6:BW$19)</f>
        <v>0</v>
      </c>
      <c r="M131" s="123">
        <f>SUM(BY$6:BY$19)+SUM(CA$6:CA$19)+SUM(CC$6:CC$19)+SUM(CE$6:CE$19)</f>
        <v>0</v>
      </c>
      <c r="N131" s="123">
        <f>SUM(CG$6:CG$19)+SUM(CI$6:CI$19)+SUM(CK$6:CK$19)+SUM(CM$6:CM$19)</f>
        <v>0</v>
      </c>
      <c r="O131" s="123">
        <f>SUM(CO$6:CO$19)+SUM(CQ$6:CQ$19)+SUM(CS$6:CS$19)+SUM(CU$6:CU$19)</f>
        <v>0</v>
      </c>
    </row>
    <row r="132" spans="2:15" x14ac:dyDescent="0.2">
      <c r="C132" s="122" t="s">
        <v>127</v>
      </c>
      <c r="D132" s="123">
        <f>SUM(E$20:E$36)+SUM(G$20:G$36)+SUM(I$20:I$36)+SUM(K$20:K$36)</f>
        <v>409842</v>
      </c>
      <c r="E132" s="123">
        <f>SUM(M$20:M$36)+SUM(O$20:O$36)+SUM(Q$20:Q$36)+SUM(S$20:S$36)</f>
        <v>116015.15154898014</v>
      </c>
      <c r="F132" s="123">
        <f>SUM(U$20:U$36)+SUM(W$20:W$36)+SUM(Y$20:Y$36)+SUM(AA$20:AA$36)</f>
        <v>0</v>
      </c>
      <c r="G132" s="123">
        <f>SUM(AC$20:AC$36)+SUM(AE$20:AE$36)+SUM(AG$20:AG$36)+SUM(AI$20:AI$36)</f>
        <v>0</v>
      </c>
      <c r="H132" s="123">
        <f>SUM(AK$20:AK$36)+SUM(AM$20:AM$36)+SUM(AO$20:AO$36)+SUM(AQ$20:AQ$36)</f>
        <v>0</v>
      </c>
      <c r="I132" s="123">
        <f>SUM(AS$20:AS$36)+SUM(AU$20:AU$36)+SUM(AW$20:AW$36)+SUM(AY$20:AY$36)</f>
        <v>0</v>
      </c>
      <c r="J132" s="123">
        <f>SUM(BA$20:BA$36)+SUM(BC$20:BC$36)+SUM(BE$20:BE$36)+SUM(BG$20:BG$36)</f>
        <v>0</v>
      </c>
      <c r="K132" s="123">
        <f>SUM(BI$20:BI$36)+SUM(BK$20:BK$36)+SUM(BM$20:BM$36)+SUM(BO$20:BO$36)</f>
        <v>0</v>
      </c>
      <c r="L132" s="123">
        <f>SUM(BQ$20:BQ$36)+SUM(BS$20:BS$36)+SUM(BU$20:BU$36)+SUM(BW$20:BW$36)</f>
        <v>0</v>
      </c>
      <c r="M132" s="123">
        <f>SUM(BY$20:BY$36)+SUM(CA$20:CA$36)+SUM(CC$20:CC$36)+SUM(CE$20:CE$36)</f>
        <v>0</v>
      </c>
      <c r="N132" s="123">
        <f>SUM(CG$20:CG$36)+SUM(CI$20:CI$36)+SUM(CK$20:CK$36)+SUM(CM$20:CM$36)</f>
        <v>0</v>
      </c>
      <c r="O132" s="123">
        <f>SUM(CO$20:CO$36)+SUM(CQ$20:CQ$36)+SUM(CS$20:CS$36)+SUM(CU$20:CU$36)</f>
        <v>0</v>
      </c>
    </row>
    <row r="133" spans="2:15" x14ac:dyDescent="0.2">
      <c r="C133" s="122" t="s">
        <v>128</v>
      </c>
      <c r="D133" s="123">
        <f>SUM(E$37:E$48)+SUM(G$37:G$48)+SUM(I$37:I$48)+SUM(K$37:K$48)</f>
        <v>683150.4</v>
      </c>
      <c r="E133" s="123">
        <f>SUM(M$37:M$48)+SUM(O$37:O$48)+SUM(Q$37:Q$48)+SUM(S$37:S$48)</f>
        <v>162404.07709587965</v>
      </c>
      <c r="F133" s="123">
        <f>SUM(U$37:U$48)+SUM(W$37:W$48)+SUM(Y$37:Y$48)+SUM(AA$37:AA$48)</f>
        <v>0</v>
      </c>
      <c r="G133" s="123">
        <f>SUM(AC$37:AC$48)+SUM(AE$37:AE$48)+SUM(AG$37:AG$48)+SUM(AI$37:AI$48)</f>
        <v>0</v>
      </c>
      <c r="H133" s="123">
        <f>SUM(AK$37:AK$48)+SUM(AM$37:AM$48)+SUM(AO$37:AO$48)+SUM(AQ$37:AQ$48)</f>
        <v>0</v>
      </c>
      <c r="I133" s="123">
        <f>SUM(AS$37:AS$48)+SUM(AU$37:AU$48)+SUM(AW$37:AW$48)+SUM(AY$37:AY$48)</f>
        <v>0</v>
      </c>
      <c r="J133" s="123">
        <f>SUM(BA$37:BA$48)+SUM(BC$37:BC$48)+SUM(BE$37:BE$48)+SUM(BG$37:BG$48)</f>
        <v>0</v>
      </c>
      <c r="K133" s="123">
        <f>SUM(BI$37:BI$48)+SUM(BK$37:BK$48)+SUM(BM$37:BM$48)+SUM(BO$37:BO$48)</f>
        <v>0</v>
      </c>
      <c r="L133" s="123">
        <f>SUM(BQ$37:BQ$48)+SUM(BS$37:BS$48)+SUM(BU$37:BU$48)+SUM(BW$37:BW$48)</f>
        <v>0</v>
      </c>
      <c r="M133" s="123">
        <f>SUM(BY$37:BY$48)+SUM(CA$37:CA$48)+SUM(CC$37:CC$48)+SUM(CE$37:CE$48)</f>
        <v>0</v>
      </c>
      <c r="N133" s="123">
        <f>SUM(CG$37:CG$48)+SUM(CI$37:CI$48)+SUM(CK$37:CK$48)+SUM(CM$37:CM$48)</f>
        <v>0</v>
      </c>
      <c r="O133" s="123">
        <f>SUM(CO$37:CO$48)+SUM(CQ$37:CQ$48)+SUM(CS$37:CS$48)+SUM(CU$37:CU$48)</f>
        <v>0</v>
      </c>
    </row>
    <row r="134" spans="2:15" x14ac:dyDescent="0.2">
      <c r="C134" s="122" t="s">
        <v>129</v>
      </c>
      <c r="D134" s="123">
        <f>SUM(E$49:E$70)+SUM(G$49:G$70)+SUM(I$49:I$70)+SUM(K$49:K$70)</f>
        <v>1012792.8</v>
      </c>
      <c r="E134" s="123">
        <f>SUM(M$49:M$70)+SUM(O$49:O$70)+SUM(Q$49:Q$70)+SUM(S$49:S$70)</f>
        <v>386221.51831808413</v>
      </c>
      <c r="F134" s="123">
        <f>SUM(U$49:U$70)+SUM(W$49:W$70)+SUM(Y$49:Y$70)+SUM(AA$49:AA$70)</f>
        <v>144438</v>
      </c>
      <c r="G134" s="123">
        <f>SUM(AC$49:AC$70)+SUM(AE$49:AE$70)+SUM(AG$49:AG$70)+SUM(AI$49:AI$70)</f>
        <v>182199.6</v>
      </c>
      <c r="H134" s="123">
        <f>SUM(AK$49:AK$70)+SUM(AM$49:AM$70)+SUM(AO$49:AO$70)+SUM(AQ$49:AQ$70)</f>
        <v>183376.8</v>
      </c>
      <c r="I134" s="123">
        <f>SUM(AS$49:AS$70)+SUM(AU$49:AU$70)+SUM(AW$49:AW$70)+SUM(AY$49:AY$70)</f>
        <v>154735.20000000001</v>
      </c>
      <c r="J134" s="123">
        <f>SUM(BA$49:BA$70)+SUM(BC$49:BC$70)+SUM(BE$49:BE$70)+SUM(BG$49:BG$70)</f>
        <v>162154.79999999999</v>
      </c>
      <c r="K134" s="123">
        <f>SUM(BI$49:BI$70)+SUM(BK$49:BK$70)+SUM(BM$49:BM$70)+SUM(BO$49:BO$70)</f>
        <v>170097.59999999998</v>
      </c>
      <c r="L134" s="123">
        <f>SUM(BQ$49:BQ$70)+SUM(BS$49:BS$70)+SUM(BU$49:BU$70)+SUM(BW$49:BW$70)</f>
        <v>151090.79999999999</v>
      </c>
      <c r="M134" s="123">
        <f>SUM(BY$49:BY$70)+SUM(CA$49:CA$70)+SUM(CC$49:CC$70)+SUM(CE$49:CE$70)</f>
        <v>185512.80000000002</v>
      </c>
      <c r="N134" s="123">
        <f>SUM(CG$49:CG$70)+SUM(CI$49:CI$70)+SUM(CK$49:CK$70)+SUM(CM$49:CM$70)</f>
        <v>194275.19999999998</v>
      </c>
      <c r="O134" s="123">
        <f>SUM(CO$49:CO$70)+SUM(CQ$49:CQ$70)+SUM(CS$49:CS$70)+SUM(CU$49:CU$70)</f>
        <v>173629.2</v>
      </c>
    </row>
    <row r="135" spans="2:15" x14ac:dyDescent="0.2">
      <c r="C135" s="122" t="s">
        <v>130</v>
      </c>
      <c r="D135" s="123">
        <f>SUM(E$71:E$86)+SUM(G$71:G$86)+SUM(I$71:I$86)+SUM(K$71:K$86)</f>
        <v>406326</v>
      </c>
      <c r="E135" s="123">
        <f>SUM(M$71:M$86)+SUM(O$71:O$86)+SUM(Q$71:Q$86)+SUM(S$71:S$86)</f>
        <v>472665.59999999998</v>
      </c>
      <c r="F135" s="123">
        <f>SUM(U$71:U$86)+SUM(W$71:W$86)+SUM(Y$71:Y$86)+SUM(AA$71:AA$86)</f>
        <v>428964</v>
      </c>
      <c r="G135" s="123">
        <f>SUM(AC$71:AC$86)+SUM(AE$71:AE$86)+SUM(AG$71:AG$86)+SUM(AI$71:AI$86)</f>
        <v>453783.6</v>
      </c>
      <c r="H135" s="123">
        <f>SUM(AK$71:AK$86)+SUM(AM$71:AM$86)+SUM(AO$71:AO$86)+SUM(AQ$71:AQ$86)</f>
        <v>494363.99999999988</v>
      </c>
      <c r="I135" s="123">
        <f>SUM(AS$71:AS$86)+SUM(AU$71:AU$86)+SUM(AW$71:AW$86)+SUM(AY$71:AY$86)</f>
        <v>493561.2</v>
      </c>
      <c r="J135" s="123">
        <f>SUM(BA$71:BA$86)+SUM(BC$71:BC$86)+SUM(BE$71:BE$86)+SUM(BG$71:BG$86)</f>
        <v>440159.99999999994</v>
      </c>
      <c r="K135" s="123">
        <f>SUM(BI$71:BI$86)+SUM(BK$71:BK$86)+SUM(BM$71:BM$86)+SUM(BO$71:BO$86)</f>
        <v>503270.40000000002</v>
      </c>
      <c r="L135" s="123">
        <f>SUM(BQ$71:BQ$86)+SUM(BS$71:BS$86)+SUM(BU$71:BU$86)+SUM(BW$71:BW$86)</f>
        <v>461475.59999999992</v>
      </c>
      <c r="M135" s="123">
        <f>SUM(BY$71:BY$86)+SUM(CA$71:CA$86)+SUM(CC$71:CC$86)+SUM(CE$71:CE$86)</f>
        <v>492807.60000000003</v>
      </c>
      <c r="N135" s="123">
        <f>SUM(CG$71:CG$86)+SUM(CI$71:CI$86)+SUM(CK$71:CK$86)+SUM(CM$71:CM$86)</f>
        <v>506222.4</v>
      </c>
      <c r="O135" s="123">
        <f>SUM(CO$71:CO$86)+SUM(CQ$71:CQ$86)+SUM(CS$71:CS$86)+SUM(CU$71:CU$86)</f>
        <v>446620.8</v>
      </c>
    </row>
    <row r="136" spans="2:15" x14ac:dyDescent="0.2">
      <c r="C136" s="122" t="s">
        <v>131</v>
      </c>
      <c r="D136" s="123">
        <f>SUM(E$87:E$94)+SUM(G$87:G$94)+SUM(I$87:I$94)+SUM(K$87:K$94)</f>
        <v>671230.79999999993</v>
      </c>
      <c r="E136" s="123">
        <f>SUM(M$87:M$94)+SUM(O$87:O$94)+SUM(Q$87:Q$94)+SUM(S$87:S$94)</f>
        <v>709976.39999999991</v>
      </c>
      <c r="F136" s="123">
        <f>SUM(U$87:U$94)+SUM(W$87:W$94)+SUM(Y$87:Y$94)+SUM(AA$87:AA$94)</f>
        <v>690895.2</v>
      </c>
      <c r="G136" s="123">
        <f>SUM(AC$87:AC$94)+SUM(AE$87:AE$94)+SUM(AG$87:AG$94)+SUM(AI$87:AI$94)</f>
        <v>770691.6</v>
      </c>
      <c r="H136" s="123">
        <f>SUM(AK$87:AK$94)+SUM(AM$87:AM$94)+SUM(AO$87:AO$94)+SUM(AQ$87:AQ$94)</f>
        <v>786996</v>
      </c>
      <c r="I136" s="123">
        <f>SUM(AS$87:AS$94)+SUM(AU$87:AU$94)+SUM(AW$87:AW$94)+SUM(AY$87:AY$94)</f>
        <v>737725.19999999984</v>
      </c>
      <c r="J136" s="123">
        <f>SUM(BA$87:BA$94)+SUM(BC$87:BC$94)+SUM(BE$87:BE$94)+SUM(BG$87:BG$94)</f>
        <v>728251.2</v>
      </c>
      <c r="K136" s="123">
        <f>SUM(BI$87:BI$94)+SUM(BK$87:BK$94)+SUM(BM$87:BM$94)+SUM(BO$87:BO$94)</f>
        <v>778491.59999999986</v>
      </c>
      <c r="L136" s="123">
        <f>SUM(BQ$87:BQ$94)+SUM(BS$87:BS$94)+SUM(BU$87:BU$94)+SUM(BW$87:BW$94)</f>
        <v>834506.4</v>
      </c>
      <c r="M136" s="123">
        <f>SUM(BY$87:BY$94)+SUM(CA$87:CA$94)+SUM(CC$87:CC$94)+SUM(CE$87:CE$94)</f>
        <v>922431.6</v>
      </c>
      <c r="N136" s="123">
        <f>SUM(CG$87:CG$94)+SUM(CI$87:CI$94)+SUM(CK$87:CK$94)+SUM(CM$87:CM$94)</f>
        <v>684261.6</v>
      </c>
      <c r="O136" s="123">
        <f>SUM(CO$87:CO$94)+SUM(CQ$87:CQ$94)+SUM(CS$87:CS$94)+SUM(CU$87:CU$94)</f>
        <v>760083.6</v>
      </c>
    </row>
    <row r="137" spans="2:15" x14ac:dyDescent="0.2">
      <c r="C137" s="122" t="s">
        <v>132</v>
      </c>
      <c r="D137" s="123">
        <f>SUM(E$95:E$105)+SUM(G$95:G$105)+SUM(I$95:I$105)+SUM(K$95:K$105)</f>
        <v>669366</v>
      </c>
      <c r="E137" s="123">
        <f>SUM(M$95:M$105)+SUM(O$95:O$105)+SUM(Q$95:Q$105)+SUM(S$95:S$105)</f>
        <v>670150.79999999993</v>
      </c>
      <c r="F137" s="123">
        <f>SUM(U$95:U$105)+SUM(W$95:W$105)+SUM(Y$95:Y$105)+SUM(AA$95:AA$105)</f>
        <v>739677.60000000009</v>
      </c>
      <c r="G137" s="123">
        <f>SUM(AC$95:AC$105)+SUM(AE$95:AE$105)+SUM(AG$95:AG$105)+SUM(AI$95:AI$105)</f>
        <v>781358.39999999991</v>
      </c>
      <c r="H137" s="123">
        <f>SUM(AK$95:AK$105)+SUM(AM$95:AM$105)+SUM(AO$95:AO$105)+SUM(AQ$95:AQ$105)</f>
        <v>819631.20000000007</v>
      </c>
      <c r="I137" s="123">
        <f>SUM(AS$95:AS$105)+SUM(AU$95:AU$105)+SUM(AW$95:AW$105)+SUM(AY$95:AY$105)</f>
        <v>797906.4</v>
      </c>
      <c r="J137" s="123">
        <f>SUM(BA$95:BA$105)+SUM(BC$95:BC$105)+SUM(BE$95:BE$105)+SUM(BG$95:BG$105)</f>
        <v>713123.99999999988</v>
      </c>
      <c r="K137" s="123">
        <f>SUM(BI$95:BI$105)+SUM(BK$95:BK$105)+SUM(BM$95:BM$105)+SUM(BO$95:BO$105)</f>
        <v>663456</v>
      </c>
      <c r="L137" s="123">
        <f>SUM(BQ$95:BQ$105)+SUM(BS$95:BS$105)+SUM(BU$95:BU$105)+SUM(BW$95:BW$105)</f>
        <v>654570</v>
      </c>
      <c r="M137" s="123">
        <f>SUM(BY$95:BY$105)+SUM(CA$95:CA$105)+SUM(CC$95:CC$105)+SUM(CE$95:CE$105)</f>
        <v>735867.59999999986</v>
      </c>
      <c r="N137" s="123">
        <f>SUM(CG$95:CG$105)+SUM(CI$95:CI$105)+SUM(CK$95:CK$105)+SUM(CM$95:CM$105)</f>
        <v>836373.59999999986</v>
      </c>
      <c r="O137" s="123">
        <f>SUM(CO$95:CO$105)+SUM(CQ$95:CQ$105)+SUM(CS$95:CS$105)+SUM(CU$95:CU$105)</f>
        <v>603775.19999999995</v>
      </c>
    </row>
    <row r="138" spans="2:15" x14ac:dyDescent="0.2">
      <c r="C138" s="122" t="s">
        <v>278</v>
      </c>
      <c r="D138">
        <f t="shared" ref="D138:O138" si="2">SUM(D$131:D$137)</f>
        <v>4008536.4</v>
      </c>
      <c r="E138">
        <f t="shared" si="2"/>
        <v>2546437.8703212105</v>
      </c>
      <c r="F138">
        <f t="shared" si="2"/>
        <v>2003974.8</v>
      </c>
      <c r="G138">
        <f t="shared" si="2"/>
        <v>2188033.1999999997</v>
      </c>
      <c r="H138">
        <f t="shared" si="2"/>
        <v>2284368</v>
      </c>
      <c r="I138">
        <f t="shared" si="2"/>
        <v>2183928</v>
      </c>
      <c r="J138">
        <f t="shared" si="2"/>
        <v>2043690</v>
      </c>
      <c r="K138">
        <f t="shared" si="2"/>
        <v>2115315.5999999996</v>
      </c>
      <c r="L138">
        <f t="shared" si="2"/>
        <v>2101642.7999999998</v>
      </c>
      <c r="M138">
        <f t="shared" si="2"/>
        <v>2336619.5999999996</v>
      </c>
      <c r="N138">
        <f t="shared" si="2"/>
        <v>2221132.7999999998</v>
      </c>
      <c r="O138">
        <f t="shared" si="2"/>
        <v>1984108.8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sheetData>
    <row r="2" spans="1:99" x14ac:dyDescent="0.2">
      <c r="B2" s="1" t="s">
        <v>272</v>
      </c>
    </row>
    <row r="3" spans="1:99" x14ac:dyDescent="0.2">
      <c r="B3" s="120" t="s">
        <v>282</v>
      </c>
    </row>
    <row r="4" spans="1:99" x14ac:dyDescent="0.2">
      <c r="A4" s="119"/>
      <c r="B4" s="119"/>
      <c r="C4" s="118" t="s">
        <v>274</v>
      </c>
      <c r="D4" s="118" t="s">
        <v>92</v>
      </c>
      <c r="E4" s="119"/>
      <c r="F4" s="119"/>
      <c r="G4" s="119"/>
      <c r="H4" s="119"/>
      <c r="I4" s="119"/>
      <c r="J4" s="119"/>
      <c r="K4" s="119"/>
      <c r="L4" s="118" t="s">
        <v>93</v>
      </c>
      <c r="M4" s="119"/>
      <c r="N4" s="119"/>
      <c r="O4" s="119"/>
      <c r="P4" s="119"/>
      <c r="Q4" s="119"/>
      <c r="R4" s="119"/>
      <c r="S4" s="119"/>
      <c r="T4" s="118" t="s">
        <v>94</v>
      </c>
      <c r="U4" s="119"/>
      <c r="V4" s="119"/>
      <c r="W4" s="119"/>
      <c r="X4" s="119"/>
      <c r="Y4" s="119"/>
      <c r="Z4" s="119"/>
      <c r="AA4" s="119"/>
      <c r="AB4" s="118" t="s">
        <v>95</v>
      </c>
      <c r="AC4" s="119"/>
      <c r="AD4" s="119"/>
      <c r="AE4" s="119"/>
      <c r="AF4" s="119"/>
      <c r="AG4" s="119"/>
      <c r="AH4" s="119"/>
      <c r="AI4" s="119"/>
      <c r="AJ4" s="118" t="s">
        <v>96</v>
      </c>
      <c r="AK4" s="119"/>
      <c r="AL4" s="119"/>
      <c r="AM4" s="119"/>
      <c r="AN4" s="119"/>
      <c r="AO4" s="119"/>
      <c r="AP4" s="119"/>
      <c r="AQ4" s="119"/>
      <c r="AR4" s="118" t="s">
        <v>97</v>
      </c>
      <c r="AS4" s="119"/>
      <c r="AT4" s="119"/>
      <c r="AU4" s="119"/>
      <c r="AV4" s="119"/>
      <c r="AW4" s="119"/>
      <c r="AX4" s="119"/>
      <c r="AY4" s="119"/>
      <c r="AZ4" s="118" t="s">
        <v>98</v>
      </c>
      <c r="BA4" s="119"/>
      <c r="BB4" s="119"/>
      <c r="BC4" s="119"/>
      <c r="BD4" s="119"/>
      <c r="BE4" s="119"/>
      <c r="BF4" s="119"/>
      <c r="BG4" s="119"/>
      <c r="BH4" s="118" t="s">
        <v>99</v>
      </c>
      <c r="BI4" s="119"/>
      <c r="BJ4" s="119"/>
      <c r="BK4" s="119"/>
      <c r="BL4" s="119"/>
      <c r="BM4" s="119"/>
      <c r="BN4" s="119"/>
      <c r="BO4" s="119"/>
      <c r="BP4" s="118" t="s">
        <v>100</v>
      </c>
      <c r="BQ4" s="119"/>
      <c r="BR4" s="119"/>
      <c r="BS4" s="119"/>
      <c r="BT4" s="119"/>
      <c r="BU4" s="119"/>
      <c r="BV4" s="119"/>
      <c r="BW4" s="119"/>
      <c r="BX4" s="118" t="s">
        <v>101</v>
      </c>
      <c r="BY4" s="119"/>
      <c r="BZ4" s="119"/>
      <c r="CA4" s="119"/>
      <c r="CB4" s="119"/>
      <c r="CC4" s="119"/>
      <c r="CD4" s="119"/>
      <c r="CE4" s="119"/>
      <c r="CF4" s="118" t="s">
        <v>102</v>
      </c>
      <c r="CG4" s="119"/>
      <c r="CH4" s="119"/>
      <c r="CI4" s="119"/>
      <c r="CJ4" s="119"/>
      <c r="CK4" s="119"/>
      <c r="CL4" s="119"/>
      <c r="CM4" s="119"/>
      <c r="CN4" s="118" t="s">
        <v>103</v>
      </c>
      <c r="CO4" s="119"/>
      <c r="CP4" s="119"/>
      <c r="CQ4" s="119"/>
      <c r="CR4" s="119"/>
      <c r="CS4" s="119"/>
      <c r="CT4" s="119"/>
      <c r="CU4" s="119"/>
    </row>
    <row r="5" spans="1:99" x14ac:dyDescent="0.2">
      <c r="B5" s="118" t="s">
        <v>167</v>
      </c>
      <c r="C5" s="118" t="s">
        <v>275</v>
      </c>
      <c r="D5" s="118">
        <v>1</v>
      </c>
      <c r="E5" s="118"/>
      <c r="F5" s="118">
        <v>2</v>
      </c>
      <c r="G5" s="118"/>
      <c r="H5" s="118">
        <v>3</v>
      </c>
      <c r="I5" s="118"/>
      <c r="J5" s="118">
        <v>4</v>
      </c>
      <c r="K5" s="118"/>
      <c r="L5" s="118">
        <v>1</v>
      </c>
      <c r="M5" s="118"/>
      <c r="N5" s="118">
        <v>2</v>
      </c>
      <c r="O5" s="118"/>
      <c r="P5" s="118">
        <v>3</v>
      </c>
      <c r="Q5" s="118"/>
      <c r="R5" s="118">
        <v>4</v>
      </c>
      <c r="S5" s="118"/>
      <c r="T5" s="118">
        <v>1</v>
      </c>
      <c r="U5" s="118"/>
      <c r="V5" s="118">
        <v>2</v>
      </c>
      <c r="W5" s="118"/>
      <c r="X5" s="118">
        <v>3</v>
      </c>
      <c r="Y5" s="118"/>
      <c r="Z5" s="118">
        <v>4</v>
      </c>
      <c r="AA5" s="118"/>
      <c r="AB5" s="118">
        <v>1</v>
      </c>
      <c r="AC5" s="118"/>
      <c r="AD5" s="118">
        <v>2</v>
      </c>
      <c r="AE5" s="118"/>
      <c r="AF5" s="118">
        <v>3</v>
      </c>
      <c r="AG5" s="118"/>
      <c r="AH5" s="118">
        <v>4</v>
      </c>
      <c r="AI5" s="118"/>
      <c r="AJ5" s="118">
        <v>1</v>
      </c>
      <c r="AK5" s="118"/>
      <c r="AL5" s="118">
        <v>2</v>
      </c>
      <c r="AM5" s="118"/>
      <c r="AN5" s="118">
        <v>3</v>
      </c>
      <c r="AO5" s="118"/>
      <c r="AP5" s="118">
        <v>4</v>
      </c>
      <c r="AQ5" s="118"/>
      <c r="AR5" s="118">
        <v>1</v>
      </c>
      <c r="AS5" s="118"/>
      <c r="AT5" s="118">
        <v>2</v>
      </c>
      <c r="AU5" s="118"/>
      <c r="AV5" s="118">
        <v>3</v>
      </c>
      <c r="AW5" s="118"/>
      <c r="AX5" s="118">
        <v>4</v>
      </c>
      <c r="AY5" s="118"/>
      <c r="AZ5" s="118">
        <v>1</v>
      </c>
      <c r="BA5" s="118"/>
      <c r="BB5" s="118">
        <v>2</v>
      </c>
      <c r="BC5" s="118"/>
      <c r="BD5" s="118">
        <v>3</v>
      </c>
      <c r="BE5" s="118"/>
      <c r="BF5" s="118">
        <v>4</v>
      </c>
      <c r="BG5" s="118"/>
      <c r="BH5" s="118">
        <v>1</v>
      </c>
      <c r="BI5" s="118"/>
      <c r="BJ5" s="118">
        <v>2</v>
      </c>
      <c r="BK5" s="118"/>
      <c r="BL5" s="118">
        <v>3</v>
      </c>
      <c r="BM5" s="118"/>
      <c r="BN5" s="118">
        <v>4</v>
      </c>
      <c r="BO5" s="118"/>
      <c r="BP5" s="118">
        <v>1</v>
      </c>
      <c r="BQ5" s="118"/>
      <c r="BR5" s="118">
        <v>2</v>
      </c>
      <c r="BS5" s="118"/>
      <c r="BT5" s="118">
        <v>3</v>
      </c>
      <c r="BU5" s="118"/>
      <c r="BV5" s="118">
        <v>4</v>
      </c>
      <c r="BW5" s="118"/>
      <c r="BX5" s="118">
        <v>1</v>
      </c>
      <c r="BY5" s="118"/>
      <c r="BZ5" s="118">
        <v>2</v>
      </c>
      <c r="CA5" s="118"/>
      <c r="CB5" s="118">
        <v>3</v>
      </c>
      <c r="CC5" s="118"/>
      <c r="CD5" s="118">
        <v>4</v>
      </c>
      <c r="CE5" s="118"/>
      <c r="CF5" s="118">
        <v>1</v>
      </c>
      <c r="CG5" s="118"/>
      <c r="CH5" s="118">
        <v>2</v>
      </c>
      <c r="CI5" s="118"/>
      <c r="CJ5" s="118">
        <v>3</v>
      </c>
      <c r="CK5" s="118"/>
      <c r="CL5" s="118">
        <v>4</v>
      </c>
      <c r="CM5" s="118"/>
      <c r="CN5" s="118">
        <v>1</v>
      </c>
      <c r="CO5" s="118"/>
      <c r="CP5" s="118">
        <v>2</v>
      </c>
      <c r="CQ5" s="118"/>
      <c r="CR5" s="118">
        <v>3</v>
      </c>
      <c r="CS5" s="118"/>
      <c r="CT5" s="118">
        <v>4</v>
      </c>
      <c r="CU5" s="118"/>
    </row>
    <row r="6" spans="1:99" x14ac:dyDescent="0.2">
      <c r="B6" s="118" t="s">
        <v>126</v>
      </c>
      <c r="C6" s="118" t="s">
        <v>172</v>
      </c>
      <c r="D6">
        <v>7</v>
      </c>
      <c r="E6">
        <v>4048.7999999999997</v>
      </c>
      <c r="F6">
        <v>5</v>
      </c>
      <c r="G6">
        <v>2892</v>
      </c>
      <c r="H6">
        <v>5</v>
      </c>
      <c r="I6">
        <v>2892</v>
      </c>
      <c r="J6">
        <v>8</v>
      </c>
      <c r="K6">
        <v>4627.2</v>
      </c>
      <c r="L6">
        <v>4</v>
      </c>
      <c r="M6">
        <v>2313.6</v>
      </c>
      <c r="N6">
        <v>5</v>
      </c>
      <c r="O6">
        <v>2892</v>
      </c>
      <c r="P6">
        <v>5</v>
      </c>
      <c r="Q6">
        <v>2892</v>
      </c>
      <c r="R6">
        <v>5</v>
      </c>
      <c r="S6">
        <v>2892</v>
      </c>
      <c r="T6">
        <v>6</v>
      </c>
      <c r="U6">
        <v>3470.3999999999996</v>
      </c>
      <c r="V6">
        <v>8</v>
      </c>
      <c r="W6">
        <v>4627.2</v>
      </c>
      <c r="X6">
        <v>8</v>
      </c>
      <c r="Y6">
        <v>4627.2</v>
      </c>
      <c r="Z6">
        <v>6</v>
      </c>
      <c r="AA6">
        <v>3470.3999999999996</v>
      </c>
      <c r="AB6">
        <v>7</v>
      </c>
      <c r="AC6">
        <v>4048.7999999999997</v>
      </c>
      <c r="AD6">
        <v>6</v>
      </c>
      <c r="AE6">
        <v>3470.3999999999996</v>
      </c>
      <c r="AF6">
        <v>6</v>
      </c>
      <c r="AG6">
        <v>3470.3999999999996</v>
      </c>
      <c r="AH6">
        <v>8</v>
      </c>
      <c r="AI6">
        <v>4627.2</v>
      </c>
      <c r="AJ6">
        <v>5</v>
      </c>
      <c r="AK6">
        <v>2892</v>
      </c>
      <c r="AL6">
        <v>8</v>
      </c>
      <c r="AM6">
        <v>4627.2</v>
      </c>
      <c r="AN6">
        <v>6</v>
      </c>
      <c r="AO6">
        <v>3470.3999999999996</v>
      </c>
      <c r="AP6">
        <v>6</v>
      </c>
      <c r="AQ6">
        <v>3470.3999999999996</v>
      </c>
      <c r="AR6">
        <v>7</v>
      </c>
      <c r="AS6">
        <v>4048.7999999999997</v>
      </c>
      <c r="AT6">
        <v>8</v>
      </c>
      <c r="AU6">
        <v>4627.2</v>
      </c>
      <c r="AV6">
        <v>5</v>
      </c>
      <c r="AW6">
        <v>2892</v>
      </c>
      <c r="AX6">
        <v>7</v>
      </c>
      <c r="AY6">
        <v>4048.7999999999997</v>
      </c>
      <c r="AZ6">
        <v>7</v>
      </c>
      <c r="BA6">
        <v>4048.7999999999997</v>
      </c>
      <c r="BB6">
        <v>7</v>
      </c>
      <c r="BC6">
        <v>4048.7999999999997</v>
      </c>
      <c r="BD6">
        <v>8</v>
      </c>
      <c r="BE6">
        <v>4627.2</v>
      </c>
      <c r="BF6">
        <v>5</v>
      </c>
      <c r="BG6">
        <v>2892</v>
      </c>
      <c r="BH6">
        <v>9</v>
      </c>
      <c r="BI6">
        <v>5205.5999999999995</v>
      </c>
      <c r="BJ6">
        <v>6</v>
      </c>
      <c r="BK6">
        <v>3470.3999999999996</v>
      </c>
      <c r="BL6">
        <v>5</v>
      </c>
      <c r="BM6">
        <v>2892</v>
      </c>
      <c r="BN6">
        <v>7</v>
      </c>
      <c r="BO6">
        <v>4048.7999999999997</v>
      </c>
      <c r="BP6">
        <v>9</v>
      </c>
      <c r="BQ6">
        <v>5205.5999999999995</v>
      </c>
      <c r="BR6">
        <v>6</v>
      </c>
      <c r="BS6">
        <v>3470.3999999999996</v>
      </c>
      <c r="BT6">
        <v>8</v>
      </c>
      <c r="BU6">
        <v>4627.2</v>
      </c>
      <c r="BV6">
        <v>9</v>
      </c>
      <c r="BW6">
        <v>5205.5999999999995</v>
      </c>
      <c r="BX6">
        <v>5</v>
      </c>
      <c r="BY6">
        <v>2892</v>
      </c>
      <c r="BZ6">
        <v>6</v>
      </c>
      <c r="CA6">
        <v>3470.3999999999996</v>
      </c>
      <c r="CB6">
        <v>4</v>
      </c>
      <c r="CC6">
        <v>2313.6</v>
      </c>
      <c r="CD6">
        <v>5</v>
      </c>
      <c r="CE6">
        <v>2892</v>
      </c>
      <c r="CF6">
        <v>5</v>
      </c>
      <c r="CG6">
        <v>2892</v>
      </c>
      <c r="CH6">
        <v>10</v>
      </c>
      <c r="CI6">
        <v>5784</v>
      </c>
      <c r="CJ6">
        <v>4</v>
      </c>
      <c r="CK6">
        <v>2313.6</v>
      </c>
      <c r="CL6">
        <v>6</v>
      </c>
      <c r="CM6">
        <v>3470.3999999999996</v>
      </c>
      <c r="CN6">
        <v>8</v>
      </c>
      <c r="CO6">
        <v>4627.2</v>
      </c>
      <c r="CP6">
        <v>6</v>
      </c>
      <c r="CQ6">
        <v>3470.3999999999996</v>
      </c>
      <c r="CR6">
        <v>8</v>
      </c>
      <c r="CS6">
        <v>4627.2</v>
      </c>
      <c r="CT6">
        <v>9</v>
      </c>
      <c r="CU6">
        <v>5205.5999999999995</v>
      </c>
    </row>
    <row r="7" spans="1:99" x14ac:dyDescent="0.2">
      <c r="C7" s="118" t="s">
        <v>173</v>
      </c>
      <c r="D7">
        <v>7</v>
      </c>
      <c r="E7">
        <v>5518.8</v>
      </c>
      <c r="F7">
        <v>4</v>
      </c>
      <c r="G7">
        <v>3153.6</v>
      </c>
      <c r="H7">
        <v>4</v>
      </c>
      <c r="I7">
        <v>3153.6</v>
      </c>
      <c r="J7">
        <v>7</v>
      </c>
      <c r="K7">
        <v>5518.8</v>
      </c>
      <c r="L7">
        <v>4</v>
      </c>
      <c r="M7">
        <v>3153.6</v>
      </c>
      <c r="N7">
        <v>5</v>
      </c>
      <c r="O7">
        <v>3942</v>
      </c>
      <c r="P7">
        <v>6</v>
      </c>
      <c r="Q7">
        <v>4730.3999999999996</v>
      </c>
      <c r="R7">
        <v>5</v>
      </c>
      <c r="S7">
        <v>3942</v>
      </c>
      <c r="T7">
        <v>6</v>
      </c>
      <c r="U7">
        <v>4730.3999999999996</v>
      </c>
      <c r="V7">
        <v>8</v>
      </c>
      <c r="W7">
        <v>6307.2</v>
      </c>
      <c r="X7">
        <v>8</v>
      </c>
      <c r="Y7">
        <v>6307.2</v>
      </c>
      <c r="Z7">
        <v>6</v>
      </c>
      <c r="AA7">
        <v>4730.3999999999996</v>
      </c>
      <c r="AB7">
        <v>8</v>
      </c>
      <c r="AC7">
        <v>6307.2</v>
      </c>
      <c r="AD7">
        <v>5</v>
      </c>
      <c r="AE7">
        <v>3942</v>
      </c>
      <c r="AF7">
        <v>6</v>
      </c>
      <c r="AG7">
        <v>4730.3999999999996</v>
      </c>
      <c r="AH7">
        <v>8</v>
      </c>
      <c r="AI7">
        <v>6307.2</v>
      </c>
      <c r="AJ7">
        <v>4</v>
      </c>
      <c r="AK7">
        <v>3153.6</v>
      </c>
      <c r="AL7">
        <v>7</v>
      </c>
      <c r="AM7">
        <v>5518.8</v>
      </c>
      <c r="AN7">
        <v>7</v>
      </c>
      <c r="AO7">
        <v>5518.8</v>
      </c>
      <c r="AP7">
        <v>6</v>
      </c>
      <c r="AQ7">
        <v>4730.3999999999996</v>
      </c>
      <c r="AR7">
        <v>8</v>
      </c>
      <c r="AS7">
        <v>6307.2</v>
      </c>
      <c r="AT7">
        <v>8</v>
      </c>
      <c r="AU7">
        <v>6307.2</v>
      </c>
      <c r="AV7">
        <v>6</v>
      </c>
      <c r="AW7">
        <v>4730.3999999999996</v>
      </c>
      <c r="AX7">
        <v>7</v>
      </c>
      <c r="AY7">
        <v>5518.8</v>
      </c>
      <c r="AZ7">
        <v>7</v>
      </c>
      <c r="BA7">
        <v>5518.8</v>
      </c>
      <c r="BB7">
        <v>7</v>
      </c>
      <c r="BC7">
        <v>5518.8</v>
      </c>
      <c r="BD7">
        <v>7</v>
      </c>
      <c r="BE7">
        <v>5518.8</v>
      </c>
      <c r="BF7">
        <v>5</v>
      </c>
      <c r="BG7">
        <v>3942</v>
      </c>
      <c r="BH7">
        <v>7</v>
      </c>
      <c r="BI7">
        <v>5518.8</v>
      </c>
      <c r="BJ7">
        <v>6</v>
      </c>
      <c r="BK7">
        <v>4730.3999999999996</v>
      </c>
      <c r="BL7">
        <v>5</v>
      </c>
      <c r="BM7">
        <v>3942</v>
      </c>
      <c r="BN7">
        <v>7</v>
      </c>
      <c r="BO7">
        <v>5518.8</v>
      </c>
      <c r="BP7">
        <v>9</v>
      </c>
      <c r="BQ7">
        <v>7095.5999999999995</v>
      </c>
      <c r="BR7">
        <v>6</v>
      </c>
      <c r="BS7">
        <v>4730.3999999999996</v>
      </c>
      <c r="BT7">
        <v>7</v>
      </c>
      <c r="BU7">
        <v>5518.8</v>
      </c>
      <c r="BV7">
        <v>7</v>
      </c>
      <c r="BW7">
        <v>5518.8</v>
      </c>
      <c r="BX7">
        <v>5</v>
      </c>
      <c r="BY7">
        <v>3942</v>
      </c>
      <c r="BZ7">
        <v>6</v>
      </c>
      <c r="CA7">
        <v>4730.3999999999996</v>
      </c>
      <c r="CB7">
        <v>5</v>
      </c>
      <c r="CC7">
        <v>3942</v>
      </c>
      <c r="CD7">
        <v>5</v>
      </c>
      <c r="CE7">
        <v>3942</v>
      </c>
      <c r="CF7">
        <v>5</v>
      </c>
      <c r="CG7">
        <v>3942</v>
      </c>
      <c r="CH7">
        <v>8</v>
      </c>
      <c r="CI7">
        <v>6307.2</v>
      </c>
      <c r="CJ7">
        <v>5</v>
      </c>
      <c r="CK7">
        <v>3942</v>
      </c>
      <c r="CL7">
        <v>6</v>
      </c>
      <c r="CM7">
        <v>4730.3999999999996</v>
      </c>
      <c r="CN7">
        <v>7</v>
      </c>
      <c r="CO7">
        <v>5518.8</v>
      </c>
      <c r="CP7">
        <v>6</v>
      </c>
      <c r="CQ7">
        <v>4730.3999999999996</v>
      </c>
      <c r="CR7">
        <v>7</v>
      </c>
      <c r="CS7">
        <v>5518.8</v>
      </c>
      <c r="CT7">
        <v>7</v>
      </c>
      <c r="CU7">
        <v>5518.8</v>
      </c>
    </row>
    <row r="8" spans="1:99" x14ac:dyDescent="0.2">
      <c r="C8" s="118" t="s">
        <v>174</v>
      </c>
      <c r="D8">
        <v>7</v>
      </c>
      <c r="E8">
        <v>2167.1999999999998</v>
      </c>
      <c r="F8">
        <v>5</v>
      </c>
      <c r="G8">
        <v>1547.9999999999998</v>
      </c>
      <c r="H8">
        <v>5</v>
      </c>
      <c r="I8">
        <v>1547.9999999999998</v>
      </c>
      <c r="J8">
        <v>7</v>
      </c>
      <c r="K8">
        <v>2167.1999999999998</v>
      </c>
      <c r="L8">
        <v>4</v>
      </c>
      <c r="M8">
        <v>1238.3999999999999</v>
      </c>
      <c r="N8">
        <v>5</v>
      </c>
      <c r="O8">
        <v>1547.9999999999998</v>
      </c>
      <c r="P8">
        <v>6</v>
      </c>
      <c r="Q8">
        <v>1857.6</v>
      </c>
      <c r="R8">
        <v>6</v>
      </c>
      <c r="S8">
        <v>1857.6</v>
      </c>
      <c r="T8">
        <v>7</v>
      </c>
      <c r="U8">
        <v>2167.1999999999998</v>
      </c>
      <c r="V8">
        <v>8</v>
      </c>
      <c r="W8">
        <v>2476.7999999999997</v>
      </c>
      <c r="X8">
        <v>7</v>
      </c>
      <c r="Y8">
        <v>2167.1999999999998</v>
      </c>
      <c r="Z8">
        <v>6</v>
      </c>
      <c r="AA8">
        <v>1857.6</v>
      </c>
      <c r="AB8">
        <v>8</v>
      </c>
      <c r="AC8">
        <v>2476.7999999999997</v>
      </c>
      <c r="AD8">
        <v>6</v>
      </c>
      <c r="AE8">
        <v>1857.6</v>
      </c>
      <c r="AF8">
        <v>6</v>
      </c>
      <c r="AG8">
        <v>1857.6</v>
      </c>
      <c r="AH8">
        <v>7</v>
      </c>
      <c r="AI8">
        <v>2167.1999999999998</v>
      </c>
      <c r="AJ8">
        <v>4</v>
      </c>
      <c r="AK8">
        <v>1238.3999999999999</v>
      </c>
      <c r="AL8">
        <v>8</v>
      </c>
      <c r="AM8">
        <v>2476.7999999999997</v>
      </c>
      <c r="AN8">
        <v>7</v>
      </c>
      <c r="AO8">
        <v>2167.1999999999998</v>
      </c>
      <c r="AP8">
        <v>6</v>
      </c>
      <c r="AQ8">
        <v>1857.6</v>
      </c>
      <c r="AR8">
        <v>8</v>
      </c>
      <c r="AS8">
        <v>2476.7999999999997</v>
      </c>
      <c r="AT8">
        <v>8</v>
      </c>
      <c r="AU8">
        <v>2476.7999999999997</v>
      </c>
      <c r="AV8">
        <v>6</v>
      </c>
      <c r="AW8">
        <v>1857.6</v>
      </c>
      <c r="AX8">
        <v>7</v>
      </c>
      <c r="AY8">
        <v>2167.1999999999998</v>
      </c>
      <c r="AZ8">
        <v>8</v>
      </c>
      <c r="BA8">
        <v>2476.7999999999997</v>
      </c>
      <c r="BB8">
        <v>8</v>
      </c>
      <c r="BC8">
        <v>2476.7999999999997</v>
      </c>
      <c r="BD8">
        <v>8</v>
      </c>
      <c r="BE8">
        <v>2476.7999999999997</v>
      </c>
      <c r="BF8">
        <v>5</v>
      </c>
      <c r="BG8">
        <v>1547.9999999999998</v>
      </c>
      <c r="BH8">
        <v>7</v>
      </c>
      <c r="BI8">
        <v>2167.1999999999998</v>
      </c>
      <c r="BJ8">
        <v>7</v>
      </c>
      <c r="BK8">
        <v>2167.1999999999998</v>
      </c>
      <c r="BL8">
        <v>5</v>
      </c>
      <c r="BM8">
        <v>1547.9999999999998</v>
      </c>
      <c r="BN8">
        <v>7</v>
      </c>
      <c r="BO8">
        <v>2167.1999999999998</v>
      </c>
      <c r="BP8">
        <v>9</v>
      </c>
      <c r="BQ8">
        <v>2786.3999999999996</v>
      </c>
      <c r="BR8">
        <v>6</v>
      </c>
      <c r="BS8">
        <v>1857.6</v>
      </c>
      <c r="BT8">
        <v>8</v>
      </c>
      <c r="BU8">
        <v>2476.7999999999997</v>
      </c>
      <c r="BV8">
        <v>9</v>
      </c>
      <c r="BW8">
        <v>2786.3999999999996</v>
      </c>
      <c r="BX8">
        <v>5</v>
      </c>
      <c r="BY8">
        <v>1547.9999999999998</v>
      </c>
      <c r="BZ8">
        <v>6</v>
      </c>
      <c r="CA8">
        <v>1857.6</v>
      </c>
      <c r="CB8">
        <v>5</v>
      </c>
      <c r="CC8">
        <v>1547.9999999999998</v>
      </c>
      <c r="CD8">
        <v>6</v>
      </c>
      <c r="CE8">
        <v>1857.6</v>
      </c>
      <c r="CF8">
        <v>5</v>
      </c>
      <c r="CG8">
        <v>1547.9999999999998</v>
      </c>
      <c r="CH8">
        <v>9</v>
      </c>
      <c r="CI8">
        <v>2786.3999999999996</v>
      </c>
      <c r="CJ8">
        <v>5</v>
      </c>
      <c r="CK8">
        <v>1547.9999999999998</v>
      </c>
      <c r="CL8">
        <v>6</v>
      </c>
      <c r="CM8">
        <v>1857.6</v>
      </c>
      <c r="CN8">
        <v>8</v>
      </c>
      <c r="CO8">
        <v>2476.7999999999997</v>
      </c>
      <c r="CP8">
        <v>7</v>
      </c>
      <c r="CQ8">
        <v>2167.1999999999998</v>
      </c>
      <c r="CR8">
        <v>9</v>
      </c>
      <c r="CS8">
        <v>2786.3999999999996</v>
      </c>
      <c r="CT8">
        <v>8</v>
      </c>
      <c r="CU8">
        <v>2476.7999999999997</v>
      </c>
    </row>
    <row r="9" spans="1:99" x14ac:dyDescent="0.2">
      <c r="C9" s="118" t="s">
        <v>175</v>
      </c>
      <c r="D9">
        <v>7</v>
      </c>
      <c r="E9">
        <v>4914</v>
      </c>
      <c r="F9">
        <v>4</v>
      </c>
      <c r="G9">
        <v>2808</v>
      </c>
      <c r="H9">
        <v>5</v>
      </c>
      <c r="I9">
        <v>3510</v>
      </c>
      <c r="J9">
        <v>7</v>
      </c>
      <c r="K9">
        <v>4914</v>
      </c>
      <c r="L9">
        <v>5</v>
      </c>
      <c r="M9">
        <v>3510</v>
      </c>
      <c r="N9">
        <v>4</v>
      </c>
      <c r="O9">
        <v>2808</v>
      </c>
      <c r="P9">
        <v>5</v>
      </c>
      <c r="Q9">
        <v>3510</v>
      </c>
      <c r="R9">
        <v>5</v>
      </c>
      <c r="S9">
        <v>3510</v>
      </c>
      <c r="T9">
        <v>7</v>
      </c>
      <c r="U9">
        <v>4914</v>
      </c>
      <c r="V9">
        <v>8</v>
      </c>
      <c r="W9">
        <v>5616</v>
      </c>
      <c r="X9">
        <v>8</v>
      </c>
      <c r="Y9">
        <v>5616</v>
      </c>
      <c r="Z9">
        <v>6</v>
      </c>
      <c r="AA9">
        <v>4212</v>
      </c>
      <c r="AB9">
        <v>8</v>
      </c>
      <c r="AC9">
        <v>5616</v>
      </c>
      <c r="AD9">
        <v>6</v>
      </c>
      <c r="AE9">
        <v>4212</v>
      </c>
      <c r="AF9">
        <v>5</v>
      </c>
      <c r="AG9">
        <v>3510</v>
      </c>
      <c r="AH9">
        <v>8</v>
      </c>
      <c r="AI9">
        <v>5616</v>
      </c>
      <c r="AJ9">
        <v>5</v>
      </c>
      <c r="AK9">
        <v>3510</v>
      </c>
      <c r="AL9">
        <v>8</v>
      </c>
      <c r="AM9">
        <v>5616</v>
      </c>
      <c r="AN9">
        <v>7</v>
      </c>
      <c r="AO9">
        <v>4914</v>
      </c>
      <c r="AP9">
        <v>7</v>
      </c>
      <c r="AQ9">
        <v>4914</v>
      </c>
      <c r="AR9">
        <v>8</v>
      </c>
      <c r="AS9">
        <v>5616</v>
      </c>
      <c r="AT9">
        <v>8</v>
      </c>
      <c r="AU9">
        <v>5616</v>
      </c>
      <c r="AV9">
        <v>5</v>
      </c>
      <c r="AW9">
        <v>3510</v>
      </c>
      <c r="AX9">
        <v>7</v>
      </c>
      <c r="AY9">
        <v>4914</v>
      </c>
      <c r="AZ9">
        <v>8</v>
      </c>
      <c r="BA9">
        <v>5616</v>
      </c>
      <c r="BB9">
        <v>7</v>
      </c>
      <c r="BC9">
        <v>4914</v>
      </c>
      <c r="BD9">
        <v>8</v>
      </c>
      <c r="BE9">
        <v>5616</v>
      </c>
      <c r="BF9">
        <v>6</v>
      </c>
      <c r="BG9">
        <v>4212</v>
      </c>
      <c r="BH9">
        <v>9</v>
      </c>
      <c r="BI9">
        <v>6318</v>
      </c>
      <c r="BJ9">
        <v>6</v>
      </c>
      <c r="BK9">
        <v>4212</v>
      </c>
      <c r="BL9">
        <v>5</v>
      </c>
      <c r="BM9">
        <v>3510</v>
      </c>
      <c r="BN9">
        <v>7</v>
      </c>
      <c r="BO9">
        <v>4914</v>
      </c>
      <c r="BP9">
        <v>9</v>
      </c>
      <c r="BQ9">
        <v>6318</v>
      </c>
      <c r="BR9">
        <v>7</v>
      </c>
      <c r="BS9">
        <v>4914</v>
      </c>
      <c r="BT9">
        <v>7</v>
      </c>
      <c r="BU9">
        <v>4914</v>
      </c>
      <c r="BV9">
        <v>7</v>
      </c>
      <c r="BW9">
        <v>4914</v>
      </c>
      <c r="BX9">
        <v>5</v>
      </c>
      <c r="BY9">
        <v>3510</v>
      </c>
      <c r="BZ9">
        <v>5</v>
      </c>
      <c r="CA9">
        <v>3510</v>
      </c>
      <c r="CB9">
        <v>4</v>
      </c>
      <c r="CC9">
        <v>2808</v>
      </c>
      <c r="CD9">
        <v>5</v>
      </c>
      <c r="CE9">
        <v>3510</v>
      </c>
      <c r="CF9">
        <v>5</v>
      </c>
      <c r="CG9">
        <v>3510</v>
      </c>
      <c r="CH9">
        <v>9</v>
      </c>
      <c r="CI9">
        <v>6318</v>
      </c>
      <c r="CJ9">
        <v>5</v>
      </c>
      <c r="CK9">
        <v>3510</v>
      </c>
      <c r="CL9">
        <v>5</v>
      </c>
      <c r="CM9">
        <v>3510</v>
      </c>
      <c r="CN9">
        <v>8</v>
      </c>
      <c r="CO9">
        <v>5616</v>
      </c>
      <c r="CP9">
        <v>7</v>
      </c>
      <c r="CQ9">
        <v>4914</v>
      </c>
      <c r="CR9">
        <v>8</v>
      </c>
      <c r="CS9">
        <v>5616</v>
      </c>
      <c r="CT9">
        <v>8</v>
      </c>
      <c r="CU9">
        <v>5616</v>
      </c>
    </row>
    <row r="10" spans="1:99" x14ac:dyDescent="0.2">
      <c r="C10" s="118" t="s">
        <v>176</v>
      </c>
      <c r="D10">
        <v>7</v>
      </c>
      <c r="E10">
        <v>3813.5999999999995</v>
      </c>
      <c r="F10">
        <v>5</v>
      </c>
      <c r="G10">
        <v>2724</v>
      </c>
      <c r="H10">
        <v>4</v>
      </c>
      <c r="I10">
        <v>2179.1999999999998</v>
      </c>
      <c r="J10">
        <v>7</v>
      </c>
      <c r="K10">
        <v>3813.5999999999995</v>
      </c>
      <c r="L10">
        <v>5</v>
      </c>
      <c r="M10">
        <v>2724</v>
      </c>
      <c r="N10">
        <v>5</v>
      </c>
      <c r="O10">
        <v>2724</v>
      </c>
      <c r="P10">
        <v>6</v>
      </c>
      <c r="Q10">
        <v>3268.7999999999997</v>
      </c>
      <c r="R10">
        <v>6</v>
      </c>
      <c r="S10">
        <v>3268.7999999999997</v>
      </c>
      <c r="T10">
        <v>7</v>
      </c>
      <c r="U10">
        <v>3813.5999999999995</v>
      </c>
      <c r="V10">
        <v>8</v>
      </c>
      <c r="W10">
        <v>4358.3999999999996</v>
      </c>
      <c r="X10">
        <v>7</v>
      </c>
      <c r="Y10">
        <v>3813.5999999999995</v>
      </c>
      <c r="Z10">
        <v>7</v>
      </c>
      <c r="AA10">
        <v>3813.5999999999995</v>
      </c>
      <c r="AB10">
        <v>7</v>
      </c>
      <c r="AC10">
        <v>3813.5999999999995</v>
      </c>
      <c r="AD10">
        <v>6</v>
      </c>
      <c r="AE10">
        <v>3268.7999999999997</v>
      </c>
      <c r="AF10">
        <v>5</v>
      </c>
      <c r="AG10">
        <v>2724</v>
      </c>
      <c r="AH10">
        <v>7</v>
      </c>
      <c r="AI10">
        <v>3813.5999999999995</v>
      </c>
      <c r="AJ10">
        <v>5</v>
      </c>
      <c r="AK10">
        <v>2724</v>
      </c>
      <c r="AL10">
        <v>9</v>
      </c>
      <c r="AM10">
        <v>4903.2</v>
      </c>
      <c r="AN10">
        <v>7</v>
      </c>
      <c r="AO10">
        <v>3813.5999999999995</v>
      </c>
      <c r="AP10">
        <v>7</v>
      </c>
      <c r="AQ10">
        <v>3813.5999999999995</v>
      </c>
      <c r="AR10">
        <v>8</v>
      </c>
      <c r="AS10">
        <v>4358.3999999999996</v>
      </c>
      <c r="AT10">
        <v>9</v>
      </c>
      <c r="AU10">
        <v>4903.2</v>
      </c>
      <c r="AV10">
        <v>6</v>
      </c>
      <c r="AW10">
        <v>3268.7999999999997</v>
      </c>
      <c r="AX10">
        <v>7</v>
      </c>
      <c r="AY10">
        <v>3813.5999999999995</v>
      </c>
      <c r="AZ10">
        <v>8</v>
      </c>
      <c r="BA10">
        <v>4358.3999999999996</v>
      </c>
      <c r="BB10">
        <v>7</v>
      </c>
      <c r="BC10">
        <v>3813.5999999999995</v>
      </c>
      <c r="BD10">
        <v>7</v>
      </c>
      <c r="BE10">
        <v>3813.5999999999995</v>
      </c>
      <c r="BF10">
        <v>5</v>
      </c>
      <c r="BG10">
        <v>2724</v>
      </c>
      <c r="BH10">
        <v>8</v>
      </c>
      <c r="BI10">
        <v>4358.3999999999996</v>
      </c>
      <c r="BJ10">
        <v>6</v>
      </c>
      <c r="BK10">
        <v>3268.7999999999997</v>
      </c>
      <c r="BL10">
        <v>6</v>
      </c>
      <c r="BM10">
        <v>3268.7999999999997</v>
      </c>
      <c r="BN10">
        <v>6</v>
      </c>
      <c r="BO10">
        <v>3268.7999999999997</v>
      </c>
      <c r="BP10">
        <v>9</v>
      </c>
      <c r="BQ10">
        <v>4903.2</v>
      </c>
      <c r="BR10">
        <v>7</v>
      </c>
      <c r="BS10">
        <v>3813.5999999999995</v>
      </c>
      <c r="BT10">
        <v>7</v>
      </c>
      <c r="BU10">
        <v>3813.5999999999995</v>
      </c>
      <c r="BV10">
        <v>9</v>
      </c>
      <c r="BW10">
        <v>4903.2</v>
      </c>
      <c r="BX10">
        <v>5</v>
      </c>
      <c r="BY10">
        <v>2724</v>
      </c>
      <c r="BZ10">
        <v>6</v>
      </c>
      <c r="CA10">
        <v>3268.7999999999997</v>
      </c>
      <c r="CB10">
        <v>5</v>
      </c>
      <c r="CC10">
        <v>2724</v>
      </c>
      <c r="CD10">
        <v>5</v>
      </c>
      <c r="CE10">
        <v>2724</v>
      </c>
      <c r="CF10">
        <v>5</v>
      </c>
      <c r="CG10">
        <v>2724</v>
      </c>
      <c r="CH10">
        <v>9</v>
      </c>
      <c r="CI10">
        <v>4903.2</v>
      </c>
      <c r="CJ10">
        <v>5</v>
      </c>
      <c r="CK10">
        <v>2724</v>
      </c>
      <c r="CL10">
        <v>6</v>
      </c>
      <c r="CM10">
        <v>3268.7999999999997</v>
      </c>
      <c r="CN10">
        <v>7</v>
      </c>
      <c r="CO10">
        <v>3813.5999999999995</v>
      </c>
      <c r="CP10">
        <v>7</v>
      </c>
      <c r="CQ10">
        <v>3813.5999999999995</v>
      </c>
      <c r="CR10">
        <v>8</v>
      </c>
      <c r="CS10">
        <v>4358.3999999999996</v>
      </c>
      <c r="CT10">
        <v>8</v>
      </c>
      <c r="CU10">
        <v>4358.3999999999996</v>
      </c>
    </row>
    <row r="11" spans="1:99" x14ac:dyDescent="0.2">
      <c r="C11" s="118" t="s">
        <v>177</v>
      </c>
      <c r="D11">
        <v>7</v>
      </c>
      <c r="E11">
        <v>3729.5999999999995</v>
      </c>
      <c r="F11">
        <v>5</v>
      </c>
      <c r="G11">
        <v>2664</v>
      </c>
      <c r="H11">
        <v>5</v>
      </c>
      <c r="I11">
        <v>2664</v>
      </c>
      <c r="J11">
        <v>7</v>
      </c>
      <c r="K11">
        <v>3729.5999999999995</v>
      </c>
      <c r="L11">
        <v>4</v>
      </c>
      <c r="M11">
        <v>2131.1999999999998</v>
      </c>
      <c r="N11">
        <v>5</v>
      </c>
      <c r="O11">
        <v>2664</v>
      </c>
      <c r="P11">
        <v>6</v>
      </c>
      <c r="Q11">
        <v>3196.7999999999997</v>
      </c>
      <c r="R11">
        <v>6</v>
      </c>
      <c r="S11">
        <v>3196.7999999999997</v>
      </c>
      <c r="T11">
        <v>6</v>
      </c>
      <c r="U11">
        <v>3196.7999999999997</v>
      </c>
      <c r="V11">
        <v>8</v>
      </c>
      <c r="W11">
        <v>4262.3999999999996</v>
      </c>
      <c r="X11">
        <v>7</v>
      </c>
      <c r="Y11">
        <v>3729.5999999999995</v>
      </c>
      <c r="Z11">
        <v>6</v>
      </c>
      <c r="AA11">
        <v>3196.7999999999997</v>
      </c>
      <c r="AB11">
        <v>7</v>
      </c>
      <c r="AC11">
        <v>3729.5999999999995</v>
      </c>
      <c r="AD11">
        <v>5</v>
      </c>
      <c r="AE11">
        <v>2664</v>
      </c>
      <c r="AF11">
        <v>6</v>
      </c>
      <c r="AG11">
        <v>3196.7999999999997</v>
      </c>
      <c r="AH11">
        <v>8</v>
      </c>
      <c r="AI11">
        <v>4262.3999999999996</v>
      </c>
      <c r="AJ11">
        <v>5</v>
      </c>
      <c r="AK11">
        <v>2664</v>
      </c>
      <c r="AL11">
        <v>7</v>
      </c>
      <c r="AM11">
        <v>3729.5999999999995</v>
      </c>
      <c r="AN11">
        <v>6</v>
      </c>
      <c r="AO11">
        <v>3196.7999999999997</v>
      </c>
      <c r="AP11">
        <v>6</v>
      </c>
      <c r="AQ11">
        <v>3196.7999999999997</v>
      </c>
      <c r="AR11">
        <v>9</v>
      </c>
      <c r="AS11">
        <v>4795.2</v>
      </c>
      <c r="AT11">
        <v>9</v>
      </c>
      <c r="AU11">
        <v>4795.2</v>
      </c>
      <c r="AV11">
        <v>6</v>
      </c>
      <c r="AW11">
        <v>3196.7999999999997</v>
      </c>
      <c r="AX11">
        <v>7</v>
      </c>
      <c r="AY11">
        <v>3729.5999999999995</v>
      </c>
      <c r="AZ11">
        <v>8</v>
      </c>
      <c r="BA11">
        <v>4262.3999999999996</v>
      </c>
      <c r="BB11">
        <v>7</v>
      </c>
      <c r="BC11">
        <v>3729.5999999999995</v>
      </c>
      <c r="BD11">
        <v>8</v>
      </c>
      <c r="BE11">
        <v>4262.3999999999996</v>
      </c>
      <c r="BF11">
        <v>5</v>
      </c>
      <c r="BG11">
        <v>2664</v>
      </c>
      <c r="BH11">
        <v>8</v>
      </c>
      <c r="BI11">
        <v>4262.3999999999996</v>
      </c>
      <c r="BJ11">
        <v>6</v>
      </c>
      <c r="BK11">
        <v>3196.7999999999997</v>
      </c>
      <c r="BL11">
        <v>5</v>
      </c>
      <c r="BM11">
        <v>2664</v>
      </c>
      <c r="BN11">
        <v>6</v>
      </c>
      <c r="BO11">
        <v>3196.7999999999997</v>
      </c>
      <c r="BP11">
        <v>9</v>
      </c>
      <c r="BQ11">
        <v>4795.2</v>
      </c>
      <c r="BR11">
        <v>7</v>
      </c>
      <c r="BS11">
        <v>3729.5999999999995</v>
      </c>
      <c r="BT11">
        <v>7</v>
      </c>
      <c r="BU11">
        <v>3729.5999999999995</v>
      </c>
      <c r="BV11">
        <v>8</v>
      </c>
      <c r="BW11">
        <v>4262.3999999999996</v>
      </c>
      <c r="BX11">
        <v>5</v>
      </c>
      <c r="BY11">
        <v>2664</v>
      </c>
      <c r="BZ11">
        <v>6</v>
      </c>
      <c r="CA11">
        <v>3196.7999999999997</v>
      </c>
      <c r="CB11">
        <v>5</v>
      </c>
      <c r="CC11">
        <v>2664</v>
      </c>
      <c r="CD11">
        <v>6</v>
      </c>
      <c r="CE11">
        <v>3196.7999999999997</v>
      </c>
      <c r="CF11">
        <v>5</v>
      </c>
      <c r="CG11">
        <v>2664</v>
      </c>
      <c r="CH11">
        <v>8</v>
      </c>
      <c r="CI11">
        <v>4262.3999999999996</v>
      </c>
      <c r="CJ11">
        <v>5</v>
      </c>
      <c r="CK11">
        <v>2664</v>
      </c>
      <c r="CL11">
        <v>6</v>
      </c>
      <c r="CM11">
        <v>3196.7999999999997</v>
      </c>
      <c r="CN11">
        <v>7</v>
      </c>
      <c r="CO11">
        <v>3729.5999999999995</v>
      </c>
      <c r="CP11">
        <v>7</v>
      </c>
      <c r="CQ11">
        <v>3729.5999999999995</v>
      </c>
      <c r="CR11">
        <v>9</v>
      </c>
      <c r="CS11">
        <v>4795.2</v>
      </c>
      <c r="CT11">
        <v>8</v>
      </c>
      <c r="CU11">
        <v>4262.3999999999996</v>
      </c>
    </row>
    <row r="12" spans="1:99" x14ac:dyDescent="0.2">
      <c r="C12" s="118" t="s">
        <v>178</v>
      </c>
      <c r="D12">
        <v>7</v>
      </c>
      <c r="E12">
        <v>3939.5999999999995</v>
      </c>
      <c r="F12">
        <v>5</v>
      </c>
      <c r="G12">
        <v>2814</v>
      </c>
      <c r="H12">
        <v>5</v>
      </c>
      <c r="I12">
        <v>2814</v>
      </c>
      <c r="J12">
        <v>6</v>
      </c>
      <c r="K12">
        <v>3376.7999999999997</v>
      </c>
      <c r="L12">
        <v>4</v>
      </c>
      <c r="M12">
        <v>2251.1999999999998</v>
      </c>
      <c r="N12">
        <v>5</v>
      </c>
      <c r="O12">
        <v>2814</v>
      </c>
      <c r="P12">
        <v>5</v>
      </c>
      <c r="Q12">
        <v>2814</v>
      </c>
      <c r="R12">
        <v>5</v>
      </c>
      <c r="S12">
        <v>2814</v>
      </c>
      <c r="T12">
        <v>7</v>
      </c>
      <c r="U12">
        <v>3939.5999999999995</v>
      </c>
      <c r="V12">
        <v>8</v>
      </c>
      <c r="W12">
        <v>4502.3999999999996</v>
      </c>
      <c r="X12">
        <v>8</v>
      </c>
      <c r="Y12">
        <v>4502.3999999999996</v>
      </c>
      <c r="Z12">
        <v>6</v>
      </c>
      <c r="AA12">
        <v>3376.7999999999997</v>
      </c>
      <c r="AB12">
        <v>7</v>
      </c>
      <c r="AC12">
        <v>3939.5999999999995</v>
      </c>
      <c r="AD12">
        <v>6</v>
      </c>
      <c r="AE12">
        <v>3376.7999999999997</v>
      </c>
      <c r="AF12">
        <v>5</v>
      </c>
      <c r="AG12">
        <v>2814</v>
      </c>
      <c r="AH12">
        <v>8</v>
      </c>
      <c r="AI12">
        <v>4502.3999999999996</v>
      </c>
      <c r="AJ12">
        <v>5</v>
      </c>
      <c r="AK12">
        <v>2814</v>
      </c>
      <c r="AL12">
        <v>7</v>
      </c>
      <c r="AM12">
        <v>3939.5999999999995</v>
      </c>
      <c r="AN12">
        <v>7</v>
      </c>
      <c r="AO12">
        <v>3939.5999999999995</v>
      </c>
      <c r="AP12">
        <v>6</v>
      </c>
      <c r="AQ12">
        <v>3376.7999999999997</v>
      </c>
      <c r="AR12">
        <v>8</v>
      </c>
      <c r="AS12">
        <v>4502.3999999999996</v>
      </c>
      <c r="AT12">
        <v>8</v>
      </c>
      <c r="AU12">
        <v>4502.3999999999996</v>
      </c>
      <c r="AV12">
        <v>6</v>
      </c>
      <c r="AW12">
        <v>3376.7999999999997</v>
      </c>
      <c r="AX12">
        <v>7</v>
      </c>
      <c r="AY12">
        <v>3939.5999999999995</v>
      </c>
      <c r="AZ12">
        <v>7</v>
      </c>
      <c r="BA12">
        <v>3939.5999999999995</v>
      </c>
      <c r="BB12">
        <v>7</v>
      </c>
      <c r="BC12">
        <v>3939.5999999999995</v>
      </c>
      <c r="BD12">
        <v>8</v>
      </c>
      <c r="BE12">
        <v>4502.3999999999996</v>
      </c>
      <c r="BF12">
        <v>5</v>
      </c>
      <c r="BG12">
        <v>2814</v>
      </c>
      <c r="BH12">
        <v>8</v>
      </c>
      <c r="BI12">
        <v>4502.3999999999996</v>
      </c>
      <c r="BJ12">
        <v>6</v>
      </c>
      <c r="BK12">
        <v>3376.7999999999997</v>
      </c>
      <c r="BL12">
        <v>5</v>
      </c>
      <c r="BM12">
        <v>2814</v>
      </c>
      <c r="BN12">
        <v>6</v>
      </c>
      <c r="BO12">
        <v>3376.7999999999997</v>
      </c>
      <c r="BP12">
        <v>9</v>
      </c>
      <c r="BQ12">
        <v>5065.2</v>
      </c>
      <c r="BR12">
        <v>6</v>
      </c>
      <c r="BS12">
        <v>3376.7999999999997</v>
      </c>
      <c r="BT12">
        <v>8</v>
      </c>
      <c r="BU12">
        <v>4502.3999999999996</v>
      </c>
      <c r="BV12">
        <v>7</v>
      </c>
      <c r="BW12">
        <v>3939.5999999999995</v>
      </c>
      <c r="BX12">
        <v>5</v>
      </c>
      <c r="BY12">
        <v>2814</v>
      </c>
      <c r="BZ12">
        <v>6</v>
      </c>
      <c r="CA12">
        <v>3376.7999999999997</v>
      </c>
      <c r="CB12">
        <v>5</v>
      </c>
      <c r="CC12">
        <v>2814</v>
      </c>
      <c r="CD12">
        <v>5</v>
      </c>
      <c r="CE12">
        <v>2814</v>
      </c>
      <c r="CF12">
        <v>5</v>
      </c>
      <c r="CG12">
        <v>2814</v>
      </c>
      <c r="CH12">
        <v>8</v>
      </c>
      <c r="CI12">
        <v>4502.3999999999996</v>
      </c>
      <c r="CJ12">
        <v>5</v>
      </c>
      <c r="CK12">
        <v>2814</v>
      </c>
      <c r="CL12">
        <v>6</v>
      </c>
      <c r="CM12">
        <v>3376.7999999999997</v>
      </c>
      <c r="CN12">
        <v>8</v>
      </c>
      <c r="CO12">
        <v>4502.3999999999996</v>
      </c>
      <c r="CP12">
        <v>7</v>
      </c>
      <c r="CQ12">
        <v>3939.5999999999995</v>
      </c>
      <c r="CR12">
        <v>8</v>
      </c>
      <c r="CS12">
        <v>4502.3999999999996</v>
      </c>
      <c r="CT12">
        <v>8</v>
      </c>
      <c r="CU12">
        <v>4502.3999999999996</v>
      </c>
    </row>
    <row r="13" spans="1:99" x14ac:dyDescent="0.2">
      <c r="C13" s="118" t="s">
        <v>179</v>
      </c>
      <c r="D13">
        <v>8</v>
      </c>
      <c r="E13">
        <v>681.6</v>
      </c>
      <c r="F13">
        <v>5</v>
      </c>
      <c r="G13">
        <v>426</v>
      </c>
      <c r="H13">
        <v>5</v>
      </c>
      <c r="I13">
        <v>426</v>
      </c>
      <c r="J13">
        <v>7</v>
      </c>
      <c r="K13">
        <v>596.4</v>
      </c>
      <c r="L13">
        <v>4</v>
      </c>
      <c r="M13">
        <v>340.8</v>
      </c>
      <c r="N13">
        <v>6</v>
      </c>
      <c r="O13">
        <v>511.20000000000005</v>
      </c>
      <c r="P13">
        <v>6</v>
      </c>
      <c r="Q13">
        <v>511.20000000000005</v>
      </c>
      <c r="R13">
        <v>5</v>
      </c>
      <c r="S13">
        <v>426</v>
      </c>
      <c r="T13">
        <v>7</v>
      </c>
      <c r="U13">
        <v>596.4</v>
      </c>
      <c r="V13">
        <v>8</v>
      </c>
      <c r="W13">
        <v>681.6</v>
      </c>
      <c r="X13">
        <v>9</v>
      </c>
      <c r="Y13">
        <v>766.80000000000007</v>
      </c>
      <c r="Z13">
        <v>6</v>
      </c>
      <c r="AA13">
        <v>511.20000000000005</v>
      </c>
      <c r="AB13">
        <v>8</v>
      </c>
      <c r="AC13">
        <v>681.6</v>
      </c>
      <c r="AD13">
        <v>5</v>
      </c>
      <c r="AE13">
        <v>426</v>
      </c>
      <c r="AF13">
        <v>5</v>
      </c>
      <c r="AG13">
        <v>426</v>
      </c>
      <c r="AH13">
        <v>8</v>
      </c>
      <c r="AI13">
        <v>681.6</v>
      </c>
      <c r="AJ13">
        <v>5</v>
      </c>
      <c r="AK13">
        <v>426</v>
      </c>
      <c r="AL13">
        <v>8</v>
      </c>
      <c r="AM13">
        <v>681.6</v>
      </c>
      <c r="AN13">
        <v>7</v>
      </c>
      <c r="AO13">
        <v>596.4</v>
      </c>
      <c r="AP13">
        <v>6</v>
      </c>
      <c r="AQ13">
        <v>511.20000000000005</v>
      </c>
      <c r="AR13">
        <v>7</v>
      </c>
      <c r="AS13">
        <v>596.4</v>
      </c>
      <c r="AT13">
        <v>8</v>
      </c>
      <c r="AU13">
        <v>681.6</v>
      </c>
      <c r="AV13">
        <v>5</v>
      </c>
      <c r="AW13">
        <v>426</v>
      </c>
      <c r="AX13">
        <v>7</v>
      </c>
      <c r="AY13">
        <v>596.4</v>
      </c>
      <c r="AZ13">
        <v>7</v>
      </c>
      <c r="BA13">
        <v>596.4</v>
      </c>
      <c r="BB13">
        <v>7</v>
      </c>
      <c r="BC13">
        <v>596.4</v>
      </c>
      <c r="BD13">
        <v>8</v>
      </c>
      <c r="BE13">
        <v>681.6</v>
      </c>
      <c r="BF13">
        <v>6</v>
      </c>
      <c r="BG13">
        <v>511.20000000000005</v>
      </c>
      <c r="BH13">
        <v>8</v>
      </c>
      <c r="BI13">
        <v>681.6</v>
      </c>
      <c r="BJ13">
        <v>7</v>
      </c>
      <c r="BK13">
        <v>596.4</v>
      </c>
      <c r="BL13">
        <v>6</v>
      </c>
      <c r="BM13">
        <v>511.20000000000005</v>
      </c>
      <c r="BN13">
        <v>7</v>
      </c>
      <c r="BO13">
        <v>596.4</v>
      </c>
      <c r="BP13">
        <v>9</v>
      </c>
      <c r="BQ13">
        <v>766.80000000000007</v>
      </c>
      <c r="BR13">
        <v>7</v>
      </c>
      <c r="BS13">
        <v>596.4</v>
      </c>
      <c r="BT13">
        <v>7</v>
      </c>
      <c r="BU13">
        <v>596.4</v>
      </c>
      <c r="BV13">
        <v>8</v>
      </c>
      <c r="BW13">
        <v>681.6</v>
      </c>
      <c r="BX13">
        <v>5</v>
      </c>
      <c r="BY13">
        <v>426</v>
      </c>
      <c r="BZ13">
        <v>6</v>
      </c>
      <c r="CA13">
        <v>511.20000000000005</v>
      </c>
      <c r="CB13">
        <v>5</v>
      </c>
      <c r="CC13">
        <v>426</v>
      </c>
      <c r="CD13">
        <v>5</v>
      </c>
      <c r="CE13">
        <v>426</v>
      </c>
      <c r="CF13">
        <v>6</v>
      </c>
      <c r="CG13">
        <v>511.20000000000005</v>
      </c>
      <c r="CH13">
        <v>9</v>
      </c>
      <c r="CI13">
        <v>766.80000000000007</v>
      </c>
      <c r="CJ13">
        <v>5</v>
      </c>
      <c r="CK13">
        <v>426</v>
      </c>
      <c r="CL13">
        <v>7</v>
      </c>
      <c r="CM13">
        <v>596.4</v>
      </c>
      <c r="CN13">
        <v>8</v>
      </c>
      <c r="CO13">
        <v>681.6</v>
      </c>
      <c r="CP13">
        <v>7</v>
      </c>
      <c r="CQ13">
        <v>596.4</v>
      </c>
      <c r="CR13">
        <v>9</v>
      </c>
      <c r="CS13">
        <v>766.80000000000007</v>
      </c>
      <c r="CT13">
        <v>8</v>
      </c>
      <c r="CU13">
        <v>681.6</v>
      </c>
    </row>
    <row r="14" spans="1:99" x14ac:dyDescent="0.2">
      <c r="C14" s="118" t="s">
        <v>180</v>
      </c>
      <c r="D14">
        <v>7</v>
      </c>
      <c r="E14">
        <v>3418.7999999999997</v>
      </c>
      <c r="F14">
        <v>5</v>
      </c>
      <c r="G14">
        <v>2442</v>
      </c>
      <c r="H14">
        <v>4</v>
      </c>
      <c r="I14">
        <v>1953.6</v>
      </c>
      <c r="J14">
        <v>7</v>
      </c>
      <c r="K14">
        <v>3418.7999999999997</v>
      </c>
      <c r="L14">
        <v>4</v>
      </c>
      <c r="M14">
        <v>1953.6</v>
      </c>
      <c r="N14">
        <v>5</v>
      </c>
      <c r="O14">
        <v>2442</v>
      </c>
      <c r="P14">
        <v>6</v>
      </c>
      <c r="Q14">
        <v>2930.3999999999996</v>
      </c>
      <c r="R14">
        <v>5</v>
      </c>
      <c r="S14">
        <v>2442</v>
      </c>
      <c r="T14">
        <v>7</v>
      </c>
      <c r="U14">
        <v>3418.7999999999997</v>
      </c>
      <c r="V14">
        <v>8</v>
      </c>
      <c r="W14">
        <v>3907.2</v>
      </c>
      <c r="X14">
        <v>8</v>
      </c>
      <c r="Y14">
        <v>3907.2</v>
      </c>
      <c r="Z14">
        <v>6</v>
      </c>
      <c r="AA14">
        <v>2930.3999999999996</v>
      </c>
      <c r="AB14">
        <v>8</v>
      </c>
      <c r="AC14">
        <v>3907.2</v>
      </c>
      <c r="AD14">
        <v>5</v>
      </c>
      <c r="AE14">
        <v>2442</v>
      </c>
      <c r="AF14">
        <v>6</v>
      </c>
      <c r="AG14">
        <v>2930.3999999999996</v>
      </c>
      <c r="AH14">
        <v>8</v>
      </c>
      <c r="AI14">
        <v>3907.2</v>
      </c>
      <c r="AJ14">
        <v>5</v>
      </c>
      <c r="AK14">
        <v>2442</v>
      </c>
      <c r="AL14">
        <v>8</v>
      </c>
      <c r="AM14">
        <v>3907.2</v>
      </c>
      <c r="AN14">
        <v>6</v>
      </c>
      <c r="AO14">
        <v>2930.3999999999996</v>
      </c>
      <c r="AP14">
        <v>6</v>
      </c>
      <c r="AQ14">
        <v>2930.3999999999996</v>
      </c>
      <c r="AR14">
        <v>7</v>
      </c>
      <c r="AS14">
        <v>3418.7999999999997</v>
      </c>
      <c r="AT14">
        <v>8</v>
      </c>
      <c r="AU14">
        <v>3907.2</v>
      </c>
      <c r="AV14">
        <v>5</v>
      </c>
      <c r="AW14">
        <v>2442</v>
      </c>
      <c r="AX14">
        <v>7</v>
      </c>
      <c r="AY14">
        <v>3418.7999999999997</v>
      </c>
      <c r="AZ14">
        <v>8</v>
      </c>
      <c r="BA14">
        <v>3907.2</v>
      </c>
      <c r="BB14">
        <v>7</v>
      </c>
      <c r="BC14">
        <v>3418.7999999999997</v>
      </c>
      <c r="BD14">
        <v>9</v>
      </c>
      <c r="BE14">
        <v>4395.5999999999995</v>
      </c>
      <c r="BF14">
        <v>6</v>
      </c>
      <c r="BG14">
        <v>2930.3999999999996</v>
      </c>
      <c r="BH14">
        <v>8</v>
      </c>
      <c r="BI14">
        <v>3907.2</v>
      </c>
      <c r="BJ14">
        <v>7</v>
      </c>
      <c r="BK14">
        <v>3418.7999999999997</v>
      </c>
      <c r="BL14">
        <v>6</v>
      </c>
      <c r="BM14">
        <v>2930.3999999999996</v>
      </c>
      <c r="BN14">
        <v>7</v>
      </c>
      <c r="BO14">
        <v>3418.7999999999997</v>
      </c>
      <c r="BP14">
        <v>9</v>
      </c>
      <c r="BQ14">
        <v>4395.5999999999995</v>
      </c>
      <c r="BR14">
        <v>6</v>
      </c>
      <c r="BS14">
        <v>2930.3999999999996</v>
      </c>
      <c r="BT14">
        <v>8</v>
      </c>
      <c r="BU14">
        <v>3907.2</v>
      </c>
      <c r="BV14">
        <v>9</v>
      </c>
      <c r="BW14">
        <v>4395.5999999999995</v>
      </c>
      <c r="BX14">
        <v>5</v>
      </c>
      <c r="BY14">
        <v>2442</v>
      </c>
      <c r="BZ14">
        <v>6</v>
      </c>
      <c r="CA14">
        <v>2930.3999999999996</v>
      </c>
      <c r="CB14">
        <v>4</v>
      </c>
      <c r="CC14">
        <v>1953.6</v>
      </c>
      <c r="CD14">
        <v>5</v>
      </c>
      <c r="CE14">
        <v>2442</v>
      </c>
      <c r="CF14">
        <v>5</v>
      </c>
      <c r="CG14">
        <v>2442</v>
      </c>
      <c r="CH14">
        <v>9</v>
      </c>
      <c r="CI14">
        <v>4395.5999999999995</v>
      </c>
      <c r="CJ14">
        <v>5</v>
      </c>
      <c r="CK14">
        <v>2442</v>
      </c>
      <c r="CL14">
        <v>6</v>
      </c>
      <c r="CM14">
        <v>2930.3999999999996</v>
      </c>
      <c r="CN14">
        <v>7</v>
      </c>
      <c r="CO14">
        <v>3418.7999999999997</v>
      </c>
      <c r="CP14">
        <v>7</v>
      </c>
      <c r="CQ14">
        <v>3418.7999999999997</v>
      </c>
      <c r="CR14">
        <v>9</v>
      </c>
      <c r="CS14">
        <v>4395.5999999999995</v>
      </c>
      <c r="CT14">
        <v>8</v>
      </c>
      <c r="CU14">
        <v>3907.2</v>
      </c>
    </row>
    <row r="15" spans="1:99" x14ac:dyDescent="0.2">
      <c r="C15" s="118" t="s">
        <v>181</v>
      </c>
      <c r="D15">
        <v>6</v>
      </c>
      <c r="E15">
        <v>4579.2</v>
      </c>
      <c r="F15">
        <v>4</v>
      </c>
      <c r="G15">
        <v>3052.7999999999997</v>
      </c>
      <c r="H15">
        <v>4</v>
      </c>
      <c r="I15">
        <v>3052.7999999999997</v>
      </c>
      <c r="J15">
        <v>7</v>
      </c>
      <c r="K15">
        <v>5342.4</v>
      </c>
      <c r="L15">
        <v>4</v>
      </c>
      <c r="M15">
        <v>3052.7999999999997</v>
      </c>
      <c r="N15">
        <v>5</v>
      </c>
      <c r="O15">
        <v>3815.9999999999995</v>
      </c>
      <c r="P15">
        <v>6</v>
      </c>
      <c r="Q15">
        <v>4579.2</v>
      </c>
      <c r="R15">
        <v>5</v>
      </c>
      <c r="S15">
        <v>3815.9999999999995</v>
      </c>
      <c r="T15">
        <v>7</v>
      </c>
      <c r="U15">
        <v>5342.4</v>
      </c>
      <c r="V15">
        <v>8</v>
      </c>
      <c r="W15">
        <v>6105.5999999999995</v>
      </c>
      <c r="X15">
        <v>8</v>
      </c>
      <c r="Y15">
        <v>6105.5999999999995</v>
      </c>
      <c r="Z15">
        <v>6</v>
      </c>
      <c r="AA15">
        <v>4579.2</v>
      </c>
      <c r="AB15">
        <v>8</v>
      </c>
      <c r="AC15">
        <v>6105.5999999999995</v>
      </c>
      <c r="AD15">
        <v>5</v>
      </c>
      <c r="AE15">
        <v>3815.9999999999995</v>
      </c>
      <c r="AF15">
        <v>5</v>
      </c>
      <c r="AG15">
        <v>3815.9999999999995</v>
      </c>
      <c r="AH15">
        <v>8</v>
      </c>
      <c r="AI15">
        <v>6105.5999999999995</v>
      </c>
      <c r="AJ15">
        <v>4</v>
      </c>
      <c r="AK15">
        <v>3052.7999999999997</v>
      </c>
      <c r="AL15">
        <v>8</v>
      </c>
      <c r="AM15">
        <v>6105.5999999999995</v>
      </c>
      <c r="AN15">
        <v>7</v>
      </c>
      <c r="AO15">
        <v>5342.4</v>
      </c>
      <c r="AP15">
        <v>7</v>
      </c>
      <c r="AQ15">
        <v>5342.4</v>
      </c>
      <c r="AR15">
        <v>7</v>
      </c>
      <c r="AS15">
        <v>5342.4</v>
      </c>
      <c r="AT15">
        <v>8</v>
      </c>
      <c r="AU15">
        <v>6105.5999999999995</v>
      </c>
      <c r="AV15">
        <v>6</v>
      </c>
      <c r="AW15">
        <v>4579.2</v>
      </c>
      <c r="AX15">
        <v>6</v>
      </c>
      <c r="AY15">
        <v>4579.2</v>
      </c>
      <c r="AZ15">
        <v>8</v>
      </c>
      <c r="BA15">
        <v>6105.5999999999995</v>
      </c>
      <c r="BB15">
        <v>7</v>
      </c>
      <c r="BC15">
        <v>5342.4</v>
      </c>
      <c r="BD15">
        <v>9</v>
      </c>
      <c r="BE15">
        <v>6868.7999999999993</v>
      </c>
      <c r="BF15">
        <v>6</v>
      </c>
      <c r="BG15">
        <v>4579.2</v>
      </c>
      <c r="BH15">
        <v>7</v>
      </c>
      <c r="BI15">
        <v>5342.4</v>
      </c>
      <c r="BJ15">
        <v>5</v>
      </c>
      <c r="BK15">
        <v>3815.9999999999995</v>
      </c>
      <c r="BL15">
        <v>6</v>
      </c>
      <c r="BM15">
        <v>4579.2</v>
      </c>
      <c r="BN15">
        <v>7</v>
      </c>
      <c r="BO15">
        <v>5342.4</v>
      </c>
      <c r="BP15">
        <v>8</v>
      </c>
      <c r="BQ15">
        <v>6105.5999999999995</v>
      </c>
      <c r="BR15">
        <v>6</v>
      </c>
      <c r="BS15">
        <v>4579.2</v>
      </c>
      <c r="BT15">
        <v>8</v>
      </c>
      <c r="BU15">
        <v>6105.5999999999995</v>
      </c>
      <c r="BV15">
        <v>9</v>
      </c>
      <c r="BW15">
        <v>6868.7999999999993</v>
      </c>
      <c r="BX15">
        <v>5</v>
      </c>
      <c r="BY15">
        <v>3815.9999999999995</v>
      </c>
      <c r="BZ15">
        <v>6</v>
      </c>
      <c r="CA15">
        <v>4579.2</v>
      </c>
      <c r="CB15">
        <v>5</v>
      </c>
      <c r="CC15">
        <v>3815.9999999999995</v>
      </c>
      <c r="CD15">
        <v>5</v>
      </c>
      <c r="CE15">
        <v>3815.9999999999995</v>
      </c>
      <c r="CF15">
        <v>5</v>
      </c>
      <c r="CG15">
        <v>3815.9999999999995</v>
      </c>
      <c r="CH15">
        <v>9</v>
      </c>
      <c r="CI15">
        <v>6868.7999999999993</v>
      </c>
      <c r="CJ15">
        <v>5</v>
      </c>
      <c r="CK15">
        <v>3815.9999999999995</v>
      </c>
      <c r="CL15">
        <v>6</v>
      </c>
      <c r="CM15">
        <v>4579.2</v>
      </c>
      <c r="CN15">
        <v>8</v>
      </c>
      <c r="CO15">
        <v>6105.5999999999995</v>
      </c>
      <c r="CP15">
        <v>6</v>
      </c>
      <c r="CQ15">
        <v>4579.2</v>
      </c>
      <c r="CR15">
        <v>8</v>
      </c>
      <c r="CS15">
        <v>6105.5999999999995</v>
      </c>
      <c r="CT15">
        <v>7</v>
      </c>
      <c r="CU15">
        <v>5342.4</v>
      </c>
    </row>
    <row r="16" spans="1:99" x14ac:dyDescent="0.2">
      <c r="C16" s="118" t="s">
        <v>182</v>
      </c>
      <c r="D16">
        <v>7</v>
      </c>
      <c r="E16">
        <v>2385.6</v>
      </c>
      <c r="F16">
        <v>5</v>
      </c>
      <c r="G16">
        <v>1704</v>
      </c>
      <c r="H16">
        <v>4</v>
      </c>
      <c r="I16">
        <v>1363.2</v>
      </c>
      <c r="J16">
        <v>8</v>
      </c>
      <c r="K16">
        <v>2726.4</v>
      </c>
      <c r="L16">
        <v>4</v>
      </c>
      <c r="M16">
        <v>1363.2</v>
      </c>
      <c r="N16">
        <v>5</v>
      </c>
      <c r="O16">
        <v>1704</v>
      </c>
      <c r="P16">
        <v>6</v>
      </c>
      <c r="Q16">
        <v>2044.8000000000002</v>
      </c>
      <c r="R16">
        <v>5</v>
      </c>
      <c r="S16">
        <v>1704</v>
      </c>
      <c r="T16">
        <v>7</v>
      </c>
      <c r="U16">
        <v>2385.6</v>
      </c>
      <c r="V16">
        <v>8</v>
      </c>
      <c r="W16">
        <v>2726.4</v>
      </c>
      <c r="X16">
        <v>8</v>
      </c>
      <c r="Y16">
        <v>2726.4</v>
      </c>
      <c r="Z16">
        <v>7</v>
      </c>
      <c r="AA16">
        <v>2385.6</v>
      </c>
      <c r="AB16">
        <v>8</v>
      </c>
      <c r="AC16">
        <v>2726.4</v>
      </c>
      <c r="AD16">
        <v>5</v>
      </c>
      <c r="AE16">
        <v>1704</v>
      </c>
      <c r="AF16">
        <v>6</v>
      </c>
      <c r="AG16">
        <v>2044.8000000000002</v>
      </c>
      <c r="AH16">
        <v>8</v>
      </c>
      <c r="AI16">
        <v>2726.4</v>
      </c>
      <c r="AJ16">
        <v>4</v>
      </c>
      <c r="AK16">
        <v>1363.2</v>
      </c>
      <c r="AL16">
        <v>8</v>
      </c>
      <c r="AM16">
        <v>2726.4</v>
      </c>
      <c r="AN16">
        <v>8</v>
      </c>
      <c r="AO16">
        <v>2726.4</v>
      </c>
      <c r="AP16">
        <v>6</v>
      </c>
      <c r="AQ16">
        <v>2044.8000000000002</v>
      </c>
      <c r="AR16">
        <v>8</v>
      </c>
      <c r="AS16">
        <v>2726.4</v>
      </c>
      <c r="AT16">
        <v>9</v>
      </c>
      <c r="AU16">
        <v>3067.2000000000003</v>
      </c>
      <c r="AV16">
        <v>6</v>
      </c>
      <c r="AW16">
        <v>2044.8000000000002</v>
      </c>
      <c r="AX16">
        <v>8</v>
      </c>
      <c r="AY16">
        <v>2726.4</v>
      </c>
      <c r="AZ16">
        <v>8</v>
      </c>
      <c r="BA16">
        <v>2726.4</v>
      </c>
      <c r="BB16">
        <v>8</v>
      </c>
      <c r="BC16">
        <v>2726.4</v>
      </c>
      <c r="BD16">
        <v>9</v>
      </c>
      <c r="BE16">
        <v>3067.2000000000003</v>
      </c>
      <c r="BF16">
        <v>6</v>
      </c>
      <c r="BG16">
        <v>2044.8000000000002</v>
      </c>
      <c r="BH16">
        <v>8</v>
      </c>
      <c r="BI16">
        <v>2726.4</v>
      </c>
      <c r="BJ16">
        <v>6</v>
      </c>
      <c r="BK16">
        <v>2044.8000000000002</v>
      </c>
      <c r="BL16">
        <v>5</v>
      </c>
      <c r="BM16">
        <v>1704</v>
      </c>
      <c r="BN16">
        <v>7</v>
      </c>
      <c r="BO16">
        <v>2385.6</v>
      </c>
      <c r="BP16">
        <v>9</v>
      </c>
      <c r="BQ16">
        <v>3067.2000000000003</v>
      </c>
      <c r="BR16">
        <v>6</v>
      </c>
      <c r="BS16">
        <v>2044.8000000000002</v>
      </c>
      <c r="BT16">
        <v>8</v>
      </c>
      <c r="BU16">
        <v>2726.4</v>
      </c>
      <c r="BV16">
        <v>8</v>
      </c>
      <c r="BW16">
        <v>2726.4</v>
      </c>
      <c r="BX16">
        <v>5</v>
      </c>
      <c r="BY16">
        <v>1704</v>
      </c>
      <c r="BZ16">
        <v>6</v>
      </c>
      <c r="CA16">
        <v>2044.8000000000002</v>
      </c>
      <c r="CB16">
        <v>5</v>
      </c>
      <c r="CC16">
        <v>1704</v>
      </c>
      <c r="CD16">
        <v>5</v>
      </c>
      <c r="CE16">
        <v>1704</v>
      </c>
      <c r="CF16">
        <v>5</v>
      </c>
      <c r="CG16">
        <v>1704</v>
      </c>
      <c r="CH16">
        <v>9</v>
      </c>
      <c r="CI16">
        <v>3067.2000000000003</v>
      </c>
      <c r="CJ16">
        <v>4</v>
      </c>
      <c r="CK16">
        <v>1363.2</v>
      </c>
      <c r="CL16">
        <v>6</v>
      </c>
      <c r="CM16">
        <v>2044.8000000000002</v>
      </c>
      <c r="CN16">
        <v>8</v>
      </c>
      <c r="CO16">
        <v>2726.4</v>
      </c>
      <c r="CP16">
        <v>7</v>
      </c>
      <c r="CQ16">
        <v>2385.6</v>
      </c>
      <c r="CR16">
        <v>9</v>
      </c>
      <c r="CS16">
        <v>3067.2000000000003</v>
      </c>
      <c r="CT16">
        <v>8</v>
      </c>
      <c r="CU16">
        <v>2726.4</v>
      </c>
    </row>
    <row r="17" spans="2:99" x14ac:dyDescent="0.2">
      <c r="C17" s="118" t="s">
        <v>183</v>
      </c>
      <c r="D17">
        <v>6</v>
      </c>
      <c r="E17">
        <v>2534.3999999999996</v>
      </c>
      <c r="F17">
        <v>5</v>
      </c>
      <c r="G17">
        <v>2112</v>
      </c>
      <c r="H17">
        <v>4</v>
      </c>
      <c r="I17">
        <v>1689.6</v>
      </c>
      <c r="J17">
        <v>7</v>
      </c>
      <c r="K17">
        <v>2956.7999999999997</v>
      </c>
      <c r="L17">
        <v>4</v>
      </c>
      <c r="M17">
        <v>1689.6</v>
      </c>
      <c r="N17">
        <v>5</v>
      </c>
      <c r="O17">
        <v>2112</v>
      </c>
      <c r="P17">
        <v>6</v>
      </c>
      <c r="Q17">
        <v>2534.3999999999996</v>
      </c>
      <c r="R17">
        <v>5</v>
      </c>
      <c r="S17">
        <v>2112</v>
      </c>
      <c r="T17">
        <v>7</v>
      </c>
      <c r="U17">
        <v>2956.7999999999997</v>
      </c>
      <c r="V17">
        <v>8</v>
      </c>
      <c r="W17">
        <v>3379.2</v>
      </c>
      <c r="X17">
        <v>7</v>
      </c>
      <c r="Y17">
        <v>2956.7999999999997</v>
      </c>
      <c r="Z17">
        <v>7</v>
      </c>
      <c r="AA17">
        <v>2956.7999999999997</v>
      </c>
      <c r="AB17">
        <v>8</v>
      </c>
      <c r="AC17">
        <v>3379.2</v>
      </c>
      <c r="AD17">
        <v>6</v>
      </c>
      <c r="AE17">
        <v>2534.3999999999996</v>
      </c>
      <c r="AF17">
        <v>5</v>
      </c>
      <c r="AG17">
        <v>2112</v>
      </c>
      <c r="AH17">
        <v>8</v>
      </c>
      <c r="AI17">
        <v>3379.2</v>
      </c>
      <c r="AJ17">
        <v>5</v>
      </c>
      <c r="AK17">
        <v>2112</v>
      </c>
      <c r="AL17">
        <v>8</v>
      </c>
      <c r="AM17">
        <v>3379.2</v>
      </c>
      <c r="AN17">
        <v>7</v>
      </c>
      <c r="AO17">
        <v>2956.7999999999997</v>
      </c>
      <c r="AP17">
        <v>6</v>
      </c>
      <c r="AQ17">
        <v>2534.3999999999996</v>
      </c>
      <c r="AR17">
        <v>7</v>
      </c>
      <c r="AS17">
        <v>2956.7999999999997</v>
      </c>
      <c r="AT17">
        <v>9</v>
      </c>
      <c r="AU17">
        <v>3801.6</v>
      </c>
      <c r="AV17">
        <v>6</v>
      </c>
      <c r="AW17">
        <v>2534.3999999999996</v>
      </c>
      <c r="AX17">
        <v>7</v>
      </c>
      <c r="AY17">
        <v>2956.7999999999997</v>
      </c>
      <c r="AZ17">
        <v>7</v>
      </c>
      <c r="BA17">
        <v>2956.7999999999997</v>
      </c>
      <c r="BB17">
        <v>6</v>
      </c>
      <c r="BC17">
        <v>2534.3999999999996</v>
      </c>
      <c r="BD17">
        <v>8</v>
      </c>
      <c r="BE17">
        <v>3379.2</v>
      </c>
      <c r="BF17">
        <v>5</v>
      </c>
      <c r="BG17">
        <v>2112</v>
      </c>
      <c r="BH17">
        <v>8</v>
      </c>
      <c r="BI17">
        <v>3379.2</v>
      </c>
      <c r="BJ17">
        <v>6</v>
      </c>
      <c r="BK17">
        <v>2534.3999999999996</v>
      </c>
      <c r="BL17">
        <v>5</v>
      </c>
      <c r="BM17">
        <v>2112</v>
      </c>
      <c r="BN17">
        <v>7</v>
      </c>
      <c r="BO17">
        <v>2956.7999999999997</v>
      </c>
      <c r="BP17">
        <v>9</v>
      </c>
      <c r="BQ17">
        <v>3801.6</v>
      </c>
      <c r="BR17">
        <v>6</v>
      </c>
      <c r="BS17">
        <v>2534.3999999999996</v>
      </c>
      <c r="BT17">
        <v>7</v>
      </c>
      <c r="BU17">
        <v>2956.7999999999997</v>
      </c>
      <c r="BV17">
        <v>8</v>
      </c>
      <c r="BW17">
        <v>3379.2</v>
      </c>
      <c r="BX17">
        <v>5</v>
      </c>
      <c r="BY17">
        <v>2112</v>
      </c>
      <c r="BZ17">
        <v>6</v>
      </c>
      <c r="CA17">
        <v>2534.3999999999996</v>
      </c>
      <c r="CB17">
        <v>5</v>
      </c>
      <c r="CC17">
        <v>2112</v>
      </c>
      <c r="CD17">
        <v>5</v>
      </c>
      <c r="CE17">
        <v>2112</v>
      </c>
      <c r="CF17">
        <v>5</v>
      </c>
      <c r="CG17">
        <v>2112</v>
      </c>
      <c r="CH17">
        <v>9</v>
      </c>
      <c r="CI17">
        <v>3801.6</v>
      </c>
      <c r="CJ17">
        <v>5</v>
      </c>
      <c r="CK17">
        <v>2112</v>
      </c>
      <c r="CL17">
        <v>6</v>
      </c>
      <c r="CM17">
        <v>2534.3999999999996</v>
      </c>
      <c r="CN17">
        <v>7</v>
      </c>
      <c r="CO17">
        <v>2956.7999999999997</v>
      </c>
      <c r="CP17">
        <v>7</v>
      </c>
      <c r="CQ17">
        <v>2956.7999999999997</v>
      </c>
      <c r="CR17">
        <v>8</v>
      </c>
      <c r="CS17">
        <v>3379.2</v>
      </c>
      <c r="CT17">
        <v>8</v>
      </c>
      <c r="CU17">
        <v>3379.2</v>
      </c>
    </row>
    <row r="18" spans="2:99" x14ac:dyDescent="0.2">
      <c r="C18" s="118" t="s">
        <v>184</v>
      </c>
      <c r="D18">
        <v>7</v>
      </c>
      <c r="E18">
        <v>4569.5999999999995</v>
      </c>
      <c r="F18">
        <v>5</v>
      </c>
      <c r="G18">
        <v>3264</v>
      </c>
      <c r="H18">
        <v>5</v>
      </c>
      <c r="I18">
        <v>3264</v>
      </c>
      <c r="J18">
        <v>7</v>
      </c>
      <c r="K18">
        <v>4569.5999999999995</v>
      </c>
      <c r="L18">
        <v>4</v>
      </c>
      <c r="M18">
        <v>2611.1999999999998</v>
      </c>
      <c r="N18">
        <v>5</v>
      </c>
      <c r="O18">
        <v>3264</v>
      </c>
      <c r="P18">
        <v>6</v>
      </c>
      <c r="Q18">
        <v>3916.7999999999997</v>
      </c>
      <c r="R18">
        <v>5</v>
      </c>
      <c r="S18">
        <v>3264</v>
      </c>
      <c r="T18">
        <v>6</v>
      </c>
      <c r="U18">
        <v>3916.7999999999997</v>
      </c>
      <c r="V18">
        <v>8</v>
      </c>
      <c r="W18">
        <v>5222.3999999999996</v>
      </c>
      <c r="X18">
        <v>8</v>
      </c>
      <c r="Y18">
        <v>5222.3999999999996</v>
      </c>
      <c r="Z18">
        <v>7</v>
      </c>
      <c r="AA18">
        <v>4569.5999999999995</v>
      </c>
      <c r="AB18">
        <v>7</v>
      </c>
      <c r="AC18">
        <v>4569.5999999999995</v>
      </c>
      <c r="AD18">
        <v>6</v>
      </c>
      <c r="AE18">
        <v>3916.7999999999997</v>
      </c>
      <c r="AF18">
        <v>6</v>
      </c>
      <c r="AG18">
        <v>3916.7999999999997</v>
      </c>
      <c r="AH18">
        <v>7</v>
      </c>
      <c r="AI18">
        <v>4569.5999999999995</v>
      </c>
      <c r="AJ18">
        <v>4</v>
      </c>
      <c r="AK18">
        <v>2611.1999999999998</v>
      </c>
      <c r="AL18">
        <v>8</v>
      </c>
      <c r="AM18">
        <v>5222.3999999999996</v>
      </c>
      <c r="AN18">
        <v>7</v>
      </c>
      <c r="AO18">
        <v>4569.5999999999995</v>
      </c>
      <c r="AP18">
        <v>6</v>
      </c>
      <c r="AQ18">
        <v>3916.7999999999997</v>
      </c>
      <c r="AR18">
        <v>9</v>
      </c>
      <c r="AS18">
        <v>5875.2</v>
      </c>
      <c r="AT18">
        <v>9</v>
      </c>
      <c r="AU18">
        <v>5875.2</v>
      </c>
      <c r="AV18">
        <v>6</v>
      </c>
      <c r="AW18">
        <v>3916.7999999999997</v>
      </c>
      <c r="AX18">
        <v>7</v>
      </c>
      <c r="AY18">
        <v>4569.5999999999995</v>
      </c>
      <c r="AZ18">
        <v>7</v>
      </c>
      <c r="BA18">
        <v>4569.5999999999995</v>
      </c>
      <c r="BB18">
        <v>7</v>
      </c>
      <c r="BC18">
        <v>4569.5999999999995</v>
      </c>
      <c r="BD18">
        <v>7</v>
      </c>
      <c r="BE18">
        <v>4569.5999999999995</v>
      </c>
      <c r="BF18">
        <v>6</v>
      </c>
      <c r="BG18">
        <v>3916.7999999999997</v>
      </c>
      <c r="BH18">
        <v>8</v>
      </c>
      <c r="BI18">
        <v>5222.3999999999996</v>
      </c>
      <c r="BJ18">
        <v>7</v>
      </c>
      <c r="BK18">
        <v>4569.5999999999995</v>
      </c>
      <c r="BL18">
        <v>5</v>
      </c>
      <c r="BM18">
        <v>3264</v>
      </c>
      <c r="BN18">
        <v>7</v>
      </c>
      <c r="BO18">
        <v>4569.5999999999995</v>
      </c>
      <c r="BP18">
        <v>8</v>
      </c>
      <c r="BQ18">
        <v>5222.3999999999996</v>
      </c>
      <c r="BR18">
        <v>6</v>
      </c>
      <c r="BS18">
        <v>3916.7999999999997</v>
      </c>
      <c r="BT18">
        <v>7</v>
      </c>
      <c r="BU18">
        <v>4569.5999999999995</v>
      </c>
      <c r="BV18">
        <v>9</v>
      </c>
      <c r="BW18">
        <v>5875.2</v>
      </c>
      <c r="BX18">
        <v>5</v>
      </c>
      <c r="BY18">
        <v>3264</v>
      </c>
      <c r="BZ18">
        <v>5</v>
      </c>
      <c r="CA18">
        <v>3264</v>
      </c>
      <c r="CB18">
        <v>5</v>
      </c>
      <c r="CC18">
        <v>3264</v>
      </c>
      <c r="CD18">
        <v>5</v>
      </c>
      <c r="CE18">
        <v>3264</v>
      </c>
      <c r="CF18">
        <v>5</v>
      </c>
      <c r="CG18">
        <v>3264</v>
      </c>
      <c r="CH18">
        <v>9</v>
      </c>
      <c r="CI18">
        <v>5875.2</v>
      </c>
      <c r="CJ18">
        <v>5</v>
      </c>
      <c r="CK18">
        <v>3264</v>
      </c>
      <c r="CL18">
        <v>6</v>
      </c>
      <c r="CM18">
        <v>3916.7999999999997</v>
      </c>
      <c r="CN18">
        <v>7</v>
      </c>
      <c r="CO18">
        <v>4569.5999999999995</v>
      </c>
      <c r="CP18">
        <v>6</v>
      </c>
      <c r="CQ18">
        <v>3916.7999999999997</v>
      </c>
      <c r="CR18">
        <v>9</v>
      </c>
      <c r="CS18">
        <v>5875.2</v>
      </c>
      <c r="CT18">
        <v>8</v>
      </c>
      <c r="CU18">
        <v>5222.3999999999996</v>
      </c>
    </row>
    <row r="19" spans="2:99" x14ac:dyDescent="0.2">
      <c r="C19" s="118" t="s">
        <v>185</v>
      </c>
      <c r="D19">
        <v>7</v>
      </c>
      <c r="E19">
        <v>2310</v>
      </c>
      <c r="F19">
        <v>5</v>
      </c>
      <c r="G19">
        <v>1650</v>
      </c>
      <c r="H19">
        <v>5</v>
      </c>
      <c r="I19">
        <v>1650</v>
      </c>
      <c r="J19">
        <v>7</v>
      </c>
      <c r="K19">
        <v>2310</v>
      </c>
      <c r="L19">
        <v>4</v>
      </c>
      <c r="M19">
        <v>1320</v>
      </c>
      <c r="N19">
        <v>5</v>
      </c>
      <c r="O19">
        <v>1650</v>
      </c>
      <c r="P19">
        <v>6</v>
      </c>
      <c r="Q19">
        <v>1980</v>
      </c>
      <c r="R19">
        <v>6</v>
      </c>
      <c r="S19">
        <v>1980</v>
      </c>
      <c r="T19">
        <v>7</v>
      </c>
      <c r="U19">
        <v>2310</v>
      </c>
      <c r="V19">
        <v>7</v>
      </c>
      <c r="W19">
        <v>2310</v>
      </c>
      <c r="X19">
        <v>8</v>
      </c>
      <c r="Y19">
        <v>2640</v>
      </c>
      <c r="Z19">
        <v>7</v>
      </c>
      <c r="AA19">
        <v>2310</v>
      </c>
      <c r="AB19">
        <v>7</v>
      </c>
      <c r="AC19">
        <v>2310</v>
      </c>
      <c r="AD19">
        <v>6</v>
      </c>
      <c r="AE19">
        <v>1980</v>
      </c>
      <c r="AF19">
        <v>5</v>
      </c>
      <c r="AG19">
        <v>1650</v>
      </c>
      <c r="AH19">
        <v>8</v>
      </c>
      <c r="AI19">
        <v>2640</v>
      </c>
      <c r="AJ19">
        <v>5</v>
      </c>
      <c r="AK19">
        <v>1650</v>
      </c>
      <c r="AL19">
        <v>8</v>
      </c>
      <c r="AM19">
        <v>2640</v>
      </c>
      <c r="AN19">
        <v>8</v>
      </c>
      <c r="AO19">
        <v>2640</v>
      </c>
      <c r="AP19">
        <v>7</v>
      </c>
      <c r="AQ19">
        <v>2310</v>
      </c>
      <c r="AR19">
        <v>8</v>
      </c>
      <c r="AS19">
        <v>2640</v>
      </c>
      <c r="AT19">
        <v>8</v>
      </c>
      <c r="AU19">
        <v>2640</v>
      </c>
      <c r="AV19">
        <v>6</v>
      </c>
      <c r="AW19">
        <v>1980</v>
      </c>
      <c r="AX19">
        <v>7</v>
      </c>
      <c r="AY19">
        <v>2310</v>
      </c>
      <c r="AZ19">
        <v>7</v>
      </c>
      <c r="BA19">
        <v>2310</v>
      </c>
      <c r="BB19">
        <v>8</v>
      </c>
      <c r="BC19">
        <v>2640</v>
      </c>
      <c r="BD19">
        <v>8</v>
      </c>
      <c r="BE19">
        <v>2640</v>
      </c>
      <c r="BF19">
        <v>6</v>
      </c>
      <c r="BG19">
        <v>1980</v>
      </c>
      <c r="BH19">
        <v>7</v>
      </c>
      <c r="BI19">
        <v>2310</v>
      </c>
      <c r="BJ19">
        <v>6</v>
      </c>
      <c r="BK19">
        <v>1980</v>
      </c>
      <c r="BL19">
        <v>5</v>
      </c>
      <c r="BM19">
        <v>1650</v>
      </c>
      <c r="BN19">
        <v>7</v>
      </c>
      <c r="BO19">
        <v>2310</v>
      </c>
      <c r="BP19">
        <v>10</v>
      </c>
      <c r="BQ19">
        <v>3300</v>
      </c>
      <c r="BR19">
        <v>7</v>
      </c>
      <c r="BS19">
        <v>2310</v>
      </c>
      <c r="BT19">
        <v>8</v>
      </c>
      <c r="BU19">
        <v>2640</v>
      </c>
      <c r="BV19">
        <v>9</v>
      </c>
      <c r="BW19">
        <v>2970</v>
      </c>
      <c r="BX19">
        <v>5</v>
      </c>
      <c r="BY19">
        <v>1650</v>
      </c>
      <c r="BZ19">
        <v>6</v>
      </c>
      <c r="CA19">
        <v>1980</v>
      </c>
      <c r="CB19">
        <v>5</v>
      </c>
      <c r="CC19">
        <v>1650</v>
      </c>
      <c r="CD19">
        <v>5</v>
      </c>
      <c r="CE19">
        <v>1650</v>
      </c>
      <c r="CF19">
        <v>5</v>
      </c>
      <c r="CG19">
        <v>1650</v>
      </c>
      <c r="CH19">
        <v>9</v>
      </c>
      <c r="CI19">
        <v>2970</v>
      </c>
      <c r="CJ19">
        <v>5</v>
      </c>
      <c r="CK19">
        <v>1650</v>
      </c>
      <c r="CL19">
        <v>6</v>
      </c>
      <c r="CM19">
        <v>1980</v>
      </c>
      <c r="CN19">
        <v>8</v>
      </c>
      <c r="CO19">
        <v>2640</v>
      </c>
      <c r="CP19">
        <v>7</v>
      </c>
      <c r="CQ19">
        <v>2310</v>
      </c>
      <c r="CR19">
        <v>9</v>
      </c>
      <c r="CS19">
        <v>2970</v>
      </c>
      <c r="CT19">
        <v>9</v>
      </c>
      <c r="CU19">
        <v>2970</v>
      </c>
    </row>
    <row r="20" spans="2:99" x14ac:dyDescent="0.2">
      <c r="B20" s="118" t="s">
        <v>127</v>
      </c>
      <c r="C20" s="118" t="s">
        <v>186</v>
      </c>
      <c r="D20">
        <v>13</v>
      </c>
      <c r="E20">
        <v>3728.4</v>
      </c>
      <c r="F20">
        <v>14</v>
      </c>
      <c r="G20">
        <v>4015.2000000000003</v>
      </c>
      <c r="H20">
        <v>15</v>
      </c>
      <c r="I20">
        <v>4302</v>
      </c>
      <c r="J20">
        <v>10</v>
      </c>
      <c r="K20">
        <v>2868</v>
      </c>
      <c r="L20">
        <v>20</v>
      </c>
      <c r="M20">
        <v>5736</v>
      </c>
      <c r="N20">
        <v>15</v>
      </c>
      <c r="O20">
        <v>4302</v>
      </c>
      <c r="P20">
        <v>16</v>
      </c>
      <c r="Q20">
        <v>4588.8</v>
      </c>
      <c r="R20">
        <v>13</v>
      </c>
      <c r="S20">
        <v>3728.4</v>
      </c>
      <c r="T20">
        <v>15</v>
      </c>
      <c r="U20">
        <v>4302</v>
      </c>
      <c r="V20">
        <v>9</v>
      </c>
      <c r="W20">
        <v>2581.2000000000003</v>
      </c>
      <c r="X20">
        <v>11</v>
      </c>
      <c r="Y20">
        <v>3154.8</v>
      </c>
      <c r="Z20">
        <v>18</v>
      </c>
      <c r="AA20">
        <v>5162.4000000000005</v>
      </c>
      <c r="AB20">
        <v>16</v>
      </c>
      <c r="AC20">
        <v>4588.8</v>
      </c>
      <c r="AD20">
        <v>13</v>
      </c>
      <c r="AE20">
        <v>3728.4</v>
      </c>
      <c r="AF20">
        <v>19</v>
      </c>
      <c r="AG20">
        <v>5449.2</v>
      </c>
      <c r="AH20">
        <v>11</v>
      </c>
      <c r="AI20">
        <v>3154.8</v>
      </c>
      <c r="AJ20">
        <v>12</v>
      </c>
      <c r="AK20">
        <v>3441.6000000000004</v>
      </c>
      <c r="AL20">
        <v>12</v>
      </c>
      <c r="AM20">
        <v>3441.6000000000004</v>
      </c>
      <c r="AN20">
        <v>19</v>
      </c>
      <c r="AO20">
        <v>5449.2</v>
      </c>
      <c r="AP20">
        <v>14</v>
      </c>
      <c r="AQ20">
        <v>4015.2000000000003</v>
      </c>
      <c r="AR20">
        <v>17</v>
      </c>
      <c r="AS20">
        <v>4875.6000000000004</v>
      </c>
      <c r="AT20">
        <v>11</v>
      </c>
      <c r="AU20">
        <v>3154.8</v>
      </c>
      <c r="AV20">
        <v>13</v>
      </c>
      <c r="AW20">
        <v>3728.4</v>
      </c>
      <c r="AX20">
        <v>11</v>
      </c>
      <c r="AY20">
        <v>3154.8</v>
      </c>
      <c r="AZ20">
        <v>11</v>
      </c>
      <c r="BA20">
        <v>3154.8</v>
      </c>
      <c r="BB20">
        <v>12</v>
      </c>
      <c r="BC20">
        <v>3441.6000000000004</v>
      </c>
      <c r="BD20">
        <v>17</v>
      </c>
      <c r="BE20">
        <v>4875.6000000000004</v>
      </c>
      <c r="BF20">
        <v>18</v>
      </c>
      <c r="BG20">
        <v>5162.4000000000005</v>
      </c>
      <c r="BH20">
        <v>18</v>
      </c>
      <c r="BI20">
        <v>5162.4000000000005</v>
      </c>
      <c r="BJ20">
        <v>19</v>
      </c>
      <c r="BK20">
        <v>5449.2</v>
      </c>
      <c r="BL20">
        <v>14</v>
      </c>
      <c r="BM20">
        <v>4015.2000000000003</v>
      </c>
      <c r="BN20">
        <v>18</v>
      </c>
      <c r="BO20">
        <v>5162.4000000000005</v>
      </c>
      <c r="BP20">
        <v>19</v>
      </c>
      <c r="BQ20">
        <v>5449.2</v>
      </c>
      <c r="BR20">
        <v>17</v>
      </c>
      <c r="BS20">
        <v>4875.6000000000004</v>
      </c>
      <c r="BT20">
        <v>11</v>
      </c>
      <c r="BU20">
        <v>3154.8</v>
      </c>
      <c r="BV20">
        <v>17</v>
      </c>
      <c r="BW20">
        <v>4875.6000000000004</v>
      </c>
      <c r="BX20">
        <v>13</v>
      </c>
      <c r="BY20">
        <v>3728.4</v>
      </c>
      <c r="BZ20">
        <v>15</v>
      </c>
      <c r="CA20">
        <v>4302</v>
      </c>
      <c r="CB20">
        <v>11</v>
      </c>
      <c r="CC20">
        <v>3154.8</v>
      </c>
      <c r="CD20">
        <v>17</v>
      </c>
      <c r="CE20">
        <v>4875.6000000000004</v>
      </c>
      <c r="CF20">
        <v>21</v>
      </c>
      <c r="CG20">
        <v>6022.8</v>
      </c>
      <c r="CH20">
        <v>19</v>
      </c>
      <c r="CI20">
        <v>5449.2</v>
      </c>
      <c r="CJ20">
        <v>11</v>
      </c>
      <c r="CK20">
        <v>3154.8</v>
      </c>
      <c r="CL20">
        <v>19</v>
      </c>
      <c r="CM20">
        <v>5449.2</v>
      </c>
      <c r="CN20">
        <v>15</v>
      </c>
      <c r="CO20">
        <v>4302</v>
      </c>
      <c r="CP20">
        <v>12</v>
      </c>
      <c r="CQ20">
        <v>3441.6000000000004</v>
      </c>
      <c r="CR20">
        <v>16</v>
      </c>
      <c r="CS20">
        <v>4588.8</v>
      </c>
      <c r="CT20">
        <v>16</v>
      </c>
      <c r="CU20">
        <v>4588.8</v>
      </c>
    </row>
    <row r="21" spans="2:99" x14ac:dyDescent="0.2">
      <c r="C21" s="118" t="s">
        <v>187</v>
      </c>
      <c r="D21">
        <v>13</v>
      </c>
      <c r="E21">
        <v>811.19999999999993</v>
      </c>
      <c r="F21">
        <v>14</v>
      </c>
      <c r="G21">
        <v>873.6</v>
      </c>
      <c r="H21">
        <v>16</v>
      </c>
      <c r="I21">
        <v>998.4</v>
      </c>
      <c r="J21">
        <v>10</v>
      </c>
      <c r="K21">
        <v>624</v>
      </c>
      <c r="L21">
        <v>17</v>
      </c>
      <c r="M21">
        <v>1060.8</v>
      </c>
      <c r="N21">
        <v>15</v>
      </c>
      <c r="O21">
        <v>936</v>
      </c>
      <c r="P21">
        <v>17</v>
      </c>
      <c r="Q21">
        <v>1060.8</v>
      </c>
      <c r="R21">
        <v>16</v>
      </c>
      <c r="S21">
        <v>998.4</v>
      </c>
      <c r="T21">
        <v>15</v>
      </c>
      <c r="U21">
        <v>936</v>
      </c>
      <c r="V21">
        <v>10</v>
      </c>
      <c r="W21">
        <v>624</v>
      </c>
      <c r="X21">
        <v>13</v>
      </c>
      <c r="Y21">
        <v>811.19999999999993</v>
      </c>
      <c r="Z21">
        <v>18</v>
      </c>
      <c r="AA21">
        <v>1123.2</v>
      </c>
      <c r="AB21">
        <v>16</v>
      </c>
      <c r="AC21">
        <v>998.4</v>
      </c>
      <c r="AD21">
        <v>12</v>
      </c>
      <c r="AE21">
        <v>748.8</v>
      </c>
      <c r="AF21">
        <v>19</v>
      </c>
      <c r="AG21">
        <v>1185.5999999999999</v>
      </c>
      <c r="AH21">
        <v>10</v>
      </c>
      <c r="AI21">
        <v>624</v>
      </c>
      <c r="AJ21">
        <v>11</v>
      </c>
      <c r="AK21">
        <v>686.4</v>
      </c>
      <c r="AL21">
        <v>11</v>
      </c>
      <c r="AM21">
        <v>686.4</v>
      </c>
      <c r="AN21">
        <v>20</v>
      </c>
      <c r="AO21">
        <v>1248</v>
      </c>
      <c r="AP21">
        <v>16</v>
      </c>
      <c r="AQ21">
        <v>998.4</v>
      </c>
      <c r="AR21">
        <v>17</v>
      </c>
      <c r="AS21">
        <v>1060.8</v>
      </c>
      <c r="AT21">
        <v>11</v>
      </c>
      <c r="AU21">
        <v>686.4</v>
      </c>
      <c r="AV21">
        <v>14</v>
      </c>
      <c r="AW21">
        <v>873.6</v>
      </c>
      <c r="AX21">
        <v>11</v>
      </c>
      <c r="AY21">
        <v>686.4</v>
      </c>
      <c r="AZ21">
        <v>12</v>
      </c>
      <c r="BA21">
        <v>748.8</v>
      </c>
      <c r="BB21">
        <v>11</v>
      </c>
      <c r="BC21">
        <v>686.4</v>
      </c>
      <c r="BD21">
        <v>17</v>
      </c>
      <c r="BE21">
        <v>1060.8</v>
      </c>
      <c r="BF21">
        <v>17</v>
      </c>
      <c r="BG21">
        <v>1060.8</v>
      </c>
      <c r="BH21">
        <v>17</v>
      </c>
      <c r="BI21">
        <v>1060.8</v>
      </c>
      <c r="BJ21">
        <v>19</v>
      </c>
      <c r="BK21">
        <v>1185.5999999999999</v>
      </c>
      <c r="BL21">
        <v>16</v>
      </c>
      <c r="BM21">
        <v>998.4</v>
      </c>
      <c r="BN21">
        <v>20</v>
      </c>
      <c r="BO21">
        <v>1248</v>
      </c>
      <c r="BP21">
        <v>20</v>
      </c>
      <c r="BQ21">
        <v>1248</v>
      </c>
      <c r="BR21">
        <v>16</v>
      </c>
      <c r="BS21">
        <v>998.4</v>
      </c>
      <c r="BT21">
        <v>12</v>
      </c>
      <c r="BU21">
        <v>748.8</v>
      </c>
      <c r="BV21">
        <v>20</v>
      </c>
      <c r="BW21">
        <v>1248</v>
      </c>
      <c r="BX21">
        <v>12</v>
      </c>
      <c r="BY21">
        <v>748.8</v>
      </c>
      <c r="BZ21">
        <v>15</v>
      </c>
      <c r="CA21">
        <v>936</v>
      </c>
      <c r="CB21">
        <v>12</v>
      </c>
      <c r="CC21">
        <v>748.8</v>
      </c>
      <c r="CD21">
        <v>15</v>
      </c>
      <c r="CE21">
        <v>936</v>
      </c>
      <c r="CF21">
        <v>20</v>
      </c>
      <c r="CG21">
        <v>1248</v>
      </c>
      <c r="CH21">
        <v>20</v>
      </c>
      <c r="CI21">
        <v>1248</v>
      </c>
      <c r="CJ21">
        <v>11</v>
      </c>
      <c r="CK21">
        <v>686.4</v>
      </c>
      <c r="CL21">
        <v>20</v>
      </c>
      <c r="CM21">
        <v>1248</v>
      </c>
      <c r="CN21">
        <v>16</v>
      </c>
      <c r="CO21">
        <v>998.4</v>
      </c>
      <c r="CP21">
        <v>11</v>
      </c>
      <c r="CQ21">
        <v>686.4</v>
      </c>
      <c r="CR21">
        <v>17</v>
      </c>
      <c r="CS21">
        <v>1060.8</v>
      </c>
      <c r="CT21">
        <v>19</v>
      </c>
      <c r="CU21">
        <v>1185.5999999999999</v>
      </c>
    </row>
    <row r="22" spans="2:99" x14ac:dyDescent="0.2">
      <c r="C22" s="118" t="s">
        <v>188</v>
      </c>
      <c r="D22">
        <v>13</v>
      </c>
      <c r="E22">
        <v>2433.6</v>
      </c>
      <c r="F22">
        <v>13</v>
      </c>
      <c r="G22">
        <v>2433.6</v>
      </c>
      <c r="H22">
        <v>16</v>
      </c>
      <c r="I22">
        <v>2995.2</v>
      </c>
      <c r="J22">
        <v>10</v>
      </c>
      <c r="K22">
        <v>1872</v>
      </c>
      <c r="L22">
        <v>19</v>
      </c>
      <c r="M22">
        <v>3556.7999999999997</v>
      </c>
      <c r="N22">
        <v>15</v>
      </c>
      <c r="O22">
        <v>2808</v>
      </c>
      <c r="P22">
        <v>17</v>
      </c>
      <c r="Q22">
        <v>3182.3999999999996</v>
      </c>
      <c r="R22">
        <v>14</v>
      </c>
      <c r="S22">
        <v>2620.7999999999997</v>
      </c>
      <c r="T22">
        <v>13</v>
      </c>
      <c r="U22">
        <v>2433.6</v>
      </c>
      <c r="V22">
        <v>11</v>
      </c>
      <c r="W22">
        <v>2059.1999999999998</v>
      </c>
      <c r="X22">
        <v>12</v>
      </c>
      <c r="Y22">
        <v>2246.3999999999996</v>
      </c>
      <c r="Z22">
        <v>19</v>
      </c>
      <c r="AA22">
        <v>3556.7999999999997</v>
      </c>
      <c r="AB22">
        <v>18</v>
      </c>
      <c r="AC22">
        <v>3369.6</v>
      </c>
      <c r="AD22">
        <v>12</v>
      </c>
      <c r="AE22">
        <v>2246.3999999999996</v>
      </c>
      <c r="AF22">
        <v>21</v>
      </c>
      <c r="AG22">
        <v>3931.2</v>
      </c>
      <c r="AH22">
        <v>11</v>
      </c>
      <c r="AI22">
        <v>2059.1999999999998</v>
      </c>
      <c r="AJ22">
        <v>12</v>
      </c>
      <c r="AK22">
        <v>2246.3999999999996</v>
      </c>
      <c r="AL22">
        <v>13</v>
      </c>
      <c r="AM22">
        <v>2433.6</v>
      </c>
      <c r="AN22">
        <v>18</v>
      </c>
      <c r="AO22">
        <v>3369.6</v>
      </c>
      <c r="AP22">
        <v>15</v>
      </c>
      <c r="AQ22">
        <v>2808</v>
      </c>
      <c r="AR22">
        <v>18</v>
      </c>
      <c r="AS22">
        <v>3369.6</v>
      </c>
      <c r="AT22">
        <v>11</v>
      </c>
      <c r="AU22">
        <v>2059.1999999999998</v>
      </c>
      <c r="AV22">
        <v>14</v>
      </c>
      <c r="AW22">
        <v>2620.7999999999997</v>
      </c>
      <c r="AX22">
        <v>12</v>
      </c>
      <c r="AY22">
        <v>2246.3999999999996</v>
      </c>
      <c r="AZ22">
        <v>13</v>
      </c>
      <c r="BA22">
        <v>2433.6</v>
      </c>
      <c r="BB22">
        <v>11</v>
      </c>
      <c r="BC22">
        <v>2059.1999999999998</v>
      </c>
      <c r="BD22">
        <v>16</v>
      </c>
      <c r="BE22">
        <v>2995.2</v>
      </c>
      <c r="BF22">
        <v>18</v>
      </c>
      <c r="BG22">
        <v>3369.6</v>
      </c>
      <c r="BH22">
        <v>18</v>
      </c>
      <c r="BI22">
        <v>3369.6</v>
      </c>
      <c r="BJ22">
        <v>21</v>
      </c>
      <c r="BK22">
        <v>3931.2</v>
      </c>
      <c r="BL22">
        <v>14</v>
      </c>
      <c r="BM22">
        <v>2620.7999999999997</v>
      </c>
      <c r="BN22">
        <v>17</v>
      </c>
      <c r="BO22">
        <v>3182.3999999999996</v>
      </c>
      <c r="BP22">
        <v>19</v>
      </c>
      <c r="BQ22">
        <v>3556.7999999999997</v>
      </c>
      <c r="BR22">
        <v>16</v>
      </c>
      <c r="BS22">
        <v>2995.2</v>
      </c>
      <c r="BT22">
        <v>11</v>
      </c>
      <c r="BU22">
        <v>2059.1999999999998</v>
      </c>
      <c r="BV22">
        <v>18</v>
      </c>
      <c r="BW22">
        <v>3369.6</v>
      </c>
      <c r="BX22">
        <v>12</v>
      </c>
      <c r="BY22">
        <v>2246.3999999999996</v>
      </c>
      <c r="BZ22">
        <v>16</v>
      </c>
      <c r="CA22">
        <v>2995.2</v>
      </c>
      <c r="CB22">
        <v>12</v>
      </c>
      <c r="CC22">
        <v>2246.3999999999996</v>
      </c>
      <c r="CD22">
        <v>16</v>
      </c>
      <c r="CE22">
        <v>2995.2</v>
      </c>
      <c r="CF22">
        <v>20</v>
      </c>
      <c r="CG22">
        <v>3744</v>
      </c>
      <c r="CH22">
        <v>17</v>
      </c>
      <c r="CI22">
        <v>3182.3999999999996</v>
      </c>
      <c r="CJ22">
        <v>10</v>
      </c>
      <c r="CK22">
        <v>1872</v>
      </c>
      <c r="CL22">
        <v>20</v>
      </c>
      <c r="CM22">
        <v>3744</v>
      </c>
      <c r="CN22">
        <v>14</v>
      </c>
      <c r="CO22">
        <v>2620.7999999999997</v>
      </c>
      <c r="CP22">
        <v>13</v>
      </c>
      <c r="CQ22">
        <v>2433.6</v>
      </c>
      <c r="CR22">
        <v>17</v>
      </c>
      <c r="CS22">
        <v>3182.3999999999996</v>
      </c>
      <c r="CT22">
        <v>16</v>
      </c>
      <c r="CU22">
        <v>2995.2</v>
      </c>
    </row>
    <row r="23" spans="2:99" x14ac:dyDescent="0.2">
      <c r="C23" s="118" t="s">
        <v>189</v>
      </c>
      <c r="D23">
        <v>13</v>
      </c>
      <c r="E23">
        <v>3822</v>
      </c>
      <c r="F23">
        <v>13</v>
      </c>
      <c r="G23">
        <v>3822</v>
      </c>
      <c r="H23">
        <v>14</v>
      </c>
      <c r="I23">
        <v>4116</v>
      </c>
      <c r="J23">
        <v>10</v>
      </c>
      <c r="K23">
        <v>2940</v>
      </c>
      <c r="L23">
        <v>18</v>
      </c>
      <c r="M23">
        <v>5292</v>
      </c>
      <c r="N23">
        <v>14</v>
      </c>
      <c r="O23">
        <v>4116</v>
      </c>
      <c r="P23">
        <v>17</v>
      </c>
      <c r="Q23">
        <v>4998</v>
      </c>
      <c r="R23">
        <v>13</v>
      </c>
      <c r="S23">
        <v>3822</v>
      </c>
      <c r="T23">
        <v>13</v>
      </c>
      <c r="U23">
        <v>3822</v>
      </c>
      <c r="V23">
        <v>9</v>
      </c>
      <c r="W23">
        <v>2646</v>
      </c>
      <c r="X23">
        <v>12</v>
      </c>
      <c r="Y23">
        <v>3528</v>
      </c>
      <c r="Z23">
        <v>20</v>
      </c>
      <c r="AA23">
        <v>5880</v>
      </c>
      <c r="AB23">
        <v>16</v>
      </c>
      <c r="AC23">
        <v>4704</v>
      </c>
      <c r="AD23">
        <v>12</v>
      </c>
      <c r="AE23">
        <v>3528</v>
      </c>
      <c r="AF23">
        <v>18</v>
      </c>
      <c r="AG23">
        <v>5292</v>
      </c>
      <c r="AH23">
        <v>11</v>
      </c>
      <c r="AI23">
        <v>3234</v>
      </c>
      <c r="AJ23">
        <v>11</v>
      </c>
      <c r="AK23">
        <v>3234</v>
      </c>
      <c r="AL23">
        <v>13</v>
      </c>
      <c r="AM23">
        <v>3822</v>
      </c>
      <c r="AN23">
        <v>19</v>
      </c>
      <c r="AO23">
        <v>5586</v>
      </c>
      <c r="AP23">
        <v>15</v>
      </c>
      <c r="AQ23">
        <v>4410</v>
      </c>
      <c r="AR23">
        <v>17</v>
      </c>
      <c r="AS23">
        <v>4998</v>
      </c>
      <c r="AT23">
        <v>12</v>
      </c>
      <c r="AU23">
        <v>3528</v>
      </c>
      <c r="AV23">
        <v>13</v>
      </c>
      <c r="AW23">
        <v>3822</v>
      </c>
      <c r="AX23">
        <v>10</v>
      </c>
      <c r="AY23">
        <v>2940</v>
      </c>
      <c r="AZ23">
        <v>12</v>
      </c>
      <c r="BA23">
        <v>3528</v>
      </c>
      <c r="BB23">
        <v>12</v>
      </c>
      <c r="BC23">
        <v>3528</v>
      </c>
      <c r="BD23">
        <v>16</v>
      </c>
      <c r="BE23">
        <v>4704</v>
      </c>
      <c r="BF23">
        <v>16</v>
      </c>
      <c r="BG23">
        <v>4704</v>
      </c>
      <c r="BH23">
        <v>17</v>
      </c>
      <c r="BI23">
        <v>4998</v>
      </c>
      <c r="BJ23">
        <v>20</v>
      </c>
      <c r="BK23">
        <v>5880</v>
      </c>
      <c r="BL23">
        <v>17</v>
      </c>
      <c r="BM23">
        <v>4998</v>
      </c>
      <c r="BN23">
        <v>18</v>
      </c>
      <c r="BO23">
        <v>5292</v>
      </c>
      <c r="BP23">
        <v>17</v>
      </c>
      <c r="BQ23">
        <v>4998</v>
      </c>
      <c r="BR23">
        <v>15</v>
      </c>
      <c r="BS23">
        <v>4410</v>
      </c>
      <c r="BT23">
        <v>12</v>
      </c>
      <c r="BU23">
        <v>3528</v>
      </c>
      <c r="BV23">
        <v>20</v>
      </c>
      <c r="BW23">
        <v>5880</v>
      </c>
      <c r="BX23">
        <v>13</v>
      </c>
      <c r="BY23">
        <v>3822</v>
      </c>
      <c r="BZ23">
        <v>16</v>
      </c>
      <c r="CA23">
        <v>4704</v>
      </c>
      <c r="CB23">
        <v>11</v>
      </c>
      <c r="CC23">
        <v>3234</v>
      </c>
      <c r="CD23">
        <v>15</v>
      </c>
      <c r="CE23">
        <v>4410</v>
      </c>
      <c r="CF23">
        <v>21</v>
      </c>
      <c r="CG23">
        <v>6174</v>
      </c>
      <c r="CH23">
        <v>20</v>
      </c>
      <c r="CI23">
        <v>5880</v>
      </c>
      <c r="CJ23">
        <v>11</v>
      </c>
      <c r="CK23">
        <v>3234</v>
      </c>
      <c r="CL23">
        <v>21</v>
      </c>
      <c r="CM23">
        <v>6174</v>
      </c>
      <c r="CN23">
        <v>15</v>
      </c>
      <c r="CO23">
        <v>4410</v>
      </c>
      <c r="CP23">
        <v>13</v>
      </c>
      <c r="CQ23">
        <v>3822</v>
      </c>
      <c r="CR23">
        <v>15</v>
      </c>
      <c r="CS23">
        <v>4410</v>
      </c>
      <c r="CT23">
        <v>16</v>
      </c>
      <c r="CU23">
        <v>4704</v>
      </c>
    </row>
    <row r="24" spans="2:99" x14ac:dyDescent="0.2">
      <c r="C24" s="118" t="s">
        <v>190</v>
      </c>
      <c r="D24">
        <v>13</v>
      </c>
      <c r="E24">
        <v>4773.5999999999995</v>
      </c>
      <c r="F24">
        <v>13</v>
      </c>
      <c r="G24">
        <v>4773.5999999999995</v>
      </c>
      <c r="H24">
        <v>15</v>
      </c>
      <c r="I24">
        <v>5508</v>
      </c>
      <c r="J24">
        <v>10</v>
      </c>
      <c r="K24">
        <v>3672</v>
      </c>
      <c r="L24">
        <v>19</v>
      </c>
      <c r="M24">
        <v>6976.8</v>
      </c>
      <c r="N24">
        <v>13</v>
      </c>
      <c r="O24">
        <v>4773.5999999999995</v>
      </c>
      <c r="P24">
        <v>17</v>
      </c>
      <c r="Q24">
        <v>6242.4</v>
      </c>
      <c r="R24">
        <v>14</v>
      </c>
      <c r="S24">
        <v>5140.8</v>
      </c>
      <c r="T24">
        <v>14</v>
      </c>
      <c r="U24">
        <v>5140.8</v>
      </c>
      <c r="V24">
        <v>9</v>
      </c>
      <c r="W24">
        <v>3304.7999999999997</v>
      </c>
      <c r="X24">
        <v>13</v>
      </c>
      <c r="Y24">
        <v>4773.5999999999995</v>
      </c>
      <c r="Z24">
        <v>18</v>
      </c>
      <c r="AA24">
        <v>6609.5999999999995</v>
      </c>
      <c r="AB24">
        <v>16</v>
      </c>
      <c r="AC24">
        <v>5875.2</v>
      </c>
      <c r="AD24">
        <v>11</v>
      </c>
      <c r="AE24">
        <v>4039.2</v>
      </c>
      <c r="AF24">
        <v>17</v>
      </c>
      <c r="AG24">
        <v>6242.4</v>
      </c>
      <c r="AH24">
        <v>10</v>
      </c>
      <c r="AI24">
        <v>3672</v>
      </c>
      <c r="AJ24">
        <v>10</v>
      </c>
      <c r="AK24">
        <v>3672</v>
      </c>
      <c r="AL24">
        <v>12</v>
      </c>
      <c r="AM24">
        <v>4406.3999999999996</v>
      </c>
      <c r="AN24">
        <v>20</v>
      </c>
      <c r="AO24">
        <v>7344</v>
      </c>
      <c r="AP24">
        <v>15</v>
      </c>
      <c r="AQ24">
        <v>5508</v>
      </c>
      <c r="AR24">
        <v>16</v>
      </c>
      <c r="AS24">
        <v>5875.2</v>
      </c>
      <c r="AT24">
        <v>10</v>
      </c>
      <c r="AU24">
        <v>3672</v>
      </c>
      <c r="AV24">
        <v>11</v>
      </c>
      <c r="AW24">
        <v>4039.2</v>
      </c>
      <c r="AX24">
        <v>10</v>
      </c>
      <c r="AY24">
        <v>3672</v>
      </c>
      <c r="AZ24">
        <v>12</v>
      </c>
      <c r="BA24">
        <v>4406.3999999999996</v>
      </c>
      <c r="BB24">
        <v>12</v>
      </c>
      <c r="BC24">
        <v>4406.3999999999996</v>
      </c>
      <c r="BD24">
        <v>16</v>
      </c>
      <c r="BE24">
        <v>5875.2</v>
      </c>
      <c r="BF24">
        <v>16</v>
      </c>
      <c r="BG24">
        <v>5875.2</v>
      </c>
      <c r="BH24">
        <v>17</v>
      </c>
      <c r="BI24">
        <v>6242.4</v>
      </c>
      <c r="BJ24">
        <v>20</v>
      </c>
      <c r="BK24">
        <v>7344</v>
      </c>
      <c r="BL24">
        <v>14</v>
      </c>
      <c r="BM24">
        <v>5140.8</v>
      </c>
      <c r="BN24">
        <v>18</v>
      </c>
      <c r="BO24">
        <v>6609.5999999999995</v>
      </c>
      <c r="BP24">
        <v>18</v>
      </c>
      <c r="BQ24">
        <v>6609.5999999999995</v>
      </c>
      <c r="BR24">
        <v>18</v>
      </c>
      <c r="BS24">
        <v>6609.5999999999995</v>
      </c>
      <c r="BT24">
        <v>12</v>
      </c>
      <c r="BU24">
        <v>4406.3999999999996</v>
      </c>
      <c r="BV24">
        <v>19</v>
      </c>
      <c r="BW24">
        <v>6976.8</v>
      </c>
      <c r="BX24">
        <v>13</v>
      </c>
      <c r="BY24">
        <v>4773.5999999999995</v>
      </c>
      <c r="BZ24">
        <v>17</v>
      </c>
      <c r="CA24">
        <v>6242.4</v>
      </c>
      <c r="CB24">
        <v>10</v>
      </c>
      <c r="CC24">
        <v>3672</v>
      </c>
      <c r="CD24">
        <v>16</v>
      </c>
      <c r="CE24">
        <v>5875.2</v>
      </c>
      <c r="CF24">
        <v>20</v>
      </c>
      <c r="CG24">
        <v>7344</v>
      </c>
      <c r="CH24">
        <v>16</v>
      </c>
      <c r="CI24">
        <v>5875.2</v>
      </c>
      <c r="CJ24">
        <v>11</v>
      </c>
      <c r="CK24">
        <v>4039.2</v>
      </c>
      <c r="CL24">
        <v>19</v>
      </c>
      <c r="CM24">
        <v>6976.8</v>
      </c>
      <c r="CN24">
        <v>17</v>
      </c>
      <c r="CO24">
        <v>6242.4</v>
      </c>
      <c r="CP24">
        <v>11</v>
      </c>
      <c r="CQ24">
        <v>4039.2</v>
      </c>
      <c r="CR24">
        <v>16</v>
      </c>
      <c r="CS24">
        <v>5875.2</v>
      </c>
      <c r="CT24">
        <v>17</v>
      </c>
      <c r="CU24">
        <v>6242.4</v>
      </c>
    </row>
    <row r="25" spans="2:99" x14ac:dyDescent="0.2">
      <c r="C25" s="118" t="s">
        <v>191</v>
      </c>
      <c r="D25">
        <v>13</v>
      </c>
      <c r="E25">
        <v>6895.2</v>
      </c>
      <c r="F25">
        <v>15</v>
      </c>
      <c r="G25">
        <v>7956</v>
      </c>
      <c r="H25">
        <v>15</v>
      </c>
      <c r="I25">
        <v>7956</v>
      </c>
      <c r="J25">
        <v>11</v>
      </c>
      <c r="K25">
        <v>5834.4</v>
      </c>
      <c r="L25">
        <v>17</v>
      </c>
      <c r="M25">
        <v>9016.7999999999993</v>
      </c>
      <c r="N25">
        <v>13</v>
      </c>
      <c r="O25">
        <v>6895.2</v>
      </c>
      <c r="P25">
        <v>15</v>
      </c>
      <c r="Q25">
        <v>7956</v>
      </c>
      <c r="R25">
        <v>14</v>
      </c>
      <c r="S25">
        <v>7425.5999999999995</v>
      </c>
      <c r="T25">
        <v>15</v>
      </c>
      <c r="U25">
        <v>7956</v>
      </c>
      <c r="V25">
        <v>10</v>
      </c>
      <c r="W25">
        <v>5304</v>
      </c>
      <c r="X25">
        <v>12</v>
      </c>
      <c r="Y25">
        <v>6364.7999999999993</v>
      </c>
      <c r="Z25">
        <v>20</v>
      </c>
      <c r="AA25">
        <v>10608</v>
      </c>
      <c r="AB25">
        <v>16</v>
      </c>
      <c r="AC25">
        <v>8486.4</v>
      </c>
      <c r="AD25">
        <v>11</v>
      </c>
      <c r="AE25">
        <v>5834.4</v>
      </c>
      <c r="AF25">
        <v>19</v>
      </c>
      <c r="AG25">
        <v>10077.6</v>
      </c>
      <c r="AH25">
        <v>10</v>
      </c>
      <c r="AI25">
        <v>5304</v>
      </c>
      <c r="AJ25">
        <v>11</v>
      </c>
      <c r="AK25">
        <v>5834.4</v>
      </c>
      <c r="AL25">
        <v>12</v>
      </c>
      <c r="AM25">
        <v>6364.7999999999993</v>
      </c>
      <c r="AN25">
        <v>18</v>
      </c>
      <c r="AO25">
        <v>9547.1999999999989</v>
      </c>
      <c r="AP25">
        <v>16</v>
      </c>
      <c r="AQ25">
        <v>8486.4</v>
      </c>
      <c r="AR25">
        <v>18</v>
      </c>
      <c r="AS25">
        <v>9547.1999999999989</v>
      </c>
      <c r="AT25">
        <v>11</v>
      </c>
      <c r="AU25">
        <v>5834.4</v>
      </c>
      <c r="AV25">
        <v>12</v>
      </c>
      <c r="AW25">
        <v>6364.7999999999993</v>
      </c>
      <c r="AX25">
        <v>10</v>
      </c>
      <c r="AY25">
        <v>5304</v>
      </c>
      <c r="AZ25">
        <v>13</v>
      </c>
      <c r="BA25">
        <v>6895.2</v>
      </c>
      <c r="BB25">
        <v>12</v>
      </c>
      <c r="BC25">
        <v>6364.7999999999993</v>
      </c>
      <c r="BD25">
        <v>14</v>
      </c>
      <c r="BE25">
        <v>7425.5999999999995</v>
      </c>
      <c r="BF25">
        <v>14</v>
      </c>
      <c r="BG25">
        <v>7425.5999999999995</v>
      </c>
      <c r="BH25">
        <v>17</v>
      </c>
      <c r="BI25">
        <v>9016.7999999999993</v>
      </c>
      <c r="BJ25">
        <v>18</v>
      </c>
      <c r="BK25">
        <v>9547.1999999999989</v>
      </c>
      <c r="BL25">
        <v>14</v>
      </c>
      <c r="BM25">
        <v>7425.5999999999995</v>
      </c>
      <c r="BN25">
        <v>17</v>
      </c>
      <c r="BO25">
        <v>9016.7999999999993</v>
      </c>
      <c r="BP25">
        <v>19</v>
      </c>
      <c r="BQ25">
        <v>10077.6</v>
      </c>
      <c r="BR25">
        <v>15</v>
      </c>
      <c r="BS25">
        <v>7956</v>
      </c>
      <c r="BT25">
        <v>12</v>
      </c>
      <c r="BU25">
        <v>6364.7999999999993</v>
      </c>
      <c r="BV25">
        <v>18</v>
      </c>
      <c r="BW25">
        <v>9547.1999999999989</v>
      </c>
      <c r="BX25">
        <v>11</v>
      </c>
      <c r="BY25">
        <v>5834.4</v>
      </c>
      <c r="BZ25">
        <v>16</v>
      </c>
      <c r="CA25">
        <v>8486.4</v>
      </c>
      <c r="CB25">
        <v>12</v>
      </c>
      <c r="CC25">
        <v>6364.7999999999993</v>
      </c>
      <c r="CD25">
        <v>14</v>
      </c>
      <c r="CE25">
        <v>7425.5999999999995</v>
      </c>
      <c r="CF25">
        <v>21</v>
      </c>
      <c r="CG25">
        <v>11138.4</v>
      </c>
      <c r="CH25">
        <v>19</v>
      </c>
      <c r="CI25">
        <v>10077.6</v>
      </c>
      <c r="CJ25">
        <v>10</v>
      </c>
      <c r="CK25">
        <v>5304</v>
      </c>
      <c r="CL25">
        <v>19</v>
      </c>
      <c r="CM25">
        <v>10077.6</v>
      </c>
      <c r="CN25">
        <v>14</v>
      </c>
      <c r="CO25">
        <v>7425.5999999999995</v>
      </c>
      <c r="CP25">
        <v>12</v>
      </c>
      <c r="CQ25">
        <v>6364.7999999999993</v>
      </c>
      <c r="CR25">
        <v>17</v>
      </c>
      <c r="CS25">
        <v>9016.7999999999993</v>
      </c>
      <c r="CT25">
        <v>17</v>
      </c>
      <c r="CU25">
        <v>9016.7999999999993</v>
      </c>
    </row>
    <row r="26" spans="2:99" x14ac:dyDescent="0.2">
      <c r="C26" s="118" t="s">
        <v>192</v>
      </c>
      <c r="D26">
        <v>14</v>
      </c>
      <c r="E26">
        <v>6804</v>
      </c>
      <c r="F26">
        <v>14</v>
      </c>
      <c r="G26">
        <v>6804</v>
      </c>
      <c r="H26">
        <v>15</v>
      </c>
      <c r="I26">
        <v>7290</v>
      </c>
      <c r="J26">
        <v>10</v>
      </c>
      <c r="K26">
        <v>4860</v>
      </c>
      <c r="L26">
        <v>17</v>
      </c>
      <c r="M26">
        <v>8262</v>
      </c>
      <c r="N26">
        <v>13</v>
      </c>
      <c r="O26">
        <v>6318</v>
      </c>
      <c r="P26">
        <v>15</v>
      </c>
      <c r="Q26">
        <v>7290</v>
      </c>
      <c r="R26">
        <v>15</v>
      </c>
      <c r="S26">
        <v>7290</v>
      </c>
      <c r="T26">
        <v>13</v>
      </c>
      <c r="U26">
        <v>6318</v>
      </c>
      <c r="V26">
        <v>10</v>
      </c>
      <c r="W26">
        <v>4860</v>
      </c>
      <c r="X26">
        <v>11</v>
      </c>
      <c r="Y26">
        <v>5346</v>
      </c>
      <c r="Z26">
        <v>17</v>
      </c>
      <c r="AA26">
        <v>8262</v>
      </c>
      <c r="AB26">
        <v>16</v>
      </c>
      <c r="AC26">
        <v>7776</v>
      </c>
      <c r="AD26">
        <v>11</v>
      </c>
      <c r="AE26">
        <v>5346</v>
      </c>
      <c r="AF26">
        <v>18</v>
      </c>
      <c r="AG26">
        <v>8748</v>
      </c>
      <c r="AH26">
        <v>11</v>
      </c>
      <c r="AI26">
        <v>5346</v>
      </c>
      <c r="AJ26">
        <v>11</v>
      </c>
      <c r="AK26">
        <v>5346</v>
      </c>
      <c r="AL26">
        <v>13</v>
      </c>
      <c r="AM26">
        <v>6318</v>
      </c>
      <c r="AN26">
        <v>19</v>
      </c>
      <c r="AO26">
        <v>9234</v>
      </c>
      <c r="AP26">
        <v>15</v>
      </c>
      <c r="AQ26">
        <v>7290</v>
      </c>
      <c r="AR26">
        <v>18</v>
      </c>
      <c r="AS26">
        <v>8748</v>
      </c>
      <c r="AT26">
        <v>10</v>
      </c>
      <c r="AU26">
        <v>4860</v>
      </c>
      <c r="AV26">
        <v>13</v>
      </c>
      <c r="AW26">
        <v>6318</v>
      </c>
      <c r="AX26">
        <v>12</v>
      </c>
      <c r="AY26">
        <v>5832</v>
      </c>
      <c r="AZ26">
        <v>12</v>
      </c>
      <c r="BA26">
        <v>5832</v>
      </c>
      <c r="BB26">
        <v>12</v>
      </c>
      <c r="BC26">
        <v>5832</v>
      </c>
      <c r="BD26">
        <v>16</v>
      </c>
      <c r="BE26">
        <v>7776</v>
      </c>
      <c r="BF26">
        <v>17</v>
      </c>
      <c r="BG26">
        <v>8262</v>
      </c>
      <c r="BH26">
        <v>18</v>
      </c>
      <c r="BI26">
        <v>8748</v>
      </c>
      <c r="BJ26">
        <v>20</v>
      </c>
      <c r="BK26">
        <v>9720</v>
      </c>
      <c r="BL26">
        <v>14</v>
      </c>
      <c r="BM26">
        <v>6804</v>
      </c>
      <c r="BN26">
        <v>19</v>
      </c>
      <c r="BO26">
        <v>9234</v>
      </c>
      <c r="BP26">
        <v>17</v>
      </c>
      <c r="BQ26">
        <v>8262</v>
      </c>
      <c r="BR26">
        <v>16</v>
      </c>
      <c r="BS26">
        <v>7776</v>
      </c>
      <c r="BT26">
        <v>13</v>
      </c>
      <c r="BU26">
        <v>6318</v>
      </c>
      <c r="BV26">
        <v>18</v>
      </c>
      <c r="BW26">
        <v>8748</v>
      </c>
      <c r="BX26">
        <v>11</v>
      </c>
      <c r="BY26">
        <v>5346</v>
      </c>
      <c r="BZ26">
        <v>15</v>
      </c>
      <c r="CA26">
        <v>7290</v>
      </c>
      <c r="CB26">
        <v>11</v>
      </c>
      <c r="CC26">
        <v>5346</v>
      </c>
      <c r="CD26">
        <v>16</v>
      </c>
      <c r="CE26">
        <v>7776</v>
      </c>
      <c r="CF26">
        <v>21</v>
      </c>
      <c r="CG26">
        <v>10206</v>
      </c>
      <c r="CH26">
        <v>19</v>
      </c>
      <c r="CI26">
        <v>9234</v>
      </c>
      <c r="CJ26">
        <v>12</v>
      </c>
      <c r="CK26">
        <v>5832</v>
      </c>
      <c r="CL26">
        <v>21</v>
      </c>
      <c r="CM26">
        <v>10206</v>
      </c>
      <c r="CN26">
        <v>15</v>
      </c>
      <c r="CO26">
        <v>7290</v>
      </c>
      <c r="CP26">
        <v>13</v>
      </c>
      <c r="CQ26">
        <v>6318</v>
      </c>
      <c r="CR26">
        <v>18</v>
      </c>
      <c r="CS26">
        <v>8748</v>
      </c>
      <c r="CT26">
        <v>19</v>
      </c>
      <c r="CU26">
        <v>9234</v>
      </c>
    </row>
    <row r="27" spans="2:99" x14ac:dyDescent="0.2">
      <c r="C27" s="118" t="s">
        <v>193</v>
      </c>
      <c r="D27">
        <v>13</v>
      </c>
      <c r="E27">
        <v>5553.5999999999995</v>
      </c>
      <c r="F27">
        <v>15</v>
      </c>
      <c r="G27">
        <v>6408</v>
      </c>
      <c r="H27">
        <v>13</v>
      </c>
      <c r="I27">
        <v>5553.5999999999995</v>
      </c>
      <c r="J27">
        <v>11</v>
      </c>
      <c r="K27">
        <v>4699.2</v>
      </c>
      <c r="L27">
        <v>19</v>
      </c>
      <c r="M27">
        <v>8116.8</v>
      </c>
      <c r="N27">
        <v>13</v>
      </c>
      <c r="O27">
        <v>5553.5999999999995</v>
      </c>
      <c r="P27">
        <v>14</v>
      </c>
      <c r="Q27">
        <v>5980.8</v>
      </c>
      <c r="R27">
        <v>15</v>
      </c>
      <c r="S27">
        <v>6408</v>
      </c>
      <c r="T27">
        <v>14</v>
      </c>
      <c r="U27">
        <v>5980.8</v>
      </c>
      <c r="V27">
        <v>10</v>
      </c>
      <c r="W27">
        <v>4272</v>
      </c>
      <c r="X27">
        <v>13</v>
      </c>
      <c r="Y27">
        <v>5553.5999999999995</v>
      </c>
      <c r="Z27">
        <v>20</v>
      </c>
      <c r="AA27">
        <v>8544</v>
      </c>
      <c r="AB27">
        <v>16</v>
      </c>
      <c r="AC27">
        <v>6835.2</v>
      </c>
      <c r="AD27">
        <v>12</v>
      </c>
      <c r="AE27">
        <v>5126.3999999999996</v>
      </c>
      <c r="AF27">
        <v>19</v>
      </c>
      <c r="AG27">
        <v>8116.8</v>
      </c>
      <c r="AH27">
        <v>10</v>
      </c>
      <c r="AI27">
        <v>4272</v>
      </c>
      <c r="AJ27">
        <v>11</v>
      </c>
      <c r="AK27">
        <v>4699.2</v>
      </c>
      <c r="AL27">
        <v>13</v>
      </c>
      <c r="AM27">
        <v>5553.5999999999995</v>
      </c>
      <c r="AN27">
        <v>19</v>
      </c>
      <c r="AO27">
        <v>8116.8</v>
      </c>
      <c r="AP27">
        <v>16</v>
      </c>
      <c r="AQ27">
        <v>6835.2</v>
      </c>
      <c r="AR27">
        <v>19</v>
      </c>
      <c r="AS27">
        <v>8116.8</v>
      </c>
      <c r="AT27">
        <v>10</v>
      </c>
      <c r="AU27">
        <v>4272</v>
      </c>
      <c r="AV27">
        <v>12</v>
      </c>
      <c r="AW27">
        <v>5126.3999999999996</v>
      </c>
      <c r="AX27">
        <v>11</v>
      </c>
      <c r="AY27">
        <v>4699.2</v>
      </c>
      <c r="AZ27">
        <v>12</v>
      </c>
      <c r="BA27">
        <v>5126.3999999999996</v>
      </c>
      <c r="BB27">
        <v>12</v>
      </c>
      <c r="BC27">
        <v>5126.3999999999996</v>
      </c>
      <c r="BD27">
        <v>16</v>
      </c>
      <c r="BE27">
        <v>6835.2</v>
      </c>
      <c r="BF27">
        <v>15</v>
      </c>
      <c r="BG27">
        <v>6408</v>
      </c>
      <c r="BH27">
        <v>19</v>
      </c>
      <c r="BI27">
        <v>8116.8</v>
      </c>
      <c r="BJ27">
        <v>22</v>
      </c>
      <c r="BK27">
        <v>9398.4</v>
      </c>
      <c r="BL27">
        <v>15</v>
      </c>
      <c r="BM27">
        <v>6408</v>
      </c>
      <c r="BN27">
        <v>17</v>
      </c>
      <c r="BO27">
        <v>7262.4</v>
      </c>
      <c r="BP27">
        <v>17</v>
      </c>
      <c r="BQ27">
        <v>7262.4</v>
      </c>
      <c r="BR27">
        <v>16</v>
      </c>
      <c r="BS27">
        <v>6835.2</v>
      </c>
      <c r="BT27">
        <v>12</v>
      </c>
      <c r="BU27">
        <v>5126.3999999999996</v>
      </c>
      <c r="BV27">
        <v>19</v>
      </c>
      <c r="BW27">
        <v>8116.8</v>
      </c>
      <c r="BX27">
        <v>12</v>
      </c>
      <c r="BY27">
        <v>5126.3999999999996</v>
      </c>
      <c r="BZ27">
        <v>15</v>
      </c>
      <c r="CA27">
        <v>6408</v>
      </c>
      <c r="CB27">
        <v>10</v>
      </c>
      <c r="CC27">
        <v>4272</v>
      </c>
      <c r="CD27">
        <v>14</v>
      </c>
      <c r="CE27">
        <v>5980.8</v>
      </c>
      <c r="CF27">
        <v>18</v>
      </c>
      <c r="CG27">
        <v>7689.5999999999995</v>
      </c>
      <c r="CH27">
        <v>17</v>
      </c>
      <c r="CI27">
        <v>7262.4</v>
      </c>
      <c r="CJ27">
        <v>10</v>
      </c>
      <c r="CK27">
        <v>4272</v>
      </c>
      <c r="CL27">
        <v>21</v>
      </c>
      <c r="CM27">
        <v>8971.1999999999989</v>
      </c>
      <c r="CN27">
        <v>15</v>
      </c>
      <c r="CO27">
        <v>6408</v>
      </c>
      <c r="CP27">
        <v>13</v>
      </c>
      <c r="CQ27">
        <v>5553.5999999999995</v>
      </c>
      <c r="CR27">
        <v>17</v>
      </c>
      <c r="CS27">
        <v>7262.4</v>
      </c>
      <c r="CT27">
        <v>17</v>
      </c>
      <c r="CU27">
        <v>7262.4</v>
      </c>
    </row>
    <row r="28" spans="2:99" x14ac:dyDescent="0.2">
      <c r="C28" s="118" t="s">
        <v>194</v>
      </c>
      <c r="D28">
        <v>14</v>
      </c>
      <c r="E28">
        <v>10332</v>
      </c>
      <c r="F28">
        <v>14</v>
      </c>
      <c r="G28">
        <v>10332</v>
      </c>
      <c r="H28">
        <v>14</v>
      </c>
      <c r="I28">
        <v>10332</v>
      </c>
      <c r="J28">
        <v>11</v>
      </c>
      <c r="K28">
        <v>8118</v>
      </c>
      <c r="L28">
        <v>19</v>
      </c>
      <c r="M28">
        <v>14022</v>
      </c>
      <c r="N28">
        <v>14</v>
      </c>
      <c r="O28">
        <v>10332</v>
      </c>
      <c r="P28">
        <v>14</v>
      </c>
      <c r="Q28">
        <v>10332</v>
      </c>
      <c r="R28">
        <v>15</v>
      </c>
      <c r="S28">
        <v>11070</v>
      </c>
      <c r="T28">
        <v>13</v>
      </c>
      <c r="U28">
        <v>9594</v>
      </c>
      <c r="V28">
        <v>10</v>
      </c>
      <c r="W28">
        <v>7380</v>
      </c>
      <c r="X28">
        <v>11</v>
      </c>
      <c r="Y28">
        <v>8118</v>
      </c>
      <c r="Z28">
        <v>19</v>
      </c>
      <c r="AA28">
        <v>14022</v>
      </c>
      <c r="AB28">
        <v>17</v>
      </c>
      <c r="AC28">
        <v>12546</v>
      </c>
      <c r="AD28">
        <v>12</v>
      </c>
      <c r="AE28">
        <v>8856</v>
      </c>
      <c r="AF28">
        <v>19</v>
      </c>
      <c r="AG28">
        <v>14022</v>
      </c>
      <c r="AH28">
        <v>10</v>
      </c>
      <c r="AI28">
        <v>7380</v>
      </c>
      <c r="AJ28">
        <v>11</v>
      </c>
      <c r="AK28">
        <v>8118</v>
      </c>
      <c r="AL28">
        <v>12</v>
      </c>
      <c r="AM28">
        <v>8856</v>
      </c>
      <c r="AN28">
        <v>18</v>
      </c>
      <c r="AO28">
        <v>13284</v>
      </c>
      <c r="AP28">
        <v>16</v>
      </c>
      <c r="AQ28">
        <v>11808</v>
      </c>
      <c r="AR28">
        <v>17</v>
      </c>
      <c r="AS28">
        <v>12546</v>
      </c>
      <c r="AT28">
        <v>10</v>
      </c>
      <c r="AU28">
        <v>7380</v>
      </c>
      <c r="AV28">
        <v>12</v>
      </c>
      <c r="AW28">
        <v>8856</v>
      </c>
      <c r="AX28">
        <v>12</v>
      </c>
      <c r="AY28">
        <v>8856</v>
      </c>
      <c r="AZ28">
        <v>13</v>
      </c>
      <c r="BA28">
        <v>9594</v>
      </c>
      <c r="BB28">
        <v>12</v>
      </c>
      <c r="BC28">
        <v>8856</v>
      </c>
      <c r="BD28">
        <v>16</v>
      </c>
      <c r="BE28">
        <v>11808</v>
      </c>
      <c r="BF28">
        <v>16</v>
      </c>
      <c r="BG28">
        <v>11808</v>
      </c>
      <c r="BH28">
        <v>18</v>
      </c>
      <c r="BI28">
        <v>13284</v>
      </c>
      <c r="BJ28">
        <v>20</v>
      </c>
      <c r="BK28">
        <v>14760</v>
      </c>
      <c r="BL28">
        <v>15</v>
      </c>
      <c r="BM28">
        <v>11070</v>
      </c>
      <c r="BN28">
        <v>18</v>
      </c>
      <c r="BO28">
        <v>13284</v>
      </c>
      <c r="BP28">
        <v>16</v>
      </c>
      <c r="BQ28">
        <v>11808</v>
      </c>
      <c r="BR28">
        <v>16</v>
      </c>
      <c r="BS28">
        <v>11808</v>
      </c>
      <c r="BT28">
        <v>11</v>
      </c>
      <c r="BU28">
        <v>8118</v>
      </c>
      <c r="BV28">
        <v>19</v>
      </c>
      <c r="BW28">
        <v>14022</v>
      </c>
      <c r="BX28">
        <v>11</v>
      </c>
      <c r="BY28">
        <v>8118</v>
      </c>
      <c r="BZ28">
        <v>14</v>
      </c>
      <c r="CA28">
        <v>10332</v>
      </c>
      <c r="CB28">
        <v>11</v>
      </c>
      <c r="CC28">
        <v>8118</v>
      </c>
      <c r="CD28">
        <v>14</v>
      </c>
      <c r="CE28">
        <v>10332</v>
      </c>
      <c r="CF28">
        <v>19</v>
      </c>
      <c r="CG28">
        <v>14022</v>
      </c>
      <c r="CH28">
        <v>16</v>
      </c>
      <c r="CI28">
        <v>11808</v>
      </c>
      <c r="CJ28">
        <v>11</v>
      </c>
      <c r="CK28">
        <v>8118</v>
      </c>
      <c r="CL28">
        <v>20</v>
      </c>
      <c r="CM28">
        <v>14760</v>
      </c>
      <c r="CN28">
        <v>15</v>
      </c>
      <c r="CO28">
        <v>11070</v>
      </c>
      <c r="CP28">
        <v>11</v>
      </c>
      <c r="CQ28">
        <v>8118</v>
      </c>
      <c r="CR28">
        <v>18</v>
      </c>
      <c r="CS28">
        <v>13284</v>
      </c>
      <c r="CT28">
        <v>17</v>
      </c>
      <c r="CU28">
        <v>12546</v>
      </c>
    </row>
    <row r="29" spans="2:99" x14ac:dyDescent="0.2">
      <c r="C29" s="118" t="s">
        <v>195</v>
      </c>
      <c r="D29">
        <v>13</v>
      </c>
      <c r="E29">
        <v>4399.2</v>
      </c>
      <c r="F29">
        <v>13</v>
      </c>
      <c r="G29">
        <v>4399.2</v>
      </c>
      <c r="H29">
        <v>16</v>
      </c>
      <c r="I29">
        <v>5414.4</v>
      </c>
      <c r="J29">
        <v>11</v>
      </c>
      <c r="K29">
        <v>3722.3999999999996</v>
      </c>
      <c r="L29">
        <v>17</v>
      </c>
      <c r="M29">
        <v>5752.7999999999993</v>
      </c>
      <c r="N29">
        <v>14</v>
      </c>
      <c r="O29">
        <v>4737.5999999999995</v>
      </c>
      <c r="P29">
        <v>15</v>
      </c>
      <c r="Q29">
        <v>5076</v>
      </c>
      <c r="R29">
        <v>16</v>
      </c>
      <c r="S29">
        <v>5414.4</v>
      </c>
      <c r="T29">
        <v>15</v>
      </c>
      <c r="U29">
        <v>5076</v>
      </c>
      <c r="V29">
        <v>10</v>
      </c>
      <c r="W29">
        <v>3384</v>
      </c>
      <c r="X29">
        <v>13</v>
      </c>
      <c r="Y29">
        <v>4399.2</v>
      </c>
      <c r="Z29">
        <v>19</v>
      </c>
      <c r="AA29">
        <v>6429.5999999999995</v>
      </c>
      <c r="AB29">
        <v>18</v>
      </c>
      <c r="AC29">
        <v>6091.2</v>
      </c>
      <c r="AD29">
        <v>12</v>
      </c>
      <c r="AE29">
        <v>4060.7999999999997</v>
      </c>
      <c r="AF29">
        <v>17</v>
      </c>
      <c r="AG29">
        <v>5752.7999999999993</v>
      </c>
      <c r="AH29">
        <v>10</v>
      </c>
      <c r="AI29">
        <v>3384</v>
      </c>
      <c r="AJ29">
        <v>12</v>
      </c>
      <c r="AK29">
        <v>4060.7999999999997</v>
      </c>
      <c r="AL29">
        <v>13</v>
      </c>
      <c r="AM29">
        <v>4399.2</v>
      </c>
      <c r="AN29">
        <v>18</v>
      </c>
      <c r="AO29">
        <v>6091.2</v>
      </c>
      <c r="AP29">
        <v>14</v>
      </c>
      <c r="AQ29">
        <v>4737.5999999999995</v>
      </c>
      <c r="AR29">
        <v>17</v>
      </c>
      <c r="AS29">
        <v>5752.7999999999993</v>
      </c>
      <c r="AT29">
        <v>11</v>
      </c>
      <c r="AU29">
        <v>3722.3999999999996</v>
      </c>
      <c r="AV29">
        <v>13</v>
      </c>
      <c r="AW29">
        <v>4399.2</v>
      </c>
      <c r="AX29">
        <v>12</v>
      </c>
      <c r="AY29">
        <v>4060.7999999999997</v>
      </c>
      <c r="AZ29">
        <v>13</v>
      </c>
      <c r="BA29">
        <v>4399.2</v>
      </c>
      <c r="BB29">
        <v>12</v>
      </c>
      <c r="BC29">
        <v>4060.7999999999997</v>
      </c>
      <c r="BD29">
        <v>17</v>
      </c>
      <c r="BE29">
        <v>5752.7999999999993</v>
      </c>
      <c r="BF29">
        <v>15</v>
      </c>
      <c r="BG29">
        <v>5076</v>
      </c>
      <c r="BH29">
        <v>17</v>
      </c>
      <c r="BI29">
        <v>5752.7999999999993</v>
      </c>
      <c r="BJ29">
        <v>21</v>
      </c>
      <c r="BK29">
        <v>7106.4</v>
      </c>
      <c r="BL29">
        <v>14</v>
      </c>
      <c r="BM29">
        <v>4737.5999999999995</v>
      </c>
      <c r="BN29">
        <v>21</v>
      </c>
      <c r="BO29">
        <v>7106.4</v>
      </c>
      <c r="BP29">
        <v>16</v>
      </c>
      <c r="BQ29">
        <v>5414.4</v>
      </c>
      <c r="BR29">
        <v>18</v>
      </c>
      <c r="BS29">
        <v>6091.2</v>
      </c>
      <c r="BT29">
        <v>13</v>
      </c>
      <c r="BU29">
        <v>4399.2</v>
      </c>
      <c r="BV29">
        <v>20</v>
      </c>
      <c r="BW29">
        <v>6768</v>
      </c>
      <c r="BX29">
        <v>11</v>
      </c>
      <c r="BY29">
        <v>3722.3999999999996</v>
      </c>
      <c r="BZ29">
        <v>15</v>
      </c>
      <c r="CA29">
        <v>5076</v>
      </c>
      <c r="CB29">
        <v>11</v>
      </c>
      <c r="CC29">
        <v>3722.3999999999996</v>
      </c>
      <c r="CD29">
        <v>16</v>
      </c>
      <c r="CE29">
        <v>5414.4</v>
      </c>
      <c r="CF29">
        <v>19</v>
      </c>
      <c r="CG29">
        <v>6429.5999999999995</v>
      </c>
      <c r="CH29">
        <v>17</v>
      </c>
      <c r="CI29">
        <v>5752.7999999999993</v>
      </c>
      <c r="CJ29">
        <v>11</v>
      </c>
      <c r="CK29">
        <v>3722.3999999999996</v>
      </c>
      <c r="CL29">
        <v>18</v>
      </c>
      <c r="CM29">
        <v>6091.2</v>
      </c>
      <c r="CN29">
        <v>15</v>
      </c>
      <c r="CO29">
        <v>5076</v>
      </c>
      <c r="CP29">
        <v>12</v>
      </c>
      <c r="CQ29">
        <v>4060.7999999999997</v>
      </c>
      <c r="CR29">
        <v>17</v>
      </c>
      <c r="CS29">
        <v>5752.7999999999993</v>
      </c>
      <c r="CT29">
        <v>18</v>
      </c>
      <c r="CU29">
        <v>6091.2</v>
      </c>
    </row>
    <row r="30" spans="2:99" x14ac:dyDescent="0.2">
      <c r="C30" s="118" t="s">
        <v>196</v>
      </c>
      <c r="D30">
        <v>14</v>
      </c>
      <c r="E30">
        <v>1948.7999999999997</v>
      </c>
      <c r="F30">
        <v>13</v>
      </c>
      <c r="G30">
        <v>1809.6</v>
      </c>
      <c r="H30">
        <v>15</v>
      </c>
      <c r="I30">
        <v>2088</v>
      </c>
      <c r="J30">
        <v>12</v>
      </c>
      <c r="K30">
        <v>1670.3999999999999</v>
      </c>
      <c r="L30">
        <v>18</v>
      </c>
      <c r="M30">
        <v>2505.6</v>
      </c>
      <c r="N30">
        <v>13</v>
      </c>
      <c r="O30">
        <v>1809.6</v>
      </c>
      <c r="P30">
        <v>16</v>
      </c>
      <c r="Q30">
        <v>2227.1999999999998</v>
      </c>
      <c r="R30">
        <v>15</v>
      </c>
      <c r="S30">
        <v>2088</v>
      </c>
      <c r="T30">
        <v>14</v>
      </c>
      <c r="U30">
        <v>1948.7999999999997</v>
      </c>
      <c r="V30">
        <v>10</v>
      </c>
      <c r="W30">
        <v>1392</v>
      </c>
      <c r="X30">
        <v>12</v>
      </c>
      <c r="Y30">
        <v>1670.3999999999999</v>
      </c>
      <c r="Z30">
        <v>20</v>
      </c>
      <c r="AA30">
        <v>2784</v>
      </c>
      <c r="AB30">
        <v>16</v>
      </c>
      <c r="AC30">
        <v>2227.1999999999998</v>
      </c>
      <c r="AD30">
        <v>13</v>
      </c>
      <c r="AE30">
        <v>1809.6</v>
      </c>
      <c r="AF30">
        <v>20</v>
      </c>
      <c r="AG30">
        <v>2784</v>
      </c>
      <c r="AH30">
        <v>10</v>
      </c>
      <c r="AI30">
        <v>1392</v>
      </c>
      <c r="AJ30">
        <v>12</v>
      </c>
      <c r="AK30">
        <v>1670.3999999999999</v>
      </c>
      <c r="AL30">
        <v>12</v>
      </c>
      <c r="AM30">
        <v>1670.3999999999999</v>
      </c>
      <c r="AN30">
        <v>20</v>
      </c>
      <c r="AO30">
        <v>2784</v>
      </c>
      <c r="AP30">
        <v>17</v>
      </c>
      <c r="AQ30">
        <v>2366.3999999999996</v>
      </c>
      <c r="AR30">
        <v>18</v>
      </c>
      <c r="AS30">
        <v>2505.6</v>
      </c>
      <c r="AT30">
        <v>12</v>
      </c>
      <c r="AU30">
        <v>1670.3999999999999</v>
      </c>
      <c r="AV30">
        <v>13</v>
      </c>
      <c r="AW30">
        <v>1809.6</v>
      </c>
      <c r="AX30">
        <v>10</v>
      </c>
      <c r="AY30">
        <v>1392</v>
      </c>
      <c r="AZ30">
        <v>13</v>
      </c>
      <c r="BA30">
        <v>1809.6</v>
      </c>
      <c r="BB30">
        <v>11</v>
      </c>
      <c r="BC30">
        <v>1531.1999999999998</v>
      </c>
      <c r="BD30">
        <v>14</v>
      </c>
      <c r="BE30">
        <v>1948.7999999999997</v>
      </c>
      <c r="BF30">
        <v>15</v>
      </c>
      <c r="BG30">
        <v>2088</v>
      </c>
      <c r="BH30">
        <v>20</v>
      </c>
      <c r="BI30">
        <v>2784</v>
      </c>
      <c r="BJ30">
        <v>20</v>
      </c>
      <c r="BK30">
        <v>2784</v>
      </c>
      <c r="BL30">
        <v>14</v>
      </c>
      <c r="BM30">
        <v>1948.7999999999997</v>
      </c>
      <c r="BN30">
        <v>18</v>
      </c>
      <c r="BO30">
        <v>2505.6</v>
      </c>
      <c r="BP30">
        <v>19</v>
      </c>
      <c r="BQ30">
        <v>2644.7999999999997</v>
      </c>
      <c r="BR30">
        <v>18</v>
      </c>
      <c r="BS30">
        <v>2505.6</v>
      </c>
      <c r="BT30">
        <v>12</v>
      </c>
      <c r="BU30">
        <v>1670.3999999999999</v>
      </c>
      <c r="BV30">
        <v>19</v>
      </c>
      <c r="BW30">
        <v>2644.7999999999997</v>
      </c>
      <c r="BX30">
        <v>12</v>
      </c>
      <c r="BY30">
        <v>1670.3999999999999</v>
      </c>
      <c r="BZ30">
        <v>17</v>
      </c>
      <c r="CA30">
        <v>2366.3999999999996</v>
      </c>
      <c r="CB30">
        <v>12</v>
      </c>
      <c r="CC30">
        <v>1670.3999999999999</v>
      </c>
      <c r="CD30">
        <v>14</v>
      </c>
      <c r="CE30">
        <v>1948.7999999999997</v>
      </c>
      <c r="CF30">
        <v>18</v>
      </c>
      <c r="CG30">
        <v>2505.6</v>
      </c>
      <c r="CH30">
        <v>17</v>
      </c>
      <c r="CI30">
        <v>2366.3999999999996</v>
      </c>
      <c r="CJ30">
        <v>11</v>
      </c>
      <c r="CK30">
        <v>1531.1999999999998</v>
      </c>
      <c r="CL30">
        <v>18</v>
      </c>
      <c r="CM30">
        <v>2505.6</v>
      </c>
      <c r="CN30">
        <v>16</v>
      </c>
      <c r="CO30">
        <v>2227.1999999999998</v>
      </c>
      <c r="CP30">
        <v>12</v>
      </c>
      <c r="CQ30">
        <v>1670.3999999999999</v>
      </c>
      <c r="CR30">
        <v>18</v>
      </c>
      <c r="CS30">
        <v>2505.6</v>
      </c>
      <c r="CT30">
        <v>20</v>
      </c>
      <c r="CU30">
        <v>2784</v>
      </c>
    </row>
    <row r="31" spans="2:99" x14ac:dyDescent="0.2">
      <c r="C31" s="118" t="s">
        <v>197</v>
      </c>
      <c r="D31">
        <v>14</v>
      </c>
      <c r="E31">
        <v>4771.2</v>
      </c>
      <c r="F31">
        <v>15</v>
      </c>
      <c r="G31">
        <v>5112</v>
      </c>
      <c r="H31">
        <v>15</v>
      </c>
      <c r="I31">
        <v>5112</v>
      </c>
      <c r="J31">
        <v>9</v>
      </c>
      <c r="K31">
        <v>3067.2000000000003</v>
      </c>
      <c r="L31">
        <v>19</v>
      </c>
      <c r="M31">
        <v>6475.2</v>
      </c>
      <c r="N31">
        <v>13</v>
      </c>
      <c r="O31">
        <v>4430.4000000000005</v>
      </c>
      <c r="P31">
        <v>16</v>
      </c>
      <c r="Q31">
        <v>5452.8</v>
      </c>
      <c r="R31">
        <v>15</v>
      </c>
      <c r="S31">
        <v>5112</v>
      </c>
      <c r="T31">
        <v>14</v>
      </c>
      <c r="U31">
        <v>4771.2</v>
      </c>
      <c r="V31">
        <v>10</v>
      </c>
      <c r="W31">
        <v>3408</v>
      </c>
      <c r="X31">
        <v>13</v>
      </c>
      <c r="Y31">
        <v>4430.4000000000005</v>
      </c>
      <c r="Z31">
        <v>19</v>
      </c>
      <c r="AA31">
        <v>6475.2</v>
      </c>
      <c r="AB31">
        <v>15</v>
      </c>
      <c r="AC31">
        <v>5112</v>
      </c>
      <c r="AD31">
        <v>12</v>
      </c>
      <c r="AE31">
        <v>4089.6000000000004</v>
      </c>
      <c r="AF31">
        <v>19</v>
      </c>
      <c r="AG31">
        <v>6475.2</v>
      </c>
      <c r="AH31">
        <v>12</v>
      </c>
      <c r="AI31">
        <v>4089.6000000000004</v>
      </c>
      <c r="AJ31">
        <v>10</v>
      </c>
      <c r="AK31">
        <v>3408</v>
      </c>
      <c r="AL31">
        <v>13</v>
      </c>
      <c r="AM31">
        <v>4430.4000000000005</v>
      </c>
      <c r="AN31">
        <v>18</v>
      </c>
      <c r="AO31">
        <v>6134.4000000000005</v>
      </c>
      <c r="AP31">
        <v>16</v>
      </c>
      <c r="AQ31">
        <v>5452.8</v>
      </c>
      <c r="AR31">
        <v>19</v>
      </c>
      <c r="AS31">
        <v>6475.2</v>
      </c>
      <c r="AT31">
        <v>11</v>
      </c>
      <c r="AU31">
        <v>3748.8</v>
      </c>
      <c r="AV31">
        <v>11</v>
      </c>
      <c r="AW31">
        <v>3748.8</v>
      </c>
      <c r="AX31">
        <v>10</v>
      </c>
      <c r="AY31">
        <v>3408</v>
      </c>
      <c r="AZ31">
        <v>12</v>
      </c>
      <c r="BA31">
        <v>4089.6000000000004</v>
      </c>
      <c r="BB31">
        <v>13</v>
      </c>
      <c r="BC31">
        <v>4430.4000000000005</v>
      </c>
      <c r="BD31">
        <v>14</v>
      </c>
      <c r="BE31">
        <v>4771.2</v>
      </c>
      <c r="BF31">
        <v>18</v>
      </c>
      <c r="BG31">
        <v>6134.4000000000005</v>
      </c>
      <c r="BH31">
        <v>18</v>
      </c>
      <c r="BI31">
        <v>6134.4000000000005</v>
      </c>
      <c r="BJ31">
        <v>21</v>
      </c>
      <c r="BK31">
        <v>7156.8</v>
      </c>
      <c r="BL31">
        <v>14</v>
      </c>
      <c r="BM31">
        <v>4771.2</v>
      </c>
      <c r="BN31">
        <v>17</v>
      </c>
      <c r="BO31">
        <v>5793.6</v>
      </c>
      <c r="BP31">
        <v>19</v>
      </c>
      <c r="BQ31">
        <v>6475.2</v>
      </c>
      <c r="BR31">
        <v>17</v>
      </c>
      <c r="BS31">
        <v>5793.6</v>
      </c>
      <c r="BT31">
        <v>11</v>
      </c>
      <c r="BU31">
        <v>3748.8</v>
      </c>
      <c r="BV31">
        <v>19</v>
      </c>
      <c r="BW31">
        <v>6475.2</v>
      </c>
      <c r="BX31">
        <v>11</v>
      </c>
      <c r="BY31">
        <v>3748.8</v>
      </c>
      <c r="BZ31">
        <v>16</v>
      </c>
      <c r="CA31">
        <v>5452.8</v>
      </c>
      <c r="CB31">
        <v>11</v>
      </c>
      <c r="CC31">
        <v>3748.8</v>
      </c>
      <c r="CD31">
        <v>14</v>
      </c>
      <c r="CE31">
        <v>4771.2</v>
      </c>
      <c r="CF31">
        <v>18</v>
      </c>
      <c r="CG31">
        <v>6134.4000000000005</v>
      </c>
      <c r="CH31">
        <v>19</v>
      </c>
      <c r="CI31">
        <v>6475.2</v>
      </c>
      <c r="CJ31">
        <v>10</v>
      </c>
      <c r="CK31">
        <v>3408</v>
      </c>
      <c r="CL31">
        <v>20</v>
      </c>
      <c r="CM31">
        <v>6816</v>
      </c>
      <c r="CN31">
        <v>14</v>
      </c>
      <c r="CO31">
        <v>4771.2</v>
      </c>
      <c r="CP31">
        <v>12</v>
      </c>
      <c r="CQ31">
        <v>4089.6000000000004</v>
      </c>
      <c r="CR31">
        <v>16</v>
      </c>
      <c r="CS31">
        <v>5452.8</v>
      </c>
      <c r="CT31">
        <v>17</v>
      </c>
      <c r="CU31">
        <v>5793.6</v>
      </c>
    </row>
    <row r="32" spans="2:99" x14ac:dyDescent="0.2">
      <c r="C32" s="118" t="s">
        <v>198</v>
      </c>
      <c r="D32">
        <v>14</v>
      </c>
      <c r="E32">
        <v>11760</v>
      </c>
      <c r="F32">
        <v>13</v>
      </c>
      <c r="G32">
        <v>10920</v>
      </c>
      <c r="H32">
        <v>13</v>
      </c>
      <c r="I32">
        <v>10920</v>
      </c>
      <c r="J32">
        <v>10</v>
      </c>
      <c r="K32">
        <v>8400</v>
      </c>
      <c r="L32">
        <v>18</v>
      </c>
      <c r="M32">
        <v>15120</v>
      </c>
      <c r="N32">
        <v>14</v>
      </c>
      <c r="O32">
        <v>11760</v>
      </c>
      <c r="P32">
        <v>15</v>
      </c>
      <c r="Q32">
        <v>12600</v>
      </c>
      <c r="R32">
        <v>13</v>
      </c>
      <c r="S32">
        <v>10920</v>
      </c>
      <c r="T32">
        <v>14</v>
      </c>
      <c r="U32">
        <v>11760</v>
      </c>
      <c r="V32">
        <v>10</v>
      </c>
      <c r="W32">
        <v>8400</v>
      </c>
      <c r="X32">
        <v>11</v>
      </c>
      <c r="Y32">
        <v>9240</v>
      </c>
      <c r="Z32">
        <v>20</v>
      </c>
      <c r="AA32">
        <v>16800</v>
      </c>
      <c r="AB32">
        <v>15</v>
      </c>
      <c r="AC32">
        <v>12600</v>
      </c>
      <c r="AD32">
        <v>11</v>
      </c>
      <c r="AE32">
        <v>9240</v>
      </c>
      <c r="AF32">
        <v>18</v>
      </c>
      <c r="AG32">
        <v>15120</v>
      </c>
      <c r="AH32">
        <v>11</v>
      </c>
      <c r="AI32">
        <v>9240</v>
      </c>
      <c r="AJ32">
        <v>10</v>
      </c>
      <c r="AK32">
        <v>8400</v>
      </c>
      <c r="AL32">
        <v>11</v>
      </c>
      <c r="AM32">
        <v>9240</v>
      </c>
      <c r="AN32">
        <v>18</v>
      </c>
      <c r="AO32">
        <v>15120</v>
      </c>
      <c r="AP32">
        <v>14</v>
      </c>
      <c r="AQ32">
        <v>11760</v>
      </c>
      <c r="AR32">
        <v>16</v>
      </c>
      <c r="AS32">
        <v>13440</v>
      </c>
      <c r="AT32">
        <v>10</v>
      </c>
      <c r="AU32">
        <v>8400</v>
      </c>
      <c r="AV32">
        <v>13</v>
      </c>
      <c r="AW32">
        <v>10920</v>
      </c>
      <c r="AX32">
        <v>10</v>
      </c>
      <c r="AY32">
        <v>8400</v>
      </c>
      <c r="AZ32">
        <v>11</v>
      </c>
      <c r="BA32">
        <v>9240</v>
      </c>
      <c r="BB32">
        <v>12</v>
      </c>
      <c r="BC32">
        <v>10080</v>
      </c>
      <c r="BD32">
        <v>16</v>
      </c>
      <c r="BE32">
        <v>13440</v>
      </c>
      <c r="BF32">
        <v>17</v>
      </c>
      <c r="BG32">
        <v>14280</v>
      </c>
      <c r="BH32">
        <v>17</v>
      </c>
      <c r="BI32">
        <v>14280</v>
      </c>
      <c r="BJ32">
        <v>18</v>
      </c>
      <c r="BK32">
        <v>15120</v>
      </c>
      <c r="BL32">
        <v>13</v>
      </c>
      <c r="BM32">
        <v>10920</v>
      </c>
      <c r="BN32">
        <v>18</v>
      </c>
      <c r="BO32">
        <v>15120</v>
      </c>
      <c r="BP32">
        <v>19</v>
      </c>
      <c r="BQ32">
        <v>15960</v>
      </c>
      <c r="BR32">
        <v>15</v>
      </c>
      <c r="BS32">
        <v>12600</v>
      </c>
      <c r="BT32">
        <v>12</v>
      </c>
      <c r="BU32">
        <v>10080</v>
      </c>
      <c r="BV32">
        <v>19</v>
      </c>
      <c r="BW32">
        <v>15960</v>
      </c>
      <c r="BX32">
        <v>11</v>
      </c>
      <c r="BY32">
        <v>9240</v>
      </c>
      <c r="BZ32">
        <v>14</v>
      </c>
      <c r="CA32">
        <v>11760</v>
      </c>
      <c r="CB32">
        <v>11</v>
      </c>
      <c r="CC32">
        <v>9240</v>
      </c>
      <c r="CD32">
        <v>14</v>
      </c>
      <c r="CE32">
        <v>11760</v>
      </c>
      <c r="CF32">
        <v>20</v>
      </c>
      <c r="CG32">
        <v>16800</v>
      </c>
      <c r="CH32">
        <v>17</v>
      </c>
      <c r="CI32">
        <v>14280</v>
      </c>
      <c r="CJ32">
        <v>10</v>
      </c>
      <c r="CK32">
        <v>8400</v>
      </c>
      <c r="CL32">
        <v>20</v>
      </c>
      <c r="CM32">
        <v>16800</v>
      </c>
      <c r="CN32">
        <v>16</v>
      </c>
      <c r="CO32">
        <v>13440</v>
      </c>
      <c r="CP32">
        <v>11</v>
      </c>
      <c r="CQ32">
        <v>9240</v>
      </c>
      <c r="CR32">
        <v>15</v>
      </c>
      <c r="CS32">
        <v>12600</v>
      </c>
      <c r="CT32">
        <v>18</v>
      </c>
      <c r="CU32">
        <v>15120</v>
      </c>
    </row>
    <row r="33" spans="2:99" x14ac:dyDescent="0.2">
      <c r="C33" s="118" t="s">
        <v>199</v>
      </c>
      <c r="D33">
        <v>12</v>
      </c>
      <c r="E33">
        <v>5688</v>
      </c>
      <c r="F33">
        <v>13</v>
      </c>
      <c r="G33">
        <v>6162</v>
      </c>
      <c r="H33">
        <v>15</v>
      </c>
      <c r="I33">
        <v>7110</v>
      </c>
      <c r="J33">
        <v>11</v>
      </c>
      <c r="K33">
        <v>5214</v>
      </c>
      <c r="L33">
        <v>16</v>
      </c>
      <c r="M33">
        <v>7584</v>
      </c>
      <c r="N33">
        <v>14</v>
      </c>
      <c r="O33">
        <v>6636</v>
      </c>
      <c r="P33">
        <v>17</v>
      </c>
      <c r="Q33">
        <v>8058</v>
      </c>
      <c r="R33">
        <v>14</v>
      </c>
      <c r="S33">
        <v>6636</v>
      </c>
      <c r="T33">
        <v>14</v>
      </c>
      <c r="U33">
        <v>6636</v>
      </c>
      <c r="V33">
        <v>10</v>
      </c>
      <c r="W33">
        <v>4740</v>
      </c>
      <c r="X33">
        <v>11</v>
      </c>
      <c r="Y33">
        <v>5214</v>
      </c>
      <c r="Z33">
        <v>18</v>
      </c>
      <c r="AA33">
        <v>8532</v>
      </c>
      <c r="AB33">
        <v>15</v>
      </c>
      <c r="AC33">
        <v>7110</v>
      </c>
      <c r="AD33">
        <v>11</v>
      </c>
      <c r="AE33">
        <v>5214</v>
      </c>
      <c r="AF33">
        <v>17</v>
      </c>
      <c r="AG33">
        <v>8058</v>
      </c>
      <c r="AH33">
        <v>10</v>
      </c>
      <c r="AI33">
        <v>4740</v>
      </c>
      <c r="AJ33">
        <v>11</v>
      </c>
      <c r="AK33">
        <v>5214</v>
      </c>
      <c r="AL33">
        <v>13</v>
      </c>
      <c r="AM33">
        <v>6162</v>
      </c>
      <c r="AN33">
        <v>19</v>
      </c>
      <c r="AO33">
        <v>9006</v>
      </c>
      <c r="AP33">
        <v>14</v>
      </c>
      <c r="AQ33">
        <v>6636</v>
      </c>
      <c r="AR33">
        <v>17</v>
      </c>
      <c r="AS33">
        <v>8058</v>
      </c>
      <c r="AT33">
        <v>10</v>
      </c>
      <c r="AU33">
        <v>4740</v>
      </c>
      <c r="AV33">
        <v>13</v>
      </c>
      <c r="AW33">
        <v>6162</v>
      </c>
      <c r="AX33">
        <v>10</v>
      </c>
      <c r="AY33">
        <v>4740</v>
      </c>
      <c r="AZ33">
        <v>13</v>
      </c>
      <c r="BA33">
        <v>6162</v>
      </c>
      <c r="BB33">
        <v>12</v>
      </c>
      <c r="BC33">
        <v>5688</v>
      </c>
      <c r="BD33">
        <v>14</v>
      </c>
      <c r="BE33">
        <v>6636</v>
      </c>
      <c r="BF33">
        <v>16</v>
      </c>
      <c r="BG33">
        <v>7584</v>
      </c>
      <c r="BH33">
        <v>19</v>
      </c>
      <c r="BI33">
        <v>9006</v>
      </c>
      <c r="BJ33">
        <v>20</v>
      </c>
      <c r="BK33">
        <v>9480</v>
      </c>
      <c r="BL33">
        <v>14</v>
      </c>
      <c r="BM33">
        <v>6636</v>
      </c>
      <c r="BN33">
        <v>19</v>
      </c>
      <c r="BO33">
        <v>9006</v>
      </c>
      <c r="BP33">
        <v>19</v>
      </c>
      <c r="BQ33">
        <v>9006</v>
      </c>
      <c r="BR33">
        <v>15</v>
      </c>
      <c r="BS33">
        <v>7110</v>
      </c>
      <c r="BT33">
        <v>11</v>
      </c>
      <c r="BU33">
        <v>5214</v>
      </c>
      <c r="BV33">
        <v>21</v>
      </c>
      <c r="BW33">
        <v>9954</v>
      </c>
      <c r="BX33">
        <v>12</v>
      </c>
      <c r="BY33">
        <v>5688</v>
      </c>
      <c r="BZ33">
        <v>16</v>
      </c>
      <c r="CA33">
        <v>7584</v>
      </c>
      <c r="CB33">
        <v>11</v>
      </c>
      <c r="CC33">
        <v>5214</v>
      </c>
      <c r="CD33">
        <v>14</v>
      </c>
      <c r="CE33">
        <v>6636</v>
      </c>
      <c r="CF33">
        <v>18</v>
      </c>
      <c r="CG33">
        <v>8532</v>
      </c>
      <c r="CH33">
        <v>19</v>
      </c>
      <c r="CI33">
        <v>9006</v>
      </c>
      <c r="CJ33">
        <v>10</v>
      </c>
      <c r="CK33">
        <v>4740</v>
      </c>
      <c r="CL33">
        <v>18</v>
      </c>
      <c r="CM33">
        <v>8532</v>
      </c>
      <c r="CN33">
        <v>15</v>
      </c>
      <c r="CO33">
        <v>7110</v>
      </c>
      <c r="CP33">
        <v>13</v>
      </c>
      <c r="CQ33">
        <v>6162</v>
      </c>
      <c r="CR33">
        <v>16</v>
      </c>
      <c r="CS33">
        <v>7584</v>
      </c>
      <c r="CT33">
        <v>18</v>
      </c>
      <c r="CU33">
        <v>8532</v>
      </c>
    </row>
    <row r="34" spans="2:99" x14ac:dyDescent="0.2">
      <c r="C34" s="118" t="s">
        <v>200</v>
      </c>
      <c r="D34">
        <v>14</v>
      </c>
      <c r="E34">
        <v>7677.5999999999995</v>
      </c>
      <c r="F34">
        <v>15</v>
      </c>
      <c r="G34">
        <v>8226</v>
      </c>
      <c r="H34">
        <v>14</v>
      </c>
      <c r="I34">
        <v>7677.5999999999995</v>
      </c>
      <c r="J34">
        <v>10</v>
      </c>
      <c r="K34">
        <v>5484</v>
      </c>
      <c r="L34">
        <v>18</v>
      </c>
      <c r="M34">
        <v>9871.1999999999989</v>
      </c>
      <c r="N34">
        <v>12</v>
      </c>
      <c r="O34">
        <v>6580.7999999999993</v>
      </c>
      <c r="P34">
        <v>17</v>
      </c>
      <c r="Q34">
        <v>9322.7999999999993</v>
      </c>
      <c r="R34">
        <v>14</v>
      </c>
      <c r="S34">
        <v>7677.5999999999995</v>
      </c>
      <c r="T34">
        <v>15</v>
      </c>
      <c r="U34">
        <v>8226</v>
      </c>
      <c r="V34">
        <v>10</v>
      </c>
      <c r="W34">
        <v>5484</v>
      </c>
      <c r="X34">
        <v>11</v>
      </c>
      <c r="Y34">
        <v>6032.4</v>
      </c>
      <c r="Z34">
        <v>17</v>
      </c>
      <c r="AA34">
        <v>9322.7999999999993</v>
      </c>
      <c r="AB34">
        <v>17</v>
      </c>
      <c r="AC34">
        <v>9322.7999999999993</v>
      </c>
      <c r="AD34">
        <v>11</v>
      </c>
      <c r="AE34">
        <v>6032.4</v>
      </c>
      <c r="AF34">
        <v>20</v>
      </c>
      <c r="AG34">
        <v>10968</v>
      </c>
      <c r="AH34">
        <v>10</v>
      </c>
      <c r="AI34">
        <v>5484</v>
      </c>
      <c r="AJ34">
        <v>11</v>
      </c>
      <c r="AK34">
        <v>6032.4</v>
      </c>
      <c r="AL34">
        <v>12</v>
      </c>
      <c r="AM34">
        <v>6580.7999999999993</v>
      </c>
      <c r="AN34">
        <v>17</v>
      </c>
      <c r="AO34">
        <v>9322.7999999999993</v>
      </c>
      <c r="AP34">
        <v>16</v>
      </c>
      <c r="AQ34">
        <v>8774.4</v>
      </c>
      <c r="AR34">
        <v>17</v>
      </c>
      <c r="AS34">
        <v>9322.7999999999993</v>
      </c>
      <c r="AT34">
        <v>10</v>
      </c>
      <c r="AU34">
        <v>5484</v>
      </c>
      <c r="AV34">
        <v>12</v>
      </c>
      <c r="AW34">
        <v>6580.7999999999993</v>
      </c>
      <c r="AX34">
        <v>10</v>
      </c>
      <c r="AY34">
        <v>5484</v>
      </c>
      <c r="AZ34">
        <v>13</v>
      </c>
      <c r="BA34">
        <v>7129.2</v>
      </c>
      <c r="BB34">
        <v>11</v>
      </c>
      <c r="BC34">
        <v>6032.4</v>
      </c>
      <c r="BD34">
        <v>15</v>
      </c>
      <c r="BE34">
        <v>8226</v>
      </c>
      <c r="BF34">
        <v>14</v>
      </c>
      <c r="BG34">
        <v>7677.5999999999995</v>
      </c>
      <c r="BH34">
        <v>18</v>
      </c>
      <c r="BI34">
        <v>9871.1999999999989</v>
      </c>
      <c r="BJ34">
        <v>21</v>
      </c>
      <c r="BK34">
        <v>11516.4</v>
      </c>
      <c r="BL34">
        <v>14</v>
      </c>
      <c r="BM34">
        <v>7677.5999999999995</v>
      </c>
      <c r="BN34">
        <v>20</v>
      </c>
      <c r="BO34">
        <v>10968</v>
      </c>
      <c r="BP34">
        <v>17</v>
      </c>
      <c r="BQ34">
        <v>9322.7999999999993</v>
      </c>
      <c r="BR34">
        <v>18</v>
      </c>
      <c r="BS34">
        <v>9871.1999999999989</v>
      </c>
      <c r="BT34">
        <v>12</v>
      </c>
      <c r="BU34">
        <v>6580.7999999999993</v>
      </c>
      <c r="BV34">
        <v>20</v>
      </c>
      <c r="BW34">
        <v>10968</v>
      </c>
      <c r="BX34">
        <v>11</v>
      </c>
      <c r="BY34">
        <v>6032.4</v>
      </c>
      <c r="BZ34">
        <v>14</v>
      </c>
      <c r="CA34">
        <v>7677.5999999999995</v>
      </c>
      <c r="CB34">
        <v>11</v>
      </c>
      <c r="CC34">
        <v>6032.4</v>
      </c>
      <c r="CD34">
        <v>14</v>
      </c>
      <c r="CE34">
        <v>7677.5999999999995</v>
      </c>
      <c r="CF34">
        <v>21</v>
      </c>
      <c r="CG34">
        <v>11516.4</v>
      </c>
      <c r="CH34">
        <v>18</v>
      </c>
      <c r="CI34">
        <v>9871.1999999999989</v>
      </c>
      <c r="CJ34">
        <v>10</v>
      </c>
      <c r="CK34">
        <v>5484</v>
      </c>
      <c r="CL34">
        <v>18</v>
      </c>
      <c r="CM34">
        <v>9871.1999999999989</v>
      </c>
      <c r="CN34">
        <v>16</v>
      </c>
      <c r="CO34">
        <v>8774.4</v>
      </c>
      <c r="CP34">
        <v>13</v>
      </c>
      <c r="CQ34">
        <v>7129.2</v>
      </c>
      <c r="CR34">
        <v>16</v>
      </c>
      <c r="CS34">
        <v>8774.4</v>
      </c>
      <c r="CT34">
        <v>17</v>
      </c>
      <c r="CU34">
        <v>9322.7999999999993</v>
      </c>
    </row>
    <row r="35" spans="2:99" x14ac:dyDescent="0.2">
      <c r="C35" s="118" t="s">
        <v>201</v>
      </c>
      <c r="D35">
        <v>13</v>
      </c>
      <c r="E35">
        <v>6536.3999999999987</v>
      </c>
      <c r="F35">
        <v>14</v>
      </c>
      <c r="G35">
        <v>7039.1999999999989</v>
      </c>
      <c r="H35">
        <v>15</v>
      </c>
      <c r="I35">
        <v>7541.9999999999982</v>
      </c>
      <c r="J35">
        <v>9</v>
      </c>
      <c r="K35">
        <v>4525.1999999999989</v>
      </c>
      <c r="L35">
        <v>18</v>
      </c>
      <c r="M35">
        <v>9050.3999999999978</v>
      </c>
      <c r="N35">
        <v>15</v>
      </c>
      <c r="O35">
        <v>7541.9999999999982</v>
      </c>
      <c r="P35">
        <v>15</v>
      </c>
      <c r="Q35">
        <v>7541.9999999999982</v>
      </c>
      <c r="R35">
        <v>16</v>
      </c>
      <c r="S35">
        <v>8044.7999999999984</v>
      </c>
      <c r="T35">
        <v>15</v>
      </c>
      <c r="U35">
        <v>7541.9999999999982</v>
      </c>
      <c r="V35">
        <v>9</v>
      </c>
      <c r="W35">
        <v>4525.1999999999989</v>
      </c>
      <c r="X35">
        <v>11</v>
      </c>
      <c r="Y35">
        <v>5530.7999999999993</v>
      </c>
      <c r="Z35">
        <v>20</v>
      </c>
      <c r="AA35">
        <v>10055.999999999998</v>
      </c>
      <c r="AB35">
        <v>17</v>
      </c>
      <c r="AC35">
        <v>8547.5999999999985</v>
      </c>
      <c r="AD35">
        <v>11</v>
      </c>
      <c r="AE35">
        <v>5530.7999999999993</v>
      </c>
      <c r="AF35">
        <v>20</v>
      </c>
      <c r="AG35">
        <v>10055.999999999998</v>
      </c>
      <c r="AH35">
        <v>11</v>
      </c>
      <c r="AI35">
        <v>5530.7999999999993</v>
      </c>
      <c r="AJ35">
        <v>11</v>
      </c>
      <c r="AK35">
        <v>5530.7999999999993</v>
      </c>
      <c r="AL35">
        <v>12</v>
      </c>
      <c r="AM35">
        <v>6033.5999999999985</v>
      </c>
      <c r="AN35">
        <v>18</v>
      </c>
      <c r="AO35">
        <v>9050.3999999999978</v>
      </c>
      <c r="AP35">
        <v>16</v>
      </c>
      <c r="AQ35">
        <v>8044.7999999999984</v>
      </c>
      <c r="AR35">
        <v>16</v>
      </c>
      <c r="AS35">
        <v>8044.7999999999984</v>
      </c>
      <c r="AT35">
        <v>10</v>
      </c>
      <c r="AU35">
        <v>5027.9999999999991</v>
      </c>
      <c r="AV35">
        <v>13</v>
      </c>
      <c r="AW35">
        <v>6536.3999999999987</v>
      </c>
      <c r="AX35">
        <v>11</v>
      </c>
      <c r="AY35">
        <v>5530.7999999999993</v>
      </c>
      <c r="AZ35">
        <v>13</v>
      </c>
      <c r="BA35">
        <v>6536.3999999999987</v>
      </c>
      <c r="BB35">
        <v>11</v>
      </c>
      <c r="BC35">
        <v>5530.7999999999993</v>
      </c>
      <c r="BD35">
        <v>17</v>
      </c>
      <c r="BE35">
        <v>8547.5999999999985</v>
      </c>
      <c r="BF35">
        <v>15</v>
      </c>
      <c r="BG35">
        <v>7541.9999999999982</v>
      </c>
      <c r="BH35">
        <v>16</v>
      </c>
      <c r="BI35">
        <v>8044.7999999999984</v>
      </c>
      <c r="BJ35">
        <v>22</v>
      </c>
      <c r="BK35">
        <v>11061.599999999999</v>
      </c>
      <c r="BL35">
        <v>15</v>
      </c>
      <c r="BM35">
        <v>7541.9999999999982</v>
      </c>
      <c r="BN35">
        <v>20</v>
      </c>
      <c r="BO35">
        <v>10055.999999999998</v>
      </c>
      <c r="BP35">
        <v>18</v>
      </c>
      <c r="BQ35">
        <v>9050.3999999999978</v>
      </c>
      <c r="BR35">
        <v>17</v>
      </c>
      <c r="BS35">
        <v>8547.5999999999985</v>
      </c>
      <c r="BT35">
        <v>11</v>
      </c>
      <c r="BU35">
        <v>5530.7999999999993</v>
      </c>
      <c r="BV35">
        <v>17</v>
      </c>
      <c r="BW35">
        <v>8547.5999999999985</v>
      </c>
      <c r="BX35">
        <v>12</v>
      </c>
      <c r="BY35">
        <v>6033.5999999999985</v>
      </c>
      <c r="BZ35">
        <v>17</v>
      </c>
      <c r="CA35">
        <v>8547.5999999999985</v>
      </c>
      <c r="CB35">
        <v>11</v>
      </c>
      <c r="CC35">
        <v>5530.7999999999993</v>
      </c>
      <c r="CD35">
        <v>14</v>
      </c>
      <c r="CE35">
        <v>7039.1999999999989</v>
      </c>
      <c r="CF35">
        <v>21</v>
      </c>
      <c r="CG35">
        <v>10558.799999999997</v>
      </c>
      <c r="CH35">
        <v>18</v>
      </c>
      <c r="CI35">
        <v>9050.3999999999978</v>
      </c>
      <c r="CJ35">
        <v>10</v>
      </c>
      <c r="CK35">
        <v>5027.9999999999991</v>
      </c>
      <c r="CL35">
        <v>19</v>
      </c>
      <c r="CM35">
        <v>9553.1999999999989</v>
      </c>
      <c r="CN35">
        <v>14</v>
      </c>
      <c r="CO35">
        <v>7039.1999999999989</v>
      </c>
      <c r="CP35">
        <v>12</v>
      </c>
      <c r="CQ35">
        <v>6033.5999999999985</v>
      </c>
      <c r="CR35">
        <v>18</v>
      </c>
      <c r="CS35">
        <v>9050.3999999999978</v>
      </c>
      <c r="CT35">
        <v>16</v>
      </c>
      <c r="CU35">
        <v>8044.7999999999984</v>
      </c>
    </row>
    <row r="36" spans="2:99" x14ac:dyDescent="0.2">
      <c r="C36" s="118" t="s">
        <v>202</v>
      </c>
      <c r="D36">
        <v>13</v>
      </c>
      <c r="E36">
        <v>9890.4</v>
      </c>
      <c r="F36">
        <v>15</v>
      </c>
      <c r="G36">
        <v>11412</v>
      </c>
      <c r="H36">
        <v>14</v>
      </c>
      <c r="I36">
        <v>10651.199999999999</v>
      </c>
      <c r="J36">
        <v>9</v>
      </c>
      <c r="K36">
        <v>6847.2</v>
      </c>
      <c r="L36">
        <v>17</v>
      </c>
      <c r="M36">
        <v>12933.599999999999</v>
      </c>
      <c r="N36">
        <v>13</v>
      </c>
      <c r="O36">
        <v>9890.4</v>
      </c>
      <c r="P36">
        <v>17</v>
      </c>
      <c r="Q36">
        <v>12933.599999999999</v>
      </c>
      <c r="R36">
        <v>15</v>
      </c>
      <c r="S36">
        <v>11412</v>
      </c>
      <c r="T36">
        <v>15</v>
      </c>
      <c r="U36">
        <v>11412</v>
      </c>
      <c r="V36">
        <v>10</v>
      </c>
      <c r="W36">
        <v>7608</v>
      </c>
      <c r="X36">
        <v>12</v>
      </c>
      <c r="Y36">
        <v>9129.5999999999985</v>
      </c>
      <c r="Z36">
        <v>19</v>
      </c>
      <c r="AA36">
        <v>14455.199999999999</v>
      </c>
      <c r="AB36">
        <v>16</v>
      </c>
      <c r="AC36">
        <v>12172.8</v>
      </c>
      <c r="AD36">
        <v>12</v>
      </c>
      <c r="AE36">
        <v>9129.5999999999985</v>
      </c>
      <c r="AF36">
        <v>19</v>
      </c>
      <c r="AG36">
        <v>14455.199999999999</v>
      </c>
      <c r="AH36">
        <v>11</v>
      </c>
      <c r="AI36">
        <v>8368.7999999999993</v>
      </c>
      <c r="AJ36">
        <v>11</v>
      </c>
      <c r="AK36">
        <v>8368.7999999999993</v>
      </c>
      <c r="AL36">
        <v>11</v>
      </c>
      <c r="AM36">
        <v>8368.7999999999993</v>
      </c>
      <c r="AN36">
        <v>18</v>
      </c>
      <c r="AO36">
        <v>13694.4</v>
      </c>
      <c r="AP36">
        <v>14</v>
      </c>
      <c r="AQ36">
        <v>10651.199999999999</v>
      </c>
      <c r="AR36">
        <v>18</v>
      </c>
      <c r="AS36">
        <v>13694.4</v>
      </c>
      <c r="AT36">
        <v>11</v>
      </c>
      <c r="AU36">
        <v>8368.7999999999993</v>
      </c>
      <c r="AV36">
        <v>11</v>
      </c>
      <c r="AW36">
        <v>8368.7999999999993</v>
      </c>
      <c r="AX36">
        <v>11</v>
      </c>
      <c r="AY36">
        <v>8368.7999999999993</v>
      </c>
      <c r="AZ36">
        <v>13</v>
      </c>
      <c r="BA36">
        <v>9890.4</v>
      </c>
      <c r="BB36">
        <v>11</v>
      </c>
      <c r="BC36">
        <v>8368.7999999999993</v>
      </c>
      <c r="BD36">
        <v>14</v>
      </c>
      <c r="BE36">
        <v>10651.199999999999</v>
      </c>
      <c r="BF36">
        <v>16</v>
      </c>
      <c r="BG36">
        <v>12172.8</v>
      </c>
      <c r="BH36">
        <v>18</v>
      </c>
      <c r="BI36">
        <v>13694.4</v>
      </c>
      <c r="BJ36">
        <v>21</v>
      </c>
      <c r="BK36">
        <v>15976.8</v>
      </c>
      <c r="BL36">
        <v>14</v>
      </c>
      <c r="BM36">
        <v>10651.199999999999</v>
      </c>
      <c r="BN36">
        <v>18</v>
      </c>
      <c r="BO36">
        <v>13694.4</v>
      </c>
      <c r="BP36">
        <v>18</v>
      </c>
      <c r="BQ36">
        <v>13694.4</v>
      </c>
      <c r="BR36">
        <v>15</v>
      </c>
      <c r="BS36">
        <v>11412</v>
      </c>
      <c r="BT36">
        <v>11</v>
      </c>
      <c r="BU36">
        <v>8368.7999999999993</v>
      </c>
      <c r="BV36">
        <v>20</v>
      </c>
      <c r="BW36">
        <v>15216</v>
      </c>
      <c r="BX36">
        <v>12</v>
      </c>
      <c r="BY36">
        <v>9129.5999999999985</v>
      </c>
      <c r="BZ36">
        <v>15</v>
      </c>
      <c r="CA36">
        <v>11412</v>
      </c>
      <c r="CB36">
        <v>11</v>
      </c>
      <c r="CC36">
        <v>8368.7999999999993</v>
      </c>
      <c r="CD36">
        <v>14</v>
      </c>
      <c r="CE36">
        <v>10651.199999999999</v>
      </c>
      <c r="CF36">
        <v>18</v>
      </c>
      <c r="CG36">
        <v>13694.4</v>
      </c>
      <c r="CH36">
        <v>16</v>
      </c>
      <c r="CI36">
        <v>12172.8</v>
      </c>
      <c r="CJ36">
        <v>11</v>
      </c>
      <c r="CK36">
        <v>8368.7999999999993</v>
      </c>
      <c r="CL36">
        <v>17</v>
      </c>
      <c r="CM36">
        <v>12933.599999999999</v>
      </c>
      <c r="CN36">
        <v>16</v>
      </c>
      <c r="CO36">
        <v>12172.8</v>
      </c>
      <c r="CP36">
        <v>13</v>
      </c>
      <c r="CQ36">
        <v>9890.4</v>
      </c>
      <c r="CR36">
        <v>15</v>
      </c>
      <c r="CS36">
        <v>11412</v>
      </c>
      <c r="CT36">
        <v>16</v>
      </c>
      <c r="CU36">
        <v>12172.8</v>
      </c>
    </row>
    <row r="37" spans="2:99" x14ac:dyDescent="0.2">
      <c r="B37" s="118" t="s">
        <v>128</v>
      </c>
      <c r="C37" s="118" t="s">
        <v>203</v>
      </c>
      <c r="D37">
        <v>17</v>
      </c>
      <c r="E37">
        <v>14626.8</v>
      </c>
      <c r="F37">
        <v>12</v>
      </c>
      <c r="G37">
        <v>10324.799999999999</v>
      </c>
      <c r="H37">
        <v>17</v>
      </c>
      <c r="I37">
        <v>14626.8</v>
      </c>
      <c r="J37">
        <v>21</v>
      </c>
      <c r="K37">
        <v>18068.399999999998</v>
      </c>
      <c r="L37">
        <v>22</v>
      </c>
      <c r="M37">
        <v>18928.8</v>
      </c>
      <c r="N37">
        <v>20</v>
      </c>
      <c r="O37">
        <v>17208</v>
      </c>
      <c r="P37">
        <v>20</v>
      </c>
      <c r="Q37">
        <v>17208</v>
      </c>
      <c r="R37">
        <v>17</v>
      </c>
      <c r="S37">
        <v>14626.8</v>
      </c>
      <c r="T37">
        <v>16</v>
      </c>
      <c r="U37">
        <v>13766.4</v>
      </c>
      <c r="V37">
        <v>16</v>
      </c>
      <c r="W37">
        <v>13766.4</v>
      </c>
      <c r="X37">
        <v>18</v>
      </c>
      <c r="Y37">
        <v>15487.199999999999</v>
      </c>
      <c r="Z37">
        <v>12</v>
      </c>
      <c r="AA37">
        <v>10324.799999999999</v>
      </c>
      <c r="AB37">
        <v>16</v>
      </c>
      <c r="AC37">
        <v>13766.4</v>
      </c>
      <c r="AD37">
        <v>19</v>
      </c>
      <c r="AE37">
        <v>16347.6</v>
      </c>
      <c r="AF37">
        <v>15</v>
      </c>
      <c r="AG37">
        <v>12906</v>
      </c>
      <c r="AH37">
        <v>16</v>
      </c>
      <c r="AI37">
        <v>13766.4</v>
      </c>
      <c r="AJ37">
        <v>19</v>
      </c>
      <c r="AK37">
        <v>16347.6</v>
      </c>
      <c r="AL37">
        <v>13</v>
      </c>
      <c r="AM37">
        <v>11185.199999999999</v>
      </c>
      <c r="AN37">
        <v>16</v>
      </c>
      <c r="AO37">
        <v>13766.4</v>
      </c>
      <c r="AP37">
        <v>12</v>
      </c>
      <c r="AQ37">
        <v>10324.799999999999</v>
      </c>
      <c r="AR37">
        <v>23</v>
      </c>
      <c r="AS37">
        <v>19789.2</v>
      </c>
      <c r="AT37">
        <v>12</v>
      </c>
      <c r="AU37">
        <v>10324.799999999999</v>
      </c>
      <c r="AV37">
        <v>17</v>
      </c>
      <c r="AW37">
        <v>14626.8</v>
      </c>
      <c r="AX37">
        <v>19</v>
      </c>
      <c r="AY37">
        <v>16347.6</v>
      </c>
      <c r="AZ37">
        <v>22</v>
      </c>
      <c r="BA37">
        <v>18928.8</v>
      </c>
      <c r="BB37">
        <v>24</v>
      </c>
      <c r="BC37">
        <v>20649.599999999999</v>
      </c>
      <c r="BD37">
        <v>17</v>
      </c>
      <c r="BE37">
        <v>14626.8</v>
      </c>
      <c r="BF37">
        <v>13</v>
      </c>
      <c r="BG37">
        <v>11185.199999999999</v>
      </c>
      <c r="BH37">
        <v>16</v>
      </c>
      <c r="BI37">
        <v>13766.4</v>
      </c>
      <c r="BJ37">
        <v>16</v>
      </c>
      <c r="BK37">
        <v>13766.4</v>
      </c>
      <c r="BL37">
        <v>21</v>
      </c>
      <c r="BM37">
        <v>18068.399999999998</v>
      </c>
      <c r="BN37">
        <v>15</v>
      </c>
      <c r="BO37">
        <v>12906</v>
      </c>
      <c r="BP37">
        <v>23</v>
      </c>
      <c r="BQ37">
        <v>19789.2</v>
      </c>
      <c r="BR37">
        <v>17</v>
      </c>
      <c r="BS37">
        <v>14626.8</v>
      </c>
      <c r="BT37">
        <v>14</v>
      </c>
      <c r="BU37">
        <v>12045.6</v>
      </c>
      <c r="BV37">
        <v>18</v>
      </c>
      <c r="BW37">
        <v>15487.199999999999</v>
      </c>
      <c r="BX37">
        <v>13</v>
      </c>
      <c r="BY37">
        <v>11185.199999999999</v>
      </c>
      <c r="BZ37">
        <v>14</v>
      </c>
      <c r="CA37">
        <v>12045.6</v>
      </c>
      <c r="CB37">
        <v>14</v>
      </c>
      <c r="CC37">
        <v>12045.6</v>
      </c>
      <c r="CD37">
        <v>17</v>
      </c>
      <c r="CE37">
        <v>14626.8</v>
      </c>
      <c r="CF37">
        <v>18</v>
      </c>
      <c r="CG37">
        <v>15487.199999999999</v>
      </c>
      <c r="CH37">
        <v>18</v>
      </c>
      <c r="CI37">
        <v>15487.199999999999</v>
      </c>
      <c r="CJ37">
        <v>19</v>
      </c>
      <c r="CK37">
        <v>16347.6</v>
      </c>
      <c r="CL37">
        <v>21</v>
      </c>
      <c r="CM37">
        <v>18068.399999999998</v>
      </c>
      <c r="CN37">
        <v>24</v>
      </c>
      <c r="CO37">
        <v>20649.599999999999</v>
      </c>
      <c r="CP37">
        <v>15</v>
      </c>
      <c r="CQ37">
        <v>12906</v>
      </c>
      <c r="CR37">
        <v>16</v>
      </c>
      <c r="CS37">
        <v>13766.4</v>
      </c>
      <c r="CT37">
        <v>25</v>
      </c>
      <c r="CU37">
        <v>21510</v>
      </c>
    </row>
    <row r="38" spans="2:99" x14ac:dyDescent="0.2">
      <c r="C38" s="118" t="s">
        <v>204</v>
      </c>
      <c r="D38">
        <v>17</v>
      </c>
      <c r="E38">
        <v>21114</v>
      </c>
      <c r="F38">
        <v>11</v>
      </c>
      <c r="G38">
        <v>13662</v>
      </c>
      <c r="H38">
        <v>14</v>
      </c>
      <c r="I38">
        <v>17388</v>
      </c>
      <c r="J38">
        <v>20</v>
      </c>
      <c r="K38">
        <v>24840</v>
      </c>
      <c r="L38">
        <v>20</v>
      </c>
      <c r="M38">
        <v>24840</v>
      </c>
      <c r="N38">
        <v>20</v>
      </c>
      <c r="O38">
        <v>24840</v>
      </c>
      <c r="P38">
        <v>18</v>
      </c>
      <c r="Q38">
        <v>22356</v>
      </c>
      <c r="R38">
        <v>16</v>
      </c>
      <c r="S38">
        <v>19872</v>
      </c>
      <c r="T38">
        <v>17</v>
      </c>
      <c r="U38">
        <v>21114</v>
      </c>
      <c r="V38">
        <v>16</v>
      </c>
      <c r="W38">
        <v>19872</v>
      </c>
      <c r="X38">
        <v>20</v>
      </c>
      <c r="Y38">
        <v>24840</v>
      </c>
      <c r="Z38">
        <v>11</v>
      </c>
      <c r="AA38">
        <v>13662</v>
      </c>
      <c r="AB38">
        <v>16</v>
      </c>
      <c r="AC38">
        <v>19872</v>
      </c>
      <c r="AD38">
        <v>20</v>
      </c>
      <c r="AE38">
        <v>24840</v>
      </c>
      <c r="AF38">
        <v>14</v>
      </c>
      <c r="AG38">
        <v>17388</v>
      </c>
      <c r="AH38">
        <v>14</v>
      </c>
      <c r="AI38">
        <v>17388</v>
      </c>
      <c r="AJ38">
        <v>18</v>
      </c>
      <c r="AK38">
        <v>22356</v>
      </c>
      <c r="AL38">
        <v>12</v>
      </c>
      <c r="AM38">
        <v>14904</v>
      </c>
      <c r="AN38">
        <v>14</v>
      </c>
      <c r="AO38">
        <v>17388</v>
      </c>
      <c r="AP38">
        <v>11</v>
      </c>
      <c r="AQ38">
        <v>13662</v>
      </c>
      <c r="AR38">
        <v>22</v>
      </c>
      <c r="AS38">
        <v>27324</v>
      </c>
      <c r="AT38">
        <v>11</v>
      </c>
      <c r="AU38">
        <v>13662</v>
      </c>
      <c r="AV38">
        <v>17</v>
      </c>
      <c r="AW38">
        <v>21114</v>
      </c>
      <c r="AX38">
        <v>20</v>
      </c>
      <c r="AY38">
        <v>24840</v>
      </c>
      <c r="AZ38">
        <v>20</v>
      </c>
      <c r="BA38">
        <v>24840</v>
      </c>
      <c r="BB38">
        <v>22</v>
      </c>
      <c r="BC38">
        <v>27324</v>
      </c>
      <c r="BD38">
        <v>18</v>
      </c>
      <c r="BE38">
        <v>22356</v>
      </c>
      <c r="BF38">
        <v>13</v>
      </c>
      <c r="BG38">
        <v>16146</v>
      </c>
      <c r="BH38">
        <v>15</v>
      </c>
      <c r="BI38">
        <v>18630</v>
      </c>
      <c r="BJ38">
        <v>13</v>
      </c>
      <c r="BK38">
        <v>16146</v>
      </c>
      <c r="BL38">
        <v>23</v>
      </c>
      <c r="BM38">
        <v>28566</v>
      </c>
      <c r="BN38">
        <v>14</v>
      </c>
      <c r="BO38">
        <v>17388</v>
      </c>
      <c r="BP38">
        <v>22</v>
      </c>
      <c r="BQ38">
        <v>27324</v>
      </c>
      <c r="BR38">
        <v>15</v>
      </c>
      <c r="BS38">
        <v>18630</v>
      </c>
      <c r="BT38">
        <v>14</v>
      </c>
      <c r="BU38">
        <v>17388</v>
      </c>
      <c r="BV38">
        <v>19</v>
      </c>
      <c r="BW38">
        <v>23598</v>
      </c>
      <c r="BX38">
        <v>14</v>
      </c>
      <c r="BY38">
        <v>17388</v>
      </c>
      <c r="BZ38">
        <v>14</v>
      </c>
      <c r="CA38">
        <v>17388</v>
      </c>
      <c r="CB38">
        <v>14</v>
      </c>
      <c r="CC38">
        <v>17388</v>
      </c>
      <c r="CD38">
        <v>17</v>
      </c>
      <c r="CE38">
        <v>21114</v>
      </c>
      <c r="CF38">
        <v>19</v>
      </c>
      <c r="CG38">
        <v>23598</v>
      </c>
      <c r="CH38">
        <v>17</v>
      </c>
      <c r="CI38">
        <v>21114</v>
      </c>
      <c r="CJ38">
        <v>20</v>
      </c>
      <c r="CK38">
        <v>24840</v>
      </c>
      <c r="CL38">
        <v>24</v>
      </c>
      <c r="CM38">
        <v>29808</v>
      </c>
      <c r="CN38">
        <v>22</v>
      </c>
      <c r="CO38">
        <v>27324</v>
      </c>
      <c r="CP38">
        <v>15</v>
      </c>
      <c r="CQ38">
        <v>18630</v>
      </c>
      <c r="CR38">
        <v>15</v>
      </c>
      <c r="CS38">
        <v>18630</v>
      </c>
      <c r="CT38">
        <v>20</v>
      </c>
      <c r="CU38">
        <v>24840</v>
      </c>
    </row>
    <row r="39" spans="2:99" x14ac:dyDescent="0.2">
      <c r="C39" s="118" t="s">
        <v>205</v>
      </c>
      <c r="D39">
        <v>15</v>
      </c>
      <c r="E39">
        <v>21348</v>
      </c>
      <c r="F39">
        <v>11</v>
      </c>
      <c r="G39">
        <v>15655.2</v>
      </c>
      <c r="H39">
        <v>15</v>
      </c>
      <c r="I39">
        <v>21348</v>
      </c>
      <c r="J39">
        <v>19</v>
      </c>
      <c r="K39">
        <v>27040.799999999999</v>
      </c>
      <c r="L39">
        <v>20</v>
      </c>
      <c r="M39">
        <v>28464</v>
      </c>
      <c r="N39">
        <v>22</v>
      </c>
      <c r="O39">
        <v>31310.400000000001</v>
      </c>
      <c r="P39">
        <v>21</v>
      </c>
      <c r="Q39">
        <v>29887.200000000001</v>
      </c>
      <c r="R39">
        <v>19</v>
      </c>
      <c r="S39">
        <v>27040.799999999999</v>
      </c>
      <c r="T39">
        <v>15</v>
      </c>
      <c r="U39">
        <v>21348</v>
      </c>
      <c r="V39">
        <v>17</v>
      </c>
      <c r="W39">
        <v>24194.400000000001</v>
      </c>
      <c r="X39">
        <v>18</v>
      </c>
      <c r="Y39">
        <v>25617.600000000002</v>
      </c>
      <c r="Z39">
        <v>10</v>
      </c>
      <c r="AA39">
        <v>14232</v>
      </c>
      <c r="AB39">
        <v>17</v>
      </c>
      <c r="AC39">
        <v>24194.400000000001</v>
      </c>
      <c r="AD39">
        <v>19</v>
      </c>
      <c r="AE39">
        <v>27040.799999999999</v>
      </c>
      <c r="AF39">
        <v>13</v>
      </c>
      <c r="AG39">
        <v>18501.600000000002</v>
      </c>
      <c r="AH39">
        <v>16</v>
      </c>
      <c r="AI39">
        <v>22771.200000000001</v>
      </c>
      <c r="AJ39">
        <v>16</v>
      </c>
      <c r="AK39">
        <v>22771.200000000001</v>
      </c>
      <c r="AL39">
        <v>12</v>
      </c>
      <c r="AM39">
        <v>17078.400000000001</v>
      </c>
      <c r="AN39">
        <v>16</v>
      </c>
      <c r="AO39">
        <v>22771.200000000001</v>
      </c>
      <c r="AP39">
        <v>12</v>
      </c>
      <c r="AQ39">
        <v>17078.400000000001</v>
      </c>
      <c r="AR39">
        <v>21</v>
      </c>
      <c r="AS39">
        <v>29887.200000000001</v>
      </c>
      <c r="AT39">
        <v>12</v>
      </c>
      <c r="AU39">
        <v>17078.400000000001</v>
      </c>
      <c r="AV39">
        <v>15</v>
      </c>
      <c r="AW39">
        <v>21348</v>
      </c>
      <c r="AX39">
        <v>20</v>
      </c>
      <c r="AY39">
        <v>28464</v>
      </c>
      <c r="AZ39">
        <v>20</v>
      </c>
      <c r="BA39">
        <v>28464</v>
      </c>
      <c r="BB39">
        <v>22</v>
      </c>
      <c r="BC39">
        <v>31310.400000000001</v>
      </c>
      <c r="BD39">
        <v>18</v>
      </c>
      <c r="BE39">
        <v>25617.600000000002</v>
      </c>
      <c r="BF39">
        <v>14</v>
      </c>
      <c r="BG39">
        <v>19924.8</v>
      </c>
      <c r="BH39">
        <v>15</v>
      </c>
      <c r="BI39">
        <v>21348</v>
      </c>
      <c r="BJ39">
        <v>14</v>
      </c>
      <c r="BK39">
        <v>19924.8</v>
      </c>
      <c r="BL39">
        <v>21</v>
      </c>
      <c r="BM39">
        <v>29887.200000000001</v>
      </c>
      <c r="BN39">
        <v>15</v>
      </c>
      <c r="BO39">
        <v>21348</v>
      </c>
      <c r="BP39">
        <v>20</v>
      </c>
      <c r="BQ39">
        <v>28464</v>
      </c>
      <c r="BR39">
        <v>16</v>
      </c>
      <c r="BS39">
        <v>22771.200000000001</v>
      </c>
      <c r="BT39">
        <v>13</v>
      </c>
      <c r="BU39">
        <v>18501.600000000002</v>
      </c>
      <c r="BV39">
        <v>19</v>
      </c>
      <c r="BW39">
        <v>27040.799999999999</v>
      </c>
      <c r="BX39">
        <v>13</v>
      </c>
      <c r="BY39">
        <v>18501.600000000002</v>
      </c>
      <c r="BZ39">
        <v>15</v>
      </c>
      <c r="CA39">
        <v>21348</v>
      </c>
      <c r="CB39">
        <v>12</v>
      </c>
      <c r="CC39">
        <v>17078.400000000001</v>
      </c>
      <c r="CD39">
        <v>15</v>
      </c>
      <c r="CE39">
        <v>21348</v>
      </c>
      <c r="CF39">
        <v>16</v>
      </c>
      <c r="CG39">
        <v>22771.200000000001</v>
      </c>
      <c r="CH39">
        <v>17</v>
      </c>
      <c r="CI39">
        <v>24194.400000000001</v>
      </c>
      <c r="CJ39">
        <v>18</v>
      </c>
      <c r="CK39">
        <v>25617.600000000002</v>
      </c>
      <c r="CL39">
        <v>24</v>
      </c>
      <c r="CM39">
        <v>34156.800000000003</v>
      </c>
      <c r="CN39">
        <v>24</v>
      </c>
      <c r="CO39">
        <v>34156.800000000003</v>
      </c>
      <c r="CP39">
        <v>14</v>
      </c>
      <c r="CQ39">
        <v>19924.8</v>
      </c>
      <c r="CR39">
        <v>16</v>
      </c>
      <c r="CS39">
        <v>22771.200000000001</v>
      </c>
      <c r="CT39">
        <v>22</v>
      </c>
      <c r="CU39">
        <v>31310.400000000001</v>
      </c>
    </row>
    <row r="40" spans="2:99" x14ac:dyDescent="0.2">
      <c r="C40" s="118" t="s">
        <v>206</v>
      </c>
      <c r="D40">
        <v>18</v>
      </c>
      <c r="E40">
        <v>13046.4</v>
      </c>
      <c r="F40">
        <v>12</v>
      </c>
      <c r="G40">
        <v>8697.5999999999985</v>
      </c>
      <c r="H40">
        <v>15</v>
      </c>
      <c r="I40">
        <v>10872</v>
      </c>
      <c r="J40">
        <v>19</v>
      </c>
      <c r="K40">
        <v>13771.199999999999</v>
      </c>
      <c r="L40">
        <v>20</v>
      </c>
      <c r="M40">
        <v>14496</v>
      </c>
      <c r="N40">
        <v>20</v>
      </c>
      <c r="O40">
        <v>14496</v>
      </c>
      <c r="P40">
        <v>22</v>
      </c>
      <c r="Q40">
        <v>15945.599999999999</v>
      </c>
      <c r="R40">
        <v>18</v>
      </c>
      <c r="S40">
        <v>13046.4</v>
      </c>
      <c r="T40">
        <v>18</v>
      </c>
      <c r="U40">
        <v>13046.4</v>
      </c>
      <c r="V40">
        <v>17</v>
      </c>
      <c r="W40">
        <v>12321.599999999999</v>
      </c>
      <c r="X40">
        <v>20</v>
      </c>
      <c r="Y40">
        <v>14496</v>
      </c>
      <c r="Z40">
        <v>11</v>
      </c>
      <c r="AA40">
        <v>7972.7999999999993</v>
      </c>
      <c r="AB40">
        <v>18</v>
      </c>
      <c r="AC40">
        <v>13046.4</v>
      </c>
      <c r="AD40">
        <v>19</v>
      </c>
      <c r="AE40">
        <v>13771.199999999999</v>
      </c>
      <c r="AF40">
        <v>14</v>
      </c>
      <c r="AG40">
        <v>10147.199999999999</v>
      </c>
      <c r="AH40">
        <v>15</v>
      </c>
      <c r="AI40">
        <v>10872</v>
      </c>
      <c r="AJ40">
        <v>16</v>
      </c>
      <c r="AK40">
        <v>11596.8</v>
      </c>
      <c r="AL40">
        <v>12</v>
      </c>
      <c r="AM40">
        <v>8697.5999999999985</v>
      </c>
      <c r="AN40">
        <v>17</v>
      </c>
      <c r="AO40">
        <v>12321.599999999999</v>
      </c>
      <c r="AP40">
        <v>13</v>
      </c>
      <c r="AQ40">
        <v>9422.4</v>
      </c>
      <c r="AR40">
        <v>22</v>
      </c>
      <c r="AS40">
        <v>15945.599999999999</v>
      </c>
      <c r="AT40">
        <v>13</v>
      </c>
      <c r="AU40">
        <v>9422.4</v>
      </c>
      <c r="AV40">
        <v>19</v>
      </c>
      <c r="AW40">
        <v>13771.199999999999</v>
      </c>
      <c r="AX40">
        <v>21</v>
      </c>
      <c r="AY40">
        <v>15220.8</v>
      </c>
      <c r="AZ40">
        <v>22</v>
      </c>
      <c r="BA40">
        <v>15945.599999999999</v>
      </c>
      <c r="BB40">
        <v>22</v>
      </c>
      <c r="BC40">
        <v>15945.599999999999</v>
      </c>
      <c r="BD40">
        <v>18</v>
      </c>
      <c r="BE40">
        <v>13046.4</v>
      </c>
      <c r="BF40">
        <v>13</v>
      </c>
      <c r="BG40">
        <v>9422.4</v>
      </c>
      <c r="BH40">
        <v>18</v>
      </c>
      <c r="BI40">
        <v>13046.4</v>
      </c>
      <c r="BJ40">
        <v>16</v>
      </c>
      <c r="BK40">
        <v>11596.8</v>
      </c>
      <c r="BL40">
        <v>21</v>
      </c>
      <c r="BM40">
        <v>15220.8</v>
      </c>
      <c r="BN40">
        <v>16</v>
      </c>
      <c r="BO40">
        <v>11596.8</v>
      </c>
      <c r="BP40">
        <v>23</v>
      </c>
      <c r="BQ40">
        <v>16670.399999999998</v>
      </c>
      <c r="BR40">
        <v>17</v>
      </c>
      <c r="BS40">
        <v>12321.599999999999</v>
      </c>
      <c r="BT40">
        <v>12</v>
      </c>
      <c r="BU40">
        <v>8697.5999999999985</v>
      </c>
      <c r="BV40">
        <v>20</v>
      </c>
      <c r="BW40">
        <v>14496</v>
      </c>
      <c r="BX40">
        <v>13</v>
      </c>
      <c r="BY40">
        <v>9422.4</v>
      </c>
      <c r="BZ40">
        <v>14</v>
      </c>
      <c r="CA40">
        <v>10147.199999999999</v>
      </c>
      <c r="CB40">
        <v>14</v>
      </c>
      <c r="CC40">
        <v>10147.199999999999</v>
      </c>
      <c r="CD40">
        <v>18</v>
      </c>
      <c r="CE40">
        <v>13046.4</v>
      </c>
      <c r="CF40">
        <v>20</v>
      </c>
      <c r="CG40">
        <v>14496</v>
      </c>
      <c r="CH40">
        <v>16</v>
      </c>
      <c r="CI40">
        <v>11596.8</v>
      </c>
      <c r="CJ40">
        <v>22</v>
      </c>
      <c r="CK40">
        <v>15945.599999999999</v>
      </c>
      <c r="CL40">
        <v>23</v>
      </c>
      <c r="CM40">
        <v>16670.399999999998</v>
      </c>
      <c r="CN40">
        <v>24</v>
      </c>
      <c r="CO40">
        <v>17395.199999999997</v>
      </c>
      <c r="CP40">
        <v>16</v>
      </c>
      <c r="CQ40">
        <v>11596.8</v>
      </c>
      <c r="CR40">
        <v>17</v>
      </c>
      <c r="CS40">
        <v>12321.599999999999</v>
      </c>
      <c r="CT40">
        <v>23</v>
      </c>
      <c r="CU40">
        <v>16670.399999999998</v>
      </c>
    </row>
    <row r="41" spans="2:99" x14ac:dyDescent="0.2">
      <c r="C41" s="118" t="s">
        <v>207</v>
      </c>
      <c r="D41">
        <v>17</v>
      </c>
      <c r="E41">
        <v>11220</v>
      </c>
      <c r="F41">
        <v>13</v>
      </c>
      <c r="G41">
        <v>8580</v>
      </c>
      <c r="H41">
        <v>15</v>
      </c>
      <c r="I41">
        <v>9900</v>
      </c>
      <c r="J41">
        <v>21</v>
      </c>
      <c r="K41">
        <v>13860</v>
      </c>
      <c r="L41">
        <v>19</v>
      </c>
      <c r="M41">
        <v>12540</v>
      </c>
      <c r="N41">
        <v>21</v>
      </c>
      <c r="O41">
        <v>13860</v>
      </c>
      <c r="P41">
        <v>20</v>
      </c>
      <c r="Q41">
        <v>13200</v>
      </c>
      <c r="R41">
        <v>19</v>
      </c>
      <c r="S41">
        <v>12540</v>
      </c>
      <c r="T41">
        <v>17</v>
      </c>
      <c r="U41">
        <v>11220</v>
      </c>
      <c r="V41">
        <v>17</v>
      </c>
      <c r="W41">
        <v>11220</v>
      </c>
      <c r="X41">
        <v>18</v>
      </c>
      <c r="Y41">
        <v>11880</v>
      </c>
      <c r="Z41">
        <v>12</v>
      </c>
      <c r="AA41">
        <v>7920</v>
      </c>
      <c r="AB41">
        <v>20</v>
      </c>
      <c r="AC41">
        <v>13200</v>
      </c>
      <c r="AD41">
        <v>19</v>
      </c>
      <c r="AE41">
        <v>12540</v>
      </c>
      <c r="AF41">
        <v>15</v>
      </c>
      <c r="AG41">
        <v>9900</v>
      </c>
      <c r="AH41">
        <v>17</v>
      </c>
      <c r="AI41">
        <v>11220</v>
      </c>
      <c r="AJ41">
        <v>19</v>
      </c>
      <c r="AK41">
        <v>12540</v>
      </c>
      <c r="AL41">
        <v>12</v>
      </c>
      <c r="AM41">
        <v>7920</v>
      </c>
      <c r="AN41">
        <v>17</v>
      </c>
      <c r="AO41">
        <v>11220</v>
      </c>
      <c r="AP41">
        <v>11</v>
      </c>
      <c r="AQ41">
        <v>7260</v>
      </c>
      <c r="AR41">
        <v>20</v>
      </c>
      <c r="AS41">
        <v>13200</v>
      </c>
      <c r="AT41">
        <v>14</v>
      </c>
      <c r="AU41">
        <v>9240</v>
      </c>
      <c r="AV41">
        <v>18</v>
      </c>
      <c r="AW41">
        <v>11880</v>
      </c>
      <c r="AX41">
        <v>21</v>
      </c>
      <c r="AY41">
        <v>13860</v>
      </c>
      <c r="AZ41">
        <v>20</v>
      </c>
      <c r="BA41">
        <v>13200</v>
      </c>
      <c r="BB41">
        <v>23</v>
      </c>
      <c r="BC41">
        <v>15180</v>
      </c>
      <c r="BD41">
        <v>18</v>
      </c>
      <c r="BE41">
        <v>11880</v>
      </c>
      <c r="BF41">
        <v>13</v>
      </c>
      <c r="BG41">
        <v>8580</v>
      </c>
      <c r="BH41">
        <v>17</v>
      </c>
      <c r="BI41">
        <v>11220</v>
      </c>
      <c r="BJ41">
        <v>16</v>
      </c>
      <c r="BK41">
        <v>10560</v>
      </c>
      <c r="BL41">
        <v>22</v>
      </c>
      <c r="BM41">
        <v>14520</v>
      </c>
      <c r="BN41">
        <v>16</v>
      </c>
      <c r="BO41">
        <v>10560</v>
      </c>
      <c r="BP41">
        <v>21</v>
      </c>
      <c r="BQ41">
        <v>13860</v>
      </c>
      <c r="BR41">
        <v>19</v>
      </c>
      <c r="BS41">
        <v>12540</v>
      </c>
      <c r="BT41">
        <v>13</v>
      </c>
      <c r="BU41">
        <v>8580</v>
      </c>
      <c r="BV41">
        <v>19</v>
      </c>
      <c r="BW41">
        <v>12540</v>
      </c>
      <c r="BX41">
        <v>13</v>
      </c>
      <c r="BY41">
        <v>8580</v>
      </c>
      <c r="BZ41">
        <v>16</v>
      </c>
      <c r="CA41">
        <v>10560</v>
      </c>
      <c r="CB41">
        <v>14</v>
      </c>
      <c r="CC41">
        <v>9240</v>
      </c>
      <c r="CD41">
        <v>18</v>
      </c>
      <c r="CE41">
        <v>11880</v>
      </c>
      <c r="CF41">
        <v>19</v>
      </c>
      <c r="CG41">
        <v>12540</v>
      </c>
      <c r="CH41">
        <v>17</v>
      </c>
      <c r="CI41">
        <v>11220</v>
      </c>
      <c r="CJ41">
        <v>20</v>
      </c>
      <c r="CK41">
        <v>13200</v>
      </c>
      <c r="CL41">
        <v>23</v>
      </c>
      <c r="CM41">
        <v>15180</v>
      </c>
      <c r="CN41">
        <v>24</v>
      </c>
      <c r="CO41">
        <v>15840</v>
      </c>
      <c r="CP41">
        <v>15</v>
      </c>
      <c r="CQ41">
        <v>9900</v>
      </c>
      <c r="CR41">
        <v>15</v>
      </c>
      <c r="CS41">
        <v>9900</v>
      </c>
      <c r="CT41">
        <v>22</v>
      </c>
      <c r="CU41">
        <v>14520</v>
      </c>
    </row>
    <row r="42" spans="2:99" x14ac:dyDescent="0.2">
      <c r="C42" s="118" t="s">
        <v>208</v>
      </c>
      <c r="D42">
        <v>16</v>
      </c>
      <c r="E42">
        <v>13536</v>
      </c>
      <c r="F42">
        <v>12</v>
      </c>
      <c r="G42">
        <v>10152</v>
      </c>
      <c r="H42">
        <v>16</v>
      </c>
      <c r="I42">
        <v>13536</v>
      </c>
      <c r="J42">
        <v>20</v>
      </c>
      <c r="K42">
        <v>16920</v>
      </c>
      <c r="L42">
        <v>19</v>
      </c>
      <c r="M42">
        <v>16074</v>
      </c>
      <c r="N42">
        <v>23</v>
      </c>
      <c r="O42">
        <v>19458</v>
      </c>
      <c r="P42">
        <v>21</v>
      </c>
      <c r="Q42">
        <v>17766</v>
      </c>
      <c r="R42">
        <v>17</v>
      </c>
      <c r="S42">
        <v>14382</v>
      </c>
      <c r="T42">
        <v>16</v>
      </c>
      <c r="U42">
        <v>13536</v>
      </c>
      <c r="V42">
        <v>16</v>
      </c>
      <c r="W42">
        <v>13536</v>
      </c>
      <c r="X42">
        <v>19</v>
      </c>
      <c r="Y42">
        <v>16074</v>
      </c>
      <c r="Z42">
        <v>11</v>
      </c>
      <c r="AA42">
        <v>9306</v>
      </c>
      <c r="AB42">
        <v>17</v>
      </c>
      <c r="AC42">
        <v>14382</v>
      </c>
      <c r="AD42">
        <v>20</v>
      </c>
      <c r="AE42">
        <v>16920</v>
      </c>
      <c r="AF42">
        <v>15</v>
      </c>
      <c r="AG42">
        <v>12690</v>
      </c>
      <c r="AH42">
        <v>16</v>
      </c>
      <c r="AI42">
        <v>13536</v>
      </c>
      <c r="AJ42">
        <v>17</v>
      </c>
      <c r="AK42">
        <v>14382</v>
      </c>
      <c r="AL42">
        <v>11</v>
      </c>
      <c r="AM42">
        <v>9306</v>
      </c>
      <c r="AN42">
        <v>15</v>
      </c>
      <c r="AO42">
        <v>12690</v>
      </c>
      <c r="AP42">
        <v>13</v>
      </c>
      <c r="AQ42">
        <v>10998</v>
      </c>
      <c r="AR42">
        <v>23</v>
      </c>
      <c r="AS42">
        <v>19458</v>
      </c>
      <c r="AT42">
        <v>14</v>
      </c>
      <c r="AU42">
        <v>11844</v>
      </c>
      <c r="AV42">
        <v>18</v>
      </c>
      <c r="AW42">
        <v>15228</v>
      </c>
      <c r="AX42">
        <v>20</v>
      </c>
      <c r="AY42">
        <v>16920</v>
      </c>
      <c r="AZ42">
        <v>20</v>
      </c>
      <c r="BA42">
        <v>16920</v>
      </c>
      <c r="BB42">
        <v>20</v>
      </c>
      <c r="BC42">
        <v>16920</v>
      </c>
      <c r="BD42">
        <v>17</v>
      </c>
      <c r="BE42">
        <v>14382</v>
      </c>
      <c r="BF42">
        <v>15</v>
      </c>
      <c r="BG42">
        <v>12690</v>
      </c>
      <c r="BH42">
        <v>16</v>
      </c>
      <c r="BI42">
        <v>13536</v>
      </c>
      <c r="BJ42">
        <v>14</v>
      </c>
      <c r="BK42">
        <v>11844</v>
      </c>
      <c r="BL42">
        <v>24</v>
      </c>
      <c r="BM42">
        <v>20304</v>
      </c>
      <c r="BN42">
        <v>18</v>
      </c>
      <c r="BO42">
        <v>15228</v>
      </c>
      <c r="BP42">
        <v>23</v>
      </c>
      <c r="BQ42">
        <v>19458</v>
      </c>
      <c r="BR42">
        <v>18</v>
      </c>
      <c r="BS42">
        <v>15228</v>
      </c>
      <c r="BT42">
        <v>14</v>
      </c>
      <c r="BU42">
        <v>11844</v>
      </c>
      <c r="BV42">
        <v>18</v>
      </c>
      <c r="BW42">
        <v>15228</v>
      </c>
      <c r="BX42">
        <v>15</v>
      </c>
      <c r="BY42">
        <v>12690</v>
      </c>
      <c r="BZ42">
        <v>14</v>
      </c>
      <c r="CA42">
        <v>11844</v>
      </c>
      <c r="CB42">
        <v>12</v>
      </c>
      <c r="CC42">
        <v>10152</v>
      </c>
      <c r="CD42">
        <v>19</v>
      </c>
      <c r="CE42">
        <v>16074</v>
      </c>
      <c r="CF42">
        <v>17</v>
      </c>
      <c r="CG42">
        <v>14382</v>
      </c>
      <c r="CH42">
        <v>16</v>
      </c>
      <c r="CI42">
        <v>13536</v>
      </c>
      <c r="CJ42">
        <v>22</v>
      </c>
      <c r="CK42">
        <v>18612</v>
      </c>
      <c r="CL42">
        <v>24</v>
      </c>
      <c r="CM42">
        <v>20304</v>
      </c>
      <c r="CN42">
        <v>25</v>
      </c>
      <c r="CO42">
        <v>21150</v>
      </c>
      <c r="CP42">
        <v>16</v>
      </c>
      <c r="CQ42">
        <v>13536</v>
      </c>
      <c r="CR42">
        <v>16</v>
      </c>
      <c r="CS42">
        <v>13536</v>
      </c>
      <c r="CT42">
        <v>21</v>
      </c>
      <c r="CU42">
        <v>17766</v>
      </c>
    </row>
    <row r="43" spans="2:99" x14ac:dyDescent="0.2">
      <c r="C43" s="118" t="s">
        <v>209</v>
      </c>
      <c r="D43">
        <v>16</v>
      </c>
      <c r="E43">
        <v>16358.4</v>
      </c>
      <c r="F43">
        <v>12</v>
      </c>
      <c r="G43">
        <v>12268.8</v>
      </c>
      <c r="H43">
        <v>16</v>
      </c>
      <c r="I43">
        <v>16358.4</v>
      </c>
      <c r="J43">
        <v>21</v>
      </c>
      <c r="K43">
        <v>21470.399999999998</v>
      </c>
      <c r="L43">
        <v>21</v>
      </c>
      <c r="M43">
        <v>21470.399999999998</v>
      </c>
      <c r="N43">
        <v>20</v>
      </c>
      <c r="O43">
        <v>20448</v>
      </c>
      <c r="P43">
        <v>20</v>
      </c>
      <c r="Q43">
        <v>20448</v>
      </c>
      <c r="R43">
        <v>19</v>
      </c>
      <c r="S43">
        <v>19425.599999999999</v>
      </c>
      <c r="T43">
        <v>18</v>
      </c>
      <c r="U43">
        <v>18403.2</v>
      </c>
      <c r="V43">
        <v>16</v>
      </c>
      <c r="W43">
        <v>16358.4</v>
      </c>
      <c r="X43">
        <v>18</v>
      </c>
      <c r="Y43">
        <v>18403.2</v>
      </c>
      <c r="Z43">
        <v>11</v>
      </c>
      <c r="AA43">
        <v>11246.4</v>
      </c>
      <c r="AB43">
        <v>18</v>
      </c>
      <c r="AC43">
        <v>18403.2</v>
      </c>
      <c r="AD43">
        <v>19</v>
      </c>
      <c r="AE43">
        <v>19425.599999999999</v>
      </c>
      <c r="AF43">
        <v>15</v>
      </c>
      <c r="AG43">
        <v>15336</v>
      </c>
      <c r="AH43">
        <v>15</v>
      </c>
      <c r="AI43">
        <v>15336</v>
      </c>
      <c r="AJ43">
        <v>17</v>
      </c>
      <c r="AK43">
        <v>17380.8</v>
      </c>
      <c r="AL43">
        <v>12</v>
      </c>
      <c r="AM43">
        <v>12268.8</v>
      </c>
      <c r="AN43">
        <v>15</v>
      </c>
      <c r="AO43">
        <v>15336</v>
      </c>
      <c r="AP43">
        <v>13</v>
      </c>
      <c r="AQ43">
        <v>13291.199999999999</v>
      </c>
      <c r="AR43">
        <v>21</v>
      </c>
      <c r="AS43">
        <v>21470.399999999998</v>
      </c>
      <c r="AT43">
        <v>13</v>
      </c>
      <c r="AU43">
        <v>13291.199999999999</v>
      </c>
      <c r="AV43">
        <v>15</v>
      </c>
      <c r="AW43">
        <v>15336</v>
      </c>
      <c r="AX43">
        <v>19</v>
      </c>
      <c r="AY43">
        <v>19425.599999999999</v>
      </c>
      <c r="AZ43">
        <v>22</v>
      </c>
      <c r="BA43">
        <v>22492.799999999999</v>
      </c>
      <c r="BB43">
        <v>22</v>
      </c>
      <c r="BC43">
        <v>22492.799999999999</v>
      </c>
      <c r="BD43">
        <v>18</v>
      </c>
      <c r="BE43">
        <v>18403.2</v>
      </c>
      <c r="BF43">
        <v>14</v>
      </c>
      <c r="BG43">
        <v>14313.6</v>
      </c>
      <c r="BH43">
        <v>16</v>
      </c>
      <c r="BI43">
        <v>16358.4</v>
      </c>
      <c r="BJ43">
        <v>15</v>
      </c>
      <c r="BK43">
        <v>15336</v>
      </c>
      <c r="BL43">
        <v>24</v>
      </c>
      <c r="BM43">
        <v>24537.599999999999</v>
      </c>
      <c r="BN43">
        <v>15</v>
      </c>
      <c r="BO43">
        <v>15336</v>
      </c>
      <c r="BP43">
        <v>24</v>
      </c>
      <c r="BQ43">
        <v>24537.599999999999</v>
      </c>
      <c r="BR43">
        <v>15</v>
      </c>
      <c r="BS43">
        <v>15336</v>
      </c>
      <c r="BT43">
        <v>13</v>
      </c>
      <c r="BU43">
        <v>13291.199999999999</v>
      </c>
      <c r="BV43">
        <v>21</v>
      </c>
      <c r="BW43">
        <v>21470.399999999998</v>
      </c>
      <c r="BX43">
        <v>13</v>
      </c>
      <c r="BY43">
        <v>13291.199999999999</v>
      </c>
      <c r="BZ43">
        <v>16</v>
      </c>
      <c r="CA43">
        <v>16358.4</v>
      </c>
      <c r="CB43">
        <v>13</v>
      </c>
      <c r="CC43">
        <v>13291.199999999999</v>
      </c>
      <c r="CD43">
        <v>18</v>
      </c>
      <c r="CE43">
        <v>18403.2</v>
      </c>
      <c r="CF43">
        <v>18</v>
      </c>
      <c r="CG43">
        <v>18403.2</v>
      </c>
      <c r="CH43">
        <v>16</v>
      </c>
      <c r="CI43">
        <v>16358.4</v>
      </c>
      <c r="CJ43">
        <v>18</v>
      </c>
      <c r="CK43">
        <v>18403.2</v>
      </c>
      <c r="CL43">
        <v>22</v>
      </c>
      <c r="CM43">
        <v>22492.799999999999</v>
      </c>
      <c r="CN43">
        <v>25</v>
      </c>
      <c r="CO43">
        <v>25560</v>
      </c>
      <c r="CP43">
        <v>15</v>
      </c>
      <c r="CQ43">
        <v>15336</v>
      </c>
      <c r="CR43">
        <v>16</v>
      </c>
      <c r="CS43">
        <v>16358.4</v>
      </c>
      <c r="CT43">
        <v>21</v>
      </c>
      <c r="CU43">
        <v>21470.399999999998</v>
      </c>
    </row>
    <row r="44" spans="2:99" x14ac:dyDescent="0.2">
      <c r="C44" s="118" t="s">
        <v>210</v>
      </c>
      <c r="D44">
        <v>17</v>
      </c>
      <c r="E44">
        <v>17380.8</v>
      </c>
      <c r="F44">
        <v>11</v>
      </c>
      <c r="G44">
        <v>11246.4</v>
      </c>
      <c r="H44">
        <v>16</v>
      </c>
      <c r="I44">
        <v>16358.4</v>
      </c>
      <c r="J44">
        <v>22</v>
      </c>
      <c r="K44">
        <v>22492.799999999999</v>
      </c>
      <c r="L44">
        <v>21</v>
      </c>
      <c r="M44">
        <v>21470.399999999998</v>
      </c>
      <c r="N44">
        <v>20</v>
      </c>
      <c r="O44">
        <v>20448</v>
      </c>
      <c r="P44">
        <v>18</v>
      </c>
      <c r="Q44">
        <v>18403.2</v>
      </c>
      <c r="R44">
        <v>19</v>
      </c>
      <c r="S44">
        <v>19425.599999999999</v>
      </c>
      <c r="T44">
        <v>16</v>
      </c>
      <c r="U44">
        <v>16358.4</v>
      </c>
      <c r="V44">
        <v>16</v>
      </c>
      <c r="W44">
        <v>16358.4</v>
      </c>
      <c r="X44">
        <v>19</v>
      </c>
      <c r="Y44">
        <v>19425.599999999999</v>
      </c>
      <c r="Z44">
        <v>10</v>
      </c>
      <c r="AA44">
        <v>10224</v>
      </c>
      <c r="AB44">
        <v>17</v>
      </c>
      <c r="AC44">
        <v>17380.8</v>
      </c>
      <c r="AD44">
        <v>22</v>
      </c>
      <c r="AE44">
        <v>22492.799999999999</v>
      </c>
      <c r="AF44">
        <v>14</v>
      </c>
      <c r="AG44">
        <v>14313.6</v>
      </c>
      <c r="AH44">
        <v>15</v>
      </c>
      <c r="AI44">
        <v>15336</v>
      </c>
      <c r="AJ44">
        <v>18</v>
      </c>
      <c r="AK44">
        <v>18403.2</v>
      </c>
      <c r="AL44">
        <v>11</v>
      </c>
      <c r="AM44">
        <v>11246.4</v>
      </c>
      <c r="AN44">
        <v>16</v>
      </c>
      <c r="AO44">
        <v>16358.4</v>
      </c>
      <c r="AP44">
        <v>13</v>
      </c>
      <c r="AQ44">
        <v>13291.199999999999</v>
      </c>
      <c r="AR44">
        <v>21</v>
      </c>
      <c r="AS44">
        <v>21470.399999999998</v>
      </c>
      <c r="AT44">
        <v>12</v>
      </c>
      <c r="AU44">
        <v>12268.8</v>
      </c>
      <c r="AV44">
        <v>16</v>
      </c>
      <c r="AW44">
        <v>16358.4</v>
      </c>
      <c r="AX44">
        <v>22</v>
      </c>
      <c r="AY44">
        <v>22492.799999999999</v>
      </c>
      <c r="AZ44">
        <v>21</v>
      </c>
      <c r="BA44">
        <v>21470.399999999998</v>
      </c>
      <c r="BB44">
        <v>21</v>
      </c>
      <c r="BC44">
        <v>21470.399999999998</v>
      </c>
      <c r="BD44">
        <v>19</v>
      </c>
      <c r="BE44">
        <v>19425.599999999999</v>
      </c>
      <c r="BF44">
        <v>14</v>
      </c>
      <c r="BG44">
        <v>14313.6</v>
      </c>
      <c r="BH44">
        <v>17</v>
      </c>
      <c r="BI44">
        <v>17380.8</v>
      </c>
      <c r="BJ44">
        <v>14</v>
      </c>
      <c r="BK44">
        <v>14313.6</v>
      </c>
      <c r="BL44">
        <v>22</v>
      </c>
      <c r="BM44">
        <v>22492.799999999999</v>
      </c>
      <c r="BN44">
        <v>15</v>
      </c>
      <c r="BO44">
        <v>15336</v>
      </c>
      <c r="BP44">
        <v>23</v>
      </c>
      <c r="BQ44">
        <v>23515.200000000001</v>
      </c>
      <c r="BR44">
        <v>18</v>
      </c>
      <c r="BS44">
        <v>18403.2</v>
      </c>
      <c r="BT44">
        <v>12</v>
      </c>
      <c r="BU44">
        <v>12268.8</v>
      </c>
      <c r="BV44">
        <v>18</v>
      </c>
      <c r="BW44">
        <v>18403.2</v>
      </c>
      <c r="BX44">
        <v>12</v>
      </c>
      <c r="BY44">
        <v>12268.8</v>
      </c>
      <c r="BZ44">
        <v>15</v>
      </c>
      <c r="CA44">
        <v>15336</v>
      </c>
      <c r="CB44">
        <v>13</v>
      </c>
      <c r="CC44">
        <v>13291.199999999999</v>
      </c>
      <c r="CD44">
        <v>17</v>
      </c>
      <c r="CE44">
        <v>17380.8</v>
      </c>
      <c r="CF44">
        <v>19</v>
      </c>
      <c r="CG44">
        <v>19425.599999999999</v>
      </c>
      <c r="CH44">
        <v>17</v>
      </c>
      <c r="CI44">
        <v>17380.8</v>
      </c>
      <c r="CJ44">
        <v>22</v>
      </c>
      <c r="CK44">
        <v>22492.799999999999</v>
      </c>
      <c r="CL44">
        <v>21</v>
      </c>
      <c r="CM44">
        <v>21470.399999999998</v>
      </c>
      <c r="CN44">
        <v>23</v>
      </c>
      <c r="CO44">
        <v>23515.200000000001</v>
      </c>
      <c r="CP44">
        <v>16</v>
      </c>
      <c r="CQ44">
        <v>16358.4</v>
      </c>
      <c r="CR44">
        <v>15</v>
      </c>
      <c r="CS44">
        <v>15336</v>
      </c>
      <c r="CT44">
        <v>23</v>
      </c>
      <c r="CU44">
        <v>23515.200000000001</v>
      </c>
    </row>
    <row r="45" spans="2:99" x14ac:dyDescent="0.2">
      <c r="C45" s="118" t="s">
        <v>211</v>
      </c>
      <c r="D45">
        <v>16</v>
      </c>
      <c r="E45">
        <v>19987.2</v>
      </c>
      <c r="F45">
        <v>12</v>
      </c>
      <c r="G45">
        <v>14990.400000000001</v>
      </c>
      <c r="H45">
        <v>16</v>
      </c>
      <c r="I45">
        <v>19987.2</v>
      </c>
      <c r="J45">
        <v>20</v>
      </c>
      <c r="K45">
        <v>24984</v>
      </c>
      <c r="L45">
        <v>18</v>
      </c>
      <c r="M45">
        <v>22485.600000000002</v>
      </c>
      <c r="N45">
        <v>23</v>
      </c>
      <c r="O45">
        <v>28731.600000000002</v>
      </c>
      <c r="P45">
        <v>20</v>
      </c>
      <c r="Q45">
        <v>24984</v>
      </c>
      <c r="R45">
        <v>19</v>
      </c>
      <c r="S45">
        <v>23734.799999999999</v>
      </c>
      <c r="T45">
        <v>16</v>
      </c>
      <c r="U45">
        <v>19987.2</v>
      </c>
      <c r="V45">
        <v>16</v>
      </c>
      <c r="W45">
        <v>19987.2</v>
      </c>
      <c r="X45">
        <v>18</v>
      </c>
      <c r="Y45">
        <v>22485.600000000002</v>
      </c>
      <c r="Z45">
        <v>11</v>
      </c>
      <c r="AA45">
        <v>13741.2</v>
      </c>
      <c r="AB45">
        <v>17</v>
      </c>
      <c r="AC45">
        <v>21236.400000000001</v>
      </c>
      <c r="AD45">
        <v>21</v>
      </c>
      <c r="AE45">
        <v>26233.200000000001</v>
      </c>
      <c r="AF45">
        <v>13</v>
      </c>
      <c r="AG45">
        <v>16239.6</v>
      </c>
      <c r="AH45">
        <v>16</v>
      </c>
      <c r="AI45">
        <v>19987.2</v>
      </c>
      <c r="AJ45">
        <v>18</v>
      </c>
      <c r="AK45">
        <v>22485.600000000002</v>
      </c>
      <c r="AL45">
        <v>10</v>
      </c>
      <c r="AM45">
        <v>12492</v>
      </c>
      <c r="AN45">
        <v>14</v>
      </c>
      <c r="AO45">
        <v>17488.8</v>
      </c>
      <c r="AP45">
        <v>12</v>
      </c>
      <c r="AQ45">
        <v>14990.400000000001</v>
      </c>
      <c r="AR45">
        <v>21</v>
      </c>
      <c r="AS45">
        <v>26233.200000000001</v>
      </c>
      <c r="AT45">
        <v>13</v>
      </c>
      <c r="AU45">
        <v>16239.6</v>
      </c>
      <c r="AV45">
        <v>18</v>
      </c>
      <c r="AW45">
        <v>22485.600000000002</v>
      </c>
      <c r="AX45">
        <v>19</v>
      </c>
      <c r="AY45">
        <v>23734.799999999999</v>
      </c>
      <c r="AZ45">
        <v>21</v>
      </c>
      <c r="BA45">
        <v>26233.200000000001</v>
      </c>
      <c r="BB45">
        <v>21</v>
      </c>
      <c r="BC45">
        <v>26233.200000000001</v>
      </c>
      <c r="BD45">
        <v>18</v>
      </c>
      <c r="BE45">
        <v>22485.600000000002</v>
      </c>
      <c r="BF45">
        <v>13</v>
      </c>
      <c r="BG45">
        <v>16239.6</v>
      </c>
      <c r="BH45">
        <v>17</v>
      </c>
      <c r="BI45">
        <v>21236.400000000001</v>
      </c>
      <c r="BJ45">
        <v>14</v>
      </c>
      <c r="BK45">
        <v>17488.8</v>
      </c>
      <c r="BL45">
        <v>22</v>
      </c>
      <c r="BM45">
        <v>27482.400000000001</v>
      </c>
      <c r="BN45">
        <v>15</v>
      </c>
      <c r="BO45">
        <v>18738</v>
      </c>
      <c r="BP45">
        <v>22</v>
      </c>
      <c r="BQ45">
        <v>27482.400000000001</v>
      </c>
      <c r="BR45">
        <v>15</v>
      </c>
      <c r="BS45">
        <v>18738</v>
      </c>
      <c r="BT45">
        <v>12</v>
      </c>
      <c r="BU45">
        <v>14990.400000000001</v>
      </c>
      <c r="BV45">
        <v>18</v>
      </c>
      <c r="BW45">
        <v>22485.600000000002</v>
      </c>
      <c r="BX45">
        <v>13</v>
      </c>
      <c r="BY45">
        <v>16239.6</v>
      </c>
      <c r="BZ45">
        <v>13</v>
      </c>
      <c r="CA45">
        <v>16239.6</v>
      </c>
      <c r="CB45">
        <v>13</v>
      </c>
      <c r="CC45">
        <v>16239.6</v>
      </c>
      <c r="CD45">
        <v>18</v>
      </c>
      <c r="CE45">
        <v>22485.600000000002</v>
      </c>
      <c r="CF45">
        <v>18</v>
      </c>
      <c r="CG45">
        <v>22485.600000000002</v>
      </c>
      <c r="CH45">
        <v>17</v>
      </c>
      <c r="CI45">
        <v>21236.400000000001</v>
      </c>
      <c r="CJ45">
        <v>18</v>
      </c>
      <c r="CK45">
        <v>22485.600000000002</v>
      </c>
      <c r="CL45">
        <v>21</v>
      </c>
      <c r="CM45">
        <v>26233.200000000001</v>
      </c>
      <c r="CN45">
        <v>21</v>
      </c>
      <c r="CO45">
        <v>26233.200000000001</v>
      </c>
      <c r="CP45">
        <v>17</v>
      </c>
      <c r="CQ45">
        <v>21236.400000000001</v>
      </c>
      <c r="CR45">
        <v>14</v>
      </c>
      <c r="CS45">
        <v>17488.8</v>
      </c>
      <c r="CT45">
        <v>22</v>
      </c>
      <c r="CU45">
        <v>27482.400000000001</v>
      </c>
    </row>
    <row r="46" spans="2:99" x14ac:dyDescent="0.2">
      <c r="C46" s="118" t="s">
        <v>212</v>
      </c>
      <c r="D46">
        <v>17</v>
      </c>
      <c r="E46">
        <v>20604</v>
      </c>
      <c r="F46">
        <v>10</v>
      </c>
      <c r="G46">
        <v>12120</v>
      </c>
      <c r="H46">
        <v>13</v>
      </c>
      <c r="I46">
        <v>15756</v>
      </c>
      <c r="J46">
        <v>21</v>
      </c>
      <c r="K46">
        <v>25452</v>
      </c>
      <c r="L46">
        <v>19</v>
      </c>
      <c r="M46">
        <v>23028</v>
      </c>
      <c r="N46">
        <v>20</v>
      </c>
      <c r="O46">
        <v>24240</v>
      </c>
      <c r="P46">
        <v>21</v>
      </c>
      <c r="Q46">
        <v>25452</v>
      </c>
      <c r="R46">
        <v>19</v>
      </c>
      <c r="S46">
        <v>23028</v>
      </c>
      <c r="T46">
        <v>17</v>
      </c>
      <c r="U46">
        <v>20604</v>
      </c>
      <c r="V46">
        <v>17</v>
      </c>
      <c r="W46">
        <v>20604</v>
      </c>
      <c r="X46">
        <v>20</v>
      </c>
      <c r="Y46">
        <v>24240</v>
      </c>
      <c r="Z46">
        <v>11</v>
      </c>
      <c r="AA46">
        <v>13332</v>
      </c>
      <c r="AB46">
        <v>16</v>
      </c>
      <c r="AC46">
        <v>19392</v>
      </c>
      <c r="AD46">
        <v>22</v>
      </c>
      <c r="AE46">
        <v>26664</v>
      </c>
      <c r="AF46">
        <v>14</v>
      </c>
      <c r="AG46">
        <v>16968</v>
      </c>
      <c r="AH46">
        <v>16</v>
      </c>
      <c r="AI46">
        <v>19392</v>
      </c>
      <c r="AJ46">
        <v>18</v>
      </c>
      <c r="AK46">
        <v>21816</v>
      </c>
      <c r="AL46">
        <v>12</v>
      </c>
      <c r="AM46">
        <v>14544</v>
      </c>
      <c r="AN46">
        <v>14</v>
      </c>
      <c r="AO46">
        <v>16968</v>
      </c>
      <c r="AP46">
        <v>12</v>
      </c>
      <c r="AQ46">
        <v>14544</v>
      </c>
      <c r="AR46">
        <v>22</v>
      </c>
      <c r="AS46">
        <v>26664</v>
      </c>
      <c r="AT46">
        <v>13</v>
      </c>
      <c r="AU46">
        <v>15756</v>
      </c>
      <c r="AV46">
        <v>18</v>
      </c>
      <c r="AW46">
        <v>21816</v>
      </c>
      <c r="AX46">
        <v>19</v>
      </c>
      <c r="AY46">
        <v>23028</v>
      </c>
      <c r="AZ46">
        <v>22</v>
      </c>
      <c r="BA46">
        <v>26664</v>
      </c>
      <c r="BB46">
        <v>20</v>
      </c>
      <c r="BC46">
        <v>24240</v>
      </c>
      <c r="BD46">
        <v>16</v>
      </c>
      <c r="BE46">
        <v>19392</v>
      </c>
      <c r="BF46">
        <v>12</v>
      </c>
      <c r="BG46">
        <v>14544</v>
      </c>
      <c r="BH46">
        <v>15</v>
      </c>
      <c r="BI46">
        <v>18180</v>
      </c>
      <c r="BJ46">
        <v>14</v>
      </c>
      <c r="BK46">
        <v>16968</v>
      </c>
      <c r="BL46">
        <v>23</v>
      </c>
      <c r="BM46">
        <v>27876</v>
      </c>
      <c r="BN46">
        <v>17</v>
      </c>
      <c r="BO46">
        <v>20604</v>
      </c>
      <c r="BP46">
        <v>20</v>
      </c>
      <c r="BQ46">
        <v>24240</v>
      </c>
      <c r="BR46">
        <v>17</v>
      </c>
      <c r="BS46">
        <v>20604</v>
      </c>
      <c r="BT46">
        <v>13</v>
      </c>
      <c r="BU46">
        <v>15756</v>
      </c>
      <c r="BV46">
        <v>21</v>
      </c>
      <c r="BW46">
        <v>25452</v>
      </c>
      <c r="BX46">
        <v>13</v>
      </c>
      <c r="BY46">
        <v>15756</v>
      </c>
      <c r="BZ46">
        <v>13</v>
      </c>
      <c r="CA46">
        <v>15756</v>
      </c>
      <c r="CB46">
        <v>13</v>
      </c>
      <c r="CC46">
        <v>15756</v>
      </c>
      <c r="CD46">
        <v>17</v>
      </c>
      <c r="CE46">
        <v>20604</v>
      </c>
      <c r="CF46">
        <v>17</v>
      </c>
      <c r="CG46">
        <v>20604</v>
      </c>
      <c r="CH46">
        <v>16</v>
      </c>
      <c r="CI46">
        <v>19392</v>
      </c>
      <c r="CJ46">
        <v>18</v>
      </c>
      <c r="CK46">
        <v>21816</v>
      </c>
      <c r="CL46">
        <v>21</v>
      </c>
      <c r="CM46">
        <v>25452</v>
      </c>
      <c r="CN46">
        <v>24</v>
      </c>
      <c r="CO46">
        <v>29088</v>
      </c>
      <c r="CP46">
        <v>16</v>
      </c>
      <c r="CQ46">
        <v>19392</v>
      </c>
      <c r="CR46">
        <v>16</v>
      </c>
      <c r="CS46">
        <v>19392</v>
      </c>
      <c r="CT46">
        <v>24</v>
      </c>
      <c r="CU46">
        <v>29088</v>
      </c>
    </row>
    <row r="47" spans="2:99" x14ac:dyDescent="0.2">
      <c r="C47" s="118" t="s">
        <v>213</v>
      </c>
      <c r="D47">
        <v>16</v>
      </c>
      <c r="E47">
        <v>24441.599999999999</v>
      </c>
      <c r="F47">
        <v>11</v>
      </c>
      <c r="G47">
        <v>16803.599999999999</v>
      </c>
      <c r="H47">
        <v>14</v>
      </c>
      <c r="I47">
        <v>21386.399999999998</v>
      </c>
      <c r="J47">
        <v>20</v>
      </c>
      <c r="K47">
        <v>30552</v>
      </c>
      <c r="L47">
        <v>20</v>
      </c>
      <c r="M47">
        <v>30552</v>
      </c>
      <c r="N47">
        <v>21</v>
      </c>
      <c r="O47">
        <v>32079.599999999999</v>
      </c>
      <c r="P47">
        <v>18</v>
      </c>
      <c r="Q47">
        <v>27496.799999999999</v>
      </c>
      <c r="R47">
        <v>17</v>
      </c>
      <c r="S47">
        <v>25969.199999999997</v>
      </c>
      <c r="T47">
        <v>16</v>
      </c>
      <c r="U47">
        <v>24441.599999999999</v>
      </c>
      <c r="V47">
        <v>15</v>
      </c>
      <c r="W47">
        <v>22914</v>
      </c>
      <c r="X47">
        <v>18</v>
      </c>
      <c r="Y47">
        <v>27496.799999999999</v>
      </c>
      <c r="Z47">
        <v>12</v>
      </c>
      <c r="AA47">
        <v>18331.199999999997</v>
      </c>
      <c r="AB47">
        <v>15</v>
      </c>
      <c r="AC47">
        <v>22914</v>
      </c>
      <c r="AD47">
        <v>20</v>
      </c>
      <c r="AE47">
        <v>30552</v>
      </c>
      <c r="AF47">
        <v>13</v>
      </c>
      <c r="AG47">
        <v>19858.8</v>
      </c>
      <c r="AH47">
        <v>15</v>
      </c>
      <c r="AI47">
        <v>22914</v>
      </c>
      <c r="AJ47">
        <v>18</v>
      </c>
      <c r="AK47">
        <v>27496.799999999999</v>
      </c>
      <c r="AL47">
        <v>10</v>
      </c>
      <c r="AM47">
        <v>15276</v>
      </c>
      <c r="AN47">
        <v>14</v>
      </c>
      <c r="AO47">
        <v>21386.399999999998</v>
      </c>
      <c r="AP47">
        <v>13</v>
      </c>
      <c r="AQ47">
        <v>19858.8</v>
      </c>
      <c r="AR47">
        <v>19</v>
      </c>
      <c r="AS47">
        <v>29024.399999999998</v>
      </c>
      <c r="AT47">
        <v>12</v>
      </c>
      <c r="AU47">
        <v>18331.199999999997</v>
      </c>
      <c r="AV47">
        <v>16</v>
      </c>
      <c r="AW47">
        <v>24441.599999999999</v>
      </c>
      <c r="AX47">
        <v>21</v>
      </c>
      <c r="AY47">
        <v>32079.599999999999</v>
      </c>
      <c r="AZ47">
        <v>19</v>
      </c>
      <c r="BA47">
        <v>29024.399999999998</v>
      </c>
      <c r="BB47">
        <v>20</v>
      </c>
      <c r="BC47">
        <v>30552</v>
      </c>
      <c r="BD47">
        <v>19</v>
      </c>
      <c r="BE47">
        <v>29024.399999999998</v>
      </c>
      <c r="BF47">
        <v>13</v>
      </c>
      <c r="BG47">
        <v>19858.8</v>
      </c>
      <c r="BH47">
        <v>15</v>
      </c>
      <c r="BI47">
        <v>22914</v>
      </c>
      <c r="BJ47">
        <v>14</v>
      </c>
      <c r="BK47">
        <v>21386.399999999998</v>
      </c>
      <c r="BL47">
        <v>23</v>
      </c>
      <c r="BM47">
        <v>35134.799999999996</v>
      </c>
      <c r="BN47">
        <v>16</v>
      </c>
      <c r="BO47">
        <v>24441.599999999999</v>
      </c>
      <c r="BP47">
        <v>22</v>
      </c>
      <c r="BQ47">
        <v>33607.199999999997</v>
      </c>
      <c r="BR47">
        <v>16</v>
      </c>
      <c r="BS47">
        <v>24441.599999999999</v>
      </c>
      <c r="BT47">
        <v>13</v>
      </c>
      <c r="BU47">
        <v>19858.8</v>
      </c>
      <c r="BV47">
        <v>18</v>
      </c>
      <c r="BW47">
        <v>27496.799999999999</v>
      </c>
      <c r="BX47">
        <v>13</v>
      </c>
      <c r="BY47">
        <v>19858.8</v>
      </c>
      <c r="BZ47">
        <v>12</v>
      </c>
      <c r="CA47">
        <v>18331.199999999997</v>
      </c>
      <c r="CB47">
        <v>12</v>
      </c>
      <c r="CC47">
        <v>18331.199999999997</v>
      </c>
      <c r="CD47">
        <v>15</v>
      </c>
      <c r="CE47">
        <v>22914</v>
      </c>
      <c r="CF47">
        <v>16</v>
      </c>
      <c r="CG47">
        <v>24441.599999999999</v>
      </c>
      <c r="CH47">
        <v>17</v>
      </c>
      <c r="CI47">
        <v>25969.199999999997</v>
      </c>
      <c r="CJ47">
        <v>17</v>
      </c>
      <c r="CK47">
        <v>25969.199999999997</v>
      </c>
      <c r="CL47">
        <v>23</v>
      </c>
      <c r="CM47">
        <v>35134.799999999996</v>
      </c>
      <c r="CN47">
        <v>23</v>
      </c>
      <c r="CO47">
        <v>35134.799999999996</v>
      </c>
      <c r="CP47">
        <v>15</v>
      </c>
      <c r="CQ47">
        <v>22914</v>
      </c>
      <c r="CR47">
        <v>14</v>
      </c>
      <c r="CS47">
        <v>21386.399999999998</v>
      </c>
      <c r="CT47">
        <v>23</v>
      </c>
      <c r="CU47">
        <v>35134.799999999996</v>
      </c>
    </row>
    <row r="48" spans="2:99" x14ac:dyDescent="0.2">
      <c r="C48" s="118" t="s">
        <v>214</v>
      </c>
      <c r="D48">
        <v>17</v>
      </c>
      <c r="E48">
        <v>14749.2</v>
      </c>
      <c r="F48">
        <v>12</v>
      </c>
      <c r="G48">
        <v>10411.200000000001</v>
      </c>
      <c r="H48">
        <v>15</v>
      </c>
      <c r="I48">
        <v>13014</v>
      </c>
      <c r="J48">
        <v>19</v>
      </c>
      <c r="K48">
        <v>16484.400000000001</v>
      </c>
      <c r="L48">
        <v>19</v>
      </c>
      <c r="M48">
        <v>16484.400000000001</v>
      </c>
      <c r="N48">
        <v>23</v>
      </c>
      <c r="O48">
        <v>19954.8</v>
      </c>
      <c r="P48">
        <v>22</v>
      </c>
      <c r="Q48">
        <v>19087.2</v>
      </c>
      <c r="R48">
        <v>20</v>
      </c>
      <c r="S48">
        <v>17352</v>
      </c>
      <c r="T48">
        <v>17</v>
      </c>
      <c r="U48">
        <v>14749.2</v>
      </c>
      <c r="V48">
        <v>17</v>
      </c>
      <c r="W48">
        <v>14749.2</v>
      </c>
      <c r="X48">
        <v>19</v>
      </c>
      <c r="Y48">
        <v>16484.400000000001</v>
      </c>
      <c r="Z48">
        <v>11</v>
      </c>
      <c r="AA48">
        <v>9543.6</v>
      </c>
      <c r="AB48">
        <v>19</v>
      </c>
      <c r="AC48">
        <v>16484.400000000001</v>
      </c>
      <c r="AD48">
        <v>22</v>
      </c>
      <c r="AE48">
        <v>19087.2</v>
      </c>
      <c r="AF48">
        <v>13</v>
      </c>
      <c r="AG48">
        <v>11278.800000000001</v>
      </c>
      <c r="AH48">
        <v>16</v>
      </c>
      <c r="AI48">
        <v>13881.6</v>
      </c>
      <c r="AJ48">
        <v>17</v>
      </c>
      <c r="AK48">
        <v>14749.2</v>
      </c>
      <c r="AL48">
        <v>12</v>
      </c>
      <c r="AM48">
        <v>10411.200000000001</v>
      </c>
      <c r="AN48">
        <v>16</v>
      </c>
      <c r="AO48">
        <v>13881.6</v>
      </c>
      <c r="AP48">
        <v>14</v>
      </c>
      <c r="AQ48">
        <v>12146.4</v>
      </c>
      <c r="AR48">
        <v>23</v>
      </c>
      <c r="AS48">
        <v>19954.8</v>
      </c>
      <c r="AT48">
        <v>12</v>
      </c>
      <c r="AU48">
        <v>10411.200000000001</v>
      </c>
      <c r="AV48">
        <v>19</v>
      </c>
      <c r="AW48">
        <v>16484.400000000001</v>
      </c>
      <c r="AX48">
        <v>19</v>
      </c>
      <c r="AY48">
        <v>16484.400000000001</v>
      </c>
      <c r="AZ48">
        <v>23</v>
      </c>
      <c r="BA48">
        <v>19954.8</v>
      </c>
      <c r="BB48">
        <v>21</v>
      </c>
      <c r="BC48">
        <v>18219.600000000002</v>
      </c>
      <c r="BD48">
        <v>18</v>
      </c>
      <c r="BE48">
        <v>15616.800000000001</v>
      </c>
      <c r="BF48">
        <v>12</v>
      </c>
      <c r="BG48">
        <v>10411.200000000001</v>
      </c>
      <c r="BH48">
        <v>16</v>
      </c>
      <c r="BI48">
        <v>13881.6</v>
      </c>
      <c r="BJ48">
        <v>14</v>
      </c>
      <c r="BK48">
        <v>12146.4</v>
      </c>
      <c r="BL48">
        <v>24</v>
      </c>
      <c r="BM48">
        <v>20822.400000000001</v>
      </c>
      <c r="BN48">
        <v>17</v>
      </c>
      <c r="BO48">
        <v>14749.2</v>
      </c>
      <c r="BP48">
        <v>21</v>
      </c>
      <c r="BQ48">
        <v>18219.600000000002</v>
      </c>
      <c r="BR48">
        <v>19</v>
      </c>
      <c r="BS48">
        <v>16484.400000000001</v>
      </c>
      <c r="BT48">
        <v>12</v>
      </c>
      <c r="BU48">
        <v>10411.200000000001</v>
      </c>
      <c r="BV48">
        <v>20</v>
      </c>
      <c r="BW48">
        <v>17352</v>
      </c>
      <c r="BX48">
        <v>13</v>
      </c>
      <c r="BY48">
        <v>11278.800000000001</v>
      </c>
      <c r="BZ48">
        <v>13</v>
      </c>
      <c r="CA48">
        <v>11278.800000000001</v>
      </c>
      <c r="CB48">
        <v>13</v>
      </c>
      <c r="CC48">
        <v>11278.800000000001</v>
      </c>
      <c r="CD48">
        <v>17</v>
      </c>
      <c r="CE48">
        <v>14749.2</v>
      </c>
      <c r="CF48">
        <v>17</v>
      </c>
      <c r="CG48">
        <v>14749.2</v>
      </c>
      <c r="CH48">
        <v>17</v>
      </c>
      <c r="CI48">
        <v>14749.2</v>
      </c>
      <c r="CJ48">
        <v>19</v>
      </c>
      <c r="CK48">
        <v>16484.400000000001</v>
      </c>
      <c r="CL48">
        <v>25</v>
      </c>
      <c r="CM48">
        <v>21690</v>
      </c>
      <c r="CN48">
        <v>22</v>
      </c>
      <c r="CO48">
        <v>19087.2</v>
      </c>
      <c r="CP48">
        <v>15</v>
      </c>
      <c r="CQ48">
        <v>13014</v>
      </c>
      <c r="CR48">
        <v>16</v>
      </c>
      <c r="CS48">
        <v>13881.6</v>
      </c>
      <c r="CT48">
        <v>22</v>
      </c>
      <c r="CU48">
        <v>19087.2</v>
      </c>
    </row>
    <row r="49" spans="2:99" x14ac:dyDescent="0.2">
      <c r="B49" s="118" t="s">
        <v>129</v>
      </c>
      <c r="C49" s="118" t="s">
        <v>215</v>
      </c>
      <c r="D49">
        <v>5.5230125523012559</v>
      </c>
      <c r="E49">
        <v>5441.271966527197</v>
      </c>
      <c r="F49">
        <v>12</v>
      </c>
      <c r="G49">
        <v>11822.4</v>
      </c>
      <c r="H49">
        <v>13</v>
      </c>
      <c r="I49">
        <v>12807.599999999999</v>
      </c>
      <c r="J49">
        <v>7.0342116400425345</v>
      </c>
      <c r="K49">
        <v>6930.1053077699044</v>
      </c>
      <c r="L49">
        <v>4.4814432989690722</v>
      </c>
      <c r="M49">
        <v>4415.1179381443299</v>
      </c>
      <c r="N49">
        <v>0</v>
      </c>
      <c r="O49">
        <v>0</v>
      </c>
      <c r="P49">
        <v>11.293165467625897</v>
      </c>
      <c r="Q49">
        <v>11126.026618705033</v>
      </c>
      <c r="R49">
        <v>3.3195876288659791</v>
      </c>
      <c r="S49">
        <v>3270.4577319587625</v>
      </c>
      <c r="T49">
        <v>3.916216216216216</v>
      </c>
      <c r="U49">
        <v>3858.2562162162158</v>
      </c>
      <c r="V49">
        <v>0</v>
      </c>
      <c r="W49">
        <v>0</v>
      </c>
      <c r="X49">
        <v>11.709090909090907</v>
      </c>
      <c r="Y49">
        <v>11535.79636363636</v>
      </c>
      <c r="Z49">
        <v>0</v>
      </c>
      <c r="AA49">
        <v>0</v>
      </c>
      <c r="AB49">
        <v>4.0086767895878523</v>
      </c>
      <c r="AC49">
        <v>3949.3483731019519</v>
      </c>
      <c r="AD49">
        <v>4.8152866242038206</v>
      </c>
      <c r="AE49">
        <v>4744.0203821656041</v>
      </c>
      <c r="AF49">
        <v>2.8040638606676338</v>
      </c>
      <c r="AG49">
        <v>2762.5637155297527</v>
      </c>
      <c r="AH49">
        <v>5.1111111111111098</v>
      </c>
      <c r="AI49">
        <v>5035.4666666666653</v>
      </c>
      <c r="AJ49">
        <v>13</v>
      </c>
      <c r="AK49">
        <v>12807.599999999999</v>
      </c>
      <c r="AL49">
        <v>1.5308151093439353</v>
      </c>
      <c r="AM49">
        <v>1508.159045725645</v>
      </c>
      <c r="AN49">
        <v>10.977272727272727</v>
      </c>
      <c r="AO49">
        <v>10814.80909090909</v>
      </c>
      <c r="AP49">
        <v>5.0217391304347823</v>
      </c>
      <c r="AQ49">
        <v>4947.4173913043469</v>
      </c>
      <c r="AR49">
        <v>6.5035906642728891</v>
      </c>
      <c r="AS49">
        <v>6407.3375224416495</v>
      </c>
      <c r="AT49">
        <v>0</v>
      </c>
      <c r="AU49">
        <v>0</v>
      </c>
      <c r="AV49">
        <v>6.9282786885245891</v>
      </c>
      <c r="AW49">
        <v>6825.7401639344243</v>
      </c>
      <c r="AX49">
        <v>9.975903614457831</v>
      </c>
      <c r="AY49">
        <v>9828.2602409638548</v>
      </c>
      <c r="AZ49">
        <v>7.6148648648648631</v>
      </c>
      <c r="BA49">
        <v>7502.1648648648625</v>
      </c>
      <c r="BB49">
        <v>0</v>
      </c>
      <c r="BC49">
        <v>0</v>
      </c>
      <c r="BD49">
        <v>5.9999999999999991</v>
      </c>
      <c r="BE49">
        <v>5911.1999999999989</v>
      </c>
      <c r="BF49">
        <v>5.2293307086614167</v>
      </c>
      <c r="BG49">
        <v>5151.9366141732271</v>
      </c>
      <c r="BH49">
        <v>2.8170731707317072</v>
      </c>
      <c r="BI49">
        <v>2775.3804878048777</v>
      </c>
      <c r="BJ49">
        <v>0.26582278481012656</v>
      </c>
      <c r="BK49">
        <v>261.88860759493667</v>
      </c>
      <c r="BL49">
        <v>7.1455576559546303</v>
      </c>
      <c r="BM49">
        <v>7039.8034026465011</v>
      </c>
      <c r="BN49">
        <v>0.21875</v>
      </c>
      <c r="BO49">
        <v>215.51249999999999</v>
      </c>
      <c r="BP49">
        <v>10.271739130434781</v>
      </c>
      <c r="BQ49">
        <v>10119.717391304346</v>
      </c>
      <c r="BR49">
        <v>4.4156118143459908</v>
      </c>
      <c r="BS49">
        <v>4350.2607594936699</v>
      </c>
      <c r="BT49">
        <v>4.3584905660377355</v>
      </c>
      <c r="BU49">
        <v>4293.9849056603771</v>
      </c>
      <c r="BV49">
        <v>3.9021543985637335</v>
      </c>
      <c r="BW49">
        <v>3844.4025134649901</v>
      </c>
      <c r="BX49">
        <v>4.1116504854368925</v>
      </c>
      <c r="BY49">
        <v>4050.798058252426</v>
      </c>
      <c r="BZ49">
        <v>0</v>
      </c>
      <c r="CA49">
        <v>0</v>
      </c>
      <c r="CB49">
        <v>10.419385796545104</v>
      </c>
      <c r="CC49">
        <v>10265.178886756235</v>
      </c>
      <c r="CD49">
        <v>6.5506329113924044</v>
      </c>
      <c r="CE49">
        <v>6453.6835443037962</v>
      </c>
      <c r="CF49">
        <v>4.7406716417910442</v>
      </c>
      <c r="CG49">
        <v>4670.5097014925368</v>
      </c>
      <c r="CH49">
        <v>5.316037735849056</v>
      </c>
      <c r="CI49">
        <v>5237.36037735849</v>
      </c>
      <c r="CJ49">
        <v>5.6208178438661704</v>
      </c>
      <c r="CK49">
        <v>5537.6297397769504</v>
      </c>
      <c r="CL49">
        <v>4.4516129032258061</v>
      </c>
      <c r="CM49">
        <v>4385.7290322580639</v>
      </c>
      <c r="CN49">
        <v>6.46455223880597</v>
      </c>
      <c r="CO49">
        <v>6368.8768656716411</v>
      </c>
      <c r="CP49">
        <v>6.3441330998248677</v>
      </c>
      <c r="CQ49">
        <v>6250.2399299474591</v>
      </c>
      <c r="CR49">
        <v>0.22487644151565075</v>
      </c>
      <c r="CS49">
        <v>221.5482701812191</v>
      </c>
      <c r="CT49">
        <v>6.4615384615384608</v>
      </c>
      <c r="CU49">
        <v>6365.9076923076909</v>
      </c>
    </row>
    <row r="50" spans="2:99" x14ac:dyDescent="0.2">
      <c r="C50" s="118" t="s">
        <v>216</v>
      </c>
      <c r="D50">
        <v>12</v>
      </c>
      <c r="E50">
        <v>3384</v>
      </c>
      <c r="F50">
        <v>12</v>
      </c>
      <c r="G50">
        <v>3384</v>
      </c>
      <c r="H50">
        <v>14</v>
      </c>
      <c r="I50">
        <v>3948</v>
      </c>
      <c r="J50">
        <v>13</v>
      </c>
      <c r="K50">
        <v>3666</v>
      </c>
      <c r="L50">
        <v>10</v>
      </c>
      <c r="M50">
        <v>2820</v>
      </c>
      <c r="N50">
        <v>12</v>
      </c>
      <c r="O50">
        <v>3384</v>
      </c>
      <c r="P50">
        <v>14</v>
      </c>
      <c r="Q50">
        <v>3948</v>
      </c>
      <c r="R50">
        <v>10</v>
      </c>
      <c r="S50">
        <v>2820</v>
      </c>
      <c r="T50">
        <v>9</v>
      </c>
      <c r="U50">
        <v>2538</v>
      </c>
      <c r="V50">
        <v>14</v>
      </c>
      <c r="W50">
        <v>3948</v>
      </c>
      <c r="X50">
        <v>11</v>
      </c>
      <c r="Y50">
        <v>3102</v>
      </c>
      <c r="Z50">
        <v>11</v>
      </c>
      <c r="AA50">
        <v>3102</v>
      </c>
      <c r="AB50">
        <v>8</v>
      </c>
      <c r="AC50">
        <v>2256</v>
      </c>
      <c r="AD50">
        <v>14</v>
      </c>
      <c r="AE50">
        <v>3948</v>
      </c>
      <c r="AF50">
        <v>9</v>
      </c>
      <c r="AG50">
        <v>2538</v>
      </c>
      <c r="AH50">
        <v>14</v>
      </c>
      <c r="AI50">
        <v>3948</v>
      </c>
      <c r="AJ50">
        <v>13</v>
      </c>
      <c r="AK50">
        <v>3666</v>
      </c>
      <c r="AL50">
        <v>11</v>
      </c>
      <c r="AM50">
        <v>3102</v>
      </c>
      <c r="AN50">
        <v>15</v>
      </c>
      <c r="AO50">
        <v>4230</v>
      </c>
      <c r="AP50">
        <v>11</v>
      </c>
      <c r="AQ50">
        <v>3102</v>
      </c>
      <c r="AR50">
        <v>17</v>
      </c>
      <c r="AS50">
        <v>4794</v>
      </c>
      <c r="AT50">
        <v>9</v>
      </c>
      <c r="AU50">
        <v>2538</v>
      </c>
      <c r="AV50">
        <v>13</v>
      </c>
      <c r="AW50">
        <v>3666</v>
      </c>
      <c r="AX50">
        <v>12</v>
      </c>
      <c r="AY50">
        <v>3384</v>
      </c>
      <c r="AZ50">
        <v>13</v>
      </c>
      <c r="BA50">
        <v>3666</v>
      </c>
      <c r="BB50">
        <v>8</v>
      </c>
      <c r="BC50">
        <v>2256</v>
      </c>
      <c r="BD50">
        <v>9</v>
      </c>
      <c r="BE50">
        <v>2538</v>
      </c>
      <c r="BF50">
        <v>11</v>
      </c>
      <c r="BG50">
        <v>3102</v>
      </c>
      <c r="BH50">
        <v>10</v>
      </c>
      <c r="BI50">
        <v>2820</v>
      </c>
      <c r="BJ50">
        <v>17</v>
      </c>
      <c r="BK50">
        <v>4794</v>
      </c>
      <c r="BL50">
        <v>8</v>
      </c>
      <c r="BM50">
        <v>2256</v>
      </c>
      <c r="BN50">
        <v>14</v>
      </c>
      <c r="BO50">
        <v>3948</v>
      </c>
      <c r="BP50">
        <v>14</v>
      </c>
      <c r="BQ50">
        <v>3948</v>
      </c>
      <c r="BR50">
        <v>13</v>
      </c>
      <c r="BS50">
        <v>3666</v>
      </c>
      <c r="BT50">
        <v>12</v>
      </c>
      <c r="BU50">
        <v>3384</v>
      </c>
      <c r="BV50">
        <v>9</v>
      </c>
      <c r="BW50">
        <v>2538</v>
      </c>
      <c r="BX50">
        <v>11</v>
      </c>
      <c r="BY50">
        <v>3102</v>
      </c>
      <c r="BZ50">
        <v>14</v>
      </c>
      <c r="CA50">
        <v>3948</v>
      </c>
      <c r="CB50">
        <v>12</v>
      </c>
      <c r="CC50">
        <v>3384</v>
      </c>
      <c r="CD50">
        <v>16</v>
      </c>
      <c r="CE50">
        <v>4512</v>
      </c>
      <c r="CF50">
        <v>10</v>
      </c>
      <c r="CG50">
        <v>2820</v>
      </c>
      <c r="CH50">
        <v>15</v>
      </c>
      <c r="CI50">
        <v>4230</v>
      </c>
      <c r="CJ50">
        <v>12</v>
      </c>
      <c r="CK50">
        <v>3384</v>
      </c>
      <c r="CL50">
        <v>13</v>
      </c>
      <c r="CM50">
        <v>3666</v>
      </c>
      <c r="CN50">
        <v>13</v>
      </c>
      <c r="CO50">
        <v>3666</v>
      </c>
      <c r="CP50">
        <v>16</v>
      </c>
      <c r="CQ50">
        <v>4512</v>
      </c>
      <c r="CR50">
        <v>13</v>
      </c>
      <c r="CS50">
        <v>3666</v>
      </c>
      <c r="CT50">
        <v>14</v>
      </c>
      <c r="CU50">
        <v>3948</v>
      </c>
    </row>
    <row r="51" spans="2:99" x14ac:dyDescent="0.2">
      <c r="C51" s="118" t="s">
        <v>217</v>
      </c>
      <c r="D51">
        <v>10</v>
      </c>
      <c r="E51">
        <v>8544</v>
      </c>
      <c r="F51">
        <v>12</v>
      </c>
      <c r="G51">
        <v>10252.799999999999</v>
      </c>
      <c r="H51">
        <v>12</v>
      </c>
      <c r="I51">
        <v>10252.799999999999</v>
      </c>
      <c r="J51">
        <v>12</v>
      </c>
      <c r="K51">
        <v>10252.799999999999</v>
      </c>
      <c r="L51">
        <v>9</v>
      </c>
      <c r="M51">
        <v>7689.5999999999995</v>
      </c>
      <c r="N51">
        <v>14</v>
      </c>
      <c r="O51">
        <v>11961.6</v>
      </c>
      <c r="P51">
        <v>13</v>
      </c>
      <c r="Q51">
        <v>11107.199999999999</v>
      </c>
      <c r="R51">
        <v>9</v>
      </c>
      <c r="S51">
        <v>7689.5999999999995</v>
      </c>
      <c r="T51">
        <v>8</v>
      </c>
      <c r="U51">
        <v>6835.2</v>
      </c>
      <c r="V51">
        <v>11</v>
      </c>
      <c r="W51">
        <v>9398.4</v>
      </c>
      <c r="X51">
        <v>11</v>
      </c>
      <c r="Y51">
        <v>9398.4</v>
      </c>
      <c r="Z51">
        <v>10</v>
      </c>
      <c r="AA51">
        <v>8544</v>
      </c>
      <c r="AB51">
        <v>7</v>
      </c>
      <c r="AC51">
        <v>5980.8</v>
      </c>
      <c r="AD51">
        <v>14</v>
      </c>
      <c r="AE51">
        <v>11961.6</v>
      </c>
      <c r="AF51">
        <v>7</v>
      </c>
      <c r="AG51">
        <v>5980.8</v>
      </c>
      <c r="AH51">
        <v>13</v>
      </c>
      <c r="AI51">
        <v>11107.199999999999</v>
      </c>
      <c r="AJ51">
        <v>13</v>
      </c>
      <c r="AK51">
        <v>11107.199999999999</v>
      </c>
      <c r="AL51">
        <v>11</v>
      </c>
      <c r="AM51">
        <v>9398.4</v>
      </c>
      <c r="AN51">
        <v>14</v>
      </c>
      <c r="AO51">
        <v>11961.6</v>
      </c>
      <c r="AP51">
        <v>12</v>
      </c>
      <c r="AQ51">
        <v>10252.799999999999</v>
      </c>
      <c r="AR51">
        <v>16</v>
      </c>
      <c r="AS51">
        <v>13670.4</v>
      </c>
      <c r="AT51">
        <v>8</v>
      </c>
      <c r="AU51">
        <v>6835.2</v>
      </c>
      <c r="AV51">
        <v>14</v>
      </c>
      <c r="AW51">
        <v>11961.6</v>
      </c>
      <c r="AX51">
        <v>11</v>
      </c>
      <c r="AY51">
        <v>9398.4</v>
      </c>
      <c r="AZ51">
        <v>14</v>
      </c>
      <c r="BA51">
        <v>11961.6</v>
      </c>
      <c r="BB51">
        <v>8</v>
      </c>
      <c r="BC51">
        <v>6835.2</v>
      </c>
      <c r="BD51">
        <v>9</v>
      </c>
      <c r="BE51">
        <v>7689.5999999999995</v>
      </c>
      <c r="BF51">
        <v>12</v>
      </c>
      <c r="BG51">
        <v>10252.799999999999</v>
      </c>
      <c r="BH51">
        <v>9</v>
      </c>
      <c r="BI51">
        <v>7689.5999999999995</v>
      </c>
      <c r="BJ51">
        <v>15</v>
      </c>
      <c r="BK51">
        <v>12816</v>
      </c>
      <c r="BL51">
        <v>9</v>
      </c>
      <c r="BM51">
        <v>7689.5999999999995</v>
      </c>
      <c r="BN51">
        <v>13</v>
      </c>
      <c r="BO51">
        <v>11107.199999999999</v>
      </c>
      <c r="BP51">
        <v>15</v>
      </c>
      <c r="BQ51">
        <v>12816</v>
      </c>
      <c r="BR51">
        <v>13</v>
      </c>
      <c r="BS51">
        <v>11107.199999999999</v>
      </c>
      <c r="BT51">
        <v>11</v>
      </c>
      <c r="BU51">
        <v>9398.4</v>
      </c>
      <c r="BV51">
        <v>9</v>
      </c>
      <c r="BW51">
        <v>7689.5999999999995</v>
      </c>
      <c r="BX51">
        <v>10</v>
      </c>
      <c r="BY51">
        <v>8544</v>
      </c>
      <c r="BZ51">
        <v>12</v>
      </c>
      <c r="CA51">
        <v>10252.799999999999</v>
      </c>
      <c r="CB51">
        <v>10</v>
      </c>
      <c r="CC51">
        <v>8544</v>
      </c>
      <c r="CD51">
        <v>15</v>
      </c>
      <c r="CE51">
        <v>12816</v>
      </c>
      <c r="CF51">
        <v>10</v>
      </c>
      <c r="CG51">
        <v>8544</v>
      </c>
      <c r="CH51">
        <v>13</v>
      </c>
      <c r="CI51">
        <v>11107.199999999999</v>
      </c>
      <c r="CJ51">
        <v>11</v>
      </c>
      <c r="CK51">
        <v>9398.4</v>
      </c>
      <c r="CL51">
        <v>10</v>
      </c>
      <c r="CM51">
        <v>8544</v>
      </c>
      <c r="CN51">
        <v>13</v>
      </c>
      <c r="CO51">
        <v>11107.199999999999</v>
      </c>
      <c r="CP51">
        <v>14</v>
      </c>
      <c r="CQ51">
        <v>11961.6</v>
      </c>
      <c r="CR51">
        <v>13</v>
      </c>
      <c r="CS51">
        <v>11107.199999999999</v>
      </c>
      <c r="CT51">
        <v>15</v>
      </c>
      <c r="CU51">
        <v>12816</v>
      </c>
    </row>
    <row r="52" spans="2:99" x14ac:dyDescent="0.2">
      <c r="C52" s="118" t="s">
        <v>218</v>
      </c>
      <c r="D52">
        <v>10</v>
      </c>
      <c r="E52">
        <v>5400</v>
      </c>
      <c r="F52">
        <v>12</v>
      </c>
      <c r="G52">
        <v>6480</v>
      </c>
      <c r="H52">
        <v>13</v>
      </c>
      <c r="I52">
        <v>7020</v>
      </c>
      <c r="J52">
        <v>11</v>
      </c>
      <c r="K52">
        <v>5940</v>
      </c>
      <c r="L52">
        <v>10</v>
      </c>
      <c r="M52">
        <v>5400</v>
      </c>
      <c r="N52">
        <v>14</v>
      </c>
      <c r="O52">
        <v>7560</v>
      </c>
      <c r="P52">
        <v>14</v>
      </c>
      <c r="Q52">
        <v>7560</v>
      </c>
      <c r="R52">
        <v>8</v>
      </c>
      <c r="S52">
        <v>4320</v>
      </c>
      <c r="T52">
        <v>9</v>
      </c>
      <c r="U52">
        <v>4860</v>
      </c>
      <c r="V52">
        <v>12</v>
      </c>
      <c r="W52">
        <v>6480</v>
      </c>
      <c r="X52">
        <v>12</v>
      </c>
      <c r="Y52">
        <v>6480</v>
      </c>
      <c r="Z52">
        <v>10</v>
      </c>
      <c r="AA52">
        <v>5400</v>
      </c>
      <c r="AB52">
        <v>8</v>
      </c>
      <c r="AC52">
        <v>4320</v>
      </c>
      <c r="AD52">
        <v>15</v>
      </c>
      <c r="AE52">
        <v>8100</v>
      </c>
      <c r="AF52">
        <v>7</v>
      </c>
      <c r="AG52">
        <v>3780</v>
      </c>
      <c r="AH52">
        <v>11</v>
      </c>
      <c r="AI52">
        <v>5940</v>
      </c>
      <c r="AJ52">
        <v>13</v>
      </c>
      <c r="AK52">
        <v>7020</v>
      </c>
      <c r="AL52">
        <v>12</v>
      </c>
      <c r="AM52">
        <v>6480</v>
      </c>
      <c r="AN52">
        <v>13</v>
      </c>
      <c r="AO52">
        <v>7020</v>
      </c>
      <c r="AP52">
        <v>12</v>
      </c>
      <c r="AQ52">
        <v>6480</v>
      </c>
      <c r="AR52">
        <v>14</v>
      </c>
      <c r="AS52">
        <v>7560</v>
      </c>
      <c r="AT52">
        <v>9</v>
      </c>
      <c r="AU52">
        <v>4860</v>
      </c>
      <c r="AV52">
        <v>14</v>
      </c>
      <c r="AW52">
        <v>7560</v>
      </c>
      <c r="AX52">
        <v>12</v>
      </c>
      <c r="AY52">
        <v>6480</v>
      </c>
      <c r="AZ52">
        <v>15</v>
      </c>
      <c r="BA52">
        <v>8100</v>
      </c>
      <c r="BB52">
        <v>8</v>
      </c>
      <c r="BC52">
        <v>4320</v>
      </c>
      <c r="BD52">
        <v>8</v>
      </c>
      <c r="BE52">
        <v>4320</v>
      </c>
      <c r="BF52">
        <v>12</v>
      </c>
      <c r="BG52">
        <v>6480</v>
      </c>
      <c r="BH52">
        <v>9</v>
      </c>
      <c r="BI52">
        <v>4860</v>
      </c>
      <c r="BJ52">
        <v>15</v>
      </c>
      <c r="BK52">
        <v>8100</v>
      </c>
      <c r="BL52">
        <v>9</v>
      </c>
      <c r="BM52">
        <v>4860</v>
      </c>
      <c r="BN52">
        <v>13</v>
      </c>
      <c r="BO52">
        <v>7020</v>
      </c>
      <c r="BP52">
        <v>15</v>
      </c>
      <c r="BQ52">
        <v>8100</v>
      </c>
      <c r="BR52">
        <v>12</v>
      </c>
      <c r="BS52">
        <v>6480</v>
      </c>
      <c r="BT52">
        <v>10</v>
      </c>
      <c r="BU52">
        <v>5400</v>
      </c>
      <c r="BV52">
        <v>9</v>
      </c>
      <c r="BW52">
        <v>4860</v>
      </c>
      <c r="BX52">
        <v>11</v>
      </c>
      <c r="BY52">
        <v>5940</v>
      </c>
      <c r="BZ52">
        <v>12</v>
      </c>
      <c r="CA52">
        <v>6480</v>
      </c>
      <c r="CB52">
        <v>11</v>
      </c>
      <c r="CC52">
        <v>5940</v>
      </c>
      <c r="CD52">
        <v>16</v>
      </c>
      <c r="CE52">
        <v>8640</v>
      </c>
      <c r="CF52">
        <v>10</v>
      </c>
      <c r="CG52">
        <v>5400</v>
      </c>
      <c r="CH52">
        <v>13</v>
      </c>
      <c r="CI52">
        <v>7020</v>
      </c>
      <c r="CJ52">
        <v>12</v>
      </c>
      <c r="CK52">
        <v>6480</v>
      </c>
      <c r="CL52">
        <v>11</v>
      </c>
      <c r="CM52">
        <v>5940</v>
      </c>
      <c r="CN52">
        <v>14</v>
      </c>
      <c r="CO52">
        <v>7560</v>
      </c>
      <c r="CP52">
        <v>16</v>
      </c>
      <c r="CQ52">
        <v>8640</v>
      </c>
      <c r="CR52">
        <v>14</v>
      </c>
      <c r="CS52">
        <v>7560</v>
      </c>
      <c r="CT52">
        <v>14</v>
      </c>
      <c r="CU52">
        <v>7560</v>
      </c>
    </row>
    <row r="53" spans="2:99" x14ac:dyDescent="0.2">
      <c r="C53" s="118" t="s">
        <v>219</v>
      </c>
      <c r="D53">
        <v>11</v>
      </c>
      <c r="E53">
        <v>4474.8</v>
      </c>
      <c r="F53">
        <v>11</v>
      </c>
      <c r="G53">
        <v>4474.8</v>
      </c>
      <c r="H53">
        <v>12</v>
      </c>
      <c r="I53">
        <v>4881.6000000000004</v>
      </c>
      <c r="J53">
        <v>12</v>
      </c>
      <c r="K53">
        <v>4881.6000000000004</v>
      </c>
      <c r="L53">
        <v>9</v>
      </c>
      <c r="M53">
        <v>3661.2000000000003</v>
      </c>
      <c r="N53">
        <v>12</v>
      </c>
      <c r="O53">
        <v>4881.6000000000004</v>
      </c>
      <c r="P53">
        <v>12</v>
      </c>
      <c r="Q53">
        <v>4881.6000000000004</v>
      </c>
      <c r="R53">
        <v>9</v>
      </c>
      <c r="S53">
        <v>3661.2000000000003</v>
      </c>
      <c r="T53">
        <v>8</v>
      </c>
      <c r="U53">
        <v>3254.4</v>
      </c>
      <c r="V53">
        <v>14</v>
      </c>
      <c r="W53">
        <v>5695.2</v>
      </c>
      <c r="X53">
        <v>13</v>
      </c>
      <c r="Y53">
        <v>5288.4000000000005</v>
      </c>
      <c r="Z53">
        <v>10</v>
      </c>
      <c r="AA53">
        <v>4068</v>
      </c>
      <c r="AB53">
        <v>9</v>
      </c>
      <c r="AC53">
        <v>3661.2000000000003</v>
      </c>
      <c r="AD53">
        <v>14</v>
      </c>
      <c r="AE53">
        <v>5695.2</v>
      </c>
      <c r="AF53">
        <v>8</v>
      </c>
      <c r="AG53">
        <v>3254.4</v>
      </c>
      <c r="AH53">
        <v>12</v>
      </c>
      <c r="AI53">
        <v>4881.6000000000004</v>
      </c>
      <c r="AJ53">
        <v>13</v>
      </c>
      <c r="AK53">
        <v>5288.4000000000005</v>
      </c>
      <c r="AL53">
        <v>12</v>
      </c>
      <c r="AM53">
        <v>4881.6000000000004</v>
      </c>
      <c r="AN53">
        <v>13</v>
      </c>
      <c r="AO53">
        <v>5288.4000000000005</v>
      </c>
      <c r="AP53">
        <v>13</v>
      </c>
      <c r="AQ53">
        <v>5288.4000000000005</v>
      </c>
      <c r="AR53">
        <v>14</v>
      </c>
      <c r="AS53">
        <v>5695.2</v>
      </c>
      <c r="AT53">
        <v>8</v>
      </c>
      <c r="AU53">
        <v>3254.4</v>
      </c>
      <c r="AV53">
        <v>15</v>
      </c>
      <c r="AW53">
        <v>6102</v>
      </c>
      <c r="AX53">
        <v>11</v>
      </c>
      <c r="AY53">
        <v>4474.8</v>
      </c>
      <c r="AZ53">
        <v>13</v>
      </c>
      <c r="BA53">
        <v>5288.4000000000005</v>
      </c>
      <c r="BB53">
        <v>9</v>
      </c>
      <c r="BC53">
        <v>3661.2000000000003</v>
      </c>
      <c r="BD53">
        <v>9</v>
      </c>
      <c r="BE53">
        <v>3661.2000000000003</v>
      </c>
      <c r="BF53">
        <v>11</v>
      </c>
      <c r="BG53">
        <v>4474.8</v>
      </c>
      <c r="BH53">
        <v>9</v>
      </c>
      <c r="BI53">
        <v>3661.2000000000003</v>
      </c>
      <c r="BJ53">
        <v>15</v>
      </c>
      <c r="BK53">
        <v>6102</v>
      </c>
      <c r="BL53">
        <v>8</v>
      </c>
      <c r="BM53">
        <v>3254.4</v>
      </c>
      <c r="BN53">
        <v>14</v>
      </c>
      <c r="BO53">
        <v>5695.2</v>
      </c>
      <c r="BP53">
        <v>16</v>
      </c>
      <c r="BQ53">
        <v>6508.8</v>
      </c>
      <c r="BR53">
        <v>11</v>
      </c>
      <c r="BS53">
        <v>4474.8</v>
      </c>
      <c r="BT53">
        <v>12</v>
      </c>
      <c r="BU53">
        <v>4881.6000000000004</v>
      </c>
      <c r="BV53">
        <v>10</v>
      </c>
      <c r="BW53">
        <v>4068</v>
      </c>
      <c r="BX53">
        <v>11</v>
      </c>
      <c r="BY53">
        <v>4474.8</v>
      </c>
      <c r="BZ53">
        <v>12</v>
      </c>
      <c r="CA53">
        <v>4881.6000000000004</v>
      </c>
      <c r="CB53">
        <v>11</v>
      </c>
      <c r="CC53">
        <v>4474.8</v>
      </c>
      <c r="CD53">
        <v>15</v>
      </c>
      <c r="CE53">
        <v>6102</v>
      </c>
      <c r="CF53">
        <v>10</v>
      </c>
      <c r="CG53">
        <v>4068</v>
      </c>
      <c r="CH53">
        <v>14</v>
      </c>
      <c r="CI53">
        <v>5695.2</v>
      </c>
      <c r="CJ53">
        <v>12</v>
      </c>
      <c r="CK53">
        <v>4881.6000000000004</v>
      </c>
      <c r="CL53">
        <v>12</v>
      </c>
      <c r="CM53">
        <v>4881.6000000000004</v>
      </c>
      <c r="CN53">
        <v>16</v>
      </c>
      <c r="CO53">
        <v>6508.8</v>
      </c>
      <c r="CP53">
        <v>14</v>
      </c>
      <c r="CQ53">
        <v>5695.2</v>
      </c>
      <c r="CR53">
        <v>14</v>
      </c>
      <c r="CS53">
        <v>5695.2</v>
      </c>
      <c r="CT53">
        <v>15</v>
      </c>
      <c r="CU53">
        <v>6102</v>
      </c>
    </row>
    <row r="54" spans="2:99" x14ac:dyDescent="0.2">
      <c r="C54" s="118" t="s">
        <v>220</v>
      </c>
      <c r="D54">
        <v>11</v>
      </c>
      <c r="E54">
        <v>3682.8</v>
      </c>
      <c r="F54">
        <v>12</v>
      </c>
      <c r="G54">
        <v>4017.6000000000004</v>
      </c>
      <c r="H54">
        <v>12</v>
      </c>
      <c r="I54">
        <v>4017.6000000000004</v>
      </c>
      <c r="J54">
        <v>12</v>
      </c>
      <c r="K54">
        <v>4017.6000000000004</v>
      </c>
      <c r="L54">
        <v>9</v>
      </c>
      <c r="M54">
        <v>3013.2000000000003</v>
      </c>
      <c r="N54">
        <v>14</v>
      </c>
      <c r="O54">
        <v>4687.2</v>
      </c>
      <c r="P54">
        <v>14</v>
      </c>
      <c r="Q54">
        <v>4687.2</v>
      </c>
      <c r="R54">
        <v>9</v>
      </c>
      <c r="S54">
        <v>3013.2000000000003</v>
      </c>
      <c r="T54">
        <v>9</v>
      </c>
      <c r="U54">
        <v>3013.2000000000003</v>
      </c>
      <c r="V54">
        <v>13</v>
      </c>
      <c r="W54">
        <v>4352.4000000000005</v>
      </c>
      <c r="X54">
        <v>12</v>
      </c>
      <c r="Y54">
        <v>4017.6000000000004</v>
      </c>
      <c r="Z54">
        <v>11</v>
      </c>
      <c r="AA54">
        <v>3682.8</v>
      </c>
      <c r="AB54">
        <v>9</v>
      </c>
      <c r="AC54">
        <v>3013.2000000000003</v>
      </c>
      <c r="AD54">
        <v>13</v>
      </c>
      <c r="AE54">
        <v>4352.4000000000005</v>
      </c>
      <c r="AF54">
        <v>9</v>
      </c>
      <c r="AG54">
        <v>3013.2000000000003</v>
      </c>
      <c r="AH54">
        <v>13</v>
      </c>
      <c r="AI54">
        <v>4352.4000000000005</v>
      </c>
      <c r="AJ54">
        <v>13</v>
      </c>
      <c r="AK54">
        <v>4352.4000000000005</v>
      </c>
      <c r="AL54">
        <v>11</v>
      </c>
      <c r="AM54">
        <v>3682.8</v>
      </c>
      <c r="AN54">
        <v>15</v>
      </c>
      <c r="AO54">
        <v>5022</v>
      </c>
      <c r="AP54">
        <v>13</v>
      </c>
      <c r="AQ54">
        <v>4352.4000000000005</v>
      </c>
      <c r="AR54">
        <v>15</v>
      </c>
      <c r="AS54">
        <v>5022</v>
      </c>
      <c r="AT54">
        <v>9</v>
      </c>
      <c r="AU54">
        <v>3013.2000000000003</v>
      </c>
      <c r="AV54">
        <v>15</v>
      </c>
      <c r="AW54">
        <v>5022</v>
      </c>
      <c r="AX54">
        <v>14</v>
      </c>
      <c r="AY54">
        <v>4687.2</v>
      </c>
      <c r="AZ54">
        <v>16</v>
      </c>
      <c r="BA54">
        <v>5356.8</v>
      </c>
      <c r="BB54">
        <v>9</v>
      </c>
      <c r="BC54">
        <v>3013.2000000000003</v>
      </c>
      <c r="BD54">
        <v>9</v>
      </c>
      <c r="BE54">
        <v>3013.2000000000003</v>
      </c>
      <c r="BF54">
        <v>12</v>
      </c>
      <c r="BG54">
        <v>4017.6000000000004</v>
      </c>
      <c r="BH54">
        <v>10</v>
      </c>
      <c r="BI54">
        <v>3348</v>
      </c>
      <c r="BJ54">
        <v>16</v>
      </c>
      <c r="BK54">
        <v>5356.8</v>
      </c>
      <c r="BL54">
        <v>9</v>
      </c>
      <c r="BM54">
        <v>3013.2000000000003</v>
      </c>
      <c r="BN54">
        <v>13</v>
      </c>
      <c r="BO54">
        <v>4352.4000000000005</v>
      </c>
      <c r="BP54">
        <v>15</v>
      </c>
      <c r="BQ54">
        <v>5022</v>
      </c>
      <c r="BR54">
        <v>13</v>
      </c>
      <c r="BS54">
        <v>4352.4000000000005</v>
      </c>
      <c r="BT54">
        <v>13</v>
      </c>
      <c r="BU54">
        <v>4352.4000000000005</v>
      </c>
      <c r="BV54">
        <v>9</v>
      </c>
      <c r="BW54">
        <v>3013.2000000000003</v>
      </c>
      <c r="BX54">
        <v>11</v>
      </c>
      <c r="BY54">
        <v>3682.8</v>
      </c>
      <c r="BZ54">
        <v>13</v>
      </c>
      <c r="CA54">
        <v>4352.4000000000005</v>
      </c>
      <c r="CB54">
        <v>11</v>
      </c>
      <c r="CC54">
        <v>3682.8</v>
      </c>
      <c r="CD54">
        <v>17</v>
      </c>
      <c r="CE54">
        <v>5691.6</v>
      </c>
      <c r="CF54">
        <v>11</v>
      </c>
      <c r="CG54">
        <v>3682.8</v>
      </c>
      <c r="CH54">
        <v>13</v>
      </c>
      <c r="CI54">
        <v>4352.4000000000005</v>
      </c>
      <c r="CJ54">
        <v>13</v>
      </c>
      <c r="CK54">
        <v>4352.4000000000005</v>
      </c>
      <c r="CL54">
        <v>11</v>
      </c>
      <c r="CM54">
        <v>3682.8</v>
      </c>
      <c r="CN54">
        <v>16</v>
      </c>
      <c r="CO54">
        <v>5356.8</v>
      </c>
      <c r="CP54">
        <v>14</v>
      </c>
      <c r="CQ54">
        <v>4687.2</v>
      </c>
      <c r="CR54">
        <v>13</v>
      </c>
      <c r="CS54">
        <v>4352.4000000000005</v>
      </c>
      <c r="CT54">
        <v>16</v>
      </c>
      <c r="CU54">
        <v>5356.8</v>
      </c>
    </row>
    <row r="55" spans="2:99" x14ac:dyDescent="0.2">
      <c r="C55" s="118" t="s">
        <v>221</v>
      </c>
      <c r="D55">
        <v>11</v>
      </c>
      <c r="E55">
        <v>7299.6</v>
      </c>
      <c r="F55">
        <v>11</v>
      </c>
      <c r="G55">
        <v>7299.6</v>
      </c>
      <c r="H55">
        <v>14</v>
      </c>
      <c r="I55">
        <v>9290.4</v>
      </c>
      <c r="J55">
        <v>12</v>
      </c>
      <c r="K55">
        <v>7963.2000000000007</v>
      </c>
      <c r="L55">
        <v>9</v>
      </c>
      <c r="M55">
        <v>5972.4000000000005</v>
      </c>
      <c r="N55">
        <v>12</v>
      </c>
      <c r="O55">
        <v>7963.2000000000007</v>
      </c>
      <c r="P55">
        <v>12</v>
      </c>
      <c r="Q55">
        <v>7963.2000000000007</v>
      </c>
      <c r="R55">
        <v>10</v>
      </c>
      <c r="S55">
        <v>6636</v>
      </c>
      <c r="T55">
        <v>8</v>
      </c>
      <c r="U55">
        <v>5308.8</v>
      </c>
      <c r="V55">
        <v>14</v>
      </c>
      <c r="W55">
        <v>9290.4</v>
      </c>
      <c r="X55">
        <v>10</v>
      </c>
      <c r="Y55">
        <v>6636</v>
      </c>
      <c r="Z55">
        <v>11</v>
      </c>
      <c r="AA55">
        <v>7299.6</v>
      </c>
      <c r="AB55">
        <v>8</v>
      </c>
      <c r="AC55">
        <v>5308.8</v>
      </c>
      <c r="AD55">
        <v>14</v>
      </c>
      <c r="AE55">
        <v>9290.4</v>
      </c>
      <c r="AF55">
        <v>7</v>
      </c>
      <c r="AG55">
        <v>4645.2</v>
      </c>
      <c r="AH55">
        <v>11</v>
      </c>
      <c r="AI55">
        <v>7299.6</v>
      </c>
      <c r="AJ55">
        <v>13</v>
      </c>
      <c r="AK55">
        <v>8626.8000000000011</v>
      </c>
      <c r="AL55">
        <v>11</v>
      </c>
      <c r="AM55">
        <v>7299.6</v>
      </c>
      <c r="AN55">
        <v>15</v>
      </c>
      <c r="AO55">
        <v>9954</v>
      </c>
      <c r="AP55">
        <v>12</v>
      </c>
      <c r="AQ55">
        <v>7963.2000000000007</v>
      </c>
      <c r="AR55">
        <v>16</v>
      </c>
      <c r="AS55">
        <v>10617.6</v>
      </c>
      <c r="AT55">
        <v>9</v>
      </c>
      <c r="AU55">
        <v>5972.4000000000005</v>
      </c>
      <c r="AV55">
        <v>15</v>
      </c>
      <c r="AW55">
        <v>9954</v>
      </c>
      <c r="AX55">
        <v>12</v>
      </c>
      <c r="AY55">
        <v>7963.2000000000007</v>
      </c>
      <c r="AZ55">
        <v>14</v>
      </c>
      <c r="BA55">
        <v>9290.4</v>
      </c>
      <c r="BB55">
        <v>8</v>
      </c>
      <c r="BC55">
        <v>5308.8</v>
      </c>
      <c r="BD55">
        <v>9</v>
      </c>
      <c r="BE55">
        <v>5972.4000000000005</v>
      </c>
      <c r="BF55">
        <v>12</v>
      </c>
      <c r="BG55">
        <v>7963.2000000000007</v>
      </c>
      <c r="BH55">
        <v>8</v>
      </c>
      <c r="BI55">
        <v>5308.8</v>
      </c>
      <c r="BJ55">
        <v>15</v>
      </c>
      <c r="BK55">
        <v>9954</v>
      </c>
      <c r="BL55">
        <v>8</v>
      </c>
      <c r="BM55">
        <v>5308.8</v>
      </c>
      <c r="BN55">
        <v>13</v>
      </c>
      <c r="BO55">
        <v>8626.8000000000011</v>
      </c>
      <c r="BP55">
        <v>13</v>
      </c>
      <c r="BQ55">
        <v>8626.8000000000011</v>
      </c>
      <c r="BR55">
        <v>12</v>
      </c>
      <c r="BS55">
        <v>7963.2000000000007</v>
      </c>
      <c r="BT55">
        <v>10</v>
      </c>
      <c r="BU55">
        <v>6636</v>
      </c>
      <c r="BV55">
        <v>8</v>
      </c>
      <c r="BW55">
        <v>5308.8</v>
      </c>
      <c r="BX55">
        <v>11</v>
      </c>
      <c r="BY55">
        <v>7299.6</v>
      </c>
      <c r="BZ55">
        <v>13</v>
      </c>
      <c r="CA55">
        <v>8626.8000000000011</v>
      </c>
      <c r="CB55">
        <v>11</v>
      </c>
      <c r="CC55">
        <v>7299.6</v>
      </c>
      <c r="CD55">
        <v>16</v>
      </c>
      <c r="CE55">
        <v>10617.6</v>
      </c>
      <c r="CF55">
        <v>11</v>
      </c>
      <c r="CG55">
        <v>7299.6</v>
      </c>
      <c r="CH55">
        <v>13</v>
      </c>
      <c r="CI55">
        <v>8626.8000000000011</v>
      </c>
      <c r="CJ55">
        <v>12</v>
      </c>
      <c r="CK55">
        <v>7963.2000000000007</v>
      </c>
      <c r="CL55">
        <v>12</v>
      </c>
      <c r="CM55">
        <v>7963.2000000000007</v>
      </c>
      <c r="CN55">
        <v>14</v>
      </c>
      <c r="CO55">
        <v>9290.4</v>
      </c>
      <c r="CP55">
        <v>14</v>
      </c>
      <c r="CQ55">
        <v>9290.4</v>
      </c>
      <c r="CR55">
        <v>13</v>
      </c>
      <c r="CS55">
        <v>8626.8000000000011</v>
      </c>
      <c r="CT55">
        <v>15</v>
      </c>
      <c r="CU55">
        <v>9954</v>
      </c>
    </row>
    <row r="56" spans="2:99" x14ac:dyDescent="0.2">
      <c r="C56" s="118" t="s">
        <v>222</v>
      </c>
      <c r="D56">
        <v>5.02092050209205</v>
      </c>
      <c r="E56">
        <v>5778.0753138075306</v>
      </c>
      <c r="F56">
        <v>12</v>
      </c>
      <c r="G56">
        <v>13809.599999999999</v>
      </c>
      <c r="H56">
        <v>12</v>
      </c>
      <c r="I56">
        <v>13809.599999999999</v>
      </c>
      <c r="J56">
        <v>7.0342116400425345</v>
      </c>
      <c r="K56">
        <v>8094.9707553609487</v>
      </c>
      <c r="L56">
        <v>4.4814432989690722</v>
      </c>
      <c r="M56">
        <v>5157.2449484536082</v>
      </c>
      <c r="N56">
        <v>0</v>
      </c>
      <c r="O56">
        <v>0</v>
      </c>
      <c r="P56">
        <v>11.293165467625897</v>
      </c>
      <c r="Q56">
        <v>12996.174820143882</v>
      </c>
      <c r="R56">
        <v>3.3195876288659791</v>
      </c>
      <c r="S56">
        <v>3820.1814432989686</v>
      </c>
      <c r="T56">
        <v>3.916216216216216</v>
      </c>
      <c r="U56">
        <v>4506.7816216216215</v>
      </c>
      <c r="V56">
        <v>0</v>
      </c>
      <c r="W56">
        <v>0</v>
      </c>
      <c r="X56">
        <v>10.733333333333333</v>
      </c>
      <c r="Y56">
        <v>12351.919999999998</v>
      </c>
      <c r="Z56">
        <v>0</v>
      </c>
      <c r="AA56">
        <v>0</v>
      </c>
      <c r="AB56">
        <v>3.5075921908893704</v>
      </c>
      <c r="AC56">
        <v>4036.5370932754872</v>
      </c>
      <c r="AD56">
        <v>5.6178343949044578</v>
      </c>
      <c r="AE56">
        <v>6465.0038216560497</v>
      </c>
      <c r="AF56">
        <v>2.8040638606676338</v>
      </c>
      <c r="AG56">
        <v>3226.9166908563129</v>
      </c>
      <c r="AH56">
        <v>4.6851851851851842</v>
      </c>
      <c r="AI56">
        <v>5391.7111111111099</v>
      </c>
      <c r="AJ56">
        <v>13</v>
      </c>
      <c r="AK56">
        <v>14960.4</v>
      </c>
      <c r="AL56">
        <v>1.3916500994035774</v>
      </c>
      <c r="AM56">
        <v>1601.5109343936369</v>
      </c>
      <c r="AN56">
        <v>9.4090909090909083</v>
      </c>
      <c r="AO56">
        <v>10827.981818181817</v>
      </c>
      <c r="AP56">
        <v>5.4782608695652169</v>
      </c>
      <c r="AQ56">
        <v>6304.3826086956515</v>
      </c>
      <c r="AR56">
        <v>6.937163375224416</v>
      </c>
      <c r="AS56">
        <v>7983.287612208258</v>
      </c>
      <c r="AT56">
        <v>0</v>
      </c>
      <c r="AU56">
        <v>0</v>
      </c>
      <c r="AV56">
        <v>6.433401639344261</v>
      </c>
      <c r="AW56">
        <v>7403.5586065573752</v>
      </c>
      <c r="AX56">
        <v>10.80722891566265</v>
      </c>
      <c r="AY56">
        <v>12436.959036144577</v>
      </c>
      <c r="AZ56">
        <v>7.0709459459459447</v>
      </c>
      <c r="BA56">
        <v>8137.2445945945929</v>
      </c>
      <c r="BB56">
        <v>0</v>
      </c>
      <c r="BC56">
        <v>0</v>
      </c>
      <c r="BD56">
        <v>5.9999999999999991</v>
      </c>
      <c r="BE56">
        <v>6904.7999999999984</v>
      </c>
      <c r="BF56">
        <v>4.7539370078740149</v>
      </c>
      <c r="BG56">
        <v>5470.8307086614159</v>
      </c>
      <c r="BH56">
        <v>3.1692073170731705</v>
      </c>
      <c r="BI56">
        <v>3647.1237804878047</v>
      </c>
      <c r="BJ56">
        <v>0.24920886075949369</v>
      </c>
      <c r="BK56">
        <v>286.78955696202536</v>
      </c>
      <c r="BL56">
        <v>6.2523629489603012</v>
      </c>
      <c r="BM56">
        <v>7195.2192816635143</v>
      </c>
      <c r="BN56">
        <v>0.23863636363636365</v>
      </c>
      <c r="BO56">
        <v>274.62272727272727</v>
      </c>
      <c r="BP56">
        <v>9.586956521739129</v>
      </c>
      <c r="BQ56">
        <v>11032.669565217389</v>
      </c>
      <c r="BR56">
        <v>4.4156118143459908</v>
      </c>
      <c r="BS56">
        <v>5081.4860759493658</v>
      </c>
      <c r="BT56">
        <v>3.9622641509433958</v>
      </c>
      <c r="BU56">
        <v>4559.7735849056598</v>
      </c>
      <c r="BV56">
        <v>3.468581687612208</v>
      </c>
      <c r="BW56">
        <v>3991.643806104129</v>
      </c>
      <c r="BX56">
        <v>4.1116504854368925</v>
      </c>
      <c r="BY56">
        <v>4731.6873786407759</v>
      </c>
      <c r="BZ56">
        <v>0</v>
      </c>
      <c r="CA56">
        <v>0</v>
      </c>
      <c r="CB56">
        <v>10.419385796545104</v>
      </c>
      <c r="CC56">
        <v>11990.629174664105</v>
      </c>
      <c r="CD56">
        <v>5.6772151898734169</v>
      </c>
      <c r="CE56">
        <v>6533.3392405063278</v>
      </c>
      <c r="CF56">
        <v>4.3097014925373127</v>
      </c>
      <c r="CG56">
        <v>4959.6044776119397</v>
      </c>
      <c r="CH56">
        <v>4.5566037735849045</v>
      </c>
      <c r="CI56">
        <v>5243.7396226415076</v>
      </c>
      <c r="CJ56">
        <v>5.6208178438661704</v>
      </c>
      <c r="CK56">
        <v>6468.437174721189</v>
      </c>
      <c r="CL56">
        <v>4.0806451612903221</v>
      </c>
      <c r="CM56">
        <v>4696.0064516129023</v>
      </c>
      <c r="CN56">
        <v>5.6026119402985071</v>
      </c>
      <c r="CO56">
        <v>6447.485820895522</v>
      </c>
      <c r="CP56">
        <v>5.9211908931698769</v>
      </c>
      <c r="CQ56">
        <v>6814.1064798598936</v>
      </c>
      <c r="CR56">
        <v>0.22487644151565075</v>
      </c>
      <c r="CS56">
        <v>258.78780889621089</v>
      </c>
      <c r="CT56">
        <v>6.4615384615384608</v>
      </c>
      <c r="CU56">
        <v>7435.9384615384606</v>
      </c>
    </row>
    <row r="57" spans="2:99" x14ac:dyDescent="0.2">
      <c r="C57" s="118" t="s">
        <v>223</v>
      </c>
      <c r="D57">
        <v>9</v>
      </c>
      <c r="E57">
        <v>12700.800000000001</v>
      </c>
      <c r="F57">
        <v>10</v>
      </c>
      <c r="G57">
        <v>14112</v>
      </c>
      <c r="H57">
        <v>13</v>
      </c>
      <c r="I57">
        <v>18345.600000000002</v>
      </c>
      <c r="J57">
        <v>12</v>
      </c>
      <c r="K57">
        <v>16934.400000000001</v>
      </c>
      <c r="L57">
        <v>8</v>
      </c>
      <c r="M57">
        <v>11289.6</v>
      </c>
      <c r="N57">
        <v>11</v>
      </c>
      <c r="O57">
        <v>15523.2</v>
      </c>
      <c r="P57">
        <v>12</v>
      </c>
      <c r="Q57">
        <v>16934.400000000001</v>
      </c>
      <c r="R57">
        <v>9</v>
      </c>
      <c r="S57">
        <v>12700.800000000001</v>
      </c>
      <c r="T57">
        <v>9</v>
      </c>
      <c r="U57">
        <v>12700.800000000001</v>
      </c>
      <c r="V57">
        <v>12</v>
      </c>
      <c r="W57">
        <v>16934.400000000001</v>
      </c>
      <c r="X57">
        <v>11</v>
      </c>
      <c r="Y57">
        <v>15523.2</v>
      </c>
      <c r="Z57">
        <v>9</v>
      </c>
      <c r="AA57">
        <v>12700.800000000001</v>
      </c>
      <c r="AB57">
        <v>8</v>
      </c>
      <c r="AC57">
        <v>11289.6</v>
      </c>
      <c r="AD57">
        <v>13</v>
      </c>
      <c r="AE57">
        <v>18345.600000000002</v>
      </c>
      <c r="AF57">
        <v>7</v>
      </c>
      <c r="AG57">
        <v>9878.4</v>
      </c>
      <c r="AH57">
        <v>12</v>
      </c>
      <c r="AI57">
        <v>16934.400000000001</v>
      </c>
      <c r="AJ57">
        <v>11</v>
      </c>
      <c r="AK57">
        <v>15523.2</v>
      </c>
      <c r="AL57">
        <v>11</v>
      </c>
      <c r="AM57">
        <v>15523.2</v>
      </c>
      <c r="AN57">
        <v>14</v>
      </c>
      <c r="AO57">
        <v>19756.8</v>
      </c>
      <c r="AP57">
        <v>11</v>
      </c>
      <c r="AQ57">
        <v>15523.2</v>
      </c>
      <c r="AR57">
        <v>14</v>
      </c>
      <c r="AS57">
        <v>19756.8</v>
      </c>
      <c r="AT57">
        <v>8</v>
      </c>
      <c r="AU57">
        <v>11289.6</v>
      </c>
      <c r="AV57">
        <v>13</v>
      </c>
      <c r="AW57">
        <v>18345.600000000002</v>
      </c>
      <c r="AX57">
        <v>13</v>
      </c>
      <c r="AY57">
        <v>18345.600000000002</v>
      </c>
      <c r="AZ57">
        <v>15</v>
      </c>
      <c r="BA57">
        <v>21168</v>
      </c>
      <c r="BB57">
        <v>7</v>
      </c>
      <c r="BC57">
        <v>9878.4</v>
      </c>
      <c r="BD57">
        <v>9</v>
      </c>
      <c r="BE57">
        <v>12700.800000000001</v>
      </c>
      <c r="BF57">
        <v>10</v>
      </c>
      <c r="BG57">
        <v>14112</v>
      </c>
      <c r="BH57">
        <v>9</v>
      </c>
      <c r="BI57">
        <v>12700.800000000001</v>
      </c>
      <c r="BJ57">
        <v>15</v>
      </c>
      <c r="BK57">
        <v>21168</v>
      </c>
      <c r="BL57">
        <v>8</v>
      </c>
      <c r="BM57">
        <v>11289.6</v>
      </c>
      <c r="BN57">
        <v>11</v>
      </c>
      <c r="BO57">
        <v>15523.2</v>
      </c>
      <c r="BP57">
        <v>13</v>
      </c>
      <c r="BQ57">
        <v>18345.600000000002</v>
      </c>
      <c r="BR57">
        <v>11</v>
      </c>
      <c r="BS57">
        <v>15523.2</v>
      </c>
      <c r="BT57">
        <v>10</v>
      </c>
      <c r="BU57">
        <v>14112</v>
      </c>
      <c r="BV57">
        <v>9</v>
      </c>
      <c r="BW57">
        <v>12700.800000000001</v>
      </c>
      <c r="BX57">
        <v>10</v>
      </c>
      <c r="BY57">
        <v>14112</v>
      </c>
      <c r="BZ57">
        <v>12</v>
      </c>
      <c r="CA57">
        <v>16934.400000000001</v>
      </c>
      <c r="CB57">
        <v>10</v>
      </c>
      <c r="CC57">
        <v>14112</v>
      </c>
      <c r="CD57">
        <v>15</v>
      </c>
      <c r="CE57">
        <v>21168</v>
      </c>
      <c r="CF57">
        <v>9</v>
      </c>
      <c r="CG57">
        <v>12700.800000000001</v>
      </c>
      <c r="CH57">
        <v>12</v>
      </c>
      <c r="CI57">
        <v>16934.400000000001</v>
      </c>
      <c r="CJ57">
        <v>12</v>
      </c>
      <c r="CK57">
        <v>16934.400000000001</v>
      </c>
      <c r="CL57">
        <v>10</v>
      </c>
      <c r="CM57">
        <v>14112</v>
      </c>
      <c r="CN57">
        <v>12</v>
      </c>
      <c r="CO57">
        <v>16934.400000000001</v>
      </c>
      <c r="CP57">
        <v>14</v>
      </c>
      <c r="CQ57">
        <v>19756.8</v>
      </c>
      <c r="CR57">
        <v>11</v>
      </c>
      <c r="CS57">
        <v>15523.2</v>
      </c>
      <c r="CT57">
        <v>14</v>
      </c>
      <c r="CU57">
        <v>19756.8</v>
      </c>
    </row>
    <row r="58" spans="2:99" x14ac:dyDescent="0.2">
      <c r="C58" s="118" t="s">
        <v>224</v>
      </c>
      <c r="D58">
        <v>5.02092050209205</v>
      </c>
      <c r="E58">
        <v>5910.6276150627618</v>
      </c>
      <c r="F58">
        <v>11</v>
      </c>
      <c r="G58">
        <v>12949.2</v>
      </c>
      <c r="H58">
        <v>14</v>
      </c>
      <c r="I58">
        <v>16480.8</v>
      </c>
      <c r="J58">
        <v>7.0342116400425345</v>
      </c>
      <c r="K58">
        <v>8280.6739426580716</v>
      </c>
      <c r="L58">
        <v>4.4814432989690722</v>
      </c>
      <c r="M58">
        <v>5275.555051546392</v>
      </c>
      <c r="N58">
        <v>0</v>
      </c>
      <c r="O58">
        <v>0</v>
      </c>
      <c r="P58">
        <v>10.424460431654676</v>
      </c>
      <c r="Q58">
        <v>12271.674820143886</v>
      </c>
      <c r="R58">
        <v>3.3195876288659791</v>
      </c>
      <c r="S58">
        <v>3907.818556701031</v>
      </c>
      <c r="T58">
        <v>3.916216216216216</v>
      </c>
      <c r="U58">
        <v>4610.1697297297296</v>
      </c>
      <c r="V58">
        <v>0</v>
      </c>
      <c r="W58">
        <v>0</v>
      </c>
      <c r="X58">
        <v>9.7575757575757578</v>
      </c>
      <c r="Y58">
        <v>11486.618181818183</v>
      </c>
      <c r="Z58">
        <v>0</v>
      </c>
      <c r="AA58">
        <v>0</v>
      </c>
      <c r="AB58">
        <v>4.0086767895878523</v>
      </c>
      <c r="AC58">
        <v>4719.01431670282</v>
      </c>
      <c r="AD58">
        <v>5.6178343949044578</v>
      </c>
      <c r="AE58">
        <v>6613.314649681528</v>
      </c>
      <c r="AF58">
        <v>2.8040638606676338</v>
      </c>
      <c r="AG58">
        <v>3300.9439767779386</v>
      </c>
      <c r="AH58">
        <v>4.6851851851851842</v>
      </c>
      <c r="AI58">
        <v>5515.3999999999987</v>
      </c>
      <c r="AJ58">
        <v>12</v>
      </c>
      <c r="AK58">
        <v>14126.400000000001</v>
      </c>
      <c r="AL58">
        <v>1.5308151093439353</v>
      </c>
      <c r="AM58">
        <v>1802.0755467196807</v>
      </c>
      <c r="AN58">
        <v>11.761363636363635</v>
      </c>
      <c r="AO58">
        <v>13845.477272727272</v>
      </c>
      <c r="AP58">
        <v>5.0217391304347823</v>
      </c>
      <c r="AQ58">
        <v>5911.5913043478258</v>
      </c>
      <c r="AR58">
        <v>5.6364452423698372</v>
      </c>
      <c r="AS58">
        <v>6635.223339317773</v>
      </c>
      <c r="AT58">
        <v>0</v>
      </c>
      <c r="AU58">
        <v>0</v>
      </c>
      <c r="AV58">
        <v>6.9282786885245891</v>
      </c>
      <c r="AW58">
        <v>8155.9696721311466</v>
      </c>
      <c r="AX58">
        <v>9.1445783132530103</v>
      </c>
      <c r="AY58">
        <v>10764.997590361445</v>
      </c>
      <c r="AZ58">
        <v>7.6148648648648631</v>
      </c>
      <c r="BA58">
        <v>8964.2189189189176</v>
      </c>
      <c r="BB58">
        <v>0</v>
      </c>
      <c r="BC58">
        <v>0</v>
      </c>
      <c r="BD58">
        <v>5.9999999999999991</v>
      </c>
      <c r="BE58">
        <v>7063.1999999999989</v>
      </c>
      <c r="BF58">
        <v>5.2293307086614167</v>
      </c>
      <c r="BG58">
        <v>6155.9681102362201</v>
      </c>
      <c r="BH58">
        <v>3.1692073170731705</v>
      </c>
      <c r="BI58">
        <v>3730.7908536585364</v>
      </c>
      <c r="BJ58">
        <v>0.24920886075949369</v>
      </c>
      <c r="BK58">
        <v>293.36867088607596</v>
      </c>
      <c r="BL58">
        <v>8.0387523629489586</v>
      </c>
      <c r="BM58">
        <v>9463.2192816635143</v>
      </c>
      <c r="BN58">
        <v>0.23863636363636365</v>
      </c>
      <c r="BO58">
        <v>280.92272727272729</v>
      </c>
      <c r="BP58">
        <v>9.586956521739129</v>
      </c>
      <c r="BQ58">
        <v>11285.765217391303</v>
      </c>
      <c r="BR58">
        <v>3.7362869198312234</v>
      </c>
      <c r="BS58">
        <v>4398.3569620253165</v>
      </c>
      <c r="BT58">
        <v>4.7547169811320744</v>
      </c>
      <c r="BU58">
        <v>5597.2528301886787</v>
      </c>
      <c r="BV58">
        <v>3.468581687612208</v>
      </c>
      <c r="BW58">
        <v>4083.2143626570914</v>
      </c>
      <c r="BX58">
        <v>4.1116504854368925</v>
      </c>
      <c r="BY58">
        <v>4840.2349514563102</v>
      </c>
      <c r="BZ58">
        <v>0</v>
      </c>
      <c r="CA58">
        <v>0</v>
      </c>
      <c r="CB58">
        <v>9.4721689059500935</v>
      </c>
      <c r="CC58">
        <v>11150.637236084451</v>
      </c>
      <c r="CD58">
        <v>6.9873417721518978</v>
      </c>
      <c r="CE58">
        <v>8225.4987341772139</v>
      </c>
      <c r="CF58">
        <v>4.3097014925373127</v>
      </c>
      <c r="CG58">
        <v>5073.3805970149251</v>
      </c>
      <c r="CH58">
        <v>4.9363207547169807</v>
      </c>
      <c r="CI58">
        <v>5811.03679245283</v>
      </c>
      <c r="CJ58">
        <v>4.6840148698884754</v>
      </c>
      <c r="CK58">
        <v>5514.0223048327134</v>
      </c>
      <c r="CL58">
        <v>4.4516129032258061</v>
      </c>
      <c r="CM58">
        <v>5240.438709677419</v>
      </c>
      <c r="CN58">
        <v>5.6026119402985071</v>
      </c>
      <c r="CO58">
        <v>6595.3947761194031</v>
      </c>
      <c r="CP58">
        <v>5.4982486865148852</v>
      </c>
      <c r="CQ58">
        <v>6472.5383537653233</v>
      </c>
      <c r="CR58">
        <v>0.20757825370675451</v>
      </c>
      <c r="CS58">
        <v>244.3611202635914</v>
      </c>
      <c r="CT58">
        <v>5.6538461538461533</v>
      </c>
      <c r="CU58">
        <v>6655.707692307692</v>
      </c>
    </row>
    <row r="59" spans="2:99" x14ac:dyDescent="0.2">
      <c r="C59" s="118" t="s">
        <v>225</v>
      </c>
      <c r="D59">
        <v>11</v>
      </c>
      <c r="E59">
        <v>3339.5999999999995</v>
      </c>
      <c r="F59">
        <v>12</v>
      </c>
      <c r="G59">
        <v>3643.2</v>
      </c>
      <c r="H59">
        <v>13</v>
      </c>
      <c r="I59">
        <v>3946.7999999999997</v>
      </c>
      <c r="J59">
        <v>13</v>
      </c>
      <c r="K59">
        <v>3946.7999999999997</v>
      </c>
      <c r="L59">
        <v>10</v>
      </c>
      <c r="M59">
        <v>3035.9999999999995</v>
      </c>
      <c r="N59">
        <v>14</v>
      </c>
      <c r="O59">
        <v>4250.3999999999996</v>
      </c>
      <c r="P59">
        <v>14</v>
      </c>
      <c r="Q59">
        <v>4250.3999999999996</v>
      </c>
      <c r="R59">
        <v>9</v>
      </c>
      <c r="S59">
        <v>2732.3999999999996</v>
      </c>
      <c r="T59">
        <v>9</v>
      </c>
      <c r="U59">
        <v>2732.3999999999996</v>
      </c>
      <c r="V59">
        <v>12</v>
      </c>
      <c r="W59">
        <v>3643.2</v>
      </c>
      <c r="X59">
        <v>12</v>
      </c>
      <c r="Y59">
        <v>3643.2</v>
      </c>
      <c r="Z59">
        <v>12</v>
      </c>
      <c r="AA59">
        <v>3643.2</v>
      </c>
      <c r="AB59">
        <v>8</v>
      </c>
      <c r="AC59">
        <v>2428.7999999999997</v>
      </c>
      <c r="AD59">
        <v>14</v>
      </c>
      <c r="AE59">
        <v>4250.3999999999996</v>
      </c>
      <c r="AF59">
        <v>8</v>
      </c>
      <c r="AG59">
        <v>2428.7999999999997</v>
      </c>
      <c r="AH59">
        <v>12</v>
      </c>
      <c r="AI59">
        <v>3643.2</v>
      </c>
      <c r="AJ59">
        <v>13</v>
      </c>
      <c r="AK59">
        <v>3946.7999999999997</v>
      </c>
      <c r="AL59">
        <v>11</v>
      </c>
      <c r="AM59">
        <v>3339.5999999999995</v>
      </c>
      <c r="AN59">
        <v>13</v>
      </c>
      <c r="AO59">
        <v>3946.7999999999997</v>
      </c>
      <c r="AP59">
        <v>11</v>
      </c>
      <c r="AQ59">
        <v>3339.5999999999995</v>
      </c>
      <c r="AR59">
        <v>16</v>
      </c>
      <c r="AS59">
        <v>4857.5999999999995</v>
      </c>
      <c r="AT59">
        <v>9</v>
      </c>
      <c r="AU59">
        <v>2732.3999999999996</v>
      </c>
      <c r="AV59">
        <v>14</v>
      </c>
      <c r="AW59">
        <v>4250.3999999999996</v>
      </c>
      <c r="AX59">
        <v>12</v>
      </c>
      <c r="AY59">
        <v>3643.2</v>
      </c>
      <c r="AZ59">
        <v>16</v>
      </c>
      <c r="BA59">
        <v>4857.5999999999995</v>
      </c>
      <c r="BB59">
        <v>9</v>
      </c>
      <c r="BC59">
        <v>2732.3999999999996</v>
      </c>
      <c r="BD59">
        <v>9</v>
      </c>
      <c r="BE59">
        <v>2732.3999999999996</v>
      </c>
      <c r="BF59">
        <v>11</v>
      </c>
      <c r="BG59">
        <v>3339.5999999999995</v>
      </c>
      <c r="BH59">
        <v>9</v>
      </c>
      <c r="BI59">
        <v>2732.3999999999996</v>
      </c>
      <c r="BJ59">
        <v>15</v>
      </c>
      <c r="BK59">
        <v>4553.9999999999991</v>
      </c>
      <c r="BL59">
        <v>9</v>
      </c>
      <c r="BM59">
        <v>2732.3999999999996</v>
      </c>
      <c r="BN59">
        <v>13</v>
      </c>
      <c r="BO59">
        <v>3946.7999999999997</v>
      </c>
      <c r="BP59">
        <v>15</v>
      </c>
      <c r="BQ59">
        <v>4553.9999999999991</v>
      </c>
      <c r="BR59">
        <v>12</v>
      </c>
      <c r="BS59">
        <v>3643.2</v>
      </c>
      <c r="BT59">
        <v>12</v>
      </c>
      <c r="BU59">
        <v>3643.2</v>
      </c>
      <c r="BV59">
        <v>8</v>
      </c>
      <c r="BW59">
        <v>2428.7999999999997</v>
      </c>
      <c r="BX59">
        <v>12</v>
      </c>
      <c r="BY59">
        <v>3643.2</v>
      </c>
      <c r="BZ59">
        <v>15</v>
      </c>
      <c r="CA59">
        <v>4553.9999999999991</v>
      </c>
      <c r="CB59">
        <v>11</v>
      </c>
      <c r="CC59">
        <v>3339.5999999999995</v>
      </c>
      <c r="CD59">
        <v>16</v>
      </c>
      <c r="CE59">
        <v>4857.5999999999995</v>
      </c>
      <c r="CF59">
        <v>11</v>
      </c>
      <c r="CG59">
        <v>3339.5999999999995</v>
      </c>
      <c r="CH59">
        <v>14</v>
      </c>
      <c r="CI59">
        <v>4250.3999999999996</v>
      </c>
      <c r="CJ59">
        <v>12</v>
      </c>
      <c r="CK59">
        <v>3643.2</v>
      </c>
      <c r="CL59">
        <v>11</v>
      </c>
      <c r="CM59">
        <v>3339.5999999999995</v>
      </c>
      <c r="CN59">
        <v>15</v>
      </c>
      <c r="CO59">
        <v>4553.9999999999991</v>
      </c>
      <c r="CP59">
        <v>14</v>
      </c>
      <c r="CQ59">
        <v>4250.3999999999996</v>
      </c>
      <c r="CR59">
        <v>12</v>
      </c>
      <c r="CS59">
        <v>3643.2</v>
      </c>
      <c r="CT59">
        <v>15</v>
      </c>
      <c r="CU59">
        <v>4553.9999999999991</v>
      </c>
    </row>
    <row r="60" spans="2:99" x14ac:dyDescent="0.2">
      <c r="C60" s="118" t="s">
        <v>226</v>
      </c>
      <c r="D60">
        <v>10</v>
      </c>
      <c r="E60">
        <v>6516</v>
      </c>
      <c r="F60">
        <v>10</v>
      </c>
      <c r="G60">
        <v>6516</v>
      </c>
      <c r="H60">
        <v>13</v>
      </c>
      <c r="I60">
        <v>8470.8000000000011</v>
      </c>
      <c r="J60">
        <v>11</v>
      </c>
      <c r="K60">
        <v>7167.6</v>
      </c>
      <c r="L60">
        <v>8</v>
      </c>
      <c r="M60">
        <v>5212.8</v>
      </c>
      <c r="N60">
        <v>14</v>
      </c>
      <c r="O60">
        <v>9122.4</v>
      </c>
      <c r="P60">
        <v>12</v>
      </c>
      <c r="Q60">
        <v>7819.2000000000007</v>
      </c>
      <c r="R60">
        <v>10</v>
      </c>
      <c r="S60">
        <v>6516</v>
      </c>
      <c r="T60">
        <v>8</v>
      </c>
      <c r="U60">
        <v>5212.8</v>
      </c>
      <c r="V60">
        <v>13</v>
      </c>
      <c r="W60">
        <v>8470.8000000000011</v>
      </c>
      <c r="X60">
        <v>11</v>
      </c>
      <c r="Y60">
        <v>7167.6</v>
      </c>
      <c r="Z60">
        <v>12</v>
      </c>
      <c r="AA60">
        <v>7819.2000000000007</v>
      </c>
      <c r="AB60">
        <v>8</v>
      </c>
      <c r="AC60">
        <v>5212.8</v>
      </c>
      <c r="AD60">
        <v>13</v>
      </c>
      <c r="AE60">
        <v>8470.8000000000011</v>
      </c>
      <c r="AF60">
        <v>8</v>
      </c>
      <c r="AG60">
        <v>5212.8</v>
      </c>
      <c r="AH60">
        <v>13</v>
      </c>
      <c r="AI60">
        <v>8470.8000000000011</v>
      </c>
      <c r="AJ60">
        <v>12</v>
      </c>
      <c r="AK60">
        <v>7819.2000000000007</v>
      </c>
      <c r="AL60">
        <v>12</v>
      </c>
      <c r="AM60">
        <v>7819.2000000000007</v>
      </c>
      <c r="AN60">
        <v>13</v>
      </c>
      <c r="AO60">
        <v>8470.8000000000011</v>
      </c>
      <c r="AP60">
        <v>11</v>
      </c>
      <c r="AQ60">
        <v>7167.6</v>
      </c>
      <c r="AR60">
        <v>16</v>
      </c>
      <c r="AS60">
        <v>10425.6</v>
      </c>
      <c r="AT60">
        <v>7</v>
      </c>
      <c r="AU60">
        <v>4561.2</v>
      </c>
      <c r="AV60">
        <v>14</v>
      </c>
      <c r="AW60">
        <v>9122.4</v>
      </c>
      <c r="AX60">
        <v>11</v>
      </c>
      <c r="AY60">
        <v>7167.6</v>
      </c>
      <c r="AZ60">
        <v>13</v>
      </c>
      <c r="BA60">
        <v>8470.8000000000011</v>
      </c>
      <c r="BB60">
        <v>9</v>
      </c>
      <c r="BC60">
        <v>5864.4000000000005</v>
      </c>
      <c r="BD60">
        <v>8</v>
      </c>
      <c r="BE60">
        <v>5212.8</v>
      </c>
      <c r="BF60">
        <v>12</v>
      </c>
      <c r="BG60">
        <v>7819.2000000000007</v>
      </c>
      <c r="BH60">
        <v>8</v>
      </c>
      <c r="BI60">
        <v>5212.8</v>
      </c>
      <c r="BJ60">
        <v>14</v>
      </c>
      <c r="BK60">
        <v>9122.4</v>
      </c>
      <c r="BL60">
        <v>8</v>
      </c>
      <c r="BM60">
        <v>5212.8</v>
      </c>
      <c r="BN60">
        <v>13</v>
      </c>
      <c r="BO60">
        <v>8470.8000000000011</v>
      </c>
      <c r="BP60">
        <v>14</v>
      </c>
      <c r="BQ60">
        <v>9122.4</v>
      </c>
      <c r="BR60">
        <v>14</v>
      </c>
      <c r="BS60">
        <v>9122.4</v>
      </c>
      <c r="BT60">
        <v>10</v>
      </c>
      <c r="BU60">
        <v>6516</v>
      </c>
      <c r="BV60">
        <v>9</v>
      </c>
      <c r="BW60">
        <v>5864.4000000000005</v>
      </c>
      <c r="BX60">
        <v>10</v>
      </c>
      <c r="BY60">
        <v>6516</v>
      </c>
      <c r="BZ60">
        <v>13</v>
      </c>
      <c r="CA60">
        <v>8470.8000000000011</v>
      </c>
      <c r="CB60">
        <v>11</v>
      </c>
      <c r="CC60">
        <v>7167.6</v>
      </c>
      <c r="CD60">
        <v>15</v>
      </c>
      <c r="CE60">
        <v>9774</v>
      </c>
      <c r="CF60">
        <v>10</v>
      </c>
      <c r="CG60">
        <v>6516</v>
      </c>
      <c r="CH60">
        <v>14</v>
      </c>
      <c r="CI60">
        <v>9122.4</v>
      </c>
      <c r="CJ60">
        <v>12</v>
      </c>
      <c r="CK60">
        <v>7819.2000000000007</v>
      </c>
      <c r="CL60">
        <v>10</v>
      </c>
      <c r="CM60">
        <v>6516</v>
      </c>
      <c r="CN60">
        <v>14</v>
      </c>
      <c r="CO60">
        <v>9122.4</v>
      </c>
      <c r="CP60">
        <v>13</v>
      </c>
      <c r="CQ60">
        <v>8470.8000000000011</v>
      </c>
      <c r="CR60">
        <v>14</v>
      </c>
      <c r="CS60">
        <v>9122.4</v>
      </c>
      <c r="CT60">
        <v>15</v>
      </c>
      <c r="CU60">
        <v>9774</v>
      </c>
    </row>
    <row r="61" spans="2:99" x14ac:dyDescent="0.2">
      <c r="C61" s="118" t="s">
        <v>227</v>
      </c>
      <c r="D61">
        <v>10</v>
      </c>
      <c r="E61">
        <v>9516</v>
      </c>
      <c r="F61">
        <v>10</v>
      </c>
      <c r="G61">
        <v>9516</v>
      </c>
      <c r="H61">
        <v>14</v>
      </c>
      <c r="I61">
        <v>13322.399999999998</v>
      </c>
      <c r="J61">
        <v>11</v>
      </c>
      <c r="K61">
        <v>10467.599999999999</v>
      </c>
      <c r="L61">
        <v>9</v>
      </c>
      <c r="M61">
        <v>8564.4</v>
      </c>
      <c r="N61">
        <v>14</v>
      </c>
      <c r="O61">
        <v>13322.399999999998</v>
      </c>
      <c r="P61">
        <v>12</v>
      </c>
      <c r="Q61">
        <v>11419.199999999999</v>
      </c>
      <c r="R61">
        <v>8</v>
      </c>
      <c r="S61">
        <v>7612.7999999999993</v>
      </c>
      <c r="T61">
        <v>8</v>
      </c>
      <c r="U61">
        <v>7612.7999999999993</v>
      </c>
      <c r="V61">
        <v>12</v>
      </c>
      <c r="W61">
        <v>11419.199999999999</v>
      </c>
      <c r="X61">
        <v>12</v>
      </c>
      <c r="Y61">
        <v>11419.199999999999</v>
      </c>
      <c r="Z61">
        <v>11</v>
      </c>
      <c r="AA61">
        <v>10467.599999999999</v>
      </c>
      <c r="AB61">
        <v>8</v>
      </c>
      <c r="AC61">
        <v>7612.7999999999993</v>
      </c>
      <c r="AD61">
        <v>14</v>
      </c>
      <c r="AE61">
        <v>13322.399999999998</v>
      </c>
      <c r="AF61">
        <v>7</v>
      </c>
      <c r="AG61">
        <v>6661.1999999999989</v>
      </c>
      <c r="AH61">
        <v>12</v>
      </c>
      <c r="AI61">
        <v>11419.199999999999</v>
      </c>
      <c r="AJ61">
        <v>12</v>
      </c>
      <c r="AK61">
        <v>11419.199999999999</v>
      </c>
      <c r="AL61">
        <v>10</v>
      </c>
      <c r="AM61">
        <v>9516</v>
      </c>
      <c r="AN61">
        <v>14</v>
      </c>
      <c r="AO61">
        <v>13322.399999999998</v>
      </c>
      <c r="AP61">
        <v>11</v>
      </c>
      <c r="AQ61">
        <v>10467.599999999999</v>
      </c>
      <c r="AR61">
        <v>15</v>
      </c>
      <c r="AS61">
        <v>14273.999999999998</v>
      </c>
      <c r="AT61">
        <v>8</v>
      </c>
      <c r="AU61">
        <v>7612.7999999999993</v>
      </c>
      <c r="AV61">
        <v>13</v>
      </c>
      <c r="AW61">
        <v>12370.8</v>
      </c>
      <c r="AX61">
        <v>12</v>
      </c>
      <c r="AY61">
        <v>11419.199999999999</v>
      </c>
      <c r="AZ61">
        <v>13</v>
      </c>
      <c r="BA61">
        <v>12370.8</v>
      </c>
      <c r="BB61">
        <v>8</v>
      </c>
      <c r="BC61">
        <v>7612.7999999999993</v>
      </c>
      <c r="BD61">
        <v>9</v>
      </c>
      <c r="BE61">
        <v>8564.4</v>
      </c>
      <c r="BF61">
        <v>11</v>
      </c>
      <c r="BG61">
        <v>10467.599999999999</v>
      </c>
      <c r="BH61">
        <v>9</v>
      </c>
      <c r="BI61">
        <v>8564.4</v>
      </c>
      <c r="BJ61">
        <v>16</v>
      </c>
      <c r="BK61">
        <v>15225.599999999999</v>
      </c>
      <c r="BL61">
        <v>8</v>
      </c>
      <c r="BM61">
        <v>7612.7999999999993</v>
      </c>
      <c r="BN61">
        <v>13</v>
      </c>
      <c r="BO61">
        <v>12370.8</v>
      </c>
      <c r="BP61">
        <v>15</v>
      </c>
      <c r="BQ61">
        <v>14273.999999999998</v>
      </c>
      <c r="BR61">
        <v>11</v>
      </c>
      <c r="BS61">
        <v>10467.599999999999</v>
      </c>
      <c r="BT61">
        <v>12</v>
      </c>
      <c r="BU61">
        <v>11419.199999999999</v>
      </c>
      <c r="BV61">
        <v>8</v>
      </c>
      <c r="BW61">
        <v>7612.7999999999993</v>
      </c>
      <c r="BX61">
        <v>9</v>
      </c>
      <c r="BY61">
        <v>8564.4</v>
      </c>
      <c r="BZ61">
        <v>12</v>
      </c>
      <c r="CA61">
        <v>11419.199999999999</v>
      </c>
      <c r="CB61">
        <v>11</v>
      </c>
      <c r="CC61">
        <v>10467.599999999999</v>
      </c>
      <c r="CD61">
        <v>14</v>
      </c>
      <c r="CE61">
        <v>13322.399999999998</v>
      </c>
      <c r="CF61">
        <v>10</v>
      </c>
      <c r="CG61">
        <v>9516</v>
      </c>
      <c r="CH61">
        <v>12</v>
      </c>
      <c r="CI61">
        <v>11419.199999999999</v>
      </c>
      <c r="CJ61">
        <v>12</v>
      </c>
      <c r="CK61">
        <v>11419.199999999999</v>
      </c>
      <c r="CL61">
        <v>10</v>
      </c>
      <c r="CM61">
        <v>9516</v>
      </c>
      <c r="CN61">
        <v>13</v>
      </c>
      <c r="CO61">
        <v>12370.8</v>
      </c>
      <c r="CP61">
        <v>14</v>
      </c>
      <c r="CQ61">
        <v>13322.399999999998</v>
      </c>
      <c r="CR61">
        <v>11</v>
      </c>
      <c r="CS61">
        <v>10467.599999999999</v>
      </c>
      <c r="CT61">
        <v>14</v>
      </c>
      <c r="CU61">
        <v>13322.399999999998</v>
      </c>
    </row>
    <row r="62" spans="2:99" x14ac:dyDescent="0.2">
      <c r="C62" s="118" t="s">
        <v>228</v>
      </c>
      <c r="D62">
        <v>10</v>
      </c>
      <c r="E62">
        <v>17052</v>
      </c>
      <c r="F62">
        <v>11</v>
      </c>
      <c r="G62">
        <v>18757.2</v>
      </c>
      <c r="H62">
        <v>13</v>
      </c>
      <c r="I62">
        <v>22167.600000000002</v>
      </c>
      <c r="J62">
        <v>12</v>
      </c>
      <c r="K62">
        <v>20462.400000000001</v>
      </c>
      <c r="L62">
        <v>8</v>
      </c>
      <c r="M62">
        <v>13641.6</v>
      </c>
      <c r="N62">
        <v>13</v>
      </c>
      <c r="O62">
        <v>22167.600000000002</v>
      </c>
      <c r="P62">
        <v>13</v>
      </c>
      <c r="Q62">
        <v>22167.600000000002</v>
      </c>
      <c r="R62">
        <v>7</v>
      </c>
      <c r="S62">
        <v>11936.4</v>
      </c>
      <c r="T62">
        <v>8</v>
      </c>
      <c r="U62">
        <v>13641.6</v>
      </c>
      <c r="V62">
        <v>11</v>
      </c>
      <c r="W62">
        <v>18757.2</v>
      </c>
      <c r="X62">
        <v>11</v>
      </c>
      <c r="Y62">
        <v>18757.2</v>
      </c>
      <c r="Z62">
        <v>10</v>
      </c>
      <c r="AA62">
        <v>17052</v>
      </c>
      <c r="AB62">
        <v>7</v>
      </c>
      <c r="AC62">
        <v>11936.4</v>
      </c>
      <c r="AD62">
        <v>13</v>
      </c>
      <c r="AE62">
        <v>22167.600000000002</v>
      </c>
      <c r="AF62">
        <v>8</v>
      </c>
      <c r="AG62">
        <v>13641.6</v>
      </c>
      <c r="AH62">
        <v>10</v>
      </c>
      <c r="AI62">
        <v>17052</v>
      </c>
      <c r="AJ62">
        <v>12</v>
      </c>
      <c r="AK62">
        <v>20462.400000000001</v>
      </c>
      <c r="AL62">
        <v>10</v>
      </c>
      <c r="AM62">
        <v>17052</v>
      </c>
      <c r="AN62">
        <v>13</v>
      </c>
      <c r="AO62">
        <v>22167.600000000002</v>
      </c>
      <c r="AP62">
        <v>11</v>
      </c>
      <c r="AQ62">
        <v>18757.2</v>
      </c>
      <c r="AR62">
        <v>15</v>
      </c>
      <c r="AS62">
        <v>25578</v>
      </c>
      <c r="AT62">
        <v>8</v>
      </c>
      <c r="AU62">
        <v>13641.6</v>
      </c>
      <c r="AV62">
        <v>11</v>
      </c>
      <c r="AW62">
        <v>18757.2</v>
      </c>
      <c r="AX62">
        <v>12</v>
      </c>
      <c r="AY62">
        <v>20462.400000000001</v>
      </c>
      <c r="AZ62">
        <v>13</v>
      </c>
      <c r="BA62">
        <v>22167.600000000002</v>
      </c>
      <c r="BB62">
        <v>8</v>
      </c>
      <c r="BC62">
        <v>13641.6</v>
      </c>
      <c r="BD62">
        <v>8</v>
      </c>
      <c r="BE62">
        <v>13641.6</v>
      </c>
      <c r="BF62">
        <v>12</v>
      </c>
      <c r="BG62">
        <v>20462.400000000001</v>
      </c>
      <c r="BH62">
        <v>8</v>
      </c>
      <c r="BI62">
        <v>13641.6</v>
      </c>
      <c r="BJ62">
        <v>13</v>
      </c>
      <c r="BK62">
        <v>22167.600000000002</v>
      </c>
      <c r="BL62">
        <v>7</v>
      </c>
      <c r="BM62">
        <v>11936.4</v>
      </c>
      <c r="BN62">
        <v>13</v>
      </c>
      <c r="BO62">
        <v>22167.600000000002</v>
      </c>
      <c r="BP62">
        <v>12</v>
      </c>
      <c r="BQ62">
        <v>20462.400000000001</v>
      </c>
      <c r="BR62">
        <v>11</v>
      </c>
      <c r="BS62">
        <v>18757.2</v>
      </c>
      <c r="BT62">
        <v>11</v>
      </c>
      <c r="BU62">
        <v>18757.2</v>
      </c>
      <c r="BV62">
        <v>8</v>
      </c>
      <c r="BW62">
        <v>13641.6</v>
      </c>
      <c r="BX62">
        <v>10</v>
      </c>
      <c r="BY62">
        <v>17052</v>
      </c>
      <c r="BZ62">
        <v>11</v>
      </c>
      <c r="CA62">
        <v>18757.2</v>
      </c>
      <c r="CB62">
        <v>9</v>
      </c>
      <c r="CC62">
        <v>15346.800000000001</v>
      </c>
      <c r="CD62">
        <v>14</v>
      </c>
      <c r="CE62">
        <v>23872.799999999999</v>
      </c>
      <c r="CF62">
        <v>9</v>
      </c>
      <c r="CG62">
        <v>15346.800000000001</v>
      </c>
      <c r="CH62">
        <v>13</v>
      </c>
      <c r="CI62">
        <v>22167.600000000002</v>
      </c>
      <c r="CJ62">
        <v>11</v>
      </c>
      <c r="CK62">
        <v>18757.2</v>
      </c>
      <c r="CL62">
        <v>11</v>
      </c>
      <c r="CM62">
        <v>18757.2</v>
      </c>
      <c r="CN62">
        <v>13</v>
      </c>
      <c r="CO62">
        <v>22167.600000000002</v>
      </c>
      <c r="CP62">
        <v>14</v>
      </c>
      <c r="CQ62">
        <v>23872.799999999999</v>
      </c>
      <c r="CR62">
        <v>12</v>
      </c>
      <c r="CS62">
        <v>20462.400000000001</v>
      </c>
      <c r="CT62">
        <v>13</v>
      </c>
      <c r="CU62">
        <v>22167.600000000002</v>
      </c>
    </row>
    <row r="63" spans="2:99" x14ac:dyDescent="0.2">
      <c r="C63" s="118" t="s">
        <v>229</v>
      </c>
      <c r="D63">
        <v>11</v>
      </c>
      <c r="E63">
        <v>8751.6</v>
      </c>
      <c r="F63">
        <v>12</v>
      </c>
      <c r="G63">
        <v>9547.2000000000007</v>
      </c>
      <c r="H63">
        <v>14</v>
      </c>
      <c r="I63">
        <v>11138.4</v>
      </c>
      <c r="J63">
        <v>12</v>
      </c>
      <c r="K63">
        <v>9547.2000000000007</v>
      </c>
      <c r="L63">
        <v>9</v>
      </c>
      <c r="M63">
        <v>7160.4000000000005</v>
      </c>
      <c r="N63">
        <v>12</v>
      </c>
      <c r="O63">
        <v>9547.2000000000007</v>
      </c>
      <c r="P63">
        <v>13</v>
      </c>
      <c r="Q63">
        <v>10342.800000000001</v>
      </c>
      <c r="R63">
        <v>8</v>
      </c>
      <c r="S63">
        <v>6364.8</v>
      </c>
      <c r="T63">
        <v>8</v>
      </c>
      <c r="U63">
        <v>6364.8</v>
      </c>
      <c r="V63">
        <v>11</v>
      </c>
      <c r="W63">
        <v>8751.6</v>
      </c>
      <c r="X63">
        <v>11</v>
      </c>
      <c r="Y63">
        <v>8751.6</v>
      </c>
      <c r="Z63">
        <v>10</v>
      </c>
      <c r="AA63">
        <v>7956</v>
      </c>
      <c r="AB63">
        <v>8</v>
      </c>
      <c r="AC63">
        <v>6364.8</v>
      </c>
      <c r="AD63">
        <v>13</v>
      </c>
      <c r="AE63">
        <v>10342.800000000001</v>
      </c>
      <c r="AF63">
        <v>7</v>
      </c>
      <c r="AG63">
        <v>5569.2</v>
      </c>
      <c r="AH63">
        <v>13</v>
      </c>
      <c r="AI63">
        <v>10342.800000000001</v>
      </c>
      <c r="AJ63">
        <v>12</v>
      </c>
      <c r="AK63">
        <v>9547.2000000000007</v>
      </c>
      <c r="AL63">
        <v>11</v>
      </c>
      <c r="AM63">
        <v>8751.6</v>
      </c>
      <c r="AN63">
        <v>13</v>
      </c>
      <c r="AO63">
        <v>10342.800000000001</v>
      </c>
      <c r="AP63">
        <v>12</v>
      </c>
      <c r="AQ63">
        <v>9547.2000000000007</v>
      </c>
      <c r="AR63">
        <v>17</v>
      </c>
      <c r="AS63">
        <v>13525.2</v>
      </c>
      <c r="AT63">
        <v>7</v>
      </c>
      <c r="AU63">
        <v>5569.2</v>
      </c>
      <c r="AV63">
        <v>13</v>
      </c>
      <c r="AW63">
        <v>10342.800000000001</v>
      </c>
      <c r="AX63">
        <v>13</v>
      </c>
      <c r="AY63">
        <v>10342.800000000001</v>
      </c>
      <c r="AZ63">
        <v>14</v>
      </c>
      <c r="BA63">
        <v>11138.4</v>
      </c>
      <c r="BB63">
        <v>9</v>
      </c>
      <c r="BC63">
        <v>7160.4000000000005</v>
      </c>
      <c r="BD63">
        <v>9</v>
      </c>
      <c r="BE63">
        <v>7160.4000000000005</v>
      </c>
      <c r="BF63">
        <v>11</v>
      </c>
      <c r="BG63">
        <v>8751.6</v>
      </c>
      <c r="BH63">
        <v>9</v>
      </c>
      <c r="BI63">
        <v>7160.4000000000005</v>
      </c>
      <c r="BJ63">
        <v>15</v>
      </c>
      <c r="BK63">
        <v>11934</v>
      </c>
      <c r="BL63">
        <v>9</v>
      </c>
      <c r="BM63">
        <v>7160.4000000000005</v>
      </c>
      <c r="BN63">
        <v>14</v>
      </c>
      <c r="BO63">
        <v>11138.4</v>
      </c>
      <c r="BP63">
        <v>15</v>
      </c>
      <c r="BQ63">
        <v>11934</v>
      </c>
      <c r="BR63">
        <v>13</v>
      </c>
      <c r="BS63">
        <v>10342.800000000001</v>
      </c>
      <c r="BT63">
        <v>12</v>
      </c>
      <c r="BU63">
        <v>9547.2000000000007</v>
      </c>
      <c r="BV63">
        <v>8</v>
      </c>
      <c r="BW63">
        <v>6364.8</v>
      </c>
      <c r="BX63">
        <v>10</v>
      </c>
      <c r="BY63">
        <v>7956</v>
      </c>
      <c r="BZ63">
        <v>12</v>
      </c>
      <c r="CA63">
        <v>9547.2000000000007</v>
      </c>
      <c r="CB63">
        <v>11</v>
      </c>
      <c r="CC63">
        <v>8751.6</v>
      </c>
      <c r="CD63">
        <v>15</v>
      </c>
      <c r="CE63">
        <v>11934</v>
      </c>
      <c r="CF63">
        <v>10</v>
      </c>
      <c r="CG63">
        <v>7956</v>
      </c>
      <c r="CH63">
        <v>13</v>
      </c>
      <c r="CI63">
        <v>10342.800000000001</v>
      </c>
      <c r="CJ63">
        <v>11</v>
      </c>
      <c r="CK63">
        <v>8751.6</v>
      </c>
      <c r="CL63">
        <v>12</v>
      </c>
      <c r="CM63">
        <v>9547.2000000000007</v>
      </c>
      <c r="CN63">
        <v>15</v>
      </c>
      <c r="CO63">
        <v>11934</v>
      </c>
      <c r="CP63">
        <v>14</v>
      </c>
      <c r="CQ63">
        <v>11138.4</v>
      </c>
      <c r="CR63">
        <v>12</v>
      </c>
      <c r="CS63">
        <v>9547.2000000000007</v>
      </c>
      <c r="CT63">
        <v>14</v>
      </c>
      <c r="CU63">
        <v>11138.4</v>
      </c>
    </row>
    <row r="64" spans="2:99" x14ac:dyDescent="0.2">
      <c r="C64" s="118" t="s">
        <v>230</v>
      </c>
      <c r="D64">
        <v>9</v>
      </c>
      <c r="E64">
        <v>9082.7999999999993</v>
      </c>
      <c r="F64">
        <v>11</v>
      </c>
      <c r="G64">
        <v>11101.199999999997</v>
      </c>
      <c r="H64">
        <v>14</v>
      </c>
      <c r="I64">
        <v>14128.799999999997</v>
      </c>
      <c r="J64">
        <v>11</v>
      </c>
      <c r="K64">
        <v>11101.199999999997</v>
      </c>
      <c r="L64">
        <v>8</v>
      </c>
      <c r="M64">
        <v>8073.5999999999985</v>
      </c>
      <c r="N64">
        <v>12</v>
      </c>
      <c r="O64">
        <v>12110.399999999998</v>
      </c>
      <c r="P64">
        <v>13</v>
      </c>
      <c r="Q64">
        <v>13119.599999999999</v>
      </c>
      <c r="R64">
        <v>9</v>
      </c>
      <c r="S64">
        <v>9082.7999999999993</v>
      </c>
      <c r="T64">
        <v>9</v>
      </c>
      <c r="U64">
        <v>9082.7999999999993</v>
      </c>
      <c r="V64">
        <v>12</v>
      </c>
      <c r="W64">
        <v>12110.399999999998</v>
      </c>
      <c r="X64">
        <v>12</v>
      </c>
      <c r="Y64">
        <v>12110.399999999998</v>
      </c>
      <c r="Z64">
        <v>10</v>
      </c>
      <c r="AA64">
        <v>10091.999999999998</v>
      </c>
      <c r="AB64">
        <v>7</v>
      </c>
      <c r="AC64">
        <v>7064.3999999999987</v>
      </c>
      <c r="AD64">
        <v>15</v>
      </c>
      <c r="AE64">
        <v>15137.999999999996</v>
      </c>
      <c r="AF64">
        <v>8</v>
      </c>
      <c r="AG64">
        <v>8073.5999999999985</v>
      </c>
      <c r="AH64">
        <v>11</v>
      </c>
      <c r="AI64">
        <v>11101.199999999997</v>
      </c>
      <c r="AJ64">
        <v>12</v>
      </c>
      <c r="AK64">
        <v>12110.399999999998</v>
      </c>
      <c r="AL64">
        <v>12</v>
      </c>
      <c r="AM64">
        <v>12110.399999999998</v>
      </c>
      <c r="AN64">
        <v>13</v>
      </c>
      <c r="AO64">
        <v>13119.599999999999</v>
      </c>
      <c r="AP64">
        <v>12</v>
      </c>
      <c r="AQ64">
        <v>12110.399999999998</v>
      </c>
      <c r="AR64">
        <v>16</v>
      </c>
      <c r="AS64">
        <v>16147.199999999997</v>
      </c>
      <c r="AT64">
        <v>8</v>
      </c>
      <c r="AU64">
        <v>8073.5999999999985</v>
      </c>
      <c r="AV64">
        <v>12</v>
      </c>
      <c r="AW64">
        <v>12110.399999999998</v>
      </c>
      <c r="AX64">
        <v>11</v>
      </c>
      <c r="AY64">
        <v>11101.199999999997</v>
      </c>
      <c r="AZ64">
        <v>13</v>
      </c>
      <c r="BA64">
        <v>13119.599999999999</v>
      </c>
      <c r="BB64">
        <v>8</v>
      </c>
      <c r="BC64">
        <v>8073.5999999999985</v>
      </c>
      <c r="BD64">
        <v>8</v>
      </c>
      <c r="BE64">
        <v>8073.5999999999985</v>
      </c>
      <c r="BF64">
        <v>11</v>
      </c>
      <c r="BG64">
        <v>11101.199999999997</v>
      </c>
      <c r="BH64">
        <v>9</v>
      </c>
      <c r="BI64">
        <v>9082.7999999999993</v>
      </c>
      <c r="BJ64">
        <v>14</v>
      </c>
      <c r="BK64">
        <v>14128.799999999997</v>
      </c>
      <c r="BL64">
        <v>8</v>
      </c>
      <c r="BM64">
        <v>8073.5999999999985</v>
      </c>
      <c r="BN64">
        <v>12</v>
      </c>
      <c r="BO64">
        <v>12110.399999999998</v>
      </c>
      <c r="BP64">
        <v>14</v>
      </c>
      <c r="BQ64">
        <v>14128.799999999997</v>
      </c>
      <c r="BR64">
        <v>12</v>
      </c>
      <c r="BS64">
        <v>12110.399999999998</v>
      </c>
      <c r="BT64">
        <v>11</v>
      </c>
      <c r="BU64">
        <v>11101.199999999997</v>
      </c>
      <c r="BV64">
        <v>9</v>
      </c>
      <c r="BW64">
        <v>9082.7999999999993</v>
      </c>
      <c r="BX64">
        <v>9</v>
      </c>
      <c r="BY64">
        <v>9082.7999999999993</v>
      </c>
      <c r="BZ64">
        <v>13</v>
      </c>
      <c r="CA64">
        <v>13119.599999999999</v>
      </c>
      <c r="CB64">
        <v>10</v>
      </c>
      <c r="CC64">
        <v>10091.999999999998</v>
      </c>
      <c r="CD64">
        <v>14</v>
      </c>
      <c r="CE64">
        <v>14128.799999999997</v>
      </c>
      <c r="CF64">
        <v>10</v>
      </c>
      <c r="CG64">
        <v>10091.999999999998</v>
      </c>
      <c r="CH64">
        <v>13</v>
      </c>
      <c r="CI64">
        <v>13119.599999999999</v>
      </c>
      <c r="CJ64">
        <v>11</v>
      </c>
      <c r="CK64">
        <v>11101.199999999997</v>
      </c>
      <c r="CL64">
        <v>11</v>
      </c>
      <c r="CM64">
        <v>11101.199999999997</v>
      </c>
      <c r="CN64">
        <v>13</v>
      </c>
      <c r="CO64">
        <v>13119.599999999999</v>
      </c>
      <c r="CP64">
        <v>13</v>
      </c>
      <c r="CQ64">
        <v>13119.599999999999</v>
      </c>
      <c r="CR64">
        <v>12</v>
      </c>
      <c r="CS64">
        <v>12110.399999999998</v>
      </c>
      <c r="CT64">
        <v>15</v>
      </c>
      <c r="CU64">
        <v>15137.999999999996</v>
      </c>
    </row>
    <row r="65" spans="2:99" x14ac:dyDescent="0.2">
      <c r="C65" s="118" t="s">
        <v>231</v>
      </c>
      <c r="D65">
        <v>11</v>
      </c>
      <c r="E65">
        <v>11286</v>
      </c>
      <c r="F65">
        <v>10</v>
      </c>
      <c r="G65">
        <v>10260</v>
      </c>
      <c r="H65">
        <v>12</v>
      </c>
      <c r="I65">
        <v>12312</v>
      </c>
      <c r="J65">
        <v>12</v>
      </c>
      <c r="K65">
        <v>12312</v>
      </c>
      <c r="L65">
        <v>8</v>
      </c>
      <c r="M65">
        <v>8208</v>
      </c>
      <c r="N65">
        <v>13</v>
      </c>
      <c r="O65">
        <v>13338</v>
      </c>
      <c r="P65">
        <v>13</v>
      </c>
      <c r="Q65">
        <v>13338</v>
      </c>
      <c r="R65">
        <v>9</v>
      </c>
      <c r="S65">
        <v>9234</v>
      </c>
      <c r="T65">
        <v>9</v>
      </c>
      <c r="U65">
        <v>9234</v>
      </c>
      <c r="V65">
        <v>11</v>
      </c>
      <c r="W65">
        <v>11286</v>
      </c>
      <c r="X65">
        <v>11</v>
      </c>
      <c r="Y65">
        <v>11286</v>
      </c>
      <c r="Z65">
        <v>10</v>
      </c>
      <c r="AA65">
        <v>10260</v>
      </c>
      <c r="AB65">
        <v>8</v>
      </c>
      <c r="AC65">
        <v>8208</v>
      </c>
      <c r="AD65">
        <v>14</v>
      </c>
      <c r="AE65">
        <v>14364</v>
      </c>
      <c r="AF65">
        <v>8</v>
      </c>
      <c r="AG65">
        <v>8208</v>
      </c>
      <c r="AH65">
        <v>13</v>
      </c>
      <c r="AI65">
        <v>13338</v>
      </c>
      <c r="AJ65">
        <v>12</v>
      </c>
      <c r="AK65">
        <v>12312</v>
      </c>
      <c r="AL65">
        <v>12</v>
      </c>
      <c r="AM65">
        <v>12312</v>
      </c>
      <c r="AN65">
        <v>14</v>
      </c>
      <c r="AO65">
        <v>14364</v>
      </c>
      <c r="AP65">
        <v>12</v>
      </c>
      <c r="AQ65">
        <v>12312</v>
      </c>
      <c r="AR65">
        <v>16</v>
      </c>
      <c r="AS65">
        <v>16416</v>
      </c>
      <c r="AT65">
        <v>7</v>
      </c>
      <c r="AU65">
        <v>7182</v>
      </c>
      <c r="AV65">
        <v>13</v>
      </c>
      <c r="AW65">
        <v>13338</v>
      </c>
      <c r="AX65">
        <v>12</v>
      </c>
      <c r="AY65">
        <v>12312</v>
      </c>
      <c r="AZ65">
        <v>15</v>
      </c>
      <c r="BA65">
        <v>15390</v>
      </c>
      <c r="BB65">
        <v>8</v>
      </c>
      <c r="BC65">
        <v>8208</v>
      </c>
      <c r="BD65">
        <v>9</v>
      </c>
      <c r="BE65">
        <v>9234</v>
      </c>
      <c r="BF65">
        <v>12</v>
      </c>
      <c r="BG65">
        <v>12312</v>
      </c>
      <c r="BH65">
        <v>9</v>
      </c>
      <c r="BI65">
        <v>9234</v>
      </c>
      <c r="BJ65">
        <v>13</v>
      </c>
      <c r="BK65">
        <v>13338</v>
      </c>
      <c r="BL65">
        <v>7</v>
      </c>
      <c r="BM65">
        <v>7182</v>
      </c>
      <c r="BN65">
        <v>12</v>
      </c>
      <c r="BO65">
        <v>12312</v>
      </c>
      <c r="BP65">
        <v>15</v>
      </c>
      <c r="BQ65">
        <v>15390</v>
      </c>
      <c r="BR65">
        <v>12</v>
      </c>
      <c r="BS65">
        <v>12312</v>
      </c>
      <c r="BT65">
        <v>10</v>
      </c>
      <c r="BU65">
        <v>10260</v>
      </c>
      <c r="BV65">
        <v>9</v>
      </c>
      <c r="BW65">
        <v>9234</v>
      </c>
      <c r="BX65">
        <v>10</v>
      </c>
      <c r="BY65">
        <v>10260</v>
      </c>
      <c r="BZ65">
        <v>14</v>
      </c>
      <c r="CA65">
        <v>14364</v>
      </c>
      <c r="CB65">
        <v>11</v>
      </c>
      <c r="CC65">
        <v>11286</v>
      </c>
      <c r="CD65">
        <v>16</v>
      </c>
      <c r="CE65">
        <v>16416</v>
      </c>
      <c r="CF65">
        <v>11</v>
      </c>
      <c r="CG65">
        <v>11286</v>
      </c>
      <c r="CH65">
        <v>12</v>
      </c>
      <c r="CI65">
        <v>12312</v>
      </c>
      <c r="CJ65">
        <v>12</v>
      </c>
      <c r="CK65">
        <v>12312</v>
      </c>
      <c r="CL65">
        <v>10</v>
      </c>
      <c r="CM65">
        <v>10260</v>
      </c>
      <c r="CN65">
        <v>14</v>
      </c>
      <c r="CO65">
        <v>14364</v>
      </c>
      <c r="CP65">
        <v>13</v>
      </c>
      <c r="CQ65">
        <v>13338</v>
      </c>
      <c r="CR65">
        <v>13</v>
      </c>
      <c r="CS65">
        <v>13338</v>
      </c>
      <c r="CT65">
        <v>14</v>
      </c>
      <c r="CU65">
        <v>14364</v>
      </c>
    </row>
    <row r="66" spans="2:99" x14ac:dyDescent="0.2">
      <c r="C66" s="118" t="s">
        <v>232</v>
      </c>
      <c r="D66">
        <v>11</v>
      </c>
      <c r="E66">
        <v>13094.399999999998</v>
      </c>
      <c r="F66">
        <v>12</v>
      </c>
      <c r="G66">
        <v>14284.8</v>
      </c>
      <c r="H66">
        <v>13</v>
      </c>
      <c r="I66">
        <v>15475.199999999999</v>
      </c>
      <c r="J66">
        <v>12</v>
      </c>
      <c r="K66">
        <v>14284.8</v>
      </c>
      <c r="L66">
        <v>9</v>
      </c>
      <c r="M66">
        <v>10713.599999999999</v>
      </c>
      <c r="N66">
        <v>13</v>
      </c>
      <c r="O66">
        <v>15475.199999999999</v>
      </c>
      <c r="P66">
        <v>11</v>
      </c>
      <c r="Q66">
        <v>13094.399999999998</v>
      </c>
      <c r="R66">
        <v>9</v>
      </c>
      <c r="S66">
        <v>10713.599999999999</v>
      </c>
      <c r="T66">
        <v>9</v>
      </c>
      <c r="U66">
        <v>10713.599999999999</v>
      </c>
      <c r="V66">
        <v>11</v>
      </c>
      <c r="W66">
        <v>13094.399999999998</v>
      </c>
      <c r="X66">
        <v>11</v>
      </c>
      <c r="Y66">
        <v>13094.399999999998</v>
      </c>
      <c r="Z66">
        <v>11</v>
      </c>
      <c r="AA66">
        <v>13094.399999999998</v>
      </c>
      <c r="AB66">
        <v>7</v>
      </c>
      <c r="AC66">
        <v>8332.7999999999993</v>
      </c>
      <c r="AD66">
        <v>12</v>
      </c>
      <c r="AE66">
        <v>14284.8</v>
      </c>
      <c r="AF66">
        <v>7</v>
      </c>
      <c r="AG66">
        <v>8332.7999999999993</v>
      </c>
      <c r="AH66">
        <v>12</v>
      </c>
      <c r="AI66">
        <v>14284.8</v>
      </c>
      <c r="AJ66">
        <v>12</v>
      </c>
      <c r="AK66">
        <v>14284.8</v>
      </c>
      <c r="AL66">
        <v>11</v>
      </c>
      <c r="AM66">
        <v>13094.399999999998</v>
      </c>
      <c r="AN66">
        <v>14</v>
      </c>
      <c r="AO66">
        <v>16665.599999999999</v>
      </c>
      <c r="AP66">
        <v>11</v>
      </c>
      <c r="AQ66">
        <v>13094.399999999998</v>
      </c>
      <c r="AR66">
        <v>15</v>
      </c>
      <c r="AS66">
        <v>17855.999999999996</v>
      </c>
      <c r="AT66">
        <v>7</v>
      </c>
      <c r="AU66">
        <v>8332.7999999999993</v>
      </c>
      <c r="AV66">
        <v>13</v>
      </c>
      <c r="AW66">
        <v>15475.199999999999</v>
      </c>
      <c r="AX66">
        <v>11</v>
      </c>
      <c r="AY66">
        <v>13094.399999999998</v>
      </c>
      <c r="AZ66">
        <v>14</v>
      </c>
      <c r="BA66">
        <v>16665.599999999999</v>
      </c>
      <c r="BB66">
        <v>9</v>
      </c>
      <c r="BC66">
        <v>10713.599999999999</v>
      </c>
      <c r="BD66">
        <v>8</v>
      </c>
      <c r="BE66">
        <v>9523.1999999999989</v>
      </c>
      <c r="BF66">
        <v>12</v>
      </c>
      <c r="BG66">
        <v>14284.8</v>
      </c>
      <c r="BH66">
        <v>9</v>
      </c>
      <c r="BI66">
        <v>10713.599999999999</v>
      </c>
      <c r="BJ66">
        <v>16</v>
      </c>
      <c r="BK66">
        <v>19046.399999999998</v>
      </c>
      <c r="BL66">
        <v>8</v>
      </c>
      <c r="BM66">
        <v>9523.1999999999989</v>
      </c>
      <c r="BN66">
        <v>13</v>
      </c>
      <c r="BO66">
        <v>15475.199999999999</v>
      </c>
      <c r="BP66">
        <v>13</v>
      </c>
      <c r="BQ66">
        <v>15475.199999999999</v>
      </c>
      <c r="BR66">
        <v>11</v>
      </c>
      <c r="BS66">
        <v>13094.399999999998</v>
      </c>
      <c r="BT66">
        <v>11</v>
      </c>
      <c r="BU66">
        <v>13094.399999999998</v>
      </c>
      <c r="BV66">
        <v>8</v>
      </c>
      <c r="BW66">
        <v>9523.1999999999989</v>
      </c>
      <c r="BX66">
        <v>10</v>
      </c>
      <c r="BY66">
        <v>11903.999999999998</v>
      </c>
      <c r="BZ66">
        <v>11</v>
      </c>
      <c r="CA66">
        <v>13094.399999999998</v>
      </c>
      <c r="CB66">
        <v>10</v>
      </c>
      <c r="CC66">
        <v>11903.999999999998</v>
      </c>
      <c r="CD66">
        <v>16</v>
      </c>
      <c r="CE66">
        <v>19046.399999999998</v>
      </c>
      <c r="CF66">
        <v>10</v>
      </c>
      <c r="CG66">
        <v>11903.999999999998</v>
      </c>
      <c r="CH66">
        <v>14</v>
      </c>
      <c r="CI66">
        <v>16665.599999999999</v>
      </c>
      <c r="CJ66">
        <v>11</v>
      </c>
      <c r="CK66">
        <v>13094.399999999998</v>
      </c>
      <c r="CL66">
        <v>10</v>
      </c>
      <c r="CM66">
        <v>11903.999999999998</v>
      </c>
      <c r="CN66">
        <v>14</v>
      </c>
      <c r="CO66">
        <v>16665.599999999999</v>
      </c>
      <c r="CP66">
        <v>15</v>
      </c>
      <c r="CQ66">
        <v>17855.999999999996</v>
      </c>
      <c r="CR66">
        <v>13</v>
      </c>
      <c r="CS66">
        <v>15475.199999999999</v>
      </c>
      <c r="CT66">
        <v>14</v>
      </c>
      <c r="CU66">
        <v>16665.599999999999</v>
      </c>
    </row>
    <row r="67" spans="2:99" x14ac:dyDescent="0.2">
      <c r="C67" s="118" t="s">
        <v>233</v>
      </c>
      <c r="D67">
        <v>11</v>
      </c>
      <c r="E67">
        <v>12355.2</v>
      </c>
      <c r="F67">
        <v>11</v>
      </c>
      <c r="G67">
        <v>12355.2</v>
      </c>
      <c r="H67">
        <v>14</v>
      </c>
      <c r="I67">
        <v>15724.800000000001</v>
      </c>
      <c r="J67">
        <v>12</v>
      </c>
      <c r="K67">
        <v>13478.400000000001</v>
      </c>
      <c r="L67">
        <v>8</v>
      </c>
      <c r="M67">
        <v>8985.6</v>
      </c>
      <c r="N67">
        <v>13</v>
      </c>
      <c r="O67">
        <v>14601.6</v>
      </c>
      <c r="P67">
        <v>12</v>
      </c>
      <c r="Q67">
        <v>13478.400000000001</v>
      </c>
      <c r="R67">
        <v>9</v>
      </c>
      <c r="S67">
        <v>10108.800000000001</v>
      </c>
      <c r="T67">
        <v>9</v>
      </c>
      <c r="U67">
        <v>10108.800000000001</v>
      </c>
      <c r="V67">
        <v>11</v>
      </c>
      <c r="W67">
        <v>12355.2</v>
      </c>
      <c r="X67">
        <v>11</v>
      </c>
      <c r="Y67">
        <v>12355.2</v>
      </c>
      <c r="Z67">
        <v>12</v>
      </c>
      <c r="AA67">
        <v>13478.400000000001</v>
      </c>
      <c r="AB67">
        <v>7</v>
      </c>
      <c r="AC67">
        <v>7862.4000000000005</v>
      </c>
      <c r="AD67">
        <v>13</v>
      </c>
      <c r="AE67">
        <v>14601.6</v>
      </c>
      <c r="AF67">
        <v>8</v>
      </c>
      <c r="AG67">
        <v>8985.6</v>
      </c>
      <c r="AH67">
        <v>11</v>
      </c>
      <c r="AI67">
        <v>12355.2</v>
      </c>
      <c r="AJ67">
        <v>12</v>
      </c>
      <c r="AK67">
        <v>13478.400000000001</v>
      </c>
      <c r="AL67">
        <v>12</v>
      </c>
      <c r="AM67">
        <v>13478.400000000001</v>
      </c>
      <c r="AN67">
        <v>14</v>
      </c>
      <c r="AO67">
        <v>15724.800000000001</v>
      </c>
      <c r="AP67">
        <v>11</v>
      </c>
      <c r="AQ67">
        <v>12355.2</v>
      </c>
      <c r="AR67">
        <v>16</v>
      </c>
      <c r="AS67">
        <v>17971.2</v>
      </c>
      <c r="AT67">
        <v>8</v>
      </c>
      <c r="AU67">
        <v>8985.6</v>
      </c>
      <c r="AV67">
        <v>13</v>
      </c>
      <c r="AW67">
        <v>14601.6</v>
      </c>
      <c r="AX67">
        <v>11</v>
      </c>
      <c r="AY67">
        <v>12355.2</v>
      </c>
      <c r="AZ67">
        <v>14</v>
      </c>
      <c r="BA67">
        <v>15724.800000000001</v>
      </c>
      <c r="BB67">
        <v>8</v>
      </c>
      <c r="BC67">
        <v>8985.6</v>
      </c>
      <c r="BD67">
        <v>8</v>
      </c>
      <c r="BE67">
        <v>8985.6</v>
      </c>
      <c r="BF67">
        <v>11</v>
      </c>
      <c r="BG67">
        <v>12355.2</v>
      </c>
      <c r="BH67">
        <v>8</v>
      </c>
      <c r="BI67">
        <v>8985.6</v>
      </c>
      <c r="BJ67">
        <v>16</v>
      </c>
      <c r="BK67">
        <v>17971.2</v>
      </c>
      <c r="BL67">
        <v>9</v>
      </c>
      <c r="BM67">
        <v>10108.800000000001</v>
      </c>
      <c r="BN67">
        <v>12</v>
      </c>
      <c r="BO67">
        <v>13478.400000000001</v>
      </c>
      <c r="BP67">
        <v>14</v>
      </c>
      <c r="BQ67">
        <v>15724.800000000001</v>
      </c>
      <c r="BR67">
        <v>12</v>
      </c>
      <c r="BS67">
        <v>13478.400000000001</v>
      </c>
      <c r="BT67">
        <v>11</v>
      </c>
      <c r="BU67">
        <v>12355.2</v>
      </c>
      <c r="BV67">
        <v>9</v>
      </c>
      <c r="BW67">
        <v>10108.800000000001</v>
      </c>
      <c r="BX67">
        <v>10</v>
      </c>
      <c r="BY67">
        <v>11232</v>
      </c>
      <c r="BZ67">
        <v>14</v>
      </c>
      <c r="CA67">
        <v>15724.800000000001</v>
      </c>
      <c r="CB67">
        <v>10</v>
      </c>
      <c r="CC67">
        <v>11232</v>
      </c>
      <c r="CD67">
        <v>13</v>
      </c>
      <c r="CE67">
        <v>14601.6</v>
      </c>
      <c r="CF67">
        <v>9</v>
      </c>
      <c r="CG67">
        <v>10108.800000000001</v>
      </c>
      <c r="CH67">
        <v>13</v>
      </c>
      <c r="CI67">
        <v>14601.6</v>
      </c>
      <c r="CJ67">
        <v>12</v>
      </c>
      <c r="CK67">
        <v>13478.400000000001</v>
      </c>
      <c r="CL67">
        <v>10</v>
      </c>
      <c r="CM67">
        <v>11232</v>
      </c>
      <c r="CN67">
        <v>13</v>
      </c>
      <c r="CO67">
        <v>14601.6</v>
      </c>
      <c r="CP67">
        <v>13</v>
      </c>
      <c r="CQ67">
        <v>14601.6</v>
      </c>
      <c r="CR67">
        <v>12</v>
      </c>
      <c r="CS67">
        <v>13478.400000000001</v>
      </c>
      <c r="CT67">
        <v>16</v>
      </c>
      <c r="CU67">
        <v>17971.2</v>
      </c>
    </row>
    <row r="68" spans="2:99" x14ac:dyDescent="0.2">
      <c r="C68" s="118" t="s">
        <v>234</v>
      </c>
      <c r="D68">
        <v>9</v>
      </c>
      <c r="E68">
        <v>9298.8000000000011</v>
      </c>
      <c r="F68">
        <v>12</v>
      </c>
      <c r="G68">
        <v>12398.400000000001</v>
      </c>
      <c r="H68">
        <v>13</v>
      </c>
      <c r="I68">
        <v>13431.6</v>
      </c>
      <c r="J68">
        <v>12</v>
      </c>
      <c r="K68">
        <v>12398.400000000001</v>
      </c>
      <c r="L68">
        <v>8</v>
      </c>
      <c r="M68">
        <v>8265.6</v>
      </c>
      <c r="N68">
        <v>12</v>
      </c>
      <c r="O68">
        <v>12398.400000000001</v>
      </c>
      <c r="P68">
        <v>12</v>
      </c>
      <c r="Q68">
        <v>12398.400000000001</v>
      </c>
      <c r="R68">
        <v>9</v>
      </c>
      <c r="S68">
        <v>9298.8000000000011</v>
      </c>
      <c r="T68">
        <v>8</v>
      </c>
      <c r="U68">
        <v>8265.6</v>
      </c>
      <c r="V68">
        <v>13</v>
      </c>
      <c r="W68">
        <v>13431.6</v>
      </c>
      <c r="X68">
        <v>12</v>
      </c>
      <c r="Y68">
        <v>12398.400000000001</v>
      </c>
      <c r="Z68">
        <v>12</v>
      </c>
      <c r="AA68">
        <v>12398.400000000001</v>
      </c>
      <c r="AB68">
        <v>7</v>
      </c>
      <c r="AC68">
        <v>7232.4000000000005</v>
      </c>
      <c r="AD68">
        <v>15</v>
      </c>
      <c r="AE68">
        <v>15498</v>
      </c>
      <c r="AF68">
        <v>8</v>
      </c>
      <c r="AG68">
        <v>8265.6</v>
      </c>
      <c r="AH68">
        <v>12</v>
      </c>
      <c r="AI68">
        <v>12398.400000000001</v>
      </c>
      <c r="AJ68">
        <v>12</v>
      </c>
      <c r="AK68">
        <v>12398.400000000001</v>
      </c>
      <c r="AL68">
        <v>10</v>
      </c>
      <c r="AM68">
        <v>10332</v>
      </c>
      <c r="AN68">
        <v>12</v>
      </c>
      <c r="AO68">
        <v>12398.400000000001</v>
      </c>
      <c r="AP68">
        <v>11</v>
      </c>
      <c r="AQ68">
        <v>11365.2</v>
      </c>
      <c r="AR68">
        <v>17</v>
      </c>
      <c r="AS68">
        <v>17564.400000000001</v>
      </c>
      <c r="AT68">
        <v>8</v>
      </c>
      <c r="AU68">
        <v>8265.6</v>
      </c>
      <c r="AV68">
        <v>14</v>
      </c>
      <c r="AW68">
        <v>14464.800000000001</v>
      </c>
      <c r="AX68">
        <v>13</v>
      </c>
      <c r="AY68">
        <v>13431.6</v>
      </c>
      <c r="AZ68">
        <v>13</v>
      </c>
      <c r="BA68">
        <v>13431.6</v>
      </c>
      <c r="BB68">
        <v>8</v>
      </c>
      <c r="BC68">
        <v>8265.6</v>
      </c>
      <c r="BD68">
        <v>9</v>
      </c>
      <c r="BE68">
        <v>9298.8000000000011</v>
      </c>
      <c r="BF68">
        <v>12</v>
      </c>
      <c r="BG68">
        <v>12398.400000000001</v>
      </c>
      <c r="BH68">
        <v>9</v>
      </c>
      <c r="BI68">
        <v>9298.8000000000011</v>
      </c>
      <c r="BJ68">
        <v>14</v>
      </c>
      <c r="BK68">
        <v>14464.800000000001</v>
      </c>
      <c r="BL68">
        <v>8</v>
      </c>
      <c r="BM68">
        <v>8265.6</v>
      </c>
      <c r="BN68">
        <v>13</v>
      </c>
      <c r="BO68">
        <v>13431.6</v>
      </c>
      <c r="BP68">
        <v>13</v>
      </c>
      <c r="BQ68">
        <v>13431.6</v>
      </c>
      <c r="BR68">
        <v>12</v>
      </c>
      <c r="BS68">
        <v>12398.400000000001</v>
      </c>
      <c r="BT68">
        <v>11</v>
      </c>
      <c r="BU68">
        <v>11365.2</v>
      </c>
      <c r="BV68">
        <v>9</v>
      </c>
      <c r="BW68">
        <v>9298.8000000000011</v>
      </c>
      <c r="BX68">
        <v>10</v>
      </c>
      <c r="BY68">
        <v>10332</v>
      </c>
      <c r="BZ68">
        <v>13</v>
      </c>
      <c r="CA68">
        <v>13431.6</v>
      </c>
      <c r="CB68">
        <v>11</v>
      </c>
      <c r="CC68">
        <v>11365.2</v>
      </c>
      <c r="CD68">
        <v>16</v>
      </c>
      <c r="CE68">
        <v>16531.2</v>
      </c>
      <c r="CF68">
        <v>10</v>
      </c>
      <c r="CG68">
        <v>10332</v>
      </c>
      <c r="CH68">
        <v>13</v>
      </c>
      <c r="CI68">
        <v>13431.6</v>
      </c>
      <c r="CJ68">
        <v>11</v>
      </c>
      <c r="CK68">
        <v>11365.2</v>
      </c>
      <c r="CL68">
        <v>11</v>
      </c>
      <c r="CM68">
        <v>11365.2</v>
      </c>
      <c r="CN68">
        <v>14</v>
      </c>
      <c r="CO68">
        <v>14464.800000000001</v>
      </c>
      <c r="CP68">
        <v>13</v>
      </c>
      <c r="CQ68">
        <v>13431.6</v>
      </c>
      <c r="CR68">
        <v>12</v>
      </c>
      <c r="CS68">
        <v>12398.400000000001</v>
      </c>
      <c r="CT68">
        <v>15</v>
      </c>
      <c r="CU68">
        <v>15498</v>
      </c>
    </row>
    <row r="69" spans="2:99" x14ac:dyDescent="0.2">
      <c r="C69" s="118" t="s">
        <v>235</v>
      </c>
      <c r="D69">
        <v>11</v>
      </c>
      <c r="E69">
        <v>8342.4</v>
      </c>
      <c r="F69">
        <v>12</v>
      </c>
      <c r="G69">
        <v>9100.7999999999993</v>
      </c>
      <c r="H69">
        <v>14</v>
      </c>
      <c r="I69">
        <v>10617.6</v>
      </c>
      <c r="J69">
        <v>11</v>
      </c>
      <c r="K69">
        <v>8342.4</v>
      </c>
      <c r="L69">
        <v>9</v>
      </c>
      <c r="M69">
        <v>6825.5999999999995</v>
      </c>
      <c r="N69">
        <v>12</v>
      </c>
      <c r="O69">
        <v>9100.7999999999993</v>
      </c>
      <c r="P69">
        <v>12</v>
      </c>
      <c r="Q69">
        <v>9100.7999999999993</v>
      </c>
      <c r="R69">
        <v>9</v>
      </c>
      <c r="S69">
        <v>6825.5999999999995</v>
      </c>
      <c r="T69">
        <v>9</v>
      </c>
      <c r="U69">
        <v>6825.5999999999995</v>
      </c>
      <c r="V69">
        <v>14</v>
      </c>
      <c r="W69">
        <v>10617.6</v>
      </c>
      <c r="X69">
        <v>11</v>
      </c>
      <c r="Y69">
        <v>8342.4</v>
      </c>
      <c r="Z69">
        <v>10</v>
      </c>
      <c r="AA69">
        <v>7584</v>
      </c>
      <c r="AB69">
        <v>9</v>
      </c>
      <c r="AC69">
        <v>6825.5999999999995</v>
      </c>
      <c r="AD69">
        <v>13</v>
      </c>
      <c r="AE69">
        <v>9859.1999999999989</v>
      </c>
      <c r="AF69">
        <v>7</v>
      </c>
      <c r="AG69">
        <v>5308.8</v>
      </c>
      <c r="AH69">
        <v>12</v>
      </c>
      <c r="AI69">
        <v>9100.7999999999993</v>
      </c>
      <c r="AJ69">
        <v>12</v>
      </c>
      <c r="AK69">
        <v>9100.7999999999993</v>
      </c>
      <c r="AL69">
        <v>11</v>
      </c>
      <c r="AM69">
        <v>8342.4</v>
      </c>
      <c r="AN69">
        <v>13</v>
      </c>
      <c r="AO69">
        <v>9859.1999999999989</v>
      </c>
      <c r="AP69">
        <v>12</v>
      </c>
      <c r="AQ69">
        <v>9100.7999999999993</v>
      </c>
      <c r="AR69">
        <v>14</v>
      </c>
      <c r="AS69">
        <v>10617.6</v>
      </c>
      <c r="AT69">
        <v>8</v>
      </c>
      <c r="AU69">
        <v>6067.2</v>
      </c>
      <c r="AV69">
        <v>13</v>
      </c>
      <c r="AW69">
        <v>9859.1999999999989</v>
      </c>
      <c r="AX69">
        <v>12</v>
      </c>
      <c r="AY69">
        <v>9100.7999999999993</v>
      </c>
      <c r="AZ69">
        <v>13</v>
      </c>
      <c r="BA69">
        <v>9859.1999999999989</v>
      </c>
      <c r="BB69">
        <v>8</v>
      </c>
      <c r="BC69">
        <v>6067.2</v>
      </c>
      <c r="BD69">
        <v>8</v>
      </c>
      <c r="BE69">
        <v>6067.2</v>
      </c>
      <c r="BF69">
        <v>12</v>
      </c>
      <c r="BG69">
        <v>9100.7999999999993</v>
      </c>
      <c r="BH69">
        <v>9</v>
      </c>
      <c r="BI69">
        <v>6825.5999999999995</v>
      </c>
      <c r="BJ69">
        <v>15</v>
      </c>
      <c r="BK69">
        <v>11376</v>
      </c>
      <c r="BL69">
        <v>9</v>
      </c>
      <c r="BM69">
        <v>6825.5999999999995</v>
      </c>
      <c r="BN69">
        <v>12</v>
      </c>
      <c r="BO69">
        <v>9100.7999999999993</v>
      </c>
      <c r="BP69">
        <v>14</v>
      </c>
      <c r="BQ69">
        <v>10617.6</v>
      </c>
      <c r="BR69">
        <v>11</v>
      </c>
      <c r="BS69">
        <v>8342.4</v>
      </c>
      <c r="BT69">
        <v>10</v>
      </c>
      <c r="BU69">
        <v>7584</v>
      </c>
      <c r="BV69">
        <v>8</v>
      </c>
      <c r="BW69">
        <v>6067.2</v>
      </c>
      <c r="BX69">
        <v>10</v>
      </c>
      <c r="BY69">
        <v>7584</v>
      </c>
      <c r="BZ69">
        <v>12</v>
      </c>
      <c r="CA69">
        <v>9100.7999999999993</v>
      </c>
      <c r="CB69">
        <v>11</v>
      </c>
      <c r="CC69">
        <v>8342.4</v>
      </c>
      <c r="CD69">
        <v>16</v>
      </c>
      <c r="CE69">
        <v>12134.4</v>
      </c>
      <c r="CF69">
        <v>11</v>
      </c>
      <c r="CG69">
        <v>8342.4</v>
      </c>
      <c r="CH69">
        <v>13</v>
      </c>
      <c r="CI69">
        <v>9859.1999999999989</v>
      </c>
      <c r="CJ69">
        <v>11</v>
      </c>
      <c r="CK69">
        <v>8342.4</v>
      </c>
      <c r="CL69">
        <v>12</v>
      </c>
      <c r="CM69">
        <v>9100.7999999999993</v>
      </c>
      <c r="CN69">
        <v>15</v>
      </c>
      <c r="CO69">
        <v>11376</v>
      </c>
      <c r="CP69">
        <v>15</v>
      </c>
      <c r="CQ69">
        <v>11376</v>
      </c>
      <c r="CR69">
        <v>12</v>
      </c>
      <c r="CS69">
        <v>9100.7999999999993</v>
      </c>
      <c r="CT69">
        <v>15</v>
      </c>
      <c r="CU69">
        <v>11376</v>
      </c>
    </row>
    <row r="70" spans="2:99" x14ac:dyDescent="0.2">
      <c r="C70" s="118" t="s">
        <v>236</v>
      </c>
      <c r="D70">
        <v>11</v>
      </c>
      <c r="E70">
        <v>5887.1999999999989</v>
      </c>
      <c r="F70">
        <v>10</v>
      </c>
      <c r="G70">
        <v>5351.9999999999991</v>
      </c>
      <c r="H70">
        <v>14</v>
      </c>
      <c r="I70">
        <v>7492.7999999999993</v>
      </c>
      <c r="J70">
        <v>11</v>
      </c>
      <c r="K70">
        <v>5887.1999999999989</v>
      </c>
      <c r="L70">
        <v>9</v>
      </c>
      <c r="M70">
        <v>4816.7999999999993</v>
      </c>
      <c r="N70">
        <v>12</v>
      </c>
      <c r="O70">
        <v>6422.4</v>
      </c>
      <c r="P70">
        <v>14</v>
      </c>
      <c r="Q70">
        <v>7492.7999999999993</v>
      </c>
      <c r="R70">
        <v>9</v>
      </c>
      <c r="S70">
        <v>4816.7999999999993</v>
      </c>
      <c r="T70">
        <v>8</v>
      </c>
      <c r="U70">
        <v>4281.5999999999995</v>
      </c>
      <c r="V70">
        <v>12</v>
      </c>
      <c r="W70">
        <v>6422.4</v>
      </c>
      <c r="X70">
        <v>12</v>
      </c>
      <c r="Y70">
        <v>6422.4</v>
      </c>
      <c r="Z70">
        <v>11</v>
      </c>
      <c r="AA70">
        <v>5887.1999999999989</v>
      </c>
      <c r="AB70">
        <v>8</v>
      </c>
      <c r="AC70">
        <v>4281.5999999999995</v>
      </c>
      <c r="AD70">
        <v>14</v>
      </c>
      <c r="AE70">
        <v>7492.7999999999993</v>
      </c>
      <c r="AF70">
        <v>8</v>
      </c>
      <c r="AG70">
        <v>4281.5999999999995</v>
      </c>
      <c r="AH70">
        <v>13</v>
      </c>
      <c r="AI70">
        <v>6957.5999999999995</v>
      </c>
      <c r="AJ70">
        <v>12</v>
      </c>
      <c r="AK70">
        <v>6422.4</v>
      </c>
      <c r="AL70">
        <v>12</v>
      </c>
      <c r="AM70">
        <v>6422.4</v>
      </c>
      <c r="AN70">
        <v>13</v>
      </c>
      <c r="AO70">
        <v>6957.5999999999995</v>
      </c>
      <c r="AP70">
        <v>11</v>
      </c>
      <c r="AQ70">
        <v>5887.1999999999989</v>
      </c>
      <c r="AR70">
        <v>16</v>
      </c>
      <c r="AS70">
        <v>8563.1999999999989</v>
      </c>
      <c r="AT70">
        <v>9</v>
      </c>
      <c r="AU70">
        <v>4816.7999999999993</v>
      </c>
      <c r="AV70">
        <v>14</v>
      </c>
      <c r="AW70">
        <v>7492.7999999999993</v>
      </c>
      <c r="AX70">
        <v>12</v>
      </c>
      <c r="AY70">
        <v>6422.4</v>
      </c>
      <c r="AZ70">
        <v>13</v>
      </c>
      <c r="BA70">
        <v>6957.5999999999995</v>
      </c>
      <c r="BB70">
        <v>9</v>
      </c>
      <c r="BC70">
        <v>4816.7999999999993</v>
      </c>
      <c r="BD70">
        <v>9</v>
      </c>
      <c r="BE70">
        <v>4816.7999999999993</v>
      </c>
      <c r="BF70">
        <v>11</v>
      </c>
      <c r="BG70">
        <v>5887.1999999999989</v>
      </c>
      <c r="BH70">
        <v>9</v>
      </c>
      <c r="BI70">
        <v>4816.7999999999993</v>
      </c>
      <c r="BJ70">
        <v>16</v>
      </c>
      <c r="BK70">
        <v>8563.1999999999989</v>
      </c>
      <c r="BL70">
        <v>8</v>
      </c>
      <c r="BM70">
        <v>4281.5999999999995</v>
      </c>
      <c r="BN70">
        <v>12</v>
      </c>
      <c r="BO70">
        <v>6422.4</v>
      </c>
      <c r="BP70">
        <v>14</v>
      </c>
      <c r="BQ70">
        <v>7492.7999999999993</v>
      </c>
      <c r="BR70">
        <v>12</v>
      </c>
      <c r="BS70">
        <v>6422.4</v>
      </c>
      <c r="BT70">
        <v>12</v>
      </c>
      <c r="BU70">
        <v>6422.4</v>
      </c>
      <c r="BV70">
        <v>8</v>
      </c>
      <c r="BW70">
        <v>4281.5999999999995</v>
      </c>
      <c r="BX70">
        <v>11</v>
      </c>
      <c r="BY70">
        <v>5887.1999999999989</v>
      </c>
      <c r="BZ70">
        <v>14</v>
      </c>
      <c r="CA70">
        <v>7492.7999999999993</v>
      </c>
      <c r="CB70">
        <v>11</v>
      </c>
      <c r="CC70">
        <v>5887.1999999999989</v>
      </c>
      <c r="CD70">
        <v>14</v>
      </c>
      <c r="CE70">
        <v>7492.7999999999993</v>
      </c>
      <c r="CF70">
        <v>10</v>
      </c>
      <c r="CG70">
        <v>5351.9999999999991</v>
      </c>
      <c r="CH70">
        <v>13</v>
      </c>
      <c r="CI70">
        <v>6957.5999999999995</v>
      </c>
      <c r="CJ70">
        <v>12</v>
      </c>
      <c r="CK70">
        <v>6422.4</v>
      </c>
      <c r="CL70">
        <v>12</v>
      </c>
      <c r="CM70">
        <v>6422.4</v>
      </c>
      <c r="CN70">
        <v>13</v>
      </c>
      <c r="CO70">
        <v>6957.5999999999995</v>
      </c>
      <c r="CP70">
        <v>15</v>
      </c>
      <c r="CQ70">
        <v>8027.9999999999991</v>
      </c>
      <c r="CR70">
        <v>13</v>
      </c>
      <c r="CS70">
        <v>6957.5999999999995</v>
      </c>
      <c r="CT70">
        <v>14</v>
      </c>
      <c r="CU70">
        <v>7492.7999999999993</v>
      </c>
    </row>
    <row r="71" spans="2:99" x14ac:dyDescent="0.2">
      <c r="B71" s="118" t="s">
        <v>130</v>
      </c>
      <c r="C71" s="118" t="s">
        <v>237</v>
      </c>
      <c r="D71">
        <v>8.5355648535564868</v>
      </c>
      <c r="E71">
        <v>4814.0585774058582</v>
      </c>
      <c r="F71">
        <v>19</v>
      </c>
      <c r="G71">
        <v>10716</v>
      </c>
      <c r="H71">
        <v>16</v>
      </c>
      <c r="I71">
        <v>9024</v>
      </c>
      <c r="J71">
        <v>8.2065802467162907</v>
      </c>
      <c r="K71">
        <v>4628.5112591479883</v>
      </c>
      <c r="L71">
        <v>8.4649484536082475</v>
      </c>
      <c r="M71">
        <v>4774.2309278350513</v>
      </c>
      <c r="N71">
        <v>0</v>
      </c>
      <c r="O71">
        <v>0</v>
      </c>
      <c r="P71">
        <v>16.505395683453237</v>
      </c>
      <c r="Q71">
        <v>9309.0431654676249</v>
      </c>
      <c r="R71">
        <v>9.1288659793814411</v>
      </c>
      <c r="S71">
        <v>5148.6804123711327</v>
      </c>
      <c r="T71">
        <v>7.8324324324324319</v>
      </c>
      <c r="U71">
        <v>4417.491891891892</v>
      </c>
      <c r="V71">
        <v>0</v>
      </c>
      <c r="W71">
        <v>0</v>
      </c>
      <c r="X71">
        <v>18.539393939393936</v>
      </c>
      <c r="Y71">
        <v>10456.21818181818</v>
      </c>
      <c r="Z71">
        <v>0</v>
      </c>
      <c r="AA71">
        <v>0</v>
      </c>
      <c r="AB71">
        <v>9.0195227765726678</v>
      </c>
      <c r="AC71">
        <v>5087.0108459869844</v>
      </c>
      <c r="AD71">
        <v>9.2292993630573239</v>
      </c>
      <c r="AE71">
        <v>5205.3248407643305</v>
      </c>
      <c r="AF71">
        <v>9.814223512336719</v>
      </c>
      <c r="AG71">
        <v>5535.2220609579099</v>
      </c>
      <c r="AH71">
        <v>9.3703703703703685</v>
      </c>
      <c r="AI71">
        <v>5284.8888888888878</v>
      </c>
      <c r="AJ71">
        <v>13</v>
      </c>
      <c r="AK71">
        <v>7332</v>
      </c>
      <c r="AL71">
        <v>2.2266401590457234</v>
      </c>
      <c r="AM71">
        <v>1255.825049701788</v>
      </c>
      <c r="AN71">
        <v>14.897727272727272</v>
      </c>
      <c r="AO71">
        <v>8402.318181818182</v>
      </c>
      <c r="AP71">
        <v>7.7608695652173907</v>
      </c>
      <c r="AQ71">
        <v>4377.1304347826081</v>
      </c>
      <c r="AR71">
        <v>8.6714542190305206</v>
      </c>
      <c r="AS71">
        <v>4890.7001795332135</v>
      </c>
      <c r="AT71">
        <v>0</v>
      </c>
      <c r="AU71">
        <v>0</v>
      </c>
      <c r="AV71">
        <v>7.4231557377049171</v>
      </c>
      <c r="AW71">
        <v>4186.6598360655735</v>
      </c>
      <c r="AX71">
        <v>18.289156626506021</v>
      </c>
      <c r="AY71">
        <v>10315.084337349395</v>
      </c>
      <c r="AZ71">
        <v>8.1587837837837824</v>
      </c>
      <c r="BA71">
        <v>4601.5540540540533</v>
      </c>
      <c r="BB71">
        <v>0</v>
      </c>
      <c r="BC71">
        <v>0</v>
      </c>
      <c r="BD71">
        <v>20.999999999999996</v>
      </c>
      <c r="BE71">
        <v>11843.999999999998</v>
      </c>
      <c r="BF71">
        <v>7.1309055118110223</v>
      </c>
      <c r="BG71">
        <v>4021.8307086614168</v>
      </c>
      <c r="BH71">
        <v>9.1554878048780477</v>
      </c>
      <c r="BI71">
        <v>5163.6951219512193</v>
      </c>
      <c r="BJ71">
        <v>0.38212025316455694</v>
      </c>
      <c r="BK71">
        <v>215.51582278481013</v>
      </c>
      <c r="BL71">
        <v>18.757088846880904</v>
      </c>
      <c r="BM71">
        <v>10578.99810964083</v>
      </c>
      <c r="BN71">
        <v>0.29829545454545453</v>
      </c>
      <c r="BO71">
        <v>168.23863636363635</v>
      </c>
      <c r="BP71">
        <v>17.804347826086957</v>
      </c>
      <c r="BQ71">
        <v>10041.652173913044</v>
      </c>
      <c r="BR71">
        <v>8.8312236286919816</v>
      </c>
      <c r="BS71">
        <v>4980.8101265822779</v>
      </c>
      <c r="BT71">
        <v>9.9056603773584886</v>
      </c>
      <c r="BU71">
        <v>5586.7924528301874</v>
      </c>
      <c r="BV71">
        <v>9.5385996409335707</v>
      </c>
      <c r="BW71">
        <v>5379.770197486534</v>
      </c>
      <c r="BX71">
        <v>7.8495145631067951</v>
      </c>
      <c r="BY71">
        <v>4427.1262135922325</v>
      </c>
      <c r="BZ71">
        <v>0</v>
      </c>
      <c r="CA71">
        <v>0</v>
      </c>
      <c r="CB71">
        <v>17.04990403071017</v>
      </c>
      <c r="CC71">
        <v>9616.1458733205363</v>
      </c>
      <c r="CD71">
        <v>7.8607594936708853</v>
      </c>
      <c r="CE71">
        <v>4433.4683544303789</v>
      </c>
      <c r="CF71">
        <v>6.46455223880597</v>
      </c>
      <c r="CG71">
        <v>3646.0074626865671</v>
      </c>
      <c r="CH71">
        <v>9.4929245283018844</v>
      </c>
      <c r="CI71">
        <v>5354.0094339622628</v>
      </c>
      <c r="CJ71">
        <v>8.4312267657992539</v>
      </c>
      <c r="CK71">
        <v>4755.2118959107793</v>
      </c>
      <c r="CL71">
        <v>10.75806451612903</v>
      </c>
      <c r="CM71">
        <v>6067.5483870967728</v>
      </c>
      <c r="CN71">
        <v>7.7574626865671634</v>
      </c>
      <c r="CO71">
        <v>4375.2089552238804</v>
      </c>
      <c r="CP71">
        <v>9.3047285464098071</v>
      </c>
      <c r="CQ71">
        <v>5247.8669001751314</v>
      </c>
      <c r="CR71">
        <v>0.38056013179571663</v>
      </c>
      <c r="CS71">
        <v>214.63591433278418</v>
      </c>
      <c r="CT71">
        <v>7.6730769230769216</v>
      </c>
      <c r="CU71">
        <v>4327.6153846153838</v>
      </c>
    </row>
    <row r="72" spans="2:99" x14ac:dyDescent="0.2">
      <c r="C72" s="118" t="s">
        <v>238</v>
      </c>
      <c r="D72">
        <v>8.5355648535564868</v>
      </c>
      <c r="E72">
        <v>635.04602510460256</v>
      </c>
      <c r="F72">
        <v>19</v>
      </c>
      <c r="G72">
        <v>1413.6</v>
      </c>
      <c r="H72">
        <v>16</v>
      </c>
      <c r="I72">
        <v>1190.3999999999999</v>
      </c>
      <c r="J72">
        <v>9.3789488533900478</v>
      </c>
      <c r="K72">
        <v>697.79379469221942</v>
      </c>
      <c r="L72">
        <v>9.9587628865979383</v>
      </c>
      <c r="M72">
        <v>740.93195876288655</v>
      </c>
      <c r="N72">
        <v>0</v>
      </c>
      <c r="O72">
        <v>0</v>
      </c>
      <c r="P72">
        <v>19.111510791366904</v>
      </c>
      <c r="Q72">
        <v>1421.8964028776975</v>
      </c>
      <c r="R72">
        <v>9.1288659793814411</v>
      </c>
      <c r="S72">
        <v>679.18762886597915</v>
      </c>
      <c r="T72">
        <v>9.5729729729729716</v>
      </c>
      <c r="U72">
        <v>712.22918918918901</v>
      </c>
      <c r="V72">
        <v>0</v>
      </c>
      <c r="W72">
        <v>0</v>
      </c>
      <c r="X72">
        <v>18.539393939393936</v>
      </c>
      <c r="Y72">
        <v>1379.3309090909086</v>
      </c>
      <c r="Z72">
        <v>0</v>
      </c>
      <c r="AA72">
        <v>0</v>
      </c>
      <c r="AB72">
        <v>9.0195227765726678</v>
      </c>
      <c r="AC72">
        <v>671.05249457700643</v>
      </c>
      <c r="AD72">
        <v>10.03184713375796</v>
      </c>
      <c r="AE72">
        <v>746.36942675159219</v>
      </c>
      <c r="AF72">
        <v>9.463715529753264</v>
      </c>
      <c r="AG72">
        <v>704.1004354136428</v>
      </c>
      <c r="AH72">
        <v>9.3703703703703685</v>
      </c>
      <c r="AI72">
        <v>697.15555555555534</v>
      </c>
      <c r="AJ72">
        <v>14</v>
      </c>
      <c r="AK72">
        <v>1041.5999999999999</v>
      </c>
      <c r="AL72">
        <v>2.2266401590457234</v>
      </c>
      <c r="AM72">
        <v>165.66202783300182</v>
      </c>
      <c r="AN72">
        <v>16.465909090909086</v>
      </c>
      <c r="AO72">
        <v>1225.0636363636359</v>
      </c>
      <c r="AP72">
        <v>7.7608695652173907</v>
      </c>
      <c r="AQ72">
        <v>577.40869565217383</v>
      </c>
      <c r="AR72">
        <v>8.6714542190305206</v>
      </c>
      <c r="AS72">
        <v>645.15619389587062</v>
      </c>
      <c r="AT72">
        <v>0</v>
      </c>
      <c r="AU72">
        <v>0</v>
      </c>
      <c r="AV72">
        <v>7.9180327868852451</v>
      </c>
      <c r="AW72">
        <v>589.10163934426214</v>
      </c>
      <c r="AX72">
        <v>19.120481927710841</v>
      </c>
      <c r="AY72">
        <v>1422.5638554216864</v>
      </c>
      <c r="AZ72">
        <v>7.0709459459459447</v>
      </c>
      <c r="BA72">
        <v>526.07837837837826</v>
      </c>
      <c r="BB72">
        <v>0</v>
      </c>
      <c r="BC72">
        <v>0</v>
      </c>
      <c r="BD72">
        <v>19.499999999999996</v>
      </c>
      <c r="BE72">
        <v>1450.7999999999995</v>
      </c>
      <c r="BF72">
        <v>8.081692913385826</v>
      </c>
      <c r="BG72">
        <v>601.2779527559054</v>
      </c>
      <c r="BH72">
        <v>8.4512195121951201</v>
      </c>
      <c r="BI72">
        <v>628.77073170731683</v>
      </c>
      <c r="BJ72">
        <v>0.48180379746835444</v>
      </c>
      <c r="BK72">
        <v>35.846202531645567</v>
      </c>
      <c r="BL72">
        <v>16.97069943289225</v>
      </c>
      <c r="BM72">
        <v>1262.6200378071833</v>
      </c>
      <c r="BN72">
        <v>0.29829545454545453</v>
      </c>
      <c r="BO72">
        <v>22.193181818181813</v>
      </c>
      <c r="BP72">
        <v>19.173913043478258</v>
      </c>
      <c r="BQ72">
        <v>1426.5391304347822</v>
      </c>
      <c r="BR72">
        <v>8.8312236286919816</v>
      </c>
      <c r="BS72">
        <v>657.04303797468333</v>
      </c>
      <c r="BT72">
        <v>10.698113207547168</v>
      </c>
      <c r="BU72">
        <v>795.93962264150923</v>
      </c>
      <c r="BV72">
        <v>9.1050269299820457</v>
      </c>
      <c r="BW72">
        <v>677.41400359066415</v>
      </c>
      <c r="BX72">
        <v>8.5970873786407758</v>
      </c>
      <c r="BY72">
        <v>639.62330097087363</v>
      </c>
      <c r="BZ72">
        <v>0</v>
      </c>
      <c r="CA72">
        <v>0</v>
      </c>
      <c r="CB72">
        <v>16.102687140115158</v>
      </c>
      <c r="CC72">
        <v>1198.0399232245677</v>
      </c>
      <c r="CD72">
        <v>8.734177215189872</v>
      </c>
      <c r="CE72">
        <v>649.82278481012645</v>
      </c>
      <c r="CF72">
        <v>7.7574626865671634</v>
      </c>
      <c r="CG72">
        <v>577.15522388059685</v>
      </c>
      <c r="CH72">
        <v>11.011792452830187</v>
      </c>
      <c r="CI72">
        <v>819.2773584905658</v>
      </c>
      <c r="CJ72">
        <v>10.304832713754646</v>
      </c>
      <c r="CK72">
        <v>766.67955390334555</v>
      </c>
      <c r="CL72">
        <v>10.016129032258064</v>
      </c>
      <c r="CM72">
        <v>745.19999999999993</v>
      </c>
      <c r="CN72">
        <v>7.326492537313432</v>
      </c>
      <c r="CO72">
        <v>545.09104477611925</v>
      </c>
      <c r="CP72">
        <v>9.7276707530647979</v>
      </c>
      <c r="CQ72">
        <v>723.73870402802083</v>
      </c>
      <c r="CR72">
        <v>0.41515650741350901</v>
      </c>
      <c r="CS72">
        <v>30.887644151565066</v>
      </c>
      <c r="CT72">
        <v>8.4807692307692299</v>
      </c>
      <c r="CU72">
        <v>630.96923076923065</v>
      </c>
    </row>
    <row r="73" spans="2:99" x14ac:dyDescent="0.2">
      <c r="C73" s="118" t="s">
        <v>239</v>
      </c>
      <c r="D73">
        <v>7.531380753138075</v>
      </c>
      <c r="E73">
        <v>4211.5481171548108</v>
      </c>
      <c r="F73">
        <v>20</v>
      </c>
      <c r="G73">
        <v>11183.999999999998</v>
      </c>
      <c r="H73">
        <v>15</v>
      </c>
      <c r="I73">
        <v>8387.9999999999982</v>
      </c>
      <c r="J73">
        <v>8.2065802467162907</v>
      </c>
      <c r="K73">
        <v>4589.1196739637489</v>
      </c>
      <c r="L73">
        <v>8.9628865979381445</v>
      </c>
      <c r="M73">
        <v>5012.0461855670101</v>
      </c>
      <c r="N73">
        <v>0</v>
      </c>
      <c r="O73">
        <v>0</v>
      </c>
      <c r="P73">
        <v>16.505395683453237</v>
      </c>
      <c r="Q73">
        <v>9229.8172661870485</v>
      </c>
      <c r="R73">
        <v>8.2989690721649474</v>
      </c>
      <c r="S73">
        <v>4640.7835051546381</v>
      </c>
      <c r="T73">
        <v>8.7027027027027017</v>
      </c>
      <c r="U73">
        <v>4866.5513513513506</v>
      </c>
      <c r="V73">
        <v>0</v>
      </c>
      <c r="W73">
        <v>0</v>
      </c>
      <c r="X73">
        <v>19.515151515151516</v>
      </c>
      <c r="Y73">
        <v>10912.872727272726</v>
      </c>
      <c r="Z73">
        <v>0</v>
      </c>
      <c r="AA73">
        <v>0</v>
      </c>
      <c r="AB73">
        <v>8.0173535791757047</v>
      </c>
      <c r="AC73">
        <v>4483.3041214750538</v>
      </c>
      <c r="AD73">
        <v>9.2292993630573239</v>
      </c>
      <c r="AE73">
        <v>5161.0242038216547</v>
      </c>
      <c r="AF73">
        <v>9.463715529753264</v>
      </c>
      <c r="AG73">
        <v>5292.1097242380247</v>
      </c>
      <c r="AH73">
        <v>8.9444444444444429</v>
      </c>
      <c r="AI73">
        <v>5001.7333333333318</v>
      </c>
      <c r="AJ73">
        <v>14</v>
      </c>
      <c r="AK73">
        <v>7828.7999999999993</v>
      </c>
      <c r="AL73">
        <v>2.3658051689860815</v>
      </c>
      <c r="AM73">
        <v>1322.9582504970167</v>
      </c>
      <c r="AN73">
        <v>14.897727272727272</v>
      </c>
      <c r="AO73">
        <v>8330.8090909090897</v>
      </c>
      <c r="AP73">
        <v>7.7608695652173907</v>
      </c>
      <c r="AQ73">
        <v>4339.8782608695647</v>
      </c>
      <c r="AR73">
        <v>8.6714542190305206</v>
      </c>
      <c r="AS73">
        <v>4849.0771992818663</v>
      </c>
      <c r="AT73">
        <v>0</v>
      </c>
      <c r="AU73">
        <v>0</v>
      </c>
      <c r="AV73">
        <v>7.4231557377049171</v>
      </c>
      <c r="AW73">
        <v>4151.0286885245887</v>
      </c>
      <c r="AX73">
        <v>15.795180722891565</v>
      </c>
      <c r="AY73">
        <v>8832.6650602409627</v>
      </c>
      <c r="AZ73">
        <v>7.0709459459459447</v>
      </c>
      <c r="BA73">
        <v>3954.0729729729719</v>
      </c>
      <c r="BB73">
        <v>0</v>
      </c>
      <c r="BC73">
        <v>0</v>
      </c>
      <c r="BD73">
        <v>20.25</v>
      </c>
      <c r="BE73">
        <v>11323.8</v>
      </c>
      <c r="BF73">
        <v>7.6062992125984241</v>
      </c>
      <c r="BG73">
        <v>4253.442519685038</v>
      </c>
      <c r="BH73">
        <v>8.8033536585365848</v>
      </c>
      <c r="BI73">
        <v>4922.835365853658</v>
      </c>
      <c r="BJ73">
        <v>0.44857594936708861</v>
      </c>
      <c r="BK73">
        <v>250.84367088607593</v>
      </c>
      <c r="BL73">
        <v>16.97069943289225</v>
      </c>
      <c r="BM73">
        <v>9490.0151228733448</v>
      </c>
      <c r="BN73">
        <v>0.25852272727272724</v>
      </c>
      <c r="BO73">
        <v>144.56590909090906</v>
      </c>
      <c r="BP73">
        <v>18.489130434782609</v>
      </c>
      <c r="BQ73">
        <v>10339.121739130434</v>
      </c>
      <c r="BR73">
        <v>8.1518987341772142</v>
      </c>
      <c r="BS73">
        <v>4558.5417721518979</v>
      </c>
      <c r="BT73">
        <v>9.5094339622641488</v>
      </c>
      <c r="BU73">
        <v>5317.6754716981113</v>
      </c>
      <c r="BV73">
        <v>8.6714542190305206</v>
      </c>
      <c r="BW73">
        <v>4849.0771992818663</v>
      </c>
      <c r="BX73">
        <v>7.4757281553398043</v>
      </c>
      <c r="BY73">
        <v>4180.4271844660179</v>
      </c>
      <c r="BZ73">
        <v>0</v>
      </c>
      <c r="CA73">
        <v>0</v>
      </c>
      <c r="CB73">
        <v>16.102687140115158</v>
      </c>
      <c r="CC73">
        <v>9004.6226487523945</v>
      </c>
      <c r="CD73">
        <v>7.4240506329113911</v>
      </c>
      <c r="CE73">
        <v>4151.5291139240499</v>
      </c>
      <c r="CF73">
        <v>7.326492537313432</v>
      </c>
      <c r="CG73">
        <v>4096.9746268656709</v>
      </c>
      <c r="CH73">
        <v>10.252358490566037</v>
      </c>
      <c r="CI73">
        <v>5733.118867924527</v>
      </c>
      <c r="CJ73">
        <v>8.8996282527881032</v>
      </c>
      <c r="CK73">
        <v>4976.6721189591071</v>
      </c>
      <c r="CL73">
        <v>8.9032258064516121</v>
      </c>
      <c r="CM73">
        <v>4978.6838709677413</v>
      </c>
      <c r="CN73">
        <v>7.326492537313432</v>
      </c>
      <c r="CO73">
        <v>4096.9746268656709</v>
      </c>
      <c r="CP73">
        <v>8.4588441330998236</v>
      </c>
      <c r="CQ73">
        <v>4730.1856392294212</v>
      </c>
      <c r="CR73">
        <v>0.36326194398682043</v>
      </c>
      <c r="CS73">
        <v>203.13607907742997</v>
      </c>
      <c r="CT73">
        <v>8.4807692307692299</v>
      </c>
      <c r="CU73">
        <v>4742.4461538461528</v>
      </c>
    </row>
    <row r="74" spans="2:99" x14ac:dyDescent="0.2">
      <c r="C74" s="118" t="s">
        <v>240</v>
      </c>
      <c r="D74">
        <v>8.5355648535564868</v>
      </c>
      <c r="E74">
        <v>3441.5397489539755</v>
      </c>
      <c r="F74">
        <v>18</v>
      </c>
      <c r="G74">
        <v>7257.5999999999995</v>
      </c>
      <c r="H74">
        <v>16</v>
      </c>
      <c r="I74">
        <v>6451.2</v>
      </c>
      <c r="J74">
        <v>8.2065802467162907</v>
      </c>
      <c r="K74">
        <v>3308.8931554760084</v>
      </c>
      <c r="L74">
        <v>9.4608247422680414</v>
      </c>
      <c r="M74">
        <v>3814.6045360824742</v>
      </c>
      <c r="N74">
        <v>0</v>
      </c>
      <c r="O74">
        <v>0</v>
      </c>
      <c r="P74">
        <v>17.374100719424458</v>
      </c>
      <c r="Q74">
        <v>7005.2374100719417</v>
      </c>
      <c r="R74">
        <v>8.2989690721649474</v>
      </c>
      <c r="S74">
        <v>3346.1443298969066</v>
      </c>
      <c r="T74">
        <v>8.7027027027027017</v>
      </c>
      <c r="U74">
        <v>3508.9297297297294</v>
      </c>
      <c r="V74">
        <v>0</v>
      </c>
      <c r="W74">
        <v>0</v>
      </c>
      <c r="X74">
        <v>18.539393939393936</v>
      </c>
      <c r="Y74">
        <v>7475.0836363636345</v>
      </c>
      <c r="Z74">
        <v>0</v>
      </c>
      <c r="AA74">
        <v>0</v>
      </c>
      <c r="AB74">
        <v>8.5184381778741844</v>
      </c>
      <c r="AC74">
        <v>3434.6342733188712</v>
      </c>
      <c r="AD74">
        <v>9.6305732484076412</v>
      </c>
      <c r="AE74">
        <v>3883.0471337579606</v>
      </c>
      <c r="AF74">
        <v>8.7626995645863559</v>
      </c>
      <c r="AG74">
        <v>3533.1204644412187</v>
      </c>
      <c r="AH74">
        <v>10.22222222222222</v>
      </c>
      <c r="AI74">
        <v>4121.5999999999985</v>
      </c>
      <c r="AJ74">
        <v>12</v>
      </c>
      <c r="AK74">
        <v>4838.3999999999996</v>
      </c>
      <c r="AL74">
        <v>2.0874751491053662</v>
      </c>
      <c r="AM74">
        <v>841.66998011928365</v>
      </c>
      <c r="AN74">
        <v>16.465909090909086</v>
      </c>
      <c r="AO74">
        <v>6639.0545454545436</v>
      </c>
      <c r="AP74">
        <v>7.3043478260869561</v>
      </c>
      <c r="AQ74">
        <v>2945.1130434782608</v>
      </c>
      <c r="AR74">
        <v>8.6714542190305206</v>
      </c>
      <c r="AS74">
        <v>3496.330341113106</v>
      </c>
      <c r="AT74">
        <v>0</v>
      </c>
      <c r="AU74">
        <v>0</v>
      </c>
      <c r="AV74">
        <v>6.9282786885245891</v>
      </c>
      <c r="AW74">
        <v>2793.4819672131143</v>
      </c>
      <c r="AX74">
        <v>15.795180722891565</v>
      </c>
      <c r="AY74">
        <v>6368.6168674698793</v>
      </c>
      <c r="AZ74">
        <v>7.0709459459459447</v>
      </c>
      <c r="BA74">
        <v>2851.0054054054049</v>
      </c>
      <c r="BB74">
        <v>0</v>
      </c>
      <c r="BC74">
        <v>0</v>
      </c>
      <c r="BD74">
        <v>18.749999999999996</v>
      </c>
      <c r="BE74">
        <v>7559.9999999999982</v>
      </c>
      <c r="BF74">
        <v>7.6062992125984241</v>
      </c>
      <c r="BG74">
        <v>3066.8598425196847</v>
      </c>
      <c r="BH74">
        <v>8.4512195121951201</v>
      </c>
      <c r="BI74">
        <v>3407.5317073170722</v>
      </c>
      <c r="BJ74">
        <v>0.39873417721518989</v>
      </c>
      <c r="BK74">
        <v>160.76962025316456</v>
      </c>
      <c r="BL74">
        <v>16.97069943289225</v>
      </c>
      <c r="BM74">
        <v>6842.586011342155</v>
      </c>
      <c r="BN74">
        <v>0.27840909090909094</v>
      </c>
      <c r="BO74">
        <v>112.25454545454546</v>
      </c>
      <c r="BP74">
        <v>19.173913043478258</v>
      </c>
      <c r="BQ74">
        <v>7730.9217391304337</v>
      </c>
      <c r="BR74">
        <v>8.1518987341772142</v>
      </c>
      <c r="BS74">
        <v>3286.8455696202527</v>
      </c>
      <c r="BT74">
        <v>9.5094339622641488</v>
      </c>
      <c r="BU74">
        <v>3834.2037735849049</v>
      </c>
      <c r="BV74">
        <v>8.6714542190305206</v>
      </c>
      <c r="BW74">
        <v>3496.330341113106</v>
      </c>
      <c r="BX74">
        <v>7.4757281553398043</v>
      </c>
      <c r="BY74">
        <v>3014.213592233009</v>
      </c>
      <c r="BZ74">
        <v>0</v>
      </c>
      <c r="CA74">
        <v>0</v>
      </c>
      <c r="CB74">
        <v>16.102687140115158</v>
      </c>
      <c r="CC74">
        <v>6492.6034548944317</v>
      </c>
      <c r="CD74">
        <v>7.4240506329113911</v>
      </c>
      <c r="CE74">
        <v>2993.3772151898729</v>
      </c>
      <c r="CF74">
        <v>6.46455223880597</v>
      </c>
      <c r="CG74">
        <v>2606.5074626865671</v>
      </c>
      <c r="CH74">
        <v>10.632075471698112</v>
      </c>
      <c r="CI74">
        <v>4286.852830188679</v>
      </c>
      <c r="CJ74">
        <v>10.304832713754646</v>
      </c>
      <c r="CK74">
        <v>4154.9085501858726</v>
      </c>
      <c r="CL74">
        <v>9.2741935483870961</v>
      </c>
      <c r="CM74">
        <v>3739.3548387096771</v>
      </c>
      <c r="CN74">
        <v>6.46455223880597</v>
      </c>
      <c r="CO74">
        <v>2606.5074626865671</v>
      </c>
      <c r="CP74">
        <v>9.3047285464098071</v>
      </c>
      <c r="CQ74">
        <v>3751.6665499124342</v>
      </c>
      <c r="CR74">
        <v>0.43245469522240526</v>
      </c>
      <c r="CS74">
        <v>174.3657331136738</v>
      </c>
      <c r="CT74">
        <v>8.4807692307692299</v>
      </c>
      <c r="CU74">
        <v>3419.4461538461533</v>
      </c>
    </row>
    <row r="75" spans="2:99" x14ac:dyDescent="0.2">
      <c r="C75" s="118" t="s">
        <v>241</v>
      </c>
      <c r="D75">
        <v>8.03347280334728</v>
      </c>
      <c r="E75">
        <v>5167.1297071129702</v>
      </c>
      <c r="F75">
        <v>18</v>
      </c>
      <c r="G75">
        <v>11577.599999999999</v>
      </c>
      <c r="H75">
        <v>16</v>
      </c>
      <c r="I75">
        <v>10291.199999999999</v>
      </c>
      <c r="J75">
        <v>8.2065802467162907</v>
      </c>
      <c r="K75">
        <v>5278.472414687918</v>
      </c>
      <c r="L75">
        <v>9.4608247422680414</v>
      </c>
      <c r="M75">
        <v>6085.2024742268031</v>
      </c>
      <c r="N75">
        <v>0</v>
      </c>
      <c r="O75">
        <v>0</v>
      </c>
      <c r="P75">
        <v>19.111510791366904</v>
      </c>
      <c r="Q75">
        <v>12292.523741007191</v>
      </c>
      <c r="R75">
        <v>9.5438144329896897</v>
      </c>
      <c r="S75">
        <v>6138.5814432989673</v>
      </c>
      <c r="T75">
        <v>8.7027027027027017</v>
      </c>
      <c r="U75">
        <v>5597.5783783783772</v>
      </c>
      <c r="V75">
        <v>0</v>
      </c>
      <c r="W75">
        <v>0</v>
      </c>
      <c r="X75">
        <v>19.515151515151516</v>
      </c>
      <c r="Y75">
        <v>12552.145454545453</v>
      </c>
      <c r="Z75">
        <v>0</v>
      </c>
      <c r="AA75">
        <v>0</v>
      </c>
      <c r="AB75">
        <v>8.0173535791757047</v>
      </c>
      <c r="AC75">
        <v>5156.7618221258126</v>
      </c>
      <c r="AD75">
        <v>10.03184713375796</v>
      </c>
      <c r="AE75">
        <v>6452.4840764331193</v>
      </c>
      <c r="AF75">
        <v>9.814223512336719</v>
      </c>
      <c r="AG75">
        <v>6312.5085631349766</v>
      </c>
      <c r="AH75">
        <v>9.7962962962962941</v>
      </c>
      <c r="AI75">
        <v>6300.9777777777754</v>
      </c>
      <c r="AJ75">
        <v>14</v>
      </c>
      <c r="AK75">
        <v>9004.7999999999993</v>
      </c>
      <c r="AL75">
        <v>2.3658051689860815</v>
      </c>
      <c r="AM75">
        <v>1521.6858846918474</v>
      </c>
      <c r="AN75">
        <v>17.249999999999996</v>
      </c>
      <c r="AO75">
        <v>11095.199999999997</v>
      </c>
      <c r="AP75">
        <v>7.7608695652173907</v>
      </c>
      <c r="AQ75">
        <v>4991.7913043478247</v>
      </c>
      <c r="AR75">
        <v>8.6714542190305206</v>
      </c>
      <c r="AS75">
        <v>5577.47935368043</v>
      </c>
      <c r="AT75">
        <v>0</v>
      </c>
      <c r="AU75">
        <v>0</v>
      </c>
      <c r="AV75">
        <v>7.4231557377049171</v>
      </c>
      <c r="AW75">
        <v>4774.573770491802</v>
      </c>
      <c r="AX75">
        <v>16.626506024096383</v>
      </c>
      <c r="AY75">
        <v>10694.168674698793</v>
      </c>
      <c r="AZ75">
        <v>7.6148648648648631</v>
      </c>
      <c r="BA75">
        <v>4897.8810810810792</v>
      </c>
      <c r="BB75">
        <v>0</v>
      </c>
      <c r="BC75">
        <v>0</v>
      </c>
      <c r="BD75">
        <v>17.249999999999996</v>
      </c>
      <c r="BE75">
        <v>11095.199999999997</v>
      </c>
      <c r="BF75">
        <v>7.1309055118110223</v>
      </c>
      <c r="BG75">
        <v>4586.5984251968493</v>
      </c>
      <c r="BH75">
        <v>9.8597560975609753</v>
      </c>
      <c r="BI75">
        <v>6341.7951219512188</v>
      </c>
      <c r="BJ75">
        <v>0.41534810126582283</v>
      </c>
      <c r="BK75">
        <v>267.15189873417722</v>
      </c>
      <c r="BL75">
        <v>16.077504725897917</v>
      </c>
      <c r="BM75">
        <v>10341.051039697539</v>
      </c>
      <c r="BN75">
        <v>0.25852272727272724</v>
      </c>
      <c r="BO75">
        <v>166.28181818181815</v>
      </c>
      <c r="BP75">
        <v>17.804347826086957</v>
      </c>
      <c r="BQ75">
        <v>11451.756521739129</v>
      </c>
      <c r="BR75">
        <v>7.8122362869198314</v>
      </c>
      <c r="BS75">
        <v>5024.8303797468352</v>
      </c>
      <c r="BT75">
        <v>8.3207547169811313</v>
      </c>
      <c r="BU75">
        <v>5351.9094339622634</v>
      </c>
      <c r="BV75">
        <v>9.5385996409335707</v>
      </c>
      <c r="BW75">
        <v>6135.2272890484719</v>
      </c>
      <c r="BX75">
        <v>7.8495145631067951</v>
      </c>
      <c r="BY75">
        <v>5048.8077669902905</v>
      </c>
      <c r="BZ75">
        <v>0</v>
      </c>
      <c r="CA75">
        <v>0</v>
      </c>
      <c r="CB75">
        <v>17.997120921305179</v>
      </c>
      <c r="CC75">
        <v>11575.748176583489</v>
      </c>
      <c r="CD75">
        <v>7.8607594936708853</v>
      </c>
      <c r="CE75">
        <v>5056.0405063291128</v>
      </c>
      <c r="CF75">
        <v>6.8955223880597005</v>
      </c>
      <c r="CG75">
        <v>4435.1999999999989</v>
      </c>
      <c r="CH75">
        <v>9.4929245283018844</v>
      </c>
      <c r="CI75">
        <v>6105.8490566037717</v>
      </c>
      <c r="CJ75">
        <v>8.8996282527881032</v>
      </c>
      <c r="CK75">
        <v>5724.2408921933074</v>
      </c>
      <c r="CL75">
        <v>9.2741935483870961</v>
      </c>
      <c r="CM75">
        <v>5965.1612903225796</v>
      </c>
      <c r="CN75">
        <v>7.326492537313432</v>
      </c>
      <c r="CO75">
        <v>4712.3999999999987</v>
      </c>
      <c r="CP75">
        <v>8.8817863397548145</v>
      </c>
      <c r="CQ75">
        <v>5712.7649737302963</v>
      </c>
      <c r="CR75">
        <v>0.36326194398682043</v>
      </c>
      <c r="CS75">
        <v>233.65008237232288</v>
      </c>
      <c r="CT75">
        <v>8.0769230769230766</v>
      </c>
      <c r="CU75">
        <v>5195.076923076922</v>
      </c>
    </row>
    <row r="76" spans="2:99" x14ac:dyDescent="0.2">
      <c r="C76" s="118" t="s">
        <v>242</v>
      </c>
      <c r="D76">
        <v>8.03347280334728</v>
      </c>
      <c r="E76">
        <v>6256.4686192468616</v>
      </c>
      <c r="F76">
        <v>20</v>
      </c>
      <c r="G76">
        <v>15576</v>
      </c>
      <c r="H76">
        <v>14</v>
      </c>
      <c r="I76">
        <v>10903.199999999999</v>
      </c>
      <c r="J76">
        <v>9.3789488533900478</v>
      </c>
      <c r="K76">
        <v>7304.3253670201684</v>
      </c>
      <c r="L76">
        <v>8.4649484536082475</v>
      </c>
      <c r="M76">
        <v>6592.5018556701025</v>
      </c>
      <c r="N76">
        <v>0</v>
      </c>
      <c r="O76">
        <v>0</v>
      </c>
      <c r="P76">
        <v>18.242805755395683</v>
      </c>
      <c r="Q76">
        <v>14207.497122302157</v>
      </c>
      <c r="R76">
        <v>9.5438144329896897</v>
      </c>
      <c r="S76">
        <v>7432.7226804123702</v>
      </c>
      <c r="T76">
        <v>9.1378378378378375</v>
      </c>
      <c r="U76">
        <v>7116.548108108107</v>
      </c>
      <c r="V76">
        <v>0</v>
      </c>
      <c r="W76">
        <v>0</v>
      </c>
      <c r="X76">
        <v>18.539393939393936</v>
      </c>
      <c r="Y76">
        <v>14438.479999999996</v>
      </c>
      <c r="Z76">
        <v>0</v>
      </c>
      <c r="AA76">
        <v>0</v>
      </c>
      <c r="AB76">
        <v>8.0173535791757047</v>
      </c>
      <c r="AC76">
        <v>6243.9149674620385</v>
      </c>
      <c r="AD76">
        <v>9.6305732484076412</v>
      </c>
      <c r="AE76">
        <v>7500.2904458598705</v>
      </c>
      <c r="AF76">
        <v>9.463715529753264</v>
      </c>
      <c r="AG76">
        <v>7370.3416545718419</v>
      </c>
      <c r="AH76">
        <v>9.7962962962962941</v>
      </c>
      <c r="AI76">
        <v>7629.3555555555531</v>
      </c>
      <c r="AJ76">
        <v>13</v>
      </c>
      <c r="AK76">
        <v>10124.4</v>
      </c>
      <c r="AL76">
        <v>2.2266401590457234</v>
      </c>
      <c r="AM76">
        <v>1734.1073558648093</v>
      </c>
      <c r="AN76">
        <v>17.249999999999996</v>
      </c>
      <c r="AO76">
        <v>13434.299999999996</v>
      </c>
      <c r="AP76">
        <v>6.8478260869565206</v>
      </c>
      <c r="AQ76">
        <v>5333.0869565217381</v>
      </c>
      <c r="AR76">
        <v>8.2378815080789938</v>
      </c>
      <c r="AS76">
        <v>6415.6621184919204</v>
      </c>
      <c r="AT76">
        <v>0</v>
      </c>
      <c r="AU76">
        <v>0</v>
      </c>
      <c r="AV76">
        <v>6.433401639344261</v>
      </c>
      <c r="AW76">
        <v>5010.3331967213098</v>
      </c>
      <c r="AX76">
        <v>16.626506024096383</v>
      </c>
      <c r="AY76">
        <v>12948.722891566262</v>
      </c>
      <c r="AZ76">
        <v>7.6148648648648631</v>
      </c>
      <c r="BA76">
        <v>5930.4567567567547</v>
      </c>
      <c r="BB76">
        <v>0</v>
      </c>
      <c r="BC76">
        <v>0</v>
      </c>
      <c r="BD76">
        <v>19.499999999999996</v>
      </c>
      <c r="BE76">
        <v>15186.599999999997</v>
      </c>
      <c r="BF76">
        <v>7.1309055118110223</v>
      </c>
      <c r="BG76">
        <v>5553.5492125984238</v>
      </c>
      <c r="BH76">
        <v>8.8033536585365848</v>
      </c>
      <c r="BI76">
        <v>6856.0518292682918</v>
      </c>
      <c r="BJ76">
        <v>0.39873417721518989</v>
      </c>
      <c r="BK76">
        <v>310.53417721518986</v>
      </c>
      <c r="BL76">
        <v>17.863894139886575</v>
      </c>
      <c r="BM76">
        <v>13912.400756143665</v>
      </c>
      <c r="BN76">
        <v>0.25852272727272724</v>
      </c>
      <c r="BO76">
        <v>201.33749999999995</v>
      </c>
      <c r="BP76">
        <v>17.804347826086957</v>
      </c>
      <c r="BQ76">
        <v>13866.026086956521</v>
      </c>
      <c r="BR76">
        <v>8.4915611814345979</v>
      </c>
      <c r="BS76">
        <v>6613.2278481012645</v>
      </c>
      <c r="BT76">
        <v>8.3207547169811313</v>
      </c>
      <c r="BU76">
        <v>6480.2037735849044</v>
      </c>
      <c r="BV76">
        <v>8.6714542190305206</v>
      </c>
      <c r="BW76">
        <v>6753.3285457809689</v>
      </c>
      <c r="BX76">
        <v>7.8495145631067951</v>
      </c>
      <c r="BY76">
        <v>6113.2019417475713</v>
      </c>
      <c r="BZ76">
        <v>0</v>
      </c>
      <c r="CA76">
        <v>0</v>
      </c>
      <c r="CB76">
        <v>17.997120921305179</v>
      </c>
      <c r="CC76">
        <v>14016.157773512472</v>
      </c>
      <c r="CD76">
        <v>7.8607594936708853</v>
      </c>
      <c r="CE76">
        <v>6121.9594936708854</v>
      </c>
      <c r="CF76">
        <v>6.46455223880597</v>
      </c>
      <c r="CG76">
        <v>5034.5932835820895</v>
      </c>
      <c r="CH76">
        <v>10.632075471698112</v>
      </c>
      <c r="CI76">
        <v>8280.2603773584888</v>
      </c>
      <c r="CJ76">
        <v>8.8996282527881032</v>
      </c>
      <c r="CK76">
        <v>6931.0304832713746</v>
      </c>
      <c r="CL76">
        <v>8.9032258064516121</v>
      </c>
      <c r="CM76">
        <v>6933.8322580645154</v>
      </c>
      <c r="CN76">
        <v>6.46455223880597</v>
      </c>
      <c r="CO76">
        <v>5034.5932835820895</v>
      </c>
      <c r="CP76">
        <v>8.4588441330998236</v>
      </c>
      <c r="CQ76">
        <v>6587.7478108581427</v>
      </c>
      <c r="CR76">
        <v>0.36326194398682043</v>
      </c>
      <c r="CS76">
        <v>282.90840197693575</v>
      </c>
      <c r="CT76">
        <v>6.8653846153846141</v>
      </c>
      <c r="CU76">
        <v>5346.7615384615374</v>
      </c>
    </row>
    <row r="77" spans="2:99" x14ac:dyDescent="0.2">
      <c r="C77" s="118" t="s">
        <v>243</v>
      </c>
      <c r="D77">
        <v>9.03765690376569</v>
      </c>
      <c r="E77">
        <v>2516.0836820083678</v>
      </c>
      <c r="F77">
        <v>21</v>
      </c>
      <c r="G77">
        <v>5846.4</v>
      </c>
      <c r="H77">
        <v>17</v>
      </c>
      <c r="I77">
        <v>4732.7999999999993</v>
      </c>
      <c r="J77">
        <v>9.9651331567269246</v>
      </c>
      <c r="K77">
        <v>2774.2930708327754</v>
      </c>
      <c r="L77">
        <v>9.4608247422680414</v>
      </c>
      <c r="M77">
        <v>2633.8936082474224</v>
      </c>
      <c r="N77">
        <v>0</v>
      </c>
      <c r="O77">
        <v>0</v>
      </c>
      <c r="P77">
        <v>18.242805755395683</v>
      </c>
      <c r="Q77">
        <v>5078.7971223021577</v>
      </c>
      <c r="R77">
        <v>10.373711340206185</v>
      </c>
      <c r="S77">
        <v>2888.0412371134016</v>
      </c>
      <c r="T77">
        <v>8.2675675675675659</v>
      </c>
      <c r="U77">
        <v>2301.69081081081</v>
      </c>
      <c r="V77">
        <v>0</v>
      </c>
      <c r="W77">
        <v>0</v>
      </c>
      <c r="X77">
        <v>19.515151515151516</v>
      </c>
      <c r="Y77">
        <v>5433.0181818181818</v>
      </c>
      <c r="Z77">
        <v>0</v>
      </c>
      <c r="AA77">
        <v>0</v>
      </c>
      <c r="AB77">
        <v>8.5184381778741844</v>
      </c>
      <c r="AC77">
        <v>2371.5331887201728</v>
      </c>
      <c r="AD77">
        <v>10.433121019108279</v>
      </c>
      <c r="AE77">
        <v>2904.5808917197446</v>
      </c>
      <c r="AF77">
        <v>10.164731494920172</v>
      </c>
      <c r="AG77">
        <v>2829.8612481857758</v>
      </c>
      <c r="AH77">
        <v>9.7962962962962941</v>
      </c>
      <c r="AI77">
        <v>2727.2888888888879</v>
      </c>
      <c r="AJ77">
        <v>13</v>
      </c>
      <c r="AK77">
        <v>3619.2</v>
      </c>
      <c r="AL77">
        <v>2.0874751491053662</v>
      </c>
      <c r="AM77">
        <v>581.15308151093393</v>
      </c>
      <c r="AN77">
        <v>17.249999999999996</v>
      </c>
      <c r="AO77">
        <v>4802.3999999999987</v>
      </c>
      <c r="AP77">
        <v>8.2173913043478244</v>
      </c>
      <c r="AQ77">
        <v>2287.7217391304343</v>
      </c>
      <c r="AR77">
        <v>8.2378815080789938</v>
      </c>
      <c r="AS77">
        <v>2293.4262118491915</v>
      </c>
      <c r="AT77">
        <v>0</v>
      </c>
      <c r="AU77">
        <v>0</v>
      </c>
      <c r="AV77">
        <v>6.9282786885245891</v>
      </c>
      <c r="AW77">
        <v>1928.8327868852455</v>
      </c>
      <c r="AX77">
        <v>16.626506024096383</v>
      </c>
      <c r="AY77">
        <v>4628.8192771084323</v>
      </c>
      <c r="AZ77">
        <v>7.0709459459459447</v>
      </c>
      <c r="BA77">
        <v>1968.5513513513508</v>
      </c>
      <c r="BB77">
        <v>0</v>
      </c>
      <c r="BC77">
        <v>0</v>
      </c>
      <c r="BD77">
        <v>20.25</v>
      </c>
      <c r="BE77">
        <v>5637.5999999999995</v>
      </c>
      <c r="BF77">
        <v>8.081692913385826</v>
      </c>
      <c r="BG77">
        <v>2249.9433070866139</v>
      </c>
      <c r="BH77">
        <v>8.8033536585365848</v>
      </c>
      <c r="BI77">
        <v>2450.853658536585</v>
      </c>
      <c r="BJ77">
        <v>0.43196202531645567</v>
      </c>
      <c r="BK77">
        <v>120.25822784810124</v>
      </c>
      <c r="BL77">
        <v>16.97069943289225</v>
      </c>
      <c r="BM77">
        <v>4724.6427221172016</v>
      </c>
      <c r="BN77">
        <v>0.25852272727272724</v>
      </c>
      <c r="BO77">
        <v>71.972727272727255</v>
      </c>
      <c r="BP77">
        <v>19.85869565217391</v>
      </c>
      <c r="BQ77">
        <v>5528.6608695652158</v>
      </c>
      <c r="BR77">
        <v>8.8312236286919816</v>
      </c>
      <c r="BS77">
        <v>2458.6126582278475</v>
      </c>
      <c r="BT77">
        <v>10.301886792452828</v>
      </c>
      <c r="BU77">
        <v>2868.0452830188674</v>
      </c>
      <c r="BV77">
        <v>9.9721723518850975</v>
      </c>
      <c r="BW77">
        <v>2776.2527827648109</v>
      </c>
      <c r="BX77">
        <v>8.9708737864077648</v>
      </c>
      <c r="BY77">
        <v>2497.4912621359217</v>
      </c>
      <c r="BZ77">
        <v>0</v>
      </c>
      <c r="CA77">
        <v>0</v>
      </c>
      <c r="CB77">
        <v>17.04990403071017</v>
      </c>
      <c r="CC77">
        <v>4746.6932821497112</v>
      </c>
      <c r="CD77">
        <v>7.8607594936708853</v>
      </c>
      <c r="CE77">
        <v>2188.4354430379744</v>
      </c>
      <c r="CF77">
        <v>7.326492537313432</v>
      </c>
      <c r="CG77">
        <v>2039.6955223880593</v>
      </c>
      <c r="CH77">
        <v>9.8726415094339615</v>
      </c>
      <c r="CI77">
        <v>2748.5433962264146</v>
      </c>
      <c r="CJ77">
        <v>9.8364312267657983</v>
      </c>
      <c r="CK77">
        <v>2738.4624535315979</v>
      </c>
      <c r="CL77">
        <v>9.6451612903225783</v>
      </c>
      <c r="CM77">
        <v>2685.2129032258058</v>
      </c>
      <c r="CN77">
        <v>6.46455223880597</v>
      </c>
      <c r="CO77">
        <v>1799.731343283582</v>
      </c>
      <c r="CP77">
        <v>9.7276707530647979</v>
      </c>
      <c r="CQ77">
        <v>2708.1835376532395</v>
      </c>
      <c r="CR77">
        <v>0.43245469522240526</v>
      </c>
      <c r="CS77">
        <v>120.39538714991761</v>
      </c>
      <c r="CT77">
        <v>8.0769230769230766</v>
      </c>
      <c r="CU77">
        <v>2248.6153846153843</v>
      </c>
    </row>
    <row r="78" spans="2:99" x14ac:dyDescent="0.2">
      <c r="C78" s="118" t="s">
        <v>244</v>
      </c>
      <c r="D78">
        <v>8.5355648535564868</v>
      </c>
      <c r="E78">
        <v>4711.6317991631804</v>
      </c>
      <c r="F78">
        <v>19</v>
      </c>
      <c r="G78">
        <v>10488</v>
      </c>
      <c r="H78">
        <v>15</v>
      </c>
      <c r="I78">
        <v>8280</v>
      </c>
      <c r="J78">
        <v>9.3789488533900478</v>
      </c>
      <c r="K78">
        <v>5177.1797670713067</v>
      </c>
      <c r="L78">
        <v>9.4608247422680414</v>
      </c>
      <c r="M78">
        <v>5222.3752577319592</v>
      </c>
      <c r="N78">
        <v>0</v>
      </c>
      <c r="O78">
        <v>0</v>
      </c>
      <c r="P78">
        <v>19.111510791366904</v>
      </c>
      <c r="Q78">
        <v>10549.55395683453</v>
      </c>
      <c r="R78">
        <v>9.5438144329896897</v>
      </c>
      <c r="S78">
        <v>5268.1855670103087</v>
      </c>
      <c r="T78">
        <v>8.2675675675675659</v>
      </c>
      <c r="U78">
        <v>4563.6972972972962</v>
      </c>
      <c r="V78">
        <v>0</v>
      </c>
      <c r="W78">
        <v>0</v>
      </c>
      <c r="X78">
        <v>19.515151515151516</v>
      </c>
      <c r="Y78">
        <v>10772.363636363636</v>
      </c>
      <c r="Z78">
        <v>0</v>
      </c>
      <c r="AA78">
        <v>0</v>
      </c>
      <c r="AB78">
        <v>9.0195227765726678</v>
      </c>
      <c r="AC78">
        <v>4978.7765726681127</v>
      </c>
      <c r="AD78">
        <v>10.03184713375796</v>
      </c>
      <c r="AE78">
        <v>5537.5796178343944</v>
      </c>
      <c r="AF78">
        <v>8.412191582002901</v>
      </c>
      <c r="AG78">
        <v>4643.5297532656014</v>
      </c>
      <c r="AH78">
        <v>8.9444444444444429</v>
      </c>
      <c r="AI78">
        <v>4937.3333333333321</v>
      </c>
      <c r="AJ78">
        <v>14</v>
      </c>
      <c r="AK78">
        <v>7728</v>
      </c>
      <c r="AL78">
        <v>2.0874751491053662</v>
      </c>
      <c r="AM78">
        <v>1152.2862823061621</v>
      </c>
      <c r="AN78">
        <v>18.034090909090907</v>
      </c>
      <c r="AO78">
        <v>9954.8181818181802</v>
      </c>
      <c r="AP78">
        <v>7.3043478260869561</v>
      </c>
      <c r="AQ78">
        <v>4031.9999999999995</v>
      </c>
      <c r="AR78">
        <v>7.8043087971274669</v>
      </c>
      <c r="AS78">
        <v>4307.9784560143617</v>
      </c>
      <c r="AT78">
        <v>0</v>
      </c>
      <c r="AU78">
        <v>0</v>
      </c>
      <c r="AV78">
        <v>6.9282786885245891</v>
      </c>
      <c r="AW78">
        <v>3824.409836065573</v>
      </c>
      <c r="AX78">
        <v>16.626506024096383</v>
      </c>
      <c r="AY78">
        <v>9177.8313253012038</v>
      </c>
      <c r="AZ78">
        <v>7.0709459459459447</v>
      </c>
      <c r="BA78">
        <v>3903.1621621621616</v>
      </c>
      <c r="BB78">
        <v>0</v>
      </c>
      <c r="BC78">
        <v>0</v>
      </c>
      <c r="BD78">
        <v>18.749999999999996</v>
      </c>
      <c r="BE78">
        <v>10349.999999999998</v>
      </c>
      <c r="BF78">
        <v>7.1309055118110223</v>
      </c>
      <c r="BG78">
        <v>3936.2598425196843</v>
      </c>
      <c r="BH78">
        <v>8.4512195121951201</v>
      </c>
      <c r="BI78">
        <v>4665.0731707317063</v>
      </c>
      <c r="BJ78">
        <v>0.39873417721518989</v>
      </c>
      <c r="BK78">
        <v>220.10126582278482</v>
      </c>
      <c r="BL78">
        <v>17.863894139886575</v>
      </c>
      <c r="BM78">
        <v>9860.8695652173901</v>
      </c>
      <c r="BN78">
        <v>0.27840909090909094</v>
      </c>
      <c r="BO78">
        <v>153.68181818181819</v>
      </c>
      <c r="BP78">
        <v>16.434782608695649</v>
      </c>
      <c r="BQ78">
        <v>9071.9999999999982</v>
      </c>
      <c r="BR78">
        <v>8.4915611814345979</v>
      </c>
      <c r="BS78">
        <v>4687.3417721518981</v>
      </c>
      <c r="BT78">
        <v>9.1132075471698109</v>
      </c>
      <c r="BU78">
        <v>5030.4905660377353</v>
      </c>
      <c r="BV78">
        <v>9.1050269299820457</v>
      </c>
      <c r="BW78">
        <v>5025.9748653500892</v>
      </c>
      <c r="BX78">
        <v>7.8495145631067951</v>
      </c>
      <c r="BY78">
        <v>4332.9320388349506</v>
      </c>
      <c r="BZ78">
        <v>0</v>
      </c>
      <c r="CA78">
        <v>0</v>
      </c>
      <c r="CB78">
        <v>17.997120921305179</v>
      </c>
      <c r="CC78">
        <v>9934.4107485604582</v>
      </c>
      <c r="CD78">
        <v>7.8607594936708853</v>
      </c>
      <c r="CE78">
        <v>4339.1392405063289</v>
      </c>
      <c r="CF78">
        <v>7.7574626865671634</v>
      </c>
      <c r="CG78">
        <v>4282.119402985074</v>
      </c>
      <c r="CH78">
        <v>10.252358490566037</v>
      </c>
      <c r="CI78">
        <v>5659.301886792452</v>
      </c>
      <c r="CJ78">
        <v>9.8364312267657983</v>
      </c>
      <c r="CK78">
        <v>5429.710037174721</v>
      </c>
      <c r="CL78">
        <v>9.2741935483870961</v>
      </c>
      <c r="CM78">
        <v>5119.3548387096771</v>
      </c>
      <c r="CN78">
        <v>7.326492537313432</v>
      </c>
      <c r="CO78">
        <v>4044.2238805970146</v>
      </c>
      <c r="CP78">
        <v>10.150612959719789</v>
      </c>
      <c r="CQ78">
        <v>5603.1383537653237</v>
      </c>
      <c r="CR78">
        <v>0.36326194398682043</v>
      </c>
      <c r="CS78">
        <v>200.52059308072489</v>
      </c>
      <c r="CT78">
        <v>7.6730769230769216</v>
      </c>
      <c r="CU78">
        <v>4235.538461538461</v>
      </c>
    </row>
    <row r="79" spans="2:99" x14ac:dyDescent="0.2">
      <c r="C79" s="118" t="s">
        <v>245</v>
      </c>
      <c r="D79">
        <v>7.02928870292887</v>
      </c>
      <c r="E79">
        <v>5322.5774058577399</v>
      </c>
      <c r="F79">
        <v>18</v>
      </c>
      <c r="G79">
        <v>13629.599999999999</v>
      </c>
      <c r="H79">
        <v>16</v>
      </c>
      <c r="I79">
        <v>12115.199999999999</v>
      </c>
      <c r="J79">
        <v>8.2065802467162907</v>
      </c>
      <c r="K79">
        <v>6214.022562813575</v>
      </c>
      <c r="L79">
        <v>8.4649484536082475</v>
      </c>
      <c r="M79">
        <v>6409.6589690721648</v>
      </c>
      <c r="N79">
        <v>0</v>
      </c>
      <c r="O79">
        <v>0</v>
      </c>
      <c r="P79">
        <v>17.374100719424458</v>
      </c>
      <c r="Q79">
        <v>13155.669064748199</v>
      </c>
      <c r="R79">
        <v>8.7139175257731942</v>
      </c>
      <c r="S79">
        <v>6598.1783505154617</v>
      </c>
      <c r="T79">
        <v>7.8324324324324319</v>
      </c>
      <c r="U79">
        <v>5930.7178378378367</v>
      </c>
      <c r="V79">
        <v>0</v>
      </c>
      <c r="W79">
        <v>0</v>
      </c>
      <c r="X79">
        <v>17.563636363636359</v>
      </c>
      <c r="Y79">
        <v>13299.18545454545</v>
      </c>
      <c r="Z79">
        <v>0</v>
      </c>
      <c r="AA79">
        <v>0</v>
      </c>
      <c r="AB79">
        <v>7.5162689804772223</v>
      </c>
      <c r="AC79">
        <v>5691.3188720173521</v>
      </c>
      <c r="AD79">
        <v>8.8280254777070049</v>
      </c>
      <c r="AE79">
        <v>6684.5808917197437</v>
      </c>
      <c r="AF79">
        <v>9.463715529753264</v>
      </c>
      <c r="AG79">
        <v>7165.9253991291707</v>
      </c>
      <c r="AH79">
        <v>9.3703703703703685</v>
      </c>
      <c r="AI79">
        <v>7095.2444444444427</v>
      </c>
      <c r="AJ79">
        <v>12</v>
      </c>
      <c r="AK79">
        <v>9086.4</v>
      </c>
      <c r="AL79">
        <v>2.0874751491053662</v>
      </c>
      <c r="AM79">
        <v>1580.6361829025832</v>
      </c>
      <c r="AN79">
        <v>15.681818181818178</v>
      </c>
      <c r="AO79">
        <v>11874.272727272724</v>
      </c>
      <c r="AP79">
        <v>7.3043478260869561</v>
      </c>
      <c r="AQ79">
        <v>5530.8521739130429</v>
      </c>
      <c r="AR79">
        <v>8.2378815080789938</v>
      </c>
      <c r="AS79">
        <v>6237.7238779174131</v>
      </c>
      <c r="AT79">
        <v>0</v>
      </c>
      <c r="AU79">
        <v>0</v>
      </c>
      <c r="AV79">
        <v>6.9282786885245891</v>
      </c>
      <c r="AW79">
        <v>5246.0926229508186</v>
      </c>
      <c r="AX79">
        <v>17.457831325301203</v>
      </c>
      <c r="AY79">
        <v>13219.069879518071</v>
      </c>
      <c r="AZ79">
        <v>6.5270270270270263</v>
      </c>
      <c r="BA79">
        <v>4942.2648648648637</v>
      </c>
      <c r="BB79">
        <v>0</v>
      </c>
      <c r="BC79">
        <v>0</v>
      </c>
      <c r="BD79">
        <v>20.25</v>
      </c>
      <c r="BE79">
        <v>15333.3</v>
      </c>
      <c r="BF79">
        <v>7.1309055118110223</v>
      </c>
      <c r="BG79">
        <v>5399.5216535433055</v>
      </c>
      <c r="BH79">
        <v>9.1554878048780477</v>
      </c>
      <c r="BI79">
        <v>6932.5353658536569</v>
      </c>
      <c r="BJ79">
        <v>0.39873417721518989</v>
      </c>
      <c r="BK79">
        <v>301.92151898734176</v>
      </c>
      <c r="BL79">
        <v>16.97069943289225</v>
      </c>
      <c r="BM79">
        <v>12850.21361058601</v>
      </c>
      <c r="BN79">
        <v>0.25852272727272724</v>
      </c>
      <c r="BO79">
        <v>195.75340909090906</v>
      </c>
      <c r="BP79">
        <v>17.804347826086957</v>
      </c>
      <c r="BQ79">
        <v>13481.452173913043</v>
      </c>
      <c r="BR79">
        <v>9.1708860759493671</v>
      </c>
      <c r="BS79">
        <v>6944.19493670886</v>
      </c>
      <c r="BT79">
        <v>9.9056603773584886</v>
      </c>
      <c r="BU79">
        <v>7500.5660377358472</v>
      </c>
      <c r="BV79">
        <v>9.1050269299820457</v>
      </c>
      <c r="BW79">
        <v>6894.3263913824039</v>
      </c>
      <c r="BX79">
        <v>8.223300970873785</v>
      </c>
      <c r="BY79">
        <v>6226.6834951456294</v>
      </c>
      <c r="BZ79">
        <v>0</v>
      </c>
      <c r="CA79">
        <v>0</v>
      </c>
      <c r="CB79">
        <v>17.04990403071017</v>
      </c>
      <c r="CC79">
        <v>12910.18733205374</v>
      </c>
      <c r="CD79">
        <v>8.2974683544303787</v>
      </c>
      <c r="CE79">
        <v>6282.8430379746824</v>
      </c>
      <c r="CF79">
        <v>6.8955223880597005</v>
      </c>
      <c r="CG79">
        <v>5221.2895522388044</v>
      </c>
      <c r="CH79">
        <v>9.8726415094339615</v>
      </c>
      <c r="CI79">
        <v>7475.5641509433954</v>
      </c>
      <c r="CJ79">
        <v>8.8996282527881032</v>
      </c>
      <c r="CK79">
        <v>6738.798513011151</v>
      </c>
      <c r="CL79">
        <v>10.387096774193548</v>
      </c>
      <c r="CM79">
        <v>7865.1096774193538</v>
      </c>
      <c r="CN79">
        <v>7.326492537313432</v>
      </c>
      <c r="CO79">
        <v>5547.6201492537302</v>
      </c>
      <c r="CP79">
        <v>8.8817863397548145</v>
      </c>
      <c r="CQ79">
        <v>6725.2886164623451</v>
      </c>
      <c r="CR79">
        <v>0.36326194398682043</v>
      </c>
      <c r="CS79">
        <v>275.06194398682038</v>
      </c>
      <c r="CT79">
        <v>7.2692307692307692</v>
      </c>
      <c r="CU79">
        <v>5504.2615384615383</v>
      </c>
    </row>
    <row r="80" spans="2:99" x14ac:dyDescent="0.2">
      <c r="C80" s="118" t="s">
        <v>246</v>
      </c>
      <c r="D80">
        <v>7.02928870292887</v>
      </c>
      <c r="E80">
        <v>5659.9832635983257</v>
      </c>
      <c r="F80">
        <v>18</v>
      </c>
      <c r="G80">
        <v>14493.599999999999</v>
      </c>
      <c r="H80">
        <v>17</v>
      </c>
      <c r="I80">
        <v>13688.4</v>
      </c>
      <c r="J80">
        <v>7.6203959433794122</v>
      </c>
      <c r="K80">
        <v>6135.9428136091019</v>
      </c>
      <c r="L80">
        <v>7.9670103092783506</v>
      </c>
      <c r="M80">
        <v>6415.0367010309274</v>
      </c>
      <c r="N80">
        <v>0</v>
      </c>
      <c r="O80">
        <v>0</v>
      </c>
      <c r="P80">
        <v>17.374100719424458</v>
      </c>
      <c r="Q80">
        <v>13989.625899280572</v>
      </c>
      <c r="R80">
        <v>8.2989690721649474</v>
      </c>
      <c r="S80">
        <v>6682.3298969072148</v>
      </c>
      <c r="T80">
        <v>8.7027027027027017</v>
      </c>
      <c r="U80">
        <v>7007.4162162162147</v>
      </c>
      <c r="V80">
        <v>0</v>
      </c>
      <c r="W80">
        <v>0</v>
      </c>
      <c r="X80">
        <v>18.539393939393936</v>
      </c>
      <c r="Y80">
        <v>14927.919999999996</v>
      </c>
      <c r="Z80">
        <v>0</v>
      </c>
      <c r="AA80">
        <v>0</v>
      </c>
      <c r="AB80">
        <v>8.5184381778741844</v>
      </c>
      <c r="AC80">
        <v>6859.0464208242929</v>
      </c>
      <c r="AD80">
        <v>9.6305732484076412</v>
      </c>
      <c r="AE80">
        <v>7754.5375796178323</v>
      </c>
      <c r="AF80">
        <v>9.1132075471698091</v>
      </c>
      <c r="AG80">
        <v>7337.9547169811294</v>
      </c>
      <c r="AH80">
        <v>8.9444444444444429</v>
      </c>
      <c r="AI80">
        <v>7202.0666666666648</v>
      </c>
      <c r="AJ80">
        <v>12</v>
      </c>
      <c r="AK80">
        <v>9662.4</v>
      </c>
      <c r="AL80">
        <v>2.3658051689860815</v>
      </c>
      <c r="AM80">
        <v>1904.9463220675927</v>
      </c>
      <c r="AN80">
        <v>17.249999999999996</v>
      </c>
      <c r="AO80">
        <v>13889.699999999995</v>
      </c>
      <c r="AP80">
        <v>6.8478260869565206</v>
      </c>
      <c r="AQ80">
        <v>5513.8695652173901</v>
      </c>
      <c r="AR80">
        <v>7.3707360861759419</v>
      </c>
      <c r="AS80">
        <v>5934.916696588868</v>
      </c>
      <c r="AT80">
        <v>0</v>
      </c>
      <c r="AU80">
        <v>0</v>
      </c>
      <c r="AV80">
        <v>6.9282786885245891</v>
      </c>
      <c r="AW80">
        <v>5578.6499999999987</v>
      </c>
      <c r="AX80">
        <v>16.626506024096383</v>
      </c>
      <c r="AY80">
        <v>13387.662650602406</v>
      </c>
      <c r="AZ80">
        <v>7.6148648648648631</v>
      </c>
      <c r="BA80">
        <v>6131.4891891891875</v>
      </c>
      <c r="BB80">
        <v>0</v>
      </c>
      <c r="BC80">
        <v>0</v>
      </c>
      <c r="BD80">
        <v>20.25</v>
      </c>
      <c r="BE80">
        <v>16305.3</v>
      </c>
      <c r="BF80">
        <v>6.6555118110236213</v>
      </c>
      <c r="BG80">
        <v>5359.0181102362194</v>
      </c>
      <c r="BH80">
        <v>9.1554878048780477</v>
      </c>
      <c r="BI80">
        <v>7371.9987804878037</v>
      </c>
      <c r="BJ80">
        <v>0.4651898734177215</v>
      </c>
      <c r="BK80">
        <v>374.57088607594932</v>
      </c>
      <c r="BL80">
        <v>15.18431001890359</v>
      </c>
      <c r="BM80">
        <v>12226.406427221169</v>
      </c>
      <c r="BN80">
        <v>0.23863636363636365</v>
      </c>
      <c r="BO80">
        <v>192.15</v>
      </c>
      <c r="BP80">
        <v>17.119565217391305</v>
      </c>
      <c r="BQ80">
        <v>13784.673913043478</v>
      </c>
      <c r="BR80">
        <v>7.4725738396624468</v>
      </c>
      <c r="BS80">
        <v>6016.9164556962014</v>
      </c>
      <c r="BT80">
        <v>9.5094339622641488</v>
      </c>
      <c r="BU80">
        <v>7656.9962264150918</v>
      </c>
      <c r="BV80">
        <v>9.1050269299820457</v>
      </c>
      <c r="BW80">
        <v>7331.3676840215421</v>
      </c>
      <c r="BX80">
        <v>7.8495145631067951</v>
      </c>
      <c r="BY80">
        <v>6320.4291262135912</v>
      </c>
      <c r="BZ80">
        <v>0</v>
      </c>
      <c r="CA80">
        <v>0</v>
      </c>
      <c r="CB80">
        <v>15.155470249520151</v>
      </c>
      <c r="CC80">
        <v>12203.184644913625</v>
      </c>
      <c r="CD80">
        <v>6.9873417721518978</v>
      </c>
      <c r="CE80">
        <v>5626.2075949367072</v>
      </c>
      <c r="CF80">
        <v>6.46455223880597</v>
      </c>
      <c r="CG80">
        <v>5205.2574626865662</v>
      </c>
      <c r="CH80">
        <v>10.632075471698112</v>
      </c>
      <c r="CI80">
        <v>8560.9471698113193</v>
      </c>
      <c r="CJ80">
        <v>9.3680297397769507</v>
      </c>
      <c r="CK80">
        <v>7543.1375464683997</v>
      </c>
      <c r="CL80">
        <v>9.2741935483870961</v>
      </c>
      <c r="CM80">
        <v>7467.5806451612889</v>
      </c>
      <c r="CN80">
        <v>6.46455223880597</v>
      </c>
      <c r="CO80">
        <v>5205.2574626865662</v>
      </c>
      <c r="CP80">
        <v>8.8817863397548145</v>
      </c>
      <c r="CQ80">
        <v>7151.6143607705762</v>
      </c>
      <c r="CR80">
        <v>0.39785831960461282</v>
      </c>
      <c r="CS80">
        <v>320.35551894563423</v>
      </c>
      <c r="CT80">
        <v>8.0769230769230766</v>
      </c>
      <c r="CU80">
        <v>6503.538461538461</v>
      </c>
    </row>
    <row r="81" spans="2:99" x14ac:dyDescent="0.2">
      <c r="C81" s="118" t="s">
        <v>247</v>
      </c>
      <c r="D81">
        <v>8.03347280334728</v>
      </c>
      <c r="E81">
        <v>6054.0251046025105</v>
      </c>
      <c r="F81">
        <v>18</v>
      </c>
      <c r="G81">
        <v>13564.800000000001</v>
      </c>
      <c r="H81">
        <v>14</v>
      </c>
      <c r="I81">
        <v>10550.4</v>
      </c>
      <c r="J81">
        <v>8.2065802467162907</v>
      </c>
      <c r="K81">
        <v>6184.4788739253972</v>
      </c>
      <c r="L81">
        <v>8.9628865979381445</v>
      </c>
      <c r="M81">
        <v>6754.4313402061862</v>
      </c>
      <c r="N81">
        <v>0</v>
      </c>
      <c r="O81">
        <v>0</v>
      </c>
      <c r="P81">
        <v>18.242805755395683</v>
      </c>
      <c r="Q81">
        <v>13747.778417266187</v>
      </c>
      <c r="R81">
        <v>8.2989690721649474</v>
      </c>
      <c r="S81">
        <v>6254.1030927835045</v>
      </c>
      <c r="T81">
        <v>8.2675675675675659</v>
      </c>
      <c r="U81">
        <v>6230.4389189189178</v>
      </c>
      <c r="V81">
        <v>0</v>
      </c>
      <c r="W81">
        <v>0</v>
      </c>
      <c r="X81">
        <v>18.539393939393936</v>
      </c>
      <c r="Y81">
        <v>13971.28727272727</v>
      </c>
      <c r="Z81">
        <v>0</v>
      </c>
      <c r="AA81">
        <v>0</v>
      </c>
      <c r="AB81">
        <v>8.0173535791757047</v>
      </c>
      <c r="AC81">
        <v>6041.8776572668112</v>
      </c>
      <c r="AD81">
        <v>9.6305732484076412</v>
      </c>
      <c r="AE81">
        <v>7257.5999999999985</v>
      </c>
      <c r="AF81">
        <v>8.412191582002901</v>
      </c>
      <c r="AG81">
        <v>6339.4275761973868</v>
      </c>
      <c r="AH81">
        <v>9.7962962962962941</v>
      </c>
      <c r="AI81">
        <v>7382.4888888888872</v>
      </c>
      <c r="AJ81">
        <v>13</v>
      </c>
      <c r="AK81">
        <v>9796.8000000000011</v>
      </c>
      <c r="AL81">
        <v>2.0874751491053662</v>
      </c>
      <c r="AM81">
        <v>1573.1212723658041</v>
      </c>
      <c r="AN81">
        <v>16.465909090909086</v>
      </c>
      <c r="AO81">
        <v>12408.709090909088</v>
      </c>
      <c r="AP81">
        <v>7.7608695652173907</v>
      </c>
      <c r="AQ81">
        <v>5848.5913043478258</v>
      </c>
      <c r="AR81">
        <v>7.8043087971274669</v>
      </c>
      <c r="AS81">
        <v>5881.3271095152595</v>
      </c>
      <c r="AT81">
        <v>0</v>
      </c>
      <c r="AU81">
        <v>0</v>
      </c>
      <c r="AV81">
        <v>6.9282786885245891</v>
      </c>
      <c r="AW81">
        <v>5221.1508196721306</v>
      </c>
      <c r="AX81">
        <v>17.457831325301203</v>
      </c>
      <c r="AY81">
        <v>13156.221686746987</v>
      </c>
      <c r="AZ81">
        <v>7.6148648648648631</v>
      </c>
      <c r="BA81">
        <v>5738.5621621621613</v>
      </c>
      <c r="BB81">
        <v>0</v>
      </c>
      <c r="BC81">
        <v>0</v>
      </c>
      <c r="BD81">
        <v>18.749999999999996</v>
      </c>
      <c r="BE81">
        <v>14129.999999999998</v>
      </c>
      <c r="BF81">
        <v>6.6555118110236213</v>
      </c>
      <c r="BG81">
        <v>5015.5937007874008</v>
      </c>
      <c r="BH81">
        <v>9.5076219512195106</v>
      </c>
      <c r="BI81">
        <v>7164.9439024390231</v>
      </c>
      <c r="BJ81">
        <v>0.39873417721518989</v>
      </c>
      <c r="BK81">
        <v>300.48607594936709</v>
      </c>
      <c r="BL81">
        <v>16.077504725897917</v>
      </c>
      <c r="BM81">
        <v>12116.007561436671</v>
      </c>
      <c r="BN81">
        <v>0.27840909090909094</v>
      </c>
      <c r="BO81">
        <v>209.80909090909094</v>
      </c>
      <c r="BP81">
        <v>18.489130434782609</v>
      </c>
      <c r="BQ81">
        <v>13933.408695652175</v>
      </c>
      <c r="BR81">
        <v>7.4725738396624468</v>
      </c>
      <c r="BS81">
        <v>5631.3316455696204</v>
      </c>
      <c r="BT81">
        <v>8.3207547169811313</v>
      </c>
      <c r="BU81">
        <v>6270.5207547169812</v>
      </c>
      <c r="BV81">
        <v>8.6714542190305206</v>
      </c>
      <c r="BW81">
        <v>6534.8078994614007</v>
      </c>
      <c r="BX81">
        <v>7.8495145631067951</v>
      </c>
      <c r="BY81">
        <v>5915.3941747572808</v>
      </c>
      <c r="BZ81">
        <v>0</v>
      </c>
      <c r="CA81">
        <v>0</v>
      </c>
      <c r="CB81">
        <v>17.04990403071017</v>
      </c>
      <c r="CC81">
        <v>12848.807677543185</v>
      </c>
      <c r="CD81">
        <v>7.8607594936708853</v>
      </c>
      <c r="CE81">
        <v>5923.8683544303794</v>
      </c>
      <c r="CF81">
        <v>6.8955223880597005</v>
      </c>
      <c r="CG81">
        <v>5196.4656716417903</v>
      </c>
      <c r="CH81">
        <v>9.8726415094339615</v>
      </c>
      <c r="CI81">
        <v>7440.0226415094339</v>
      </c>
      <c r="CJ81">
        <v>8.8996282527881032</v>
      </c>
      <c r="CK81">
        <v>6706.7598513011144</v>
      </c>
      <c r="CL81">
        <v>9.2741935483870961</v>
      </c>
      <c r="CM81">
        <v>6989.0322580645161</v>
      </c>
      <c r="CN81">
        <v>6.46455223880597</v>
      </c>
      <c r="CO81">
        <v>4871.686567164179</v>
      </c>
      <c r="CP81">
        <v>9.7276707530647979</v>
      </c>
      <c r="CQ81">
        <v>7330.7726795096323</v>
      </c>
      <c r="CR81">
        <v>0.39785831960461282</v>
      </c>
      <c r="CS81">
        <v>299.82602965403623</v>
      </c>
      <c r="CT81">
        <v>7.6730769230769216</v>
      </c>
      <c r="CU81">
        <v>5782.4307692307684</v>
      </c>
    </row>
    <row r="82" spans="2:99" x14ac:dyDescent="0.2">
      <c r="C82" s="118" t="s">
        <v>248</v>
      </c>
      <c r="D82">
        <v>8.5355648535564868</v>
      </c>
      <c r="E82">
        <v>4342.8953974895394</v>
      </c>
      <c r="F82">
        <v>20</v>
      </c>
      <c r="G82">
        <v>10175.999999999998</v>
      </c>
      <c r="H82">
        <v>15</v>
      </c>
      <c r="I82">
        <v>7631.9999999999982</v>
      </c>
      <c r="J82">
        <v>8.7927645500531675</v>
      </c>
      <c r="K82">
        <v>4473.7586030670509</v>
      </c>
      <c r="L82">
        <v>8.9628865979381445</v>
      </c>
      <c r="M82">
        <v>4560.3167010309271</v>
      </c>
      <c r="N82">
        <v>0</v>
      </c>
      <c r="O82">
        <v>0</v>
      </c>
      <c r="P82">
        <v>16.505395683453237</v>
      </c>
      <c r="Q82">
        <v>8397.9453237410053</v>
      </c>
      <c r="R82">
        <v>9.9587628865979365</v>
      </c>
      <c r="S82">
        <v>5067.0185567010294</v>
      </c>
      <c r="T82">
        <v>8.2675675675675659</v>
      </c>
      <c r="U82">
        <v>4206.5383783783764</v>
      </c>
      <c r="V82">
        <v>0</v>
      </c>
      <c r="W82">
        <v>0</v>
      </c>
      <c r="X82">
        <v>18.539393939393936</v>
      </c>
      <c r="Y82">
        <v>9432.843636363632</v>
      </c>
      <c r="Z82">
        <v>0</v>
      </c>
      <c r="AA82">
        <v>0</v>
      </c>
      <c r="AB82">
        <v>9.0195227765726678</v>
      </c>
      <c r="AC82">
        <v>4589.1331887201723</v>
      </c>
      <c r="AD82">
        <v>8.8280254777070049</v>
      </c>
      <c r="AE82">
        <v>4491.6993630573234</v>
      </c>
      <c r="AF82">
        <v>9.463715529753264</v>
      </c>
      <c r="AG82">
        <v>4815.1384615384595</v>
      </c>
      <c r="AH82">
        <v>8.9444444444444429</v>
      </c>
      <c r="AI82">
        <v>4550.9333333333316</v>
      </c>
      <c r="AJ82">
        <v>13</v>
      </c>
      <c r="AK82">
        <v>6614.3999999999987</v>
      </c>
      <c r="AL82">
        <v>2.3658051689860815</v>
      </c>
      <c r="AM82">
        <v>1203.7216699801181</v>
      </c>
      <c r="AN82">
        <v>16.465909090909086</v>
      </c>
      <c r="AO82">
        <v>8377.8545454545419</v>
      </c>
      <c r="AP82">
        <v>8.2173913043478244</v>
      </c>
      <c r="AQ82">
        <v>4181.0086956521718</v>
      </c>
      <c r="AR82">
        <v>8.6714542190305206</v>
      </c>
      <c r="AS82">
        <v>4412.0359066427282</v>
      </c>
      <c r="AT82">
        <v>0</v>
      </c>
      <c r="AU82">
        <v>0</v>
      </c>
      <c r="AV82">
        <v>6.9282786885245891</v>
      </c>
      <c r="AW82">
        <v>3525.1081967213104</v>
      </c>
      <c r="AX82">
        <v>18.289156626506021</v>
      </c>
      <c r="AY82">
        <v>9305.522891566261</v>
      </c>
      <c r="AZ82">
        <v>7.0709459459459447</v>
      </c>
      <c r="BA82">
        <v>3597.6972972972958</v>
      </c>
      <c r="BB82">
        <v>0</v>
      </c>
      <c r="BC82">
        <v>0</v>
      </c>
      <c r="BD82">
        <v>19.499999999999996</v>
      </c>
      <c r="BE82">
        <v>9921.5999999999967</v>
      </c>
      <c r="BF82">
        <v>7.1309055118110223</v>
      </c>
      <c r="BG82">
        <v>3628.2047244094474</v>
      </c>
      <c r="BH82">
        <v>9.8597560975609753</v>
      </c>
      <c r="BI82">
        <v>5016.6439024390229</v>
      </c>
      <c r="BJ82">
        <v>0.44857594936708861</v>
      </c>
      <c r="BK82">
        <v>228.23544303797465</v>
      </c>
      <c r="BL82">
        <v>16.97069943289225</v>
      </c>
      <c r="BM82">
        <v>8634.6918714555741</v>
      </c>
      <c r="BN82">
        <v>0.25852272727272724</v>
      </c>
      <c r="BO82">
        <v>131.5363636363636</v>
      </c>
      <c r="BP82">
        <v>18.489130434782609</v>
      </c>
      <c r="BQ82">
        <v>9407.2695652173898</v>
      </c>
      <c r="BR82">
        <v>9.1708860759493671</v>
      </c>
      <c r="BS82">
        <v>4666.1468354430372</v>
      </c>
      <c r="BT82">
        <v>10.301886792452828</v>
      </c>
      <c r="BU82">
        <v>5241.5999999999976</v>
      </c>
      <c r="BV82">
        <v>9.5385996409335707</v>
      </c>
      <c r="BW82">
        <v>4853.2394973069995</v>
      </c>
      <c r="BX82">
        <v>7.8495145631067951</v>
      </c>
      <c r="BY82">
        <v>3993.8330097087364</v>
      </c>
      <c r="BZ82">
        <v>0</v>
      </c>
      <c r="CA82">
        <v>0</v>
      </c>
      <c r="CB82">
        <v>17.04990403071017</v>
      </c>
      <c r="CC82">
        <v>8674.991170825333</v>
      </c>
      <c r="CD82">
        <v>8.2974683544303787</v>
      </c>
      <c r="CE82">
        <v>4221.7518987341755</v>
      </c>
      <c r="CF82">
        <v>6.8955223880597005</v>
      </c>
      <c r="CG82">
        <v>3508.4417910447751</v>
      </c>
      <c r="CH82">
        <v>9.8726415094339615</v>
      </c>
      <c r="CI82">
        <v>5023.1999999999989</v>
      </c>
      <c r="CJ82">
        <v>10.304832713754646</v>
      </c>
      <c r="CK82">
        <v>5243.0988847583631</v>
      </c>
      <c r="CL82">
        <v>10.016129032258064</v>
      </c>
      <c r="CM82">
        <v>5096.2064516129021</v>
      </c>
      <c r="CN82">
        <v>6.8955223880597005</v>
      </c>
      <c r="CO82">
        <v>3508.4417910447751</v>
      </c>
      <c r="CP82">
        <v>8.4588441330998236</v>
      </c>
      <c r="CQ82">
        <v>4303.8598949211892</v>
      </c>
      <c r="CR82">
        <v>0.38056013179571663</v>
      </c>
      <c r="CS82">
        <v>193.62899505766057</v>
      </c>
      <c r="CT82">
        <v>8.0769230769230766</v>
      </c>
      <c r="CU82">
        <v>4109.538461538461</v>
      </c>
    </row>
    <row r="83" spans="2:99" x14ac:dyDescent="0.2">
      <c r="C83" s="118" t="s">
        <v>249</v>
      </c>
      <c r="D83">
        <v>7.02928870292887</v>
      </c>
      <c r="E83">
        <v>6048</v>
      </c>
      <c r="F83">
        <v>21</v>
      </c>
      <c r="G83">
        <v>18068.399999999998</v>
      </c>
      <c r="H83">
        <v>16</v>
      </c>
      <c r="I83">
        <v>13766.4</v>
      </c>
      <c r="J83">
        <v>9.3789488533900478</v>
      </c>
      <c r="K83">
        <v>8069.647593456797</v>
      </c>
      <c r="L83">
        <v>7.9670103092783506</v>
      </c>
      <c r="M83">
        <v>6854.815670103093</v>
      </c>
      <c r="N83">
        <v>0</v>
      </c>
      <c r="O83">
        <v>0</v>
      </c>
      <c r="P83">
        <v>16.505395683453237</v>
      </c>
      <c r="Q83">
        <v>14201.242446043165</v>
      </c>
      <c r="R83">
        <v>8.2989690721649474</v>
      </c>
      <c r="S83">
        <v>7140.4329896907202</v>
      </c>
      <c r="T83">
        <v>9.1378378378378375</v>
      </c>
      <c r="U83">
        <v>7862.1956756756754</v>
      </c>
      <c r="V83">
        <v>0</v>
      </c>
      <c r="W83">
        <v>0</v>
      </c>
      <c r="X83">
        <v>18.539393939393936</v>
      </c>
      <c r="Y83">
        <v>15951.294545454542</v>
      </c>
      <c r="Z83">
        <v>0</v>
      </c>
      <c r="AA83">
        <v>0</v>
      </c>
      <c r="AB83">
        <v>8.5184381778741844</v>
      </c>
      <c r="AC83">
        <v>7329.2642082429484</v>
      </c>
      <c r="AD83">
        <v>8.8280254777070049</v>
      </c>
      <c r="AE83">
        <v>7595.6331210191065</v>
      </c>
      <c r="AF83">
        <v>9.463715529753264</v>
      </c>
      <c r="AG83">
        <v>8142.5808417997077</v>
      </c>
      <c r="AH83">
        <v>9.3703703703703685</v>
      </c>
      <c r="AI83">
        <v>8062.2666666666646</v>
      </c>
      <c r="AJ83">
        <v>13</v>
      </c>
      <c r="AK83">
        <v>11185.199999999999</v>
      </c>
      <c r="AL83">
        <v>2.3658051689860815</v>
      </c>
      <c r="AM83">
        <v>2035.5387673956245</v>
      </c>
      <c r="AN83">
        <v>16.465909090909086</v>
      </c>
      <c r="AO83">
        <v>14167.268181818177</v>
      </c>
      <c r="AP83">
        <v>6.8478260869565206</v>
      </c>
      <c r="AQ83">
        <v>5891.8695652173901</v>
      </c>
      <c r="AR83">
        <v>8.6714542190305206</v>
      </c>
      <c r="AS83">
        <v>7460.9192100538594</v>
      </c>
      <c r="AT83">
        <v>0</v>
      </c>
      <c r="AU83">
        <v>0</v>
      </c>
      <c r="AV83">
        <v>6.9282786885245891</v>
      </c>
      <c r="AW83">
        <v>5961.0909836065566</v>
      </c>
      <c r="AX83">
        <v>18.289156626506021</v>
      </c>
      <c r="AY83">
        <v>15735.99036144578</v>
      </c>
      <c r="AZ83">
        <v>7.0709459459459447</v>
      </c>
      <c r="BA83">
        <v>6083.8418918918906</v>
      </c>
      <c r="BB83">
        <v>0</v>
      </c>
      <c r="BC83">
        <v>0</v>
      </c>
      <c r="BD83">
        <v>20.25</v>
      </c>
      <c r="BE83">
        <v>17423.099999999999</v>
      </c>
      <c r="BF83">
        <v>7.6062992125984241</v>
      </c>
      <c r="BG83">
        <v>6544.4598425196837</v>
      </c>
      <c r="BH83">
        <v>9.5076219512195106</v>
      </c>
      <c r="BI83">
        <v>8180.3579268292669</v>
      </c>
      <c r="BJ83">
        <v>0.39873417721518989</v>
      </c>
      <c r="BK83">
        <v>343.07088607594937</v>
      </c>
      <c r="BL83">
        <v>16.077504725897917</v>
      </c>
      <c r="BM83">
        <v>13833.085066162568</v>
      </c>
      <c r="BN83">
        <v>0.25852272727272724</v>
      </c>
      <c r="BO83">
        <v>222.43295454545452</v>
      </c>
      <c r="BP83">
        <v>17.119565217391305</v>
      </c>
      <c r="BQ83">
        <v>14729.673913043478</v>
      </c>
      <c r="BR83">
        <v>8.8312236286919816</v>
      </c>
      <c r="BS83">
        <v>7598.3848101265812</v>
      </c>
      <c r="BT83">
        <v>8.7169811320754711</v>
      </c>
      <c r="BU83">
        <v>7500.0905660377348</v>
      </c>
      <c r="BV83">
        <v>9.5385996409335707</v>
      </c>
      <c r="BW83">
        <v>8207.0111310592438</v>
      </c>
      <c r="BX83">
        <v>8.223300970873785</v>
      </c>
      <c r="BY83">
        <v>7075.3281553398047</v>
      </c>
      <c r="BZ83">
        <v>0</v>
      </c>
      <c r="CA83">
        <v>0</v>
      </c>
      <c r="CB83">
        <v>16.102687140115158</v>
      </c>
      <c r="CC83">
        <v>13854.752015355081</v>
      </c>
      <c r="CD83">
        <v>7.4240506329113911</v>
      </c>
      <c r="CE83">
        <v>6387.6531645569603</v>
      </c>
      <c r="CF83">
        <v>6.8955223880597005</v>
      </c>
      <c r="CG83">
        <v>5932.9074626865659</v>
      </c>
      <c r="CH83">
        <v>9.8726415094339615</v>
      </c>
      <c r="CI83">
        <v>8494.4207547169808</v>
      </c>
      <c r="CJ83">
        <v>8.4312267657992539</v>
      </c>
      <c r="CK83">
        <v>7254.2275092936779</v>
      </c>
      <c r="CL83">
        <v>9.6451612903225783</v>
      </c>
      <c r="CM83">
        <v>8298.6967741935459</v>
      </c>
      <c r="CN83">
        <v>6.8955223880597005</v>
      </c>
      <c r="CO83">
        <v>5932.9074626865659</v>
      </c>
      <c r="CP83">
        <v>8.8817863397548145</v>
      </c>
      <c r="CQ83">
        <v>7641.8889667250423</v>
      </c>
      <c r="CR83">
        <v>0.41515650741350901</v>
      </c>
      <c r="CS83">
        <v>357.20065897858314</v>
      </c>
      <c r="CT83">
        <v>8.0769230769230766</v>
      </c>
      <c r="CU83">
        <v>6949.3846153846152</v>
      </c>
    </row>
    <row r="84" spans="2:99" x14ac:dyDescent="0.2">
      <c r="C84" s="118" t="s">
        <v>250</v>
      </c>
      <c r="D84">
        <v>7.531380753138075</v>
      </c>
      <c r="E84">
        <v>5883.5146443514641</v>
      </c>
      <c r="F84">
        <v>21</v>
      </c>
      <c r="G84">
        <v>16405.199999999997</v>
      </c>
      <c r="H84">
        <v>15</v>
      </c>
      <c r="I84">
        <v>11717.999999999998</v>
      </c>
      <c r="J84">
        <v>8.7927645500531675</v>
      </c>
      <c r="K84">
        <v>6868.9076665015336</v>
      </c>
      <c r="L84">
        <v>8.9628865979381445</v>
      </c>
      <c r="M84">
        <v>7001.8070103092778</v>
      </c>
      <c r="N84">
        <v>0</v>
      </c>
      <c r="O84">
        <v>0</v>
      </c>
      <c r="P84">
        <v>17.374100719424458</v>
      </c>
      <c r="Q84">
        <v>13572.647482014385</v>
      </c>
      <c r="R84">
        <v>9.1288659793814411</v>
      </c>
      <c r="S84">
        <v>7131.4701030927808</v>
      </c>
      <c r="T84">
        <v>8.7027027027027017</v>
      </c>
      <c r="U84">
        <v>6798.5513513513497</v>
      </c>
      <c r="V84">
        <v>0</v>
      </c>
      <c r="W84">
        <v>0</v>
      </c>
      <c r="X84">
        <v>18.539393939393936</v>
      </c>
      <c r="Y84">
        <v>14482.974545454541</v>
      </c>
      <c r="Z84">
        <v>0</v>
      </c>
      <c r="AA84">
        <v>0</v>
      </c>
      <c r="AB84">
        <v>9.0195227765726678</v>
      </c>
      <c r="AC84">
        <v>7046.0511930585672</v>
      </c>
      <c r="AD84">
        <v>8.8280254777070049</v>
      </c>
      <c r="AE84">
        <v>6896.4535031847117</v>
      </c>
      <c r="AF84">
        <v>8.7626995645863559</v>
      </c>
      <c r="AG84">
        <v>6845.4208998548602</v>
      </c>
      <c r="AH84">
        <v>9.7962962962962941</v>
      </c>
      <c r="AI84">
        <v>7652.8666666666641</v>
      </c>
      <c r="AJ84">
        <v>13</v>
      </c>
      <c r="AK84">
        <v>10155.599999999999</v>
      </c>
      <c r="AL84">
        <v>2.2266401590457234</v>
      </c>
      <c r="AM84">
        <v>1739.451292246519</v>
      </c>
      <c r="AN84">
        <v>15.681818181818178</v>
      </c>
      <c r="AO84">
        <v>12250.63636363636</v>
      </c>
      <c r="AP84">
        <v>8.2173913043478244</v>
      </c>
      <c r="AQ84">
        <v>6419.4260869565196</v>
      </c>
      <c r="AR84">
        <v>7.8043087971274669</v>
      </c>
      <c r="AS84">
        <v>6096.7260323159762</v>
      </c>
      <c r="AT84">
        <v>0</v>
      </c>
      <c r="AU84">
        <v>0</v>
      </c>
      <c r="AV84">
        <v>6.433401639344261</v>
      </c>
      <c r="AW84">
        <v>5025.7733606557358</v>
      </c>
      <c r="AX84">
        <v>15.795180722891565</v>
      </c>
      <c r="AY84">
        <v>12339.195180722891</v>
      </c>
      <c r="AZ84">
        <v>7.6148648648648631</v>
      </c>
      <c r="BA84">
        <v>5948.7324324324309</v>
      </c>
      <c r="BB84">
        <v>0</v>
      </c>
      <c r="BC84">
        <v>0</v>
      </c>
      <c r="BD84">
        <v>18.749999999999996</v>
      </c>
      <c r="BE84">
        <v>14647.499999999996</v>
      </c>
      <c r="BF84">
        <v>6.6555118110236213</v>
      </c>
      <c r="BG84">
        <v>5199.2858267716529</v>
      </c>
      <c r="BH84">
        <v>9.8597560975609753</v>
      </c>
      <c r="BI84">
        <v>7702.4414634146333</v>
      </c>
      <c r="BJ84">
        <v>0.38212025316455694</v>
      </c>
      <c r="BK84">
        <v>298.51234177215184</v>
      </c>
      <c r="BL84">
        <v>16.97069943289225</v>
      </c>
      <c r="BM84">
        <v>13257.510396975424</v>
      </c>
      <c r="BN84">
        <v>0.25852272727272724</v>
      </c>
      <c r="BO84">
        <v>201.9579545454545</v>
      </c>
      <c r="BP84">
        <v>17.804347826086957</v>
      </c>
      <c r="BQ84">
        <v>13908.756521739129</v>
      </c>
      <c r="BR84">
        <v>8.1518987341772142</v>
      </c>
      <c r="BS84">
        <v>6368.2632911392393</v>
      </c>
      <c r="BT84">
        <v>9.1132075471698109</v>
      </c>
      <c r="BU84">
        <v>7119.2377358490558</v>
      </c>
      <c r="BV84">
        <v>8.6714542190305206</v>
      </c>
      <c r="BW84">
        <v>6774.140035906642</v>
      </c>
      <c r="BX84">
        <v>7.1019417475728144</v>
      </c>
      <c r="BY84">
        <v>5548.0368932038818</v>
      </c>
      <c r="BZ84">
        <v>0</v>
      </c>
      <c r="CA84">
        <v>0</v>
      </c>
      <c r="CB84">
        <v>17.04990403071017</v>
      </c>
      <c r="CC84">
        <v>13319.385028790784</v>
      </c>
      <c r="CD84">
        <v>7.8607594936708853</v>
      </c>
      <c r="CE84">
        <v>6140.8253164556954</v>
      </c>
      <c r="CF84">
        <v>7.326492537313432</v>
      </c>
      <c r="CG84">
        <v>5723.4559701492526</v>
      </c>
      <c r="CH84">
        <v>9.8726415094339615</v>
      </c>
      <c r="CI84">
        <v>7712.5075471698101</v>
      </c>
      <c r="CJ84">
        <v>9.8364312267657983</v>
      </c>
      <c r="CK84">
        <v>7684.2200743494413</v>
      </c>
      <c r="CL84">
        <v>9.2741935483870961</v>
      </c>
      <c r="CM84">
        <v>7244.9999999999991</v>
      </c>
      <c r="CN84">
        <v>7.326492537313432</v>
      </c>
      <c r="CO84">
        <v>5723.4559701492526</v>
      </c>
      <c r="CP84">
        <v>8.4588441330998236</v>
      </c>
      <c r="CQ84">
        <v>6608.0490367775819</v>
      </c>
      <c r="CR84">
        <v>0.43245469522240526</v>
      </c>
      <c r="CS84">
        <v>337.83360790774299</v>
      </c>
      <c r="CT84">
        <v>7.2692307692307692</v>
      </c>
      <c r="CU84">
        <v>5678.7230769230764</v>
      </c>
    </row>
    <row r="85" spans="2:99" x14ac:dyDescent="0.2">
      <c r="C85" s="118" t="s">
        <v>251</v>
      </c>
      <c r="D85">
        <v>8.03347280334728</v>
      </c>
      <c r="E85">
        <v>1205.0209205020919</v>
      </c>
      <c r="F85">
        <v>22</v>
      </c>
      <c r="G85">
        <v>3300</v>
      </c>
      <c r="H85">
        <v>15</v>
      </c>
      <c r="I85">
        <v>2250</v>
      </c>
      <c r="J85">
        <v>9.9651331567269246</v>
      </c>
      <c r="K85">
        <v>1494.7699735090387</v>
      </c>
      <c r="L85">
        <v>8.9628865979381445</v>
      </c>
      <c r="M85">
        <v>1344.4329896907216</v>
      </c>
      <c r="N85">
        <v>0</v>
      </c>
      <c r="O85">
        <v>0</v>
      </c>
      <c r="P85">
        <v>19.111510791366904</v>
      </c>
      <c r="Q85">
        <v>2866.7266187050354</v>
      </c>
      <c r="R85">
        <v>8.7139175257731942</v>
      </c>
      <c r="S85">
        <v>1307.0876288659792</v>
      </c>
      <c r="T85">
        <v>8.7027027027027017</v>
      </c>
      <c r="U85">
        <v>1305.4054054054052</v>
      </c>
      <c r="V85">
        <v>0</v>
      </c>
      <c r="W85">
        <v>0</v>
      </c>
      <c r="X85">
        <v>21.466666666666665</v>
      </c>
      <c r="Y85">
        <v>3219.9999999999995</v>
      </c>
      <c r="Z85">
        <v>0</v>
      </c>
      <c r="AA85">
        <v>0</v>
      </c>
      <c r="AB85">
        <v>8.5184381778741844</v>
      </c>
      <c r="AC85">
        <v>1277.7657266811277</v>
      </c>
      <c r="AD85">
        <v>10.03184713375796</v>
      </c>
      <c r="AE85">
        <v>1504.7770700636941</v>
      </c>
      <c r="AF85">
        <v>8.7626995645863559</v>
      </c>
      <c r="AG85">
        <v>1314.4049346879533</v>
      </c>
      <c r="AH85">
        <v>10.648148148148147</v>
      </c>
      <c r="AI85">
        <v>1597.2222222222219</v>
      </c>
      <c r="AJ85">
        <v>15</v>
      </c>
      <c r="AK85">
        <v>2250</v>
      </c>
      <c r="AL85">
        <v>2.3658051689860815</v>
      </c>
      <c r="AM85">
        <v>354.87077534791223</v>
      </c>
      <c r="AN85">
        <v>18.034090909090907</v>
      </c>
      <c r="AO85">
        <v>2705.113636363636</v>
      </c>
      <c r="AP85">
        <v>8.2173913043478244</v>
      </c>
      <c r="AQ85">
        <v>1232.6086956521738</v>
      </c>
      <c r="AR85">
        <v>8.2378815080789938</v>
      </c>
      <c r="AS85">
        <v>1235.682226211849</v>
      </c>
      <c r="AT85">
        <v>0</v>
      </c>
      <c r="AU85">
        <v>0</v>
      </c>
      <c r="AV85">
        <v>6.9282786885245891</v>
      </c>
      <c r="AW85">
        <v>1039.2418032786884</v>
      </c>
      <c r="AX85">
        <v>16.626506024096383</v>
      </c>
      <c r="AY85">
        <v>2493.9759036144574</v>
      </c>
      <c r="AZ85">
        <v>8.1587837837837824</v>
      </c>
      <c r="BA85">
        <v>1223.8175675675673</v>
      </c>
      <c r="BB85">
        <v>0</v>
      </c>
      <c r="BC85">
        <v>0</v>
      </c>
      <c r="BD85">
        <v>19.499999999999996</v>
      </c>
      <c r="BE85">
        <v>2924.9999999999995</v>
      </c>
      <c r="BF85">
        <v>7.1309055118110223</v>
      </c>
      <c r="BG85">
        <v>1069.6358267716532</v>
      </c>
      <c r="BH85">
        <v>9.8597560975609753</v>
      </c>
      <c r="BI85">
        <v>1478.9634146341464</v>
      </c>
      <c r="BJ85">
        <v>0.4651898734177215</v>
      </c>
      <c r="BK85">
        <v>69.778481012658219</v>
      </c>
      <c r="BL85">
        <v>19.650283553875234</v>
      </c>
      <c r="BM85">
        <v>2947.542533081285</v>
      </c>
      <c r="BN85">
        <v>0.29829545454545453</v>
      </c>
      <c r="BO85">
        <v>44.74431818181818</v>
      </c>
      <c r="BP85">
        <v>19.85869565217391</v>
      </c>
      <c r="BQ85">
        <v>2978.8043478260865</v>
      </c>
      <c r="BR85">
        <v>9.5105485232067508</v>
      </c>
      <c r="BS85">
        <v>1426.5822784810125</v>
      </c>
      <c r="BT85">
        <v>9.1132075471698109</v>
      </c>
      <c r="BU85">
        <v>1366.9811320754716</v>
      </c>
      <c r="BV85">
        <v>9.9721723518850975</v>
      </c>
      <c r="BW85">
        <v>1495.8258527827647</v>
      </c>
      <c r="BX85">
        <v>8.5970873786407758</v>
      </c>
      <c r="BY85">
        <v>1289.5631067961165</v>
      </c>
      <c r="BZ85">
        <v>0</v>
      </c>
      <c r="CA85">
        <v>0</v>
      </c>
      <c r="CB85">
        <v>18.944337811900187</v>
      </c>
      <c r="CC85">
        <v>2841.650671785028</v>
      </c>
      <c r="CD85">
        <v>8.734177215189872</v>
      </c>
      <c r="CE85">
        <v>1310.1265822784808</v>
      </c>
      <c r="CF85">
        <v>6.8955223880597005</v>
      </c>
      <c r="CG85">
        <v>1034.328358208955</v>
      </c>
      <c r="CH85">
        <v>10.632075471698112</v>
      </c>
      <c r="CI85">
        <v>1594.8113207547169</v>
      </c>
      <c r="CJ85">
        <v>9.3680297397769507</v>
      </c>
      <c r="CK85">
        <v>1405.2044609665427</v>
      </c>
      <c r="CL85">
        <v>10.387096774193548</v>
      </c>
      <c r="CM85">
        <v>1558.0645161290322</v>
      </c>
      <c r="CN85">
        <v>7.326492537313432</v>
      </c>
      <c r="CO85">
        <v>1098.9738805970148</v>
      </c>
      <c r="CP85">
        <v>9.7276707530647979</v>
      </c>
      <c r="CQ85">
        <v>1459.1506129597196</v>
      </c>
      <c r="CR85">
        <v>0.41515650741350901</v>
      </c>
      <c r="CS85">
        <v>62.273476112026351</v>
      </c>
      <c r="CT85">
        <v>7.6730769230769216</v>
      </c>
      <c r="CU85">
        <v>1150.9615384615383</v>
      </c>
    </row>
    <row r="86" spans="2:99" x14ac:dyDescent="0.2">
      <c r="C86" s="118" t="s">
        <v>252</v>
      </c>
      <c r="D86">
        <v>8.03347280334728</v>
      </c>
      <c r="E86">
        <v>4338.0753138075315</v>
      </c>
      <c r="F86">
        <v>19</v>
      </c>
      <c r="G86">
        <v>10260</v>
      </c>
      <c r="H86">
        <v>15</v>
      </c>
      <c r="I86">
        <v>8100</v>
      </c>
      <c r="J86">
        <v>8.7927645500531675</v>
      </c>
      <c r="K86">
        <v>4748.0928570287106</v>
      </c>
      <c r="L86">
        <v>8.9628865979381445</v>
      </c>
      <c r="M86">
        <v>4839.9587628865984</v>
      </c>
      <c r="N86">
        <v>0</v>
      </c>
      <c r="O86">
        <v>0</v>
      </c>
      <c r="P86">
        <v>16.505395683453237</v>
      </c>
      <c r="Q86">
        <v>8912.9136690647483</v>
      </c>
      <c r="R86">
        <v>9.9587628865979365</v>
      </c>
      <c r="S86">
        <v>5377.7319587628854</v>
      </c>
      <c r="T86">
        <v>8.7027027027027017</v>
      </c>
      <c r="U86">
        <v>4699.4594594594591</v>
      </c>
      <c r="V86">
        <v>0</v>
      </c>
      <c r="W86">
        <v>0</v>
      </c>
      <c r="X86">
        <v>17.563636363636359</v>
      </c>
      <c r="Y86">
        <v>9484.3636363636342</v>
      </c>
      <c r="Z86">
        <v>0</v>
      </c>
      <c r="AA86">
        <v>0</v>
      </c>
      <c r="AB86">
        <v>7.5162689804772223</v>
      </c>
      <c r="AC86">
        <v>4058.7852494577</v>
      </c>
      <c r="AD86">
        <v>9.6305732484076412</v>
      </c>
      <c r="AE86">
        <v>5200.5095541401261</v>
      </c>
      <c r="AF86">
        <v>9.1132075471698091</v>
      </c>
      <c r="AG86">
        <v>4921.1320754716971</v>
      </c>
      <c r="AH86">
        <v>10.648148148148147</v>
      </c>
      <c r="AI86">
        <v>5749.9999999999991</v>
      </c>
      <c r="AJ86">
        <v>12</v>
      </c>
      <c r="AK86">
        <v>6480</v>
      </c>
      <c r="AL86">
        <v>2.2266401590457234</v>
      </c>
      <c r="AM86">
        <v>1202.3856858846907</v>
      </c>
      <c r="AN86">
        <v>15.681818181818178</v>
      </c>
      <c r="AO86">
        <v>8468.1818181818162</v>
      </c>
      <c r="AP86">
        <v>7.7608695652173907</v>
      </c>
      <c r="AQ86">
        <v>4190.869565217391</v>
      </c>
      <c r="AR86">
        <v>7.3707360861759419</v>
      </c>
      <c r="AS86">
        <v>3980.1974865350085</v>
      </c>
      <c r="AT86">
        <v>0</v>
      </c>
      <c r="AU86">
        <v>0</v>
      </c>
      <c r="AV86">
        <v>6.9282786885245891</v>
      </c>
      <c r="AW86">
        <v>3741.2704918032782</v>
      </c>
      <c r="AX86">
        <v>15.795180722891565</v>
      </c>
      <c r="AY86">
        <v>8529.3975903614446</v>
      </c>
      <c r="AZ86">
        <v>7.6148648648648631</v>
      </c>
      <c r="BA86">
        <v>4112.0270270270257</v>
      </c>
      <c r="BB86">
        <v>0</v>
      </c>
      <c r="BC86">
        <v>0</v>
      </c>
      <c r="BD86">
        <v>18</v>
      </c>
      <c r="BE86">
        <v>9720</v>
      </c>
      <c r="BF86">
        <v>6.6555118110236213</v>
      </c>
      <c r="BG86">
        <v>3593.9763779527557</v>
      </c>
      <c r="BH86">
        <v>9.8597560975609753</v>
      </c>
      <c r="BI86">
        <v>5324.2682926829266</v>
      </c>
      <c r="BJ86">
        <v>0.39873417721518989</v>
      </c>
      <c r="BK86">
        <v>215.31645569620255</v>
      </c>
      <c r="BL86">
        <v>16.077504725897917</v>
      </c>
      <c r="BM86">
        <v>8681.8525519848754</v>
      </c>
      <c r="BN86">
        <v>0.25852272727272724</v>
      </c>
      <c r="BO86">
        <v>139.60227272727272</v>
      </c>
      <c r="BP86">
        <v>18.489130434782609</v>
      </c>
      <c r="BQ86">
        <v>9984.1304347826099</v>
      </c>
      <c r="BR86">
        <v>8.8312236286919816</v>
      </c>
      <c r="BS86">
        <v>4768.8607594936702</v>
      </c>
      <c r="BT86">
        <v>10.301886792452828</v>
      </c>
      <c r="BU86">
        <v>5563.0188679245275</v>
      </c>
      <c r="BV86">
        <v>9.1050269299820457</v>
      </c>
      <c r="BW86">
        <v>4916.7145421903042</v>
      </c>
      <c r="BX86">
        <v>7.1019417475728144</v>
      </c>
      <c r="BY86">
        <v>3835.0485436893196</v>
      </c>
      <c r="BZ86">
        <v>0</v>
      </c>
      <c r="CA86">
        <v>0</v>
      </c>
      <c r="CB86">
        <v>17.04990403071017</v>
      </c>
      <c r="CC86">
        <v>9206.9481765834917</v>
      </c>
      <c r="CD86">
        <v>8.2974683544303787</v>
      </c>
      <c r="CE86">
        <v>4480.6329113924048</v>
      </c>
      <c r="CF86">
        <v>6.8955223880597005</v>
      </c>
      <c r="CG86">
        <v>3723.5820895522384</v>
      </c>
      <c r="CH86">
        <v>9.8726415094339615</v>
      </c>
      <c r="CI86">
        <v>5331.2264150943392</v>
      </c>
      <c r="CJ86">
        <v>9.3680297397769507</v>
      </c>
      <c r="CK86">
        <v>5058.7360594795537</v>
      </c>
      <c r="CL86">
        <v>10.75806451612903</v>
      </c>
      <c r="CM86">
        <v>5809.3548387096762</v>
      </c>
      <c r="CN86">
        <v>6.8955223880597005</v>
      </c>
      <c r="CO86">
        <v>3723.5820895522384</v>
      </c>
      <c r="CP86">
        <v>8.4588441330998236</v>
      </c>
      <c r="CQ86">
        <v>4567.7758318739052</v>
      </c>
      <c r="CR86">
        <v>0.38056013179571663</v>
      </c>
      <c r="CS86">
        <v>205.50247116968697</v>
      </c>
      <c r="CT86">
        <v>7.6730769230769216</v>
      </c>
      <c r="CU86">
        <v>4143.4615384615372</v>
      </c>
    </row>
    <row r="87" spans="2:99" x14ac:dyDescent="0.2">
      <c r="B87" s="118" t="s">
        <v>131</v>
      </c>
      <c r="C87" s="118" t="s">
        <v>253</v>
      </c>
      <c r="D87">
        <v>5.5230125523012559</v>
      </c>
      <c r="E87">
        <v>10796.384937238494</v>
      </c>
      <c r="F87">
        <v>10</v>
      </c>
      <c r="G87">
        <v>19548</v>
      </c>
      <c r="H87">
        <v>12</v>
      </c>
      <c r="I87">
        <v>23457.599999999999</v>
      </c>
      <c r="J87">
        <v>5.8618430333687783</v>
      </c>
      <c r="K87">
        <v>11458.730761629287</v>
      </c>
      <c r="L87">
        <v>3.9835051546391753</v>
      </c>
      <c r="M87">
        <v>7786.95587628866</v>
      </c>
      <c r="N87">
        <v>0</v>
      </c>
      <c r="O87">
        <v>0</v>
      </c>
      <c r="P87">
        <v>7.8183453237410063</v>
      </c>
      <c r="Q87">
        <v>15283.301438848919</v>
      </c>
      <c r="R87">
        <v>6.6391752577319583</v>
      </c>
      <c r="S87">
        <v>12978.259793814432</v>
      </c>
      <c r="T87">
        <v>6.5270270270270263</v>
      </c>
      <c r="U87">
        <v>12759.03243243243</v>
      </c>
      <c r="V87">
        <v>0</v>
      </c>
      <c r="W87">
        <v>0</v>
      </c>
      <c r="X87">
        <v>7.8060606060606048</v>
      </c>
      <c r="Y87">
        <v>15259.28727272727</v>
      </c>
      <c r="Z87">
        <v>0</v>
      </c>
      <c r="AA87">
        <v>0</v>
      </c>
      <c r="AB87">
        <v>5.0108459869848145</v>
      </c>
      <c r="AC87">
        <v>9795.2017353579158</v>
      </c>
      <c r="AD87">
        <v>4.8152866242038206</v>
      </c>
      <c r="AE87">
        <v>9412.9222929936277</v>
      </c>
      <c r="AF87">
        <v>4.9071117561683595</v>
      </c>
      <c r="AG87">
        <v>9592.4220609579097</v>
      </c>
      <c r="AH87">
        <v>4.2592592592592586</v>
      </c>
      <c r="AI87">
        <v>8325.9999999999982</v>
      </c>
      <c r="AJ87">
        <v>9</v>
      </c>
      <c r="AK87">
        <v>17593.2</v>
      </c>
      <c r="AL87">
        <v>1.1133200795228617</v>
      </c>
      <c r="AM87">
        <v>2176.31809145129</v>
      </c>
      <c r="AN87">
        <v>10.193181818181817</v>
      </c>
      <c r="AO87">
        <v>19925.631818181813</v>
      </c>
      <c r="AP87">
        <v>5.0217391304347823</v>
      </c>
      <c r="AQ87">
        <v>9816.4956521739114</v>
      </c>
      <c r="AR87">
        <v>3.9021543985637335</v>
      </c>
      <c r="AS87">
        <v>7627.9314183123861</v>
      </c>
      <c r="AT87">
        <v>0</v>
      </c>
      <c r="AU87">
        <v>0</v>
      </c>
      <c r="AV87">
        <v>6.433401639344261</v>
      </c>
      <c r="AW87">
        <v>12576.013524590162</v>
      </c>
      <c r="AX87">
        <v>9.1445783132530103</v>
      </c>
      <c r="AY87">
        <v>17875.821686746986</v>
      </c>
      <c r="AZ87">
        <v>4.8952702702702702</v>
      </c>
      <c r="BA87">
        <v>9569.274324324324</v>
      </c>
      <c r="BB87">
        <v>0</v>
      </c>
      <c r="BC87">
        <v>0</v>
      </c>
      <c r="BD87">
        <v>11.999999999999998</v>
      </c>
      <c r="BE87">
        <v>23457.599999999995</v>
      </c>
      <c r="BF87">
        <v>7.1309055118110223</v>
      </c>
      <c r="BG87">
        <v>13939.494094488186</v>
      </c>
      <c r="BH87">
        <v>4.5777439024390238</v>
      </c>
      <c r="BI87">
        <v>8948.5737804878045</v>
      </c>
      <c r="BJ87">
        <v>0.16613924050632911</v>
      </c>
      <c r="BK87">
        <v>324.76898734177212</v>
      </c>
      <c r="BL87">
        <v>10.718336483931946</v>
      </c>
      <c r="BM87">
        <v>20952.204158790166</v>
      </c>
      <c r="BN87">
        <v>0.33806818181818182</v>
      </c>
      <c r="BO87">
        <v>660.85568181818178</v>
      </c>
      <c r="BP87">
        <v>7.5326086956521729</v>
      </c>
      <c r="BQ87">
        <v>14724.743478260867</v>
      </c>
      <c r="BR87">
        <v>5.7742616033755265</v>
      </c>
      <c r="BS87">
        <v>11287.526582278479</v>
      </c>
      <c r="BT87">
        <v>6.3396226415094334</v>
      </c>
      <c r="BU87">
        <v>12392.69433962264</v>
      </c>
      <c r="BV87">
        <v>6.0700179533213641</v>
      </c>
      <c r="BW87">
        <v>11865.671095152602</v>
      </c>
      <c r="BX87">
        <v>4.1116504854368925</v>
      </c>
      <c r="BY87">
        <v>8037.4543689320371</v>
      </c>
      <c r="BZ87">
        <v>0</v>
      </c>
      <c r="CA87">
        <v>0</v>
      </c>
      <c r="CB87">
        <v>8.5249520153550851</v>
      </c>
      <c r="CC87">
        <v>16664.57619961612</v>
      </c>
      <c r="CD87">
        <v>6.5506329113924044</v>
      </c>
      <c r="CE87">
        <v>12805.177215189871</v>
      </c>
      <c r="CF87">
        <v>6.8955223880597005</v>
      </c>
      <c r="CG87">
        <v>13479.367164179102</v>
      </c>
      <c r="CH87">
        <v>3.7971698113207544</v>
      </c>
      <c r="CI87">
        <v>7422.7075471698108</v>
      </c>
      <c r="CJ87">
        <v>4.2156133828996269</v>
      </c>
      <c r="CK87">
        <v>8240.6810408921901</v>
      </c>
      <c r="CL87">
        <v>3.7096774193548381</v>
      </c>
      <c r="CM87">
        <v>7251.6774193548372</v>
      </c>
      <c r="CN87">
        <v>4.7406716417910442</v>
      </c>
      <c r="CO87">
        <v>9267.0649253731335</v>
      </c>
      <c r="CP87">
        <v>3.8064798598949205</v>
      </c>
      <c r="CQ87">
        <v>7440.9068301225907</v>
      </c>
      <c r="CR87">
        <v>0.1556836902800659</v>
      </c>
      <c r="CS87">
        <v>304.33047775947284</v>
      </c>
      <c r="CT87">
        <v>3.6346153846153846</v>
      </c>
      <c r="CU87">
        <v>7104.9461538461537</v>
      </c>
    </row>
    <row r="88" spans="2:99" x14ac:dyDescent="0.2">
      <c r="C88" s="118" t="s">
        <v>254</v>
      </c>
      <c r="D88">
        <v>6.02510460251046</v>
      </c>
      <c r="E88">
        <v>11401.907949790793</v>
      </c>
      <c r="F88">
        <v>11</v>
      </c>
      <c r="G88">
        <v>20816.399999999998</v>
      </c>
      <c r="H88">
        <v>10</v>
      </c>
      <c r="I88">
        <v>18924</v>
      </c>
      <c r="J88">
        <v>6.4480273367056569</v>
      </c>
      <c r="K88">
        <v>12202.246931981785</v>
      </c>
      <c r="L88">
        <v>4.9793814432989691</v>
      </c>
      <c r="M88">
        <v>9422.9814432989679</v>
      </c>
      <c r="N88">
        <v>0</v>
      </c>
      <c r="O88">
        <v>0</v>
      </c>
      <c r="P88">
        <v>8.6870503597122291</v>
      </c>
      <c r="Q88">
        <v>16439.374100719422</v>
      </c>
      <c r="R88">
        <v>5.8092783505154637</v>
      </c>
      <c r="S88">
        <v>10993.478350515463</v>
      </c>
      <c r="T88">
        <v>6.5270270270270263</v>
      </c>
      <c r="U88">
        <v>12351.745945945944</v>
      </c>
      <c r="V88">
        <v>0</v>
      </c>
      <c r="W88">
        <v>0</v>
      </c>
      <c r="X88">
        <v>8.7818181818181795</v>
      </c>
      <c r="Y88">
        <v>16618.712727272723</v>
      </c>
      <c r="Z88">
        <v>0</v>
      </c>
      <c r="AA88">
        <v>0</v>
      </c>
      <c r="AB88">
        <v>5.0108459869848145</v>
      </c>
      <c r="AC88">
        <v>9482.5249457700629</v>
      </c>
      <c r="AD88">
        <v>4.4140127388535024</v>
      </c>
      <c r="AE88">
        <v>8353.0777070063668</v>
      </c>
      <c r="AF88">
        <v>4.9071117561683595</v>
      </c>
      <c r="AG88">
        <v>9286.2182873730035</v>
      </c>
      <c r="AH88">
        <v>4.6851851851851842</v>
      </c>
      <c r="AI88">
        <v>8866.2444444444427</v>
      </c>
      <c r="AJ88">
        <v>8</v>
      </c>
      <c r="AK88">
        <v>15139.199999999999</v>
      </c>
      <c r="AL88">
        <v>1.2524850894632196</v>
      </c>
      <c r="AM88">
        <v>2370.2027833001966</v>
      </c>
      <c r="AN88">
        <v>11.761363636363635</v>
      </c>
      <c r="AO88">
        <v>22257.20454545454</v>
      </c>
      <c r="AP88">
        <v>4.5652173913043477</v>
      </c>
      <c r="AQ88">
        <v>8639.2173913043462</v>
      </c>
      <c r="AR88">
        <v>3.9021543985637335</v>
      </c>
      <c r="AS88">
        <v>7384.4369838420089</v>
      </c>
      <c r="AT88">
        <v>0</v>
      </c>
      <c r="AU88">
        <v>0</v>
      </c>
      <c r="AV88">
        <v>6.9282786885245891</v>
      </c>
      <c r="AW88">
        <v>13111.074590163931</v>
      </c>
      <c r="AX88">
        <v>9.975903614457831</v>
      </c>
      <c r="AY88">
        <v>18878.399999999998</v>
      </c>
      <c r="AZ88">
        <v>5.9831081081081079</v>
      </c>
      <c r="BA88">
        <v>11322.433783783783</v>
      </c>
      <c r="BB88">
        <v>0</v>
      </c>
      <c r="BC88">
        <v>0</v>
      </c>
      <c r="BD88">
        <v>11.249999999999998</v>
      </c>
      <c r="BE88">
        <v>21289.499999999996</v>
      </c>
      <c r="BF88">
        <v>8.081692913385826</v>
      </c>
      <c r="BG88">
        <v>15293.795669291336</v>
      </c>
      <c r="BH88">
        <v>4.9298780487804876</v>
      </c>
      <c r="BI88">
        <v>9329.3012195121937</v>
      </c>
      <c r="BJ88">
        <v>0.14952531645569619</v>
      </c>
      <c r="BK88">
        <v>282.96170886075947</v>
      </c>
      <c r="BL88">
        <v>10.718336483931946</v>
      </c>
      <c r="BM88">
        <v>20283.379962192812</v>
      </c>
      <c r="BN88">
        <v>0.33806818181818182</v>
      </c>
      <c r="BO88">
        <v>639.76022727272721</v>
      </c>
      <c r="BP88">
        <v>8.2173913043478244</v>
      </c>
      <c r="BQ88">
        <v>15550.591304347821</v>
      </c>
      <c r="BR88">
        <v>5.7742616033755265</v>
      </c>
      <c r="BS88">
        <v>10927.212658227845</v>
      </c>
      <c r="BT88">
        <v>5.5471698113207539</v>
      </c>
      <c r="BU88">
        <v>10497.464150943393</v>
      </c>
      <c r="BV88">
        <v>6.0700179533213641</v>
      </c>
      <c r="BW88">
        <v>11486.901974865348</v>
      </c>
      <c r="BX88">
        <v>4.4854368932038824</v>
      </c>
      <c r="BY88">
        <v>8488.2407766990273</v>
      </c>
      <c r="BZ88">
        <v>0</v>
      </c>
      <c r="CA88">
        <v>0</v>
      </c>
      <c r="CB88">
        <v>9.4721689059500935</v>
      </c>
      <c r="CC88">
        <v>17925.132437619955</v>
      </c>
      <c r="CD88">
        <v>6.5506329113924044</v>
      </c>
      <c r="CE88">
        <v>12396.417721518985</v>
      </c>
      <c r="CF88">
        <v>6.46455223880597</v>
      </c>
      <c r="CG88">
        <v>12233.518656716416</v>
      </c>
      <c r="CH88">
        <v>4.1768867924528292</v>
      </c>
      <c r="CI88">
        <v>7904.3405660377339</v>
      </c>
      <c r="CJ88">
        <v>4.2156133828996269</v>
      </c>
      <c r="CK88">
        <v>7977.6267657992539</v>
      </c>
      <c r="CL88">
        <v>3.7096774193548381</v>
      </c>
      <c r="CM88">
        <v>7020.1935483870948</v>
      </c>
      <c r="CN88">
        <v>5.1716417910447756</v>
      </c>
      <c r="CO88">
        <v>9786.8149253731335</v>
      </c>
      <c r="CP88">
        <v>4.2294220665499118</v>
      </c>
      <c r="CQ88">
        <v>8003.7583187390528</v>
      </c>
      <c r="CR88">
        <v>0.17298187808896209</v>
      </c>
      <c r="CS88">
        <v>327.35090609555186</v>
      </c>
      <c r="CT88">
        <v>4.0384615384615383</v>
      </c>
      <c r="CU88">
        <v>7642.3846153846143</v>
      </c>
    </row>
    <row r="89" spans="2:99" x14ac:dyDescent="0.2">
      <c r="C89" s="118" t="s">
        <v>255</v>
      </c>
      <c r="D89">
        <v>5.5230125523012559</v>
      </c>
      <c r="E89">
        <v>13241.97489539749</v>
      </c>
      <c r="F89">
        <v>10</v>
      </c>
      <c r="G89">
        <v>23976</v>
      </c>
      <c r="H89">
        <v>9</v>
      </c>
      <c r="I89">
        <v>21578.399999999998</v>
      </c>
      <c r="J89">
        <v>5.8618430333687783</v>
      </c>
      <c r="K89">
        <v>14054.354856804983</v>
      </c>
      <c r="L89">
        <v>4.9793814432989691</v>
      </c>
      <c r="M89">
        <v>11938.564948453608</v>
      </c>
      <c r="N89">
        <v>0</v>
      </c>
      <c r="O89">
        <v>0</v>
      </c>
      <c r="P89">
        <v>6.9496402877697836</v>
      </c>
      <c r="Q89">
        <v>16662.457553956832</v>
      </c>
      <c r="R89">
        <v>6.6391752577319583</v>
      </c>
      <c r="S89">
        <v>15918.086597938143</v>
      </c>
      <c r="T89">
        <v>6.0918918918918914</v>
      </c>
      <c r="U89">
        <v>14605.919999999998</v>
      </c>
      <c r="V89">
        <v>0</v>
      </c>
      <c r="W89">
        <v>0</v>
      </c>
      <c r="X89">
        <v>7.8060606060606048</v>
      </c>
      <c r="Y89">
        <v>18715.810909090906</v>
      </c>
      <c r="Z89">
        <v>0</v>
      </c>
      <c r="AA89">
        <v>0</v>
      </c>
      <c r="AB89">
        <v>4.5097613882863339</v>
      </c>
      <c r="AC89">
        <v>10812.603904555313</v>
      </c>
      <c r="AD89">
        <v>4.4140127388535024</v>
      </c>
      <c r="AE89">
        <v>10583.036942675157</v>
      </c>
      <c r="AF89">
        <v>4.5566037735849045</v>
      </c>
      <c r="AG89">
        <v>10924.913207547166</v>
      </c>
      <c r="AH89">
        <v>3.8333333333333326</v>
      </c>
      <c r="AI89">
        <v>9190.7999999999975</v>
      </c>
      <c r="AJ89">
        <v>8</v>
      </c>
      <c r="AK89">
        <v>19180.8</v>
      </c>
      <c r="AL89">
        <v>1.2524850894632196</v>
      </c>
      <c r="AM89">
        <v>3002.9582504970153</v>
      </c>
      <c r="AN89">
        <v>10.977272727272727</v>
      </c>
      <c r="AO89">
        <v>26319.109090909089</v>
      </c>
      <c r="AP89">
        <v>4.5652173913043477</v>
      </c>
      <c r="AQ89">
        <v>10945.565217391304</v>
      </c>
      <c r="AR89">
        <v>3.9021543985637335</v>
      </c>
      <c r="AS89">
        <v>9355.8053859964075</v>
      </c>
      <c r="AT89">
        <v>0</v>
      </c>
      <c r="AU89">
        <v>0</v>
      </c>
      <c r="AV89">
        <v>5.9385245901639339</v>
      </c>
      <c r="AW89">
        <v>14238.206557377047</v>
      </c>
      <c r="AX89">
        <v>9.1445783132530103</v>
      </c>
      <c r="AY89">
        <v>21925.040963855416</v>
      </c>
      <c r="AZ89">
        <v>4.8952702702702702</v>
      </c>
      <c r="BA89">
        <v>11736.9</v>
      </c>
      <c r="BB89">
        <v>0</v>
      </c>
      <c r="BC89">
        <v>0</v>
      </c>
      <c r="BD89">
        <v>11.999999999999998</v>
      </c>
      <c r="BE89">
        <v>28771.199999999993</v>
      </c>
      <c r="BF89">
        <v>7.6062992125984241</v>
      </c>
      <c r="BG89">
        <v>18236.862992125982</v>
      </c>
      <c r="BH89">
        <v>4.2256097560975601</v>
      </c>
      <c r="BI89">
        <v>10131.32195121951</v>
      </c>
      <c r="BJ89">
        <v>0.13291139240506328</v>
      </c>
      <c r="BK89">
        <v>318.66835443037968</v>
      </c>
      <c r="BL89">
        <v>11.611531190926273</v>
      </c>
      <c r="BM89">
        <v>27839.807183364832</v>
      </c>
      <c r="BN89">
        <v>0.31818181818181818</v>
      </c>
      <c r="BO89">
        <v>762.87272727272727</v>
      </c>
      <c r="BP89">
        <v>6.8478260869565206</v>
      </c>
      <c r="BQ89">
        <v>16418.347826086952</v>
      </c>
      <c r="BR89">
        <v>5.0949367088607591</v>
      </c>
      <c r="BS89">
        <v>12215.620253164556</v>
      </c>
      <c r="BT89">
        <v>5.1509433962264142</v>
      </c>
      <c r="BU89">
        <v>12349.90188679245</v>
      </c>
      <c r="BV89">
        <v>5.2028725314183122</v>
      </c>
      <c r="BW89">
        <v>12474.407181328545</v>
      </c>
      <c r="BX89">
        <v>3.7378640776699021</v>
      </c>
      <c r="BY89">
        <v>8961.9029126213572</v>
      </c>
      <c r="BZ89">
        <v>0</v>
      </c>
      <c r="CA89">
        <v>0</v>
      </c>
      <c r="CB89">
        <v>9.4721689059500935</v>
      </c>
      <c r="CC89">
        <v>22710.472168905944</v>
      </c>
      <c r="CD89">
        <v>6.1139240506329102</v>
      </c>
      <c r="CE89">
        <v>14658.744303797464</v>
      </c>
      <c r="CF89">
        <v>6.8955223880597005</v>
      </c>
      <c r="CG89">
        <v>16532.704477611936</v>
      </c>
      <c r="CH89">
        <v>4.1768867924528292</v>
      </c>
      <c r="CI89">
        <v>10014.503773584904</v>
      </c>
      <c r="CJ89">
        <v>4.6840148698884754</v>
      </c>
      <c r="CK89">
        <v>11230.394052044609</v>
      </c>
      <c r="CL89">
        <v>3.3387096774193545</v>
      </c>
      <c r="CM89">
        <v>8004.8903225806444</v>
      </c>
      <c r="CN89">
        <v>4.3097014925373127</v>
      </c>
      <c r="CO89">
        <v>10332.940298507461</v>
      </c>
      <c r="CP89">
        <v>3.8064798598949205</v>
      </c>
      <c r="CQ89">
        <v>9126.4161120840618</v>
      </c>
      <c r="CR89">
        <v>0.17298187808896209</v>
      </c>
      <c r="CS89">
        <v>414.74135090609548</v>
      </c>
      <c r="CT89">
        <v>3.6346153846153846</v>
      </c>
      <c r="CU89">
        <v>8714.3538461538465</v>
      </c>
    </row>
    <row r="90" spans="2:99" x14ac:dyDescent="0.2">
      <c r="C90" s="118" t="s">
        <v>256</v>
      </c>
      <c r="D90">
        <v>6.02510460251046</v>
      </c>
      <c r="E90">
        <v>13238.359832635982</v>
      </c>
      <c r="F90">
        <v>9</v>
      </c>
      <c r="G90">
        <v>19774.8</v>
      </c>
      <c r="H90">
        <v>10</v>
      </c>
      <c r="I90">
        <v>21972</v>
      </c>
      <c r="J90">
        <v>6.4480273367056569</v>
      </c>
      <c r="K90">
        <v>14167.605664209668</v>
      </c>
      <c r="L90">
        <v>4.4814432989690722</v>
      </c>
      <c r="M90">
        <v>9846.6272164948441</v>
      </c>
      <c r="N90">
        <v>0</v>
      </c>
      <c r="O90">
        <v>0</v>
      </c>
      <c r="P90">
        <v>7.8183453237410063</v>
      </c>
      <c r="Q90">
        <v>17178.468345323738</v>
      </c>
      <c r="R90">
        <v>5.8092783505154637</v>
      </c>
      <c r="S90">
        <v>12764.146391752576</v>
      </c>
      <c r="T90">
        <v>6.0918918918918914</v>
      </c>
      <c r="U90">
        <v>13385.104864864863</v>
      </c>
      <c r="V90">
        <v>0</v>
      </c>
      <c r="W90">
        <v>0</v>
      </c>
      <c r="X90">
        <v>7.8060606060606048</v>
      </c>
      <c r="Y90">
        <v>17151.47636363636</v>
      </c>
      <c r="Z90">
        <v>0</v>
      </c>
      <c r="AA90">
        <v>0</v>
      </c>
      <c r="AB90">
        <v>4.5097613882863339</v>
      </c>
      <c r="AC90">
        <v>9908.8477223427326</v>
      </c>
      <c r="AD90">
        <v>4.4140127388535024</v>
      </c>
      <c r="AE90">
        <v>9698.4687898089142</v>
      </c>
      <c r="AF90">
        <v>4.5566037735849045</v>
      </c>
      <c r="AG90">
        <v>10011.769811320752</v>
      </c>
      <c r="AH90">
        <v>3.8333333333333326</v>
      </c>
      <c r="AI90">
        <v>8422.5999999999985</v>
      </c>
      <c r="AJ90">
        <v>8</v>
      </c>
      <c r="AK90">
        <v>17577.599999999999</v>
      </c>
      <c r="AL90">
        <v>1.2524850894632196</v>
      </c>
      <c r="AM90">
        <v>2751.9602385685857</v>
      </c>
      <c r="AN90">
        <v>10.193181818181817</v>
      </c>
      <c r="AO90">
        <v>22396.459090909084</v>
      </c>
      <c r="AP90">
        <v>5.0217391304347823</v>
      </c>
      <c r="AQ90">
        <v>11033.765217391303</v>
      </c>
      <c r="AR90">
        <v>3.468581687612208</v>
      </c>
      <c r="AS90">
        <v>7621.1676840215423</v>
      </c>
      <c r="AT90">
        <v>0</v>
      </c>
      <c r="AU90">
        <v>0</v>
      </c>
      <c r="AV90">
        <v>6.433401639344261</v>
      </c>
      <c r="AW90">
        <v>14135.470081967209</v>
      </c>
      <c r="AX90">
        <v>9.1445783132530103</v>
      </c>
      <c r="AY90">
        <v>20092.467469879513</v>
      </c>
      <c r="AZ90">
        <v>4.8952702702702702</v>
      </c>
      <c r="BA90">
        <v>10755.887837837836</v>
      </c>
      <c r="BB90">
        <v>0</v>
      </c>
      <c r="BC90">
        <v>0</v>
      </c>
      <c r="BD90">
        <v>12.749999999999998</v>
      </c>
      <c r="BE90">
        <v>28014.299999999992</v>
      </c>
      <c r="BF90">
        <v>8.081692913385826</v>
      </c>
      <c r="BG90">
        <v>17757.095669291335</v>
      </c>
      <c r="BH90">
        <v>4.2256097560975601</v>
      </c>
      <c r="BI90">
        <v>9284.5097560975573</v>
      </c>
      <c r="BJ90">
        <v>0.14952531645569619</v>
      </c>
      <c r="BK90">
        <v>328.53702531645564</v>
      </c>
      <c r="BL90">
        <v>10.718336483931946</v>
      </c>
      <c r="BM90">
        <v>23550.328922495271</v>
      </c>
      <c r="BN90">
        <v>0.29829545454545453</v>
      </c>
      <c r="BO90">
        <v>655.41477272727263</v>
      </c>
      <c r="BP90">
        <v>6.8478260869565206</v>
      </c>
      <c r="BQ90">
        <v>15046.043478260866</v>
      </c>
      <c r="BR90">
        <v>5.4345991561181428</v>
      </c>
      <c r="BS90">
        <v>11940.901265822782</v>
      </c>
      <c r="BT90">
        <v>5.1509433962264142</v>
      </c>
      <c r="BU90">
        <v>11317.652830188676</v>
      </c>
      <c r="BV90">
        <v>5.6364452423698372</v>
      </c>
      <c r="BW90">
        <v>12384.397486535005</v>
      </c>
      <c r="BX90">
        <v>4.1116504854368925</v>
      </c>
      <c r="BY90">
        <v>9034.1184466019386</v>
      </c>
      <c r="BZ90">
        <v>0</v>
      </c>
      <c r="CA90">
        <v>0</v>
      </c>
      <c r="CB90">
        <v>10.419385796545104</v>
      </c>
      <c r="CC90">
        <v>22893.474472168899</v>
      </c>
      <c r="CD90">
        <v>6.1139240506329102</v>
      </c>
      <c r="CE90">
        <v>13433.513924050629</v>
      </c>
      <c r="CF90">
        <v>7.326492537313432</v>
      </c>
      <c r="CG90">
        <v>16097.769402985072</v>
      </c>
      <c r="CH90">
        <v>4.5566037735849045</v>
      </c>
      <c r="CI90">
        <v>10011.769811320752</v>
      </c>
      <c r="CJ90">
        <v>4.6840148698884754</v>
      </c>
      <c r="CK90">
        <v>10291.717472118957</v>
      </c>
      <c r="CL90">
        <v>3.7096774193548381</v>
      </c>
      <c r="CM90">
        <v>8150.9032258064499</v>
      </c>
      <c r="CN90">
        <v>4.3097014925373127</v>
      </c>
      <c r="CO90">
        <v>9469.2761194029827</v>
      </c>
      <c r="CP90">
        <v>3.8064798598949205</v>
      </c>
      <c r="CQ90">
        <v>8363.5975481611185</v>
      </c>
      <c r="CR90">
        <v>0.17298187808896209</v>
      </c>
      <c r="CS90">
        <v>380.07578253706748</v>
      </c>
      <c r="CT90">
        <v>3.6346153846153846</v>
      </c>
      <c r="CU90">
        <v>7985.9769230769225</v>
      </c>
    </row>
    <row r="91" spans="2:99" x14ac:dyDescent="0.2">
      <c r="C91" s="118" t="s">
        <v>257</v>
      </c>
      <c r="D91">
        <v>5.5230125523012559</v>
      </c>
      <c r="E91">
        <v>12685.255230125524</v>
      </c>
      <c r="F91">
        <v>10</v>
      </c>
      <c r="G91">
        <v>22967.999999999996</v>
      </c>
      <c r="H91">
        <v>10</v>
      </c>
      <c r="I91">
        <v>22967.999999999996</v>
      </c>
      <c r="J91">
        <v>6.4480273367056569</v>
      </c>
      <c r="K91">
        <v>14809.829186945552</v>
      </c>
      <c r="L91">
        <v>4.4814432989690722</v>
      </c>
      <c r="M91">
        <v>10292.978969072165</v>
      </c>
      <c r="N91">
        <v>0</v>
      </c>
      <c r="O91">
        <v>0</v>
      </c>
      <c r="P91">
        <v>7.8183453237410063</v>
      </c>
      <c r="Q91">
        <v>17957.175539568339</v>
      </c>
      <c r="R91">
        <v>5.8092783505154637</v>
      </c>
      <c r="S91">
        <v>13342.750515463915</v>
      </c>
      <c r="T91">
        <v>6.0918918918918914</v>
      </c>
      <c r="U91">
        <v>13991.857297297294</v>
      </c>
      <c r="V91">
        <v>0</v>
      </c>
      <c r="W91">
        <v>0</v>
      </c>
      <c r="X91">
        <v>8.7818181818181795</v>
      </c>
      <c r="Y91">
        <v>20170.079999999991</v>
      </c>
      <c r="Z91">
        <v>0</v>
      </c>
      <c r="AA91">
        <v>0</v>
      </c>
      <c r="AB91">
        <v>5.0108459869848145</v>
      </c>
      <c r="AC91">
        <v>11508.91106290672</v>
      </c>
      <c r="AD91">
        <v>4.8152866242038206</v>
      </c>
      <c r="AE91">
        <v>11059.750318471333</v>
      </c>
      <c r="AF91">
        <v>4.5566037735849045</v>
      </c>
      <c r="AG91">
        <v>10465.607547169808</v>
      </c>
      <c r="AH91">
        <v>3.8333333333333326</v>
      </c>
      <c r="AI91">
        <v>8804.3999999999978</v>
      </c>
      <c r="AJ91">
        <v>8</v>
      </c>
      <c r="AK91">
        <v>18374.399999999998</v>
      </c>
      <c r="AL91">
        <v>1.1133200795228617</v>
      </c>
      <c r="AM91">
        <v>2557.0735586481087</v>
      </c>
      <c r="AN91">
        <v>10.977272727272727</v>
      </c>
      <c r="AO91">
        <v>25212.599999999995</v>
      </c>
      <c r="AP91">
        <v>5.0217391304347823</v>
      </c>
      <c r="AQ91">
        <v>11533.930434782607</v>
      </c>
      <c r="AR91">
        <v>3.9021543985637335</v>
      </c>
      <c r="AS91">
        <v>8962.4682226211826</v>
      </c>
      <c r="AT91">
        <v>0</v>
      </c>
      <c r="AU91">
        <v>0</v>
      </c>
      <c r="AV91">
        <v>6.433401639344261</v>
      </c>
      <c r="AW91">
        <v>14776.236885245897</v>
      </c>
      <c r="AX91">
        <v>9.1445783132530103</v>
      </c>
      <c r="AY91">
        <v>21003.267469879513</v>
      </c>
      <c r="AZ91">
        <v>4.8952702702702702</v>
      </c>
      <c r="BA91">
        <v>11243.456756756756</v>
      </c>
      <c r="BB91">
        <v>0</v>
      </c>
      <c r="BC91">
        <v>0</v>
      </c>
      <c r="BD91">
        <v>11.249999999999998</v>
      </c>
      <c r="BE91">
        <v>25838.999999999993</v>
      </c>
      <c r="BF91">
        <v>7.6062992125984241</v>
      </c>
      <c r="BG91">
        <v>17470.148031496057</v>
      </c>
      <c r="BH91">
        <v>4.5777439024390238</v>
      </c>
      <c r="BI91">
        <v>10514.162195121949</v>
      </c>
      <c r="BJ91">
        <v>0.14952531645569619</v>
      </c>
      <c r="BK91">
        <v>343.42974683544298</v>
      </c>
      <c r="BL91">
        <v>9.8251417769376168</v>
      </c>
      <c r="BM91">
        <v>22566.385633270314</v>
      </c>
      <c r="BN91">
        <v>0.31818181818181818</v>
      </c>
      <c r="BO91">
        <v>730.8</v>
      </c>
      <c r="BP91">
        <v>7.5326086956521729</v>
      </c>
      <c r="BQ91">
        <v>17300.895652173909</v>
      </c>
      <c r="BR91">
        <v>5.4345991561181428</v>
      </c>
      <c r="BS91">
        <v>12482.187341772149</v>
      </c>
      <c r="BT91">
        <v>5.9433962264150937</v>
      </c>
      <c r="BU91">
        <v>13650.792452830186</v>
      </c>
      <c r="BV91">
        <v>6.0700179533213641</v>
      </c>
      <c r="BW91">
        <v>13941.617235188507</v>
      </c>
      <c r="BX91">
        <v>3.7378640776699021</v>
      </c>
      <c r="BY91">
        <v>8585.1262135922298</v>
      </c>
      <c r="BZ91">
        <v>0</v>
      </c>
      <c r="CA91">
        <v>0</v>
      </c>
      <c r="CB91">
        <v>9.4721689059500935</v>
      </c>
      <c r="CC91">
        <v>21755.677543186172</v>
      </c>
      <c r="CD91">
        <v>5.6772151898734169</v>
      </c>
      <c r="CE91">
        <v>13039.427848101262</v>
      </c>
      <c r="CF91">
        <v>6.46455223880597</v>
      </c>
      <c r="CG91">
        <v>14847.783582089551</v>
      </c>
      <c r="CH91">
        <v>4.5566037735849045</v>
      </c>
      <c r="CI91">
        <v>10465.607547169808</v>
      </c>
      <c r="CJ91">
        <v>4.6840148698884754</v>
      </c>
      <c r="CK91">
        <v>10758.245353159849</v>
      </c>
      <c r="CL91">
        <v>3.3387096774193545</v>
      </c>
      <c r="CM91">
        <v>7668.348387096773</v>
      </c>
      <c r="CN91">
        <v>5.1716417910447756</v>
      </c>
      <c r="CO91">
        <v>11878.226865671639</v>
      </c>
      <c r="CP91">
        <v>4.2294220665499118</v>
      </c>
      <c r="CQ91">
        <v>9714.1366024518356</v>
      </c>
      <c r="CR91">
        <v>0.1556836902800659</v>
      </c>
      <c r="CS91">
        <v>357.57429983525532</v>
      </c>
      <c r="CT91">
        <v>3.6346153846153846</v>
      </c>
      <c r="CU91">
        <v>8347.9846153846138</v>
      </c>
    </row>
    <row r="92" spans="2:99" x14ac:dyDescent="0.2">
      <c r="C92" s="118" t="s">
        <v>258</v>
      </c>
      <c r="D92">
        <v>6.02510460251046</v>
      </c>
      <c r="E92">
        <v>8560.4686192468616</v>
      </c>
      <c r="F92">
        <v>9</v>
      </c>
      <c r="G92">
        <v>12787.199999999999</v>
      </c>
      <c r="H92">
        <v>12</v>
      </c>
      <c r="I92">
        <v>17049.599999999999</v>
      </c>
      <c r="J92">
        <v>5.8618430333687783</v>
      </c>
      <c r="K92">
        <v>8328.5065818103594</v>
      </c>
      <c r="L92">
        <v>4.9793814432989691</v>
      </c>
      <c r="M92">
        <v>7074.7051546391749</v>
      </c>
      <c r="N92">
        <v>0</v>
      </c>
      <c r="O92">
        <v>0</v>
      </c>
      <c r="P92">
        <v>7.8183453237410063</v>
      </c>
      <c r="Q92">
        <v>11108.305035971222</v>
      </c>
      <c r="R92">
        <v>7.0541237113402051</v>
      </c>
      <c r="S92">
        <v>10022.498969072163</v>
      </c>
      <c r="T92">
        <v>7.3972972972972961</v>
      </c>
      <c r="U92">
        <v>10510.079999999998</v>
      </c>
      <c r="V92">
        <v>0</v>
      </c>
      <c r="W92">
        <v>0</v>
      </c>
      <c r="X92">
        <v>7.8060606060606048</v>
      </c>
      <c r="Y92">
        <v>11090.850909090906</v>
      </c>
      <c r="Z92">
        <v>0</v>
      </c>
      <c r="AA92">
        <v>0</v>
      </c>
      <c r="AB92">
        <v>5.5119305856832961</v>
      </c>
      <c r="AC92">
        <v>7831.3509761388268</v>
      </c>
      <c r="AD92">
        <v>5.2165605095541396</v>
      </c>
      <c r="AE92">
        <v>7411.6891719745217</v>
      </c>
      <c r="AF92">
        <v>4.9071117561683595</v>
      </c>
      <c r="AG92">
        <v>6972.0243831640046</v>
      </c>
      <c r="AH92">
        <v>4.6851851851851842</v>
      </c>
      <c r="AI92">
        <v>6656.7111111111099</v>
      </c>
      <c r="AJ92">
        <v>9</v>
      </c>
      <c r="AK92">
        <v>12787.199999999999</v>
      </c>
      <c r="AL92">
        <v>1.3916500994035774</v>
      </c>
      <c r="AM92">
        <v>1977.2564612326028</v>
      </c>
      <c r="AN92">
        <v>10.977272727272727</v>
      </c>
      <c r="AO92">
        <v>15596.509090909089</v>
      </c>
      <c r="AP92">
        <v>5.4782608695652169</v>
      </c>
      <c r="AQ92">
        <v>7783.5130434782595</v>
      </c>
      <c r="AR92">
        <v>3.9021543985637335</v>
      </c>
      <c r="AS92">
        <v>5544.1809694793519</v>
      </c>
      <c r="AT92">
        <v>0</v>
      </c>
      <c r="AU92">
        <v>0</v>
      </c>
      <c r="AV92">
        <v>7.4231557377049171</v>
      </c>
      <c r="AW92">
        <v>10546.819672131145</v>
      </c>
      <c r="AX92">
        <v>9.1445783132530103</v>
      </c>
      <c r="AY92">
        <v>12992.616867469877</v>
      </c>
      <c r="AZ92">
        <v>5.4391891891891886</v>
      </c>
      <c r="BA92">
        <v>7727.9999999999991</v>
      </c>
      <c r="BB92">
        <v>0</v>
      </c>
      <c r="BC92">
        <v>0</v>
      </c>
      <c r="BD92">
        <v>11.999999999999998</v>
      </c>
      <c r="BE92">
        <v>17049.599999999999</v>
      </c>
      <c r="BF92">
        <v>9.0324803149606296</v>
      </c>
      <c r="BG92">
        <v>12833.348031496062</v>
      </c>
      <c r="BH92">
        <v>4.9298780487804876</v>
      </c>
      <c r="BI92">
        <v>7004.3707317073167</v>
      </c>
      <c r="BJ92">
        <v>0.16613924050632911</v>
      </c>
      <c r="BK92">
        <v>236.0506329113924</v>
      </c>
      <c r="BL92">
        <v>11.611531190926273</v>
      </c>
      <c r="BM92">
        <v>16497.663516068049</v>
      </c>
      <c r="BN92">
        <v>0.31818181818181818</v>
      </c>
      <c r="BO92">
        <v>452.07272727272726</v>
      </c>
      <c r="BP92">
        <v>8.9021739130434785</v>
      </c>
      <c r="BQ92">
        <v>12648.208695652174</v>
      </c>
      <c r="BR92">
        <v>5.7742616033755265</v>
      </c>
      <c r="BS92">
        <v>8204.0708860759478</v>
      </c>
      <c r="BT92">
        <v>5.9433962264150937</v>
      </c>
      <c r="BU92">
        <v>8444.3773584905648</v>
      </c>
      <c r="BV92">
        <v>6.0700179533213641</v>
      </c>
      <c r="BW92">
        <v>8624.2815080789933</v>
      </c>
      <c r="BX92">
        <v>4.1116504854368925</v>
      </c>
      <c r="BY92">
        <v>5841.8330097087364</v>
      </c>
      <c r="BZ92">
        <v>0</v>
      </c>
      <c r="CA92">
        <v>0</v>
      </c>
      <c r="CB92">
        <v>10.419385796545104</v>
      </c>
      <c r="CC92">
        <v>14803.863339731282</v>
      </c>
      <c r="CD92">
        <v>6.9873417721518978</v>
      </c>
      <c r="CE92">
        <v>9927.6151898734151</v>
      </c>
      <c r="CF92">
        <v>7.7574626865671634</v>
      </c>
      <c r="CG92">
        <v>11021.802985074626</v>
      </c>
      <c r="CH92">
        <v>4.1768867924528292</v>
      </c>
      <c r="CI92">
        <v>5934.5207547169794</v>
      </c>
      <c r="CJ92">
        <v>4.6840148698884754</v>
      </c>
      <c r="CK92">
        <v>6655.048327137546</v>
      </c>
      <c r="CL92">
        <v>3.7096774193548381</v>
      </c>
      <c r="CM92">
        <v>5270.7096774193542</v>
      </c>
      <c r="CN92">
        <v>5.6026119402985071</v>
      </c>
      <c r="CO92">
        <v>7960.1910447761184</v>
      </c>
      <c r="CP92">
        <v>3.8064798598949205</v>
      </c>
      <c r="CQ92">
        <v>5408.2465849387027</v>
      </c>
      <c r="CR92">
        <v>0.17298187808896209</v>
      </c>
      <c r="CS92">
        <v>245.77265238879733</v>
      </c>
      <c r="CT92">
        <v>3.6346153846153846</v>
      </c>
      <c r="CU92">
        <v>5164.0615384615385</v>
      </c>
    </row>
    <row r="93" spans="2:99" x14ac:dyDescent="0.2">
      <c r="C93" s="118" t="s">
        <v>259</v>
      </c>
      <c r="D93">
        <v>5.5230125523012559</v>
      </c>
      <c r="E93">
        <v>9788.9874476987443</v>
      </c>
      <c r="F93">
        <v>11</v>
      </c>
      <c r="G93">
        <v>19496.399999999998</v>
      </c>
      <c r="H93">
        <v>11</v>
      </c>
      <c r="I93">
        <v>19496.399999999998</v>
      </c>
      <c r="J93">
        <v>6.4480273367056569</v>
      </c>
      <c r="K93">
        <v>11428.483651577106</v>
      </c>
      <c r="L93">
        <v>4.9793814432989691</v>
      </c>
      <c r="M93">
        <v>8825.4556701030924</v>
      </c>
      <c r="N93">
        <v>0</v>
      </c>
      <c r="O93">
        <v>0</v>
      </c>
      <c r="P93">
        <v>8.6870503597122291</v>
      </c>
      <c r="Q93">
        <v>15396.928057553954</v>
      </c>
      <c r="R93">
        <v>7.0541237113402051</v>
      </c>
      <c r="S93">
        <v>12502.728865979379</v>
      </c>
      <c r="T93">
        <v>6.9621621621621612</v>
      </c>
      <c r="U93">
        <v>12339.736216216214</v>
      </c>
      <c r="V93">
        <v>0</v>
      </c>
      <c r="W93">
        <v>0</v>
      </c>
      <c r="X93">
        <v>8.7818181818181795</v>
      </c>
      <c r="Y93">
        <v>15564.894545454541</v>
      </c>
      <c r="Z93">
        <v>0</v>
      </c>
      <c r="AA93">
        <v>0</v>
      </c>
      <c r="AB93">
        <v>5.0108459869848145</v>
      </c>
      <c r="AC93">
        <v>8881.2234273318845</v>
      </c>
      <c r="AD93">
        <v>4.8152866242038206</v>
      </c>
      <c r="AE93">
        <v>8534.6140127388517</v>
      </c>
      <c r="AF93">
        <v>4.5566037735849045</v>
      </c>
      <c r="AG93">
        <v>8076.1245283018843</v>
      </c>
      <c r="AH93">
        <v>4.2592592592592586</v>
      </c>
      <c r="AI93">
        <v>7549.1111111111095</v>
      </c>
      <c r="AJ93">
        <v>10</v>
      </c>
      <c r="AK93">
        <v>17724</v>
      </c>
      <c r="AL93">
        <v>1.2524850894632196</v>
      </c>
      <c r="AM93">
        <v>2219.9045725646101</v>
      </c>
      <c r="AN93">
        <v>10.193181818181817</v>
      </c>
      <c r="AO93">
        <v>18066.395454545451</v>
      </c>
      <c r="AP93">
        <v>5.0217391304347823</v>
      </c>
      <c r="AQ93">
        <v>8900.5304347826077</v>
      </c>
      <c r="AR93">
        <v>3.9021543985637335</v>
      </c>
      <c r="AS93">
        <v>6916.1784560143606</v>
      </c>
      <c r="AT93">
        <v>0</v>
      </c>
      <c r="AU93">
        <v>0</v>
      </c>
      <c r="AV93">
        <v>6.433401639344261</v>
      </c>
      <c r="AW93">
        <v>11402.561065573767</v>
      </c>
      <c r="AX93">
        <v>8.3132530120481913</v>
      </c>
      <c r="AY93">
        <v>14734.409638554213</v>
      </c>
      <c r="AZ93">
        <v>4.8952702702702702</v>
      </c>
      <c r="BA93">
        <v>8676.377027027027</v>
      </c>
      <c r="BB93">
        <v>0</v>
      </c>
      <c r="BC93">
        <v>0</v>
      </c>
      <c r="BD93">
        <v>11.999999999999998</v>
      </c>
      <c r="BE93">
        <v>21268.799999999996</v>
      </c>
      <c r="BF93">
        <v>7.1309055118110223</v>
      </c>
      <c r="BG93">
        <v>12638.816929133855</v>
      </c>
      <c r="BH93">
        <v>4.5777439024390238</v>
      </c>
      <c r="BI93">
        <v>8113.5932926829255</v>
      </c>
      <c r="BJ93">
        <v>0.13291139240506328</v>
      </c>
      <c r="BK93">
        <v>235.57215189873415</v>
      </c>
      <c r="BL93">
        <v>11.611531190926273</v>
      </c>
      <c r="BM93">
        <v>20580.277882797724</v>
      </c>
      <c r="BN93">
        <v>0.31818181818181818</v>
      </c>
      <c r="BO93">
        <v>563.94545454545448</v>
      </c>
      <c r="BP93">
        <v>6.8478260869565206</v>
      </c>
      <c r="BQ93">
        <v>12137.086956521736</v>
      </c>
      <c r="BR93">
        <v>5.0949367088607591</v>
      </c>
      <c r="BS93">
        <v>9030.2658227848096</v>
      </c>
      <c r="BT93">
        <v>5.9433962264150937</v>
      </c>
      <c r="BU93">
        <v>10534.075471698112</v>
      </c>
      <c r="BV93">
        <v>5.6364452423698372</v>
      </c>
      <c r="BW93">
        <v>9990.035547576299</v>
      </c>
      <c r="BX93">
        <v>4.4854368932038824</v>
      </c>
      <c r="BY93">
        <v>7949.9883495145605</v>
      </c>
      <c r="BZ93">
        <v>0</v>
      </c>
      <c r="CA93">
        <v>0</v>
      </c>
      <c r="CB93">
        <v>9.4721689059500935</v>
      </c>
      <c r="CC93">
        <v>16788.472168905944</v>
      </c>
      <c r="CD93">
        <v>6.1139240506329102</v>
      </c>
      <c r="CE93">
        <v>10836.318987341769</v>
      </c>
      <c r="CF93">
        <v>6.8955223880597005</v>
      </c>
      <c r="CG93">
        <v>12221.623880597012</v>
      </c>
      <c r="CH93">
        <v>4.1768867924528292</v>
      </c>
      <c r="CI93">
        <v>7403.1141509433937</v>
      </c>
      <c r="CJ93">
        <v>3.7472118959107799</v>
      </c>
      <c r="CK93">
        <v>6641.5583643122654</v>
      </c>
      <c r="CL93">
        <v>3.7096774193548381</v>
      </c>
      <c r="CM93">
        <v>6575.0322580645143</v>
      </c>
      <c r="CN93">
        <v>4.7406716417910442</v>
      </c>
      <c r="CO93">
        <v>8402.3664179104453</v>
      </c>
      <c r="CP93">
        <v>4.6523642732049035</v>
      </c>
      <c r="CQ93">
        <v>8245.8504378283706</v>
      </c>
      <c r="CR93">
        <v>0.1556836902800659</v>
      </c>
      <c r="CS93">
        <v>275.93377265238877</v>
      </c>
      <c r="CT93">
        <v>4.0384615384615383</v>
      </c>
      <c r="CU93">
        <v>7157.7692307692296</v>
      </c>
    </row>
    <row r="94" spans="2:99" x14ac:dyDescent="0.2">
      <c r="C94" s="118" t="s">
        <v>260</v>
      </c>
      <c r="D94">
        <v>5.5230125523012559</v>
      </c>
      <c r="E94">
        <v>13228.719665271967</v>
      </c>
      <c r="F94">
        <v>10</v>
      </c>
      <c r="G94">
        <v>23952</v>
      </c>
      <c r="H94">
        <v>11</v>
      </c>
      <c r="I94">
        <v>26347.199999999997</v>
      </c>
      <c r="J94">
        <v>5.8618430333687783</v>
      </c>
      <c r="K94">
        <v>14040.286433524896</v>
      </c>
      <c r="L94">
        <v>4.4814432989690722</v>
      </c>
      <c r="M94">
        <v>10733.952989690721</v>
      </c>
      <c r="N94">
        <v>0</v>
      </c>
      <c r="O94">
        <v>0</v>
      </c>
      <c r="P94">
        <v>6.9496402877697836</v>
      </c>
      <c r="Q94">
        <v>16645.778417266185</v>
      </c>
      <c r="R94">
        <v>6.2242268041237105</v>
      </c>
      <c r="S94">
        <v>14908.26804123711</v>
      </c>
      <c r="T94">
        <v>6.5270270270270263</v>
      </c>
      <c r="U94">
        <v>15633.535135135133</v>
      </c>
      <c r="V94">
        <v>0</v>
      </c>
      <c r="W94">
        <v>0</v>
      </c>
      <c r="X94">
        <v>7.8060606060606048</v>
      </c>
      <c r="Y94">
        <v>18697.076363636359</v>
      </c>
      <c r="Z94">
        <v>0</v>
      </c>
      <c r="AA94">
        <v>0</v>
      </c>
      <c r="AB94">
        <v>4.5097613882863339</v>
      </c>
      <c r="AC94">
        <v>10801.780477223427</v>
      </c>
      <c r="AD94">
        <v>4.8152866242038206</v>
      </c>
      <c r="AE94">
        <v>11533.574522292991</v>
      </c>
      <c r="AF94">
        <v>4.9071117561683595</v>
      </c>
      <c r="AG94">
        <v>11753.514078374454</v>
      </c>
      <c r="AH94">
        <v>3.8333333333333326</v>
      </c>
      <c r="AI94">
        <v>9181.5999999999967</v>
      </c>
      <c r="AJ94">
        <v>10</v>
      </c>
      <c r="AK94">
        <v>23952</v>
      </c>
      <c r="AL94">
        <v>1.2524850894632196</v>
      </c>
      <c r="AM94">
        <v>2999.9522862823032</v>
      </c>
      <c r="AN94">
        <v>9.4090909090909083</v>
      </c>
      <c r="AO94">
        <v>22536.654545454541</v>
      </c>
      <c r="AP94">
        <v>5.0217391304347823</v>
      </c>
      <c r="AQ94">
        <v>12028.069565217389</v>
      </c>
      <c r="AR94">
        <v>3.468581687612208</v>
      </c>
      <c r="AS94">
        <v>8307.9468581687597</v>
      </c>
      <c r="AT94">
        <v>0</v>
      </c>
      <c r="AU94">
        <v>0</v>
      </c>
      <c r="AV94">
        <v>6.433401639344261</v>
      </c>
      <c r="AW94">
        <v>15409.283606557372</v>
      </c>
      <c r="AX94">
        <v>9.975903614457831</v>
      </c>
      <c r="AY94">
        <v>23894.284337349396</v>
      </c>
      <c r="AZ94">
        <v>5.4391891891891886</v>
      </c>
      <c r="BA94">
        <v>13027.945945945943</v>
      </c>
      <c r="BB94">
        <v>0</v>
      </c>
      <c r="BC94">
        <v>0</v>
      </c>
      <c r="BD94">
        <v>10.499999999999998</v>
      </c>
      <c r="BE94">
        <v>25149.599999999995</v>
      </c>
      <c r="BF94">
        <v>7.1309055118110223</v>
      </c>
      <c r="BG94">
        <v>17079.944881889758</v>
      </c>
      <c r="BH94">
        <v>4.5777439024390238</v>
      </c>
      <c r="BI94">
        <v>10964.612195121948</v>
      </c>
      <c r="BJ94">
        <v>0.14952531645569619</v>
      </c>
      <c r="BK94">
        <v>358.14303797468352</v>
      </c>
      <c r="BL94">
        <v>11.611531190926273</v>
      </c>
      <c r="BM94">
        <v>27811.939508506606</v>
      </c>
      <c r="BN94">
        <v>0.31818181818181818</v>
      </c>
      <c r="BO94">
        <v>762.10909090909081</v>
      </c>
      <c r="BP94">
        <v>6.8478260869565206</v>
      </c>
      <c r="BQ94">
        <v>16401.913043478256</v>
      </c>
      <c r="BR94">
        <v>4.7552742616033754</v>
      </c>
      <c r="BS94">
        <v>11389.832911392405</v>
      </c>
      <c r="BT94">
        <v>5.9433962264150937</v>
      </c>
      <c r="BU94">
        <v>14235.622641509432</v>
      </c>
      <c r="BV94">
        <v>5.2028725314183122</v>
      </c>
      <c r="BW94">
        <v>12461.92028725314</v>
      </c>
      <c r="BX94">
        <v>4.1116504854368925</v>
      </c>
      <c r="BY94">
        <v>9848.2252427184449</v>
      </c>
      <c r="BZ94">
        <v>0</v>
      </c>
      <c r="CA94">
        <v>0</v>
      </c>
      <c r="CB94">
        <v>9.4721689059500935</v>
      </c>
      <c r="CC94">
        <v>22687.738963531661</v>
      </c>
      <c r="CD94">
        <v>5.6772151898734169</v>
      </c>
      <c r="CE94">
        <v>13598.065822784807</v>
      </c>
      <c r="CF94">
        <v>6.8955223880597005</v>
      </c>
      <c r="CG94">
        <v>16516.155223880593</v>
      </c>
      <c r="CH94">
        <v>4.1768867924528292</v>
      </c>
      <c r="CI94">
        <v>10004.479245283015</v>
      </c>
      <c r="CJ94">
        <v>4.2156133828996269</v>
      </c>
      <c r="CK94">
        <v>10097.237174721186</v>
      </c>
      <c r="CL94">
        <v>3.7096774193548381</v>
      </c>
      <c r="CM94">
        <v>8885.4193548387084</v>
      </c>
      <c r="CN94">
        <v>4.3097014925373127</v>
      </c>
      <c r="CO94">
        <v>10322.59701492537</v>
      </c>
      <c r="CP94">
        <v>4.2294220665499118</v>
      </c>
      <c r="CQ94">
        <v>10130.311733800349</v>
      </c>
      <c r="CR94">
        <v>0.1556836902800659</v>
      </c>
      <c r="CS94">
        <v>372.89357495881382</v>
      </c>
      <c r="CT94">
        <v>4.0384615384615383</v>
      </c>
      <c r="CU94">
        <v>9672.9230769230762</v>
      </c>
    </row>
    <row r="95" spans="2:99" x14ac:dyDescent="0.2">
      <c r="B95" s="118" t="s">
        <v>132</v>
      </c>
      <c r="C95" s="118" t="s">
        <v>261</v>
      </c>
      <c r="D95">
        <v>4.518828451882845</v>
      </c>
      <c r="E95">
        <v>7830.2259414225937</v>
      </c>
      <c r="F95">
        <v>11</v>
      </c>
      <c r="G95">
        <v>19060.8</v>
      </c>
      <c r="H95">
        <v>12</v>
      </c>
      <c r="I95">
        <v>20793.599999999999</v>
      </c>
      <c r="J95">
        <v>7.0342116400425345</v>
      </c>
      <c r="K95">
        <v>12188.881929865704</v>
      </c>
      <c r="L95">
        <v>4.4814432989690722</v>
      </c>
      <c r="M95">
        <v>7765.444948453608</v>
      </c>
      <c r="N95">
        <v>0</v>
      </c>
      <c r="O95">
        <v>0</v>
      </c>
      <c r="P95">
        <v>10.424460431654676</v>
      </c>
      <c r="Q95">
        <v>18063.505035971222</v>
      </c>
      <c r="R95">
        <v>3.3195876288659791</v>
      </c>
      <c r="S95">
        <v>5752.1814432989686</v>
      </c>
      <c r="T95">
        <v>3.916216216216216</v>
      </c>
      <c r="U95">
        <v>6786.0194594594586</v>
      </c>
      <c r="V95">
        <v>0</v>
      </c>
      <c r="W95">
        <v>0</v>
      </c>
      <c r="X95">
        <v>8.7818181818181795</v>
      </c>
      <c r="Y95">
        <v>15217.134545454541</v>
      </c>
      <c r="Z95">
        <v>0</v>
      </c>
      <c r="AA95">
        <v>0</v>
      </c>
      <c r="AB95">
        <v>4.5097613882863339</v>
      </c>
      <c r="AC95">
        <v>7814.5145336225587</v>
      </c>
      <c r="AD95">
        <v>4.4140127388535024</v>
      </c>
      <c r="AE95">
        <v>7648.6012738853487</v>
      </c>
      <c r="AF95">
        <v>4.2060957910014505</v>
      </c>
      <c r="AG95">
        <v>7288.3227866473135</v>
      </c>
      <c r="AH95">
        <v>3.8333333333333326</v>
      </c>
      <c r="AI95">
        <v>6642.3999999999987</v>
      </c>
      <c r="AJ95">
        <v>9</v>
      </c>
      <c r="AK95">
        <v>15595.199999999999</v>
      </c>
      <c r="AL95">
        <v>2.0874751491053662</v>
      </c>
      <c r="AM95">
        <v>3617.1769383697783</v>
      </c>
      <c r="AN95">
        <v>9.4090909090909083</v>
      </c>
      <c r="AO95">
        <v>16304.072727272725</v>
      </c>
      <c r="AP95">
        <v>6.391304347826086</v>
      </c>
      <c r="AQ95">
        <v>11074.852173913041</v>
      </c>
      <c r="AR95">
        <v>5.2028725314183122</v>
      </c>
      <c r="AS95">
        <v>9015.5375224416512</v>
      </c>
      <c r="AT95">
        <v>0</v>
      </c>
      <c r="AU95">
        <v>0</v>
      </c>
      <c r="AV95">
        <v>5.4436475409836058</v>
      </c>
      <c r="AW95">
        <v>9432.7524590163921</v>
      </c>
      <c r="AX95">
        <v>10.80722891566265</v>
      </c>
      <c r="AY95">
        <v>18726.76626506024</v>
      </c>
      <c r="AZ95">
        <v>5.9831081081081079</v>
      </c>
      <c r="BA95">
        <v>10367.529729729729</v>
      </c>
      <c r="BB95">
        <v>0</v>
      </c>
      <c r="BC95">
        <v>0</v>
      </c>
      <c r="BD95">
        <v>5.9999999999999991</v>
      </c>
      <c r="BE95">
        <v>10396.799999999997</v>
      </c>
      <c r="BF95">
        <v>4.7539370078740149</v>
      </c>
      <c r="BG95">
        <v>8237.6220472440928</v>
      </c>
      <c r="BH95">
        <v>3.5213414634146338</v>
      </c>
      <c r="BI95">
        <v>6101.7804878048773</v>
      </c>
      <c r="BJ95">
        <v>0.18275316455696203</v>
      </c>
      <c r="BK95">
        <v>316.67468354430378</v>
      </c>
      <c r="BL95">
        <v>8.0387523629489586</v>
      </c>
      <c r="BM95">
        <v>13929.550094517956</v>
      </c>
      <c r="BN95">
        <v>0.27840909090909094</v>
      </c>
      <c r="BO95">
        <v>482.42727272727279</v>
      </c>
      <c r="BP95">
        <v>8.9021739130434785</v>
      </c>
      <c r="BQ95">
        <v>15425.686956521738</v>
      </c>
      <c r="BR95">
        <v>4.4156118143459908</v>
      </c>
      <c r="BS95">
        <v>7651.3721518987331</v>
      </c>
      <c r="BT95">
        <v>3.9622641509433958</v>
      </c>
      <c r="BU95">
        <v>6865.8113207547158</v>
      </c>
      <c r="BV95">
        <v>3.468581687612208</v>
      </c>
      <c r="BW95">
        <v>6010.3583482944341</v>
      </c>
      <c r="BX95">
        <v>5.6067961165048539</v>
      </c>
      <c r="BY95">
        <v>9715.4563106796104</v>
      </c>
      <c r="BZ95">
        <v>0</v>
      </c>
      <c r="CA95">
        <v>0</v>
      </c>
      <c r="CB95">
        <v>10.419385796545104</v>
      </c>
      <c r="CC95">
        <v>18054.711708253355</v>
      </c>
      <c r="CD95">
        <v>4.367088607594936</v>
      </c>
      <c r="CE95">
        <v>7567.2911392405049</v>
      </c>
      <c r="CF95">
        <v>4.7406716417910442</v>
      </c>
      <c r="CG95">
        <v>8214.6358208955207</v>
      </c>
      <c r="CH95">
        <v>2.658018867924528</v>
      </c>
      <c r="CI95">
        <v>4605.8150943396222</v>
      </c>
      <c r="CJ95">
        <v>4.6840148698884754</v>
      </c>
      <c r="CK95">
        <v>8116.4609665427497</v>
      </c>
      <c r="CL95">
        <v>4.0806451612903221</v>
      </c>
      <c r="CM95">
        <v>7070.9419354838701</v>
      </c>
      <c r="CN95">
        <v>6.0335820895522376</v>
      </c>
      <c r="CO95">
        <v>10454.991044776118</v>
      </c>
      <c r="CP95">
        <v>4.2294220665499118</v>
      </c>
      <c r="CQ95">
        <v>7328.7425569176867</v>
      </c>
      <c r="CR95">
        <v>0.22487644151565075</v>
      </c>
      <c r="CS95">
        <v>389.66589785831962</v>
      </c>
      <c r="CT95">
        <v>4.8461538461538458</v>
      </c>
      <c r="CU95">
        <v>8397.415384615384</v>
      </c>
    </row>
    <row r="96" spans="2:99" x14ac:dyDescent="0.2">
      <c r="C96" s="118" t="s">
        <v>262</v>
      </c>
      <c r="D96">
        <v>5.02092050209205</v>
      </c>
      <c r="E96">
        <v>4133.2217573221751</v>
      </c>
      <c r="F96">
        <v>14</v>
      </c>
      <c r="G96">
        <v>11524.8</v>
      </c>
      <c r="H96">
        <v>12</v>
      </c>
      <c r="I96">
        <v>9878.4</v>
      </c>
      <c r="J96">
        <v>7.6203959433794122</v>
      </c>
      <c r="K96">
        <v>6273.1099405899313</v>
      </c>
      <c r="L96">
        <v>4.4814432989690722</v>
      </c>
      <c r="M96">
        <v>3689.12412371134</v>
      </c>
      <c r="N96">
        <v>0</v>
      </c>
      <c r="O96">
        <v>0</v>
      </c>
      <c r="P96">
        <v>9.5557553956834518</v>
      </c>
      <c r="Q96">
        <v>7866.2978417266168</v>
      </c>
      <c r="R96">
        <v>3.3195876288659791</v>
      </c>
      <c r="S96">
        <v>2732.6845360824736</v>
      </c>
      <c r="T96">
        <v>3.916216216216216</v>
      </c>
      <c r="U96">
        <v>3223.8291891891886</v>
      </c>
      <c r="V96">
        <v>0</v>
      </c>
      <c r="W96">
        <v>0</v>
      </c>
      <c r="X96">
        <v>7.8060606060606048</v>
      </c>
      <c r="Y96">
        <v>6425.9490909090891</v>
      </c>
      <c r="Z96">
        <v>0</v>
      </c>
      <c r="AA96">
        <v>0</v>
      </c>
      <c r="AB96">
        <v>4.5097613882863339</v>
      </c>
      <c r="AC96">
        <v>3712.4355748373096</v>
      </c>
      <c r="AD96">
        <v>4.4140127388535024</v>
      </c>
      <c r="AE96">
        <v>3633.6152866242028</v>
      </c>
      <c r="AF96">
        <v>4.5566037735849045</v>
      </c>
      <c r="AG96">
        <v>3750.9962264150931</v>
      </c>
      <c r="AH96">
        <v>4.2592592592592586</v>
      </c>
      <c r="AI96">
        <v>3506.2222222222213</v>
      </c>
      <c r="AJ96">
        <v>9</v>
      </c>
      <c r="AK96">
        <v>7408.7999999999993</v>
      </c>
      <c r="AL96">
        <v>1.8091451292246505</v>
      </c>
      <c r="AM96">
        <v>1489.2882703777323</v>
      </c>
      <c r="AN96">
        <v>10.193181818181817</v>
      </c>
      <c r="AO96">
        <v>8391.0272727272713</v>
      </c>
      <c r="AP96">
        <v>6.391304347826086</v>
      </c>
      <c r="AQ96">
        <v>5261.3217391304333</v>
      </c>
      <c r="AR96">
        <v>6.0700179533213641</v>
      </c>
      <c r="AS96">
        <v>4996.8387791741461</v>
      </c>
      <c r="AT96">
        <v>0</v>
      </c>
      <c r="AU96">
        <v>0</v>
      </c>
      <c r="AV96">
        <v>5.9385245901639339</v>
      </c>
      <c r="AW96">
        <v>4888.5934426229496</v>
      </c>
      <c r="AX96">
        <v>10.80722891566265</v>
      </c>
      <c r="AY96">
        <v>8896.5108433734931</v>
      </c>
      <c r="AZ96">
        <v>6.5270270270270263</v>
      </c>
      <c r="BA96">
        <v>5373.0486486486479</v>
      </c>
      <c r="BB96">
        <v>0</v>
      </c>
      <c r="BC96">
        <v>0</v>
      </c>
      <c r="BD96">
        <v>5.9999999999999991</v>
      </c>
      <c r="BE96">
        <v>4939.1999999999989</v>
      </c>
      <c r="BF96">
        <v>5.2293307086614167</v>
      </c>
      <c r="BG96">
        <v>4304.7850393700783</v>
      </c>
      <c r="BH96">
        <v>3.5213414634146338</v>
      </c>
      <c r="BI96">
        <v>2898.7682926829261</v>
      </c>
      <c r="BJ96">
        <v>0.19936708860759494</v>
      </c>
      <c r="BK96">
        <v>164.11898734177214</v>
      </c>
      <c r="BL96">
        <v>9.8251417769376168</v>
      </c>
      <c r="BM96">
        <v>8088.0567107750458</v>
      </c>
      <c r="BN96">
        <v>0.29829545454545453</v>
      </c>
      <c r="BO96">
        <v>245.55681818181816</v>
      </c>
      <c r="BP96">
        <v>8.2173913043478244</v>
      </c>
      <c r="BQ96">
        <v>6764.5565217391286</v>
      </c>
      <c r="BR96">
        <v>4.7552742616033754</v>
      </c>
      <c r="BS96">
        <v>3914.5417721518984</v>
      </c>
      <c r="BT96">
        <v>3.9622641509433958</v>
      </c>
      <c r="BU96">
        <v>3261.735849056603</v>
      </c>
      <c r="BV96">
        <v>3.468581687612208</v>
      </c>
      <c r="BW96">
        <v>2855.3364452423693</v>
      </c>
      <c r="BX96">
        <v>5.6067961165048539</v>
      </c>
      <c r="BY96">
        <v>4615.5145631067953</v>
      </c>
      <c r="BZ96">
        <v>0</v>
      </c>
      <c r="CA96">
        <v>0</v>
      </c>
      <c r="CB96">
        <v>12.313819577735122</v>
      </c>
      <c r="CC96">
        <v>10136.736276391552</v>
      </c>
      <c r="CD96">
        <v>3.9303797468354427</v>
      </c>
      <c r="CE96">
        <v>3235.4886075949362</v>
      </c>
      <c r="CF96">
        <v>4.7406716417910442</v>
      </c>
      <c r="CG96">
        <v>3902.520895522387</v>
      </c>
      <c r="CH96">
        <v>2.658018867924528</v>
      </c>
      <c r="CI96">
        <v>2188.0811320754715</v>
      </c>
      <c r="CJ96">
        <v>4.6840148698884754</v>
      </c>
      <c r="CK96">
        <v>3855.8810408921927</v>
      </c>
      <c r="CL96">
        <v>4.4516129032258061</v>
      </c>
      <c r="CM96">
        <v>3664.5677419354834</v>
      </c>
      <c r="CN96">
        <v>6.0335820895522376</v>
      </c>
      <c r="CO96">
        <v>4966.844776119402</v>
      </c>
      <c r="CP96">
        <v>4.2294220665499118</v>
      </c>
      <c r="CQ96">
        <v>3481.6602451838871</v>
      </c>
      <c r="CR96">
        <v>0.19028006589785831</v>
      </c>
      <c r="CS96">
        <v>156.63855024711694</v>
      </c>
      <c r="CT96">
        <v>6.0576923076923066</v>
      </c>
      <c r="CU96">
        <v>4986.6923076923067</v>
      </c>
    </row>
    <row r="97" spans="2:99" x14ac:dyDescent="0.2">
      <c r="C97" s="118" t="s">
        <v>263</v>
      </c>
      <c r="D97">
        <v>5.02092050209205</v>
      </c>
      <c r="E97">
        <v>9182.2594142259404</v>
      </c>
      <c r="F97">
        <v>13</v>
      </c>
      <c r="G97">
        <v>23774.399999999998</v>
      </c>
      <c r="H97">
        <v>13</v>
      </c>
      <c r="I97">
        <v>23774.399999999998</v>
      </c>
      <c r="J97">
        <v>7.0342116400425345</v>
      </c>
      <c r="K97">
        <v>12864.166247309788</v>
      </c>
      <c r="L97">
        <v>3.9835051546391753</v>
      </c>
      <c r="M97">
        <v>7285.034226804124</v>
      </c>
      <c r="N97">
        <v>0</v>
      </c>
      <c r="O97">
        <v>0</v>
      </c>
      <c r="P97">
        <v>10.424460431654676</v>
      </c>
      <c r="Q97">
        <v>19064.25323741007</v>
      </c>
      <c r="R97">
        <v>3.3195876288659791</v>
      </c>
      <c r="S97">
        <v>6070.8618556701022</v>
      </c>
      <c r="T97">
        <v>3.4810810810810806</v>
      </c>
      <c r="U97">
        <v>6366.2010810810798</v>
      </c>
      <c r="V97">
        <v>0</v>
      </c>
      <c r="W97">
        <v>0</v>
      </c>
      <c r="X97">
        <v>6.8303030303030301</v>
      </c>
      <c r="Y97">
        <v>12491.258181818181</v>
      </c>
      <c r="Z97">
        <v>0</v>
      </c>
      <c r="AA97">
        <v>0</v>
      </c>
      <c r="AB97">
        <v>4.5097613882863339</v>
      </c>
      <c r="AC97">
        <v>8247.4516268980478</v>
      </c>
      <c r="AD97">
        <v>4.0127388535031843</v>
      </c>
      <c r="AE97">
        <v>7338.4968152866231</v>
      </c>
      <c r="AF97">
        <v>4.5566037735849045</v>
      </c>
      <c r="AG97">
        <v>8333.1169811320724</v>
      </c>
      <c r="AH97">
        <v>3.407407407407407</v>
      </c>
      <c r="AI97">
        <v>6231.4666666666653</v>
      </c>
      <c r="AJ97">
        <v>9</v>
      </c>
      <c r="AK97">
        <v>16459.2</v>
      </c>
      <c r="AL97">
        <v>1.8091451292246505</v>
      </c>
      <c r="AM97">
        <v>3308.5646123260408</v>
      </c>
      <c r="AN97">
        <v>9.4090909090909083</v>
      </c>
      <c r="AO97">
        <v>17207.345454545452</v>
      </c>
      <c r="AP97">
        <v>5.4782608695652169</v>
      </c>
      <c r="AQ97">
        <v>10018.643478260869</v>
      </c>
      <c r="AR97">
        <v>5.6364452423698372</v>
      </c>
      <c r="AS97">
        <v>10307.931059245959</v>
      </c>
      <c r="AT97">
        <v>0</v>
      </c>
      <c r="AU97">
        <v>0</v>
      </c>
      <c r="AV97">
        <v>5.4436475409836058</v>
      </c>
      <c r="AW97">
        <v>9955.3426229508186</v>
      </c>
      <c r="AX97">
        <v>9.975903614457831</v>
      </c>
      <c r="AY97">
        <v>18243.932530120481</v>
      </c>
      <c r="AZ97">
        <v>4.8952702702702702</v>
      </c>
      <c r="BA97">
        <v>8952.4702702702707</v>
      </c>
      <c r="BB97">
        <v>0</v>
      </c>
      <c r="BC97">
        <v>0</v>
      </c>
      <c r="BD97">
        <v>5.2499999999999991</v>
      </c>
      <c r="BE97">
        <v>9601.1999999999989</v>
      </c>
      <c r="BF97">
        <v>4.2785433070866139</v>
      </c>
      <c r="BG97">
        <v>7824.5999999999995</v>
      </c>
      <c r="BH97">
        <v>3.8734756097560972</v>
      </c>
      <c r="BI97">
        <v>7083.81219512195</v>
      </c>
      <c r="BJ97">
        <v>0.14952531645569619</v>
      </c>
      <c r="BK97">
        <v>273.45189873417718</v>
      </c>
      <c r="BL97">
        <v>8.0387523629489586</v>
      </c>
      <c r="BM97">
        <v>14701.270321361055</v>
      </c>
      <c r="BN97">
        <v>0.29829545454545453</v>
      </c>
      <c r="BO97">
        <v>545.52272727272725</v>
      </c>
      <c r="BP97">
        <v>7.5326086956521729</v>
      </c>
      <c r="BQ97">
        <v>13775.634782608693</v>
      </c>
      <c r="BR97">
        <v>4.4156118143459908</v>
      </c>
      <c r="BS97">
        <v>8075.2708860759476</v>
      </c>
      <c r="BT97">
        <v>3.9622641509433958</v>
      </c>
      <c r="BU97">
        <v>7246.1886792452824</v>
      </c>
      <c r="BV97">
        <v>3.9021543985637335</v>
      </c>
      <c r="BW97">
        <v>7136.2599640933558</v>
      </c>
      <c r="BX97">
        <v>4.8592233009708732</v>
      </c>
      <c r="BY97">
        <v>8886.5475728155325</v>
      </c>
      <c r="BZ97">
        <v>0</v>
      </c>
      <c r="CA97">
        <v>0</v>
      </c>
      <c r="CB97">
        <v>10.419385796545104</v>
      </c>
      <c r="CC97">
        <v>19054.972744721686</v>
      </c>
      <c r="CD97">
        <v>4.367088607594936</v>
      </c>
      <c r="CE97">
        <v>7986.5316455696184</v>
      </c>
      <c r="CF97">
        <v>4.7406716417910442</v>
      </c>
      <c r="CG97">
        <v>8669.7402985074605</v>
      </c>
      <c r="CH97">
        <v>2.658018867924528</v>
      </c>
      <c r="CI97">
        <v>4860.9849056603771</v>
      </c>
      <c r="CJ97">
        <v>4.6840148698884754</v>
      </c>
      <c r="CK97">
        <v>8566.1263940520439</v>
      </c>
      <c r="CL97">
        <v>4.0806451612903221</v>
      </c>
      <c r="CM97">
        <v>7462.6838709677404</v>
      </c>
      <c r="CN97">
        <v>6.0335820895522376</v>
      </c>
      <c r="CO97">
        <v>11034.214925373131</v>
      </c>
      <c r="CP97">
        <v>4.2294220665499118</v>
      </c>
      <c r="CQ97">
        <v>7734.7670753064785</v>
      </c>
      <c r="CR97">
        <v>0.19028006589785831</v>
      </c>
      <c r="CS97">
        <v>347.98418451400329</v>
      </c>
      <c r="CT97">
        <v>5.6538461538461533</v>
      </c>
      <c r="CU97">
        <v>10339.753846153844</v>
      </c>
    </row>
    <row r="98" spans="2:99" x14ac:dyDescent="0.2">
      <c r="C98" s="118" t="s">
        <v>264</v>
      </c>
      <c r="D98">
        <v>5.02092050209205</v>
      </c>
      <c r="E98">
        <v>6344.435146443514</v>
      </c>
      <c r="F98">
        <v>13</v>
      </c>
      <c r="G98">
        <v>16426.8</v>
      </c>
      <c r="H98">
        <v>14</v>
      </c>
      <c r="I98">
        <v>17690.399999999998</v>
      </c>
      <c r="J98">
        <v>7.6203959433794122</v>
      </c>
      <c r="K98">
        <v>9629.1323140542245</v>
      </c>
      <c r="L98">
        <v>4.4814432989690722</v>
      </c>
      <c r="M98">
        <v>5662.7517525773192</v>
      </c>
      <c r="N98">
        <v>0</v>
      </c>
      <c r="O98">
        <v>0</v>
      </c>
      <c r="P98">
        <v>10.424460431654676</v>
      </c>
      <c r="Q98">
        <v>13172.348201438848</v>
      </c>
      <c r="R98">
        <v>3.7345360824742264</v>
      </c>
      <c r="S98">
        <v>4718.9597938144325</v>
      </c>
      <c r="T98">
        <v>3.4810810810810806</v>
      </c>
      <c r="U98">
        <v>4398.6940540540527</v>
      </c>
      <c r="V98">
        <v>0</v>
      </c>
      <c r="W98">
        <v>0</v>
      </c>
      <c r="X98">
        <v>7.8060606060606048</v>
      </c>
      <c r="Y98">
        <v>9863.7381818181802</v>
      </c>
      <c r="Z98">
        <v>0</v>
      </c>
      <c r="AA98">
        <v>0</v>
      </c>
      <c r="AB98">
        <v>4.5097613882863339</v>
      </c>
      <c r="AC98">
        <v>5698.5344902386114</v>
      </c>
      <c r="AD98">
        <v>4.4140127388535024</v>
      </c>
      <c r="AE98">
        <v>5577.5464968152855</v>
      </c>
      <c r="AF98">
        <v>4.2060957910014505</v>
      </c>
      <c r="AG98">
        <v>5314.8226415094323</v>
      </c>
      <c r="AH98">
        <v>3.8333333333333326</v>
      </c>
      <c r="AI98">
        <v>4843.7999999999984</v>
      </c>
      <c r="AJ98">
        <v>8</v>
      </c>
      <c r="AK98">
        <v>10108.799999999999</v>
      </c>
      <c r="AL98">
        <v>1.9483101391650084</v>
      </c>
      <c r="AM98">
        <v>2461.8846918489044</v>
      </c>
      <c r="AN98">
        <v>9.4090909090909083</v>
      </c>
      <c r="AO98">
        <v>11889.327272727271</v>
      </c>
      <c r="AP98">
        <v>5.4782608695652169</v>
      </c>
      <c r="AQ98">
        <v>6922.3304347826079</v>
      </c>
      <c r="AR98">
        <v>6.0700179533213641</v>
      </c>
      <c r="AS98">
        <v>7670.074685816875</v>
      </c>
      <c r="AT98">
        <v>0</v>
      </c>
      <c r="AU98">
        <v>0</v>
      </c>
      <c r="AV98">
        <v>5.4436475409836058</v>
      </c>
      <c r="AW98">
        <v>6878.5930327868837</v>
      </c>
      <c r="AX98">
        <v>9.975903614457831</v>
      </c>
      <c r="AY98">
        <v>12605.551807228914</v>
      </c>
      <c r="AZ98">
        <v>5.9831081081081079</v>
      </c>
      <c r="BA98">
        <v>7560.2554054054044</v>
      </c>
      <c r="BB98">
        <v>0</v>
      </c>
      <c r="BC98">
        <v>0</v>
      </c>
      <c r="BD98">
        <v>5.9999999999999991</v>
      </c>
      <c r="BE98">
        <v>7581.5999999999985</v>
      </c>
      <c r="BF98">
        <v>4.7539370078740149</v>
      </c>
      <c r="BG98">
        <v>6007.074803149605</v>
      </c>
      <c r="BH98">
        <v>3.8734756097560972</v>
      </c>
      <c r="BI98">
        <v>4894.5237804878043</v>
      </c>
      <c r="BJ98">
        <v>0.18275316455696203</v>
      </c>
      <c r="BK98">
        <v>230.9268987341772</v>
      </c>
      <c r="BL98">
        <v>8.9319470699432877</v>
      </c>
      <c r="BM98">
        <v>11286.408317580337</v>
      </c>
      <c r="BN98">
        <v>0.29829545454545453</v>
      </c>
      <c r="BO98">
        <v>376.92613636363632</v>
      </c>
      <c r="BP98">
        <v>8.9021739130434785</v>
      </c>
      <c r="BQ98">
        <v>11248.786956521739</v>
      </c>
      <c r="BR98">
        <v>4.7552742616033754</v>
      </c>
      <c r="BS98">
        <v>6008.7645569620245</v>
      </c>
      <c r="BT98">
        <v>4.3584905660377355</v>
      </c>
      <c r="BU98">
        <v>5507.3886792452822</v>
      </c>
      <c r="BV98">
        <v>3.468581687612208</v>
      </c>
      <c r="BW98">
        <v>4382.899820466786</v>
      </c>
      <c r="BX98">
        <v>5.233009708737864</v>
      </c>
      <c r="BY98">
        <v>6612.4310679611644</v>
      </c>
      <c r="BZ98">
        <v>0</v>
      </c>
      <c r="CA98">
        <v>0</v>
      </c>
      <c r="CB98">
        <v>10.419385796545104</v>
      </c>
      <c r="CC98">
        <v>13165.935892514392</v>
      </c>
      <c r="CD98">
        <v>4.367088607594936</v>
      </c>
      <c r="CE98">
        <v>5518.2531645569607</v>
      </c>
      <c r="CF98">
        <v>4.3097014925373127</v>
      </c>
      <c r="CG98">
        <v>5445.738805970148</v>
      </c>
      <c r="CH98">
        <v>3.0377358490566038</v>
      </c>
      <c r="CI98">
        <v>3838.4830188679243</v>
      </c>
      <c r="CJ98">
        <v>5.1524163568773229</v>
      </c>
      <c r="CK98">
        <v>6510.5933085501847</v>
      </c>
      <c r="CL98">
        <v>4.0806451612903221</v>
      </c>
      <c r="CM98">
        <v>5156.3032258064504</v>
      </c>
      <c r="CN98">
        <v>6.46455223880597</v>
      </c>
      <c r="CO98">
        <v>8168.6082089552228</v>
      </c>
      <c r="CP98">
        <v>5.0753064798598944</v>
      </c>
      <c r="CQ98">
        <v>6413.1572679509618</v>
      </c>
      <c r="CR98">
        <v>0.22487644151565075</v>
      </c>
      <c r="CS98">
        <v>284.15387149917626</v>
      </c>
      <c r="CT98">
        <v>4.8461538461538458</v>
      </c>
      <c r="CU98">
        <v>6123.5999999999995</v>
      </c>
    </row>
    <row r="99" spans="2:99" x14ac:dyDescent="0.2">
      <c r="C99" s="118" t="s">
        <v>265</v>
      </c>
      <c r="D99">
        <v>3.514644351464435</v>
      </c>
      <c r="E99">
        <v>19265.874476987447</v>
      </c>
      <c r="F99">
        <v>9</v>
      </c>
      <c r="G99">
        <v>49334.399999999994</v>
      </c>
      <c r="H99">
        <v>10</v>
      </c>
      <c r="I99">
        <v>54815.999999999993</v>
      </c>
      <c r="J99">
        <v>5.2756587300319016</v>
      </c>
      <c r="K99">
        <v>28919.05089454287</v>
      </c>
      <c r="L99">
        <v>3.4855670103092784</v>
      </c>
      <c r="M99">
        <v>19106.48412371134</v>
      </c>
      <c r="N99">
        <v>0</v>
      </c>
      <c r="O99">
        <v>0</v>
      </c>
      <c r="P99">
        <v>6.9496402877697836</v>
      </c>
      <c r="Q99">
        <v>38095.148201438838</v>
      </c>
      <c r="R99">
        <v>2.4896907216494841</v>
      </c>
      <c r="S99">
        <v>13647.488659793811</v>
      </c>
      <c r="T99">
        <v>2.6108108108108108</v>
      </c>
      <c r="U99">
        <v>14311.420540540539</v>
      </c>
      <c r="V99">
        <v>0</v>
      </c>
      <c r="W99">
        <v>0</v>
      </c>
      <c r="X99">
        <v>5.8545454545454536</v>
      </c>
      <c r="Y99">
        <v>32092.276363636356</v>
      </c>
      <c r="Z99">
        <v>0</v>
      </c>
      <c r="AA99">
        <v>0</v>
      </c>
      <c r="AB99">
        <v>3.5075921908893704</v>
      </c>
      <c r="AC99">
        <v>19227.21735357917</v>
      </c>
      <c r="AD99">
        <v>3.2101910828025475</v>
      </c>
      <c r="AE99">
        <v>17596.983439490443</v>
      </c>
      <c r="AF99">
        <v>3.8555878084179964</v>
      </c>
      <c r="AG99">
        <v>21134.790130624086</v>
      </c>
      <c r="AH99">
        <v>2.981481481481481</v>
      </c>
      <c r="AI99">
        <v>16343.288888888885</v>
      </c>
      <c r="AJ99">
        <v>7</v>
      </c>
      <c r="AK99">
        <v>38371.199999999997</v>
      </c>
      <c r="AL99">
        <v>1.3916500994035774</v>
      </c>
      <c r="AM99">
        <v>7628.4691848906496</v>
      </c>
      <c r="AN99">
        <v>7.8409090909090891</v>
      </c>
      <c r="AO99">
        <v>42980.727272727258</v>
      </c>
      <c r="AP99">
        <v>4.5652173913043477</v>
      </c>
      <c r="AQ99">
        <v>25024.695652173908</v>
      </c>
      <c r="AR99">
        <v>4.3357271095152603</v>
      </c>
      <c r="AS99">
        <v>23766.721723518847</v>
      </c>
      <c r="AT99">
        <v>0</v>
      </c>
      <c r="AU99">
        <v>0</v>
      </c>
      <c r="AV99">
        <v>3.9590163934426226</v>
      </c>
      <c r="AW99">
        <v>21701.744262295077</v>
      </c>
      <c r="AX99">
        <v>7.4819277108433724</v>
      </c>
      <c r="AY99">
        <v>41012.934939759027</v>
      </c>
      <c r="AZ99">
        <v>3.8074324324324316</v>
      </c>
      <c r="BA99">
        <v>20870.821621621613</v>
      </c>
      <c r="BB99">
        <v>0</v>
      </c>
      <c r="BC99">
        <v>0</v>
      </c>
      <c r="BD99">
        <v>4.5</v>
      </c>
      <c r="BE99">
        <v>24667.199999999997</v>
      </c>
      <c r="BF99">
        <v>3.3277559055118107</v>
      </c>
      <c r="BG99">
        <v>18241.42677165354</v>
      </c>
      <c r="BH99">
        <v>2.4649390243902438</v>
      </c>
      <c r="BI99">
        <v>13511.809756097558</v>
      </c>
      <c r="BJ99">
        <v>0.13291139240506328</v>
      </c>
      <c r="BK99">
        <v>728.56708860759477</v>
      </c>
      <c r="BL99">
        <v>6.2523629489603012</v>
      </c>
      <c r="BM99">
        <v>34272.952741020781</v>
      </c>
      <c r="BN99">
        <v>0.19886363636363638</v>
      </c>
      <c r="BO99">
        <v>1090.090909090909</v>
      </c>
      <c r="BP99">
        <v>6.8478260869565206</v>
      </c>
      <c r="BQ99">
        <v>37537.043478260857</v>
      </c>
      <c r="BR99">
        <v>3.3966244725738393</v>
      </c>
      <c r="BS99">
        <v>18618.936708860754</v>
      </c>
      <c r="BT99">
        <v>3.1698113207547167</v>
      </c>
      <c r="BU99">
        <v>17375.637735849054</v>
      </c>
      <c r="BV99">
        <v>2.6014362657091561</v>
      </c>
      <c r="BW99">
        <v>14260.033034111309</v>
      </c>
      <c r="BX99">
        <v>4.4854368932038824</v>
      </c>
      <c r="BY99">
        <v>24587.3708737864</v>
      </c>
      <c r="BZ99">
        <v>0</v>
      </c>
      <c r="CA99">
        <v>0</v>
      </c>
      <c r="CB99">
        <v>7.5777351247600757</v>
      </c>
      <c r="CC99">
        <v>41538.11285988483</v>
      </c>
      <c r="CD99">
        <v>3.4936708860759489</v>
      </c>
      <c r="CE99">
        <v>19150.906329113921</v>
      </c>
      <c r="CF99">
        <v>3.8787313432835817</v>
      </c>
      <c r="CG99">
        <v>21261.653731343278</v>
      </c>
      <c r="CH99">
        <v>2.2783018867924523</v>
      </c>
      <c r="CI99">
        <v>12488.739622641506</v>
      </c>
      <c r="CJ99">
        <v>3.7472118959107799</v>
      </c>
      <c r="CK99">
        <v>20540.716728624528</v>
      </c>
      <c r="CL99">
        <v>3.3387096774193545</v>
      </c>
      <c r="CM99">
        <v>18301.470967741931</v>
      </c>
      <c r="CN99">
        <v>4.3097014925373127</v>
      </c>
      <c r="CO99">
        <v>23624.05970149253</v>
      </c>
      <c r="CP99">
        <v>2.9605954465849385</v>
      </c>
      <c r="CQ99">
        <v>16228.799999999997</v>
      </c>
      <c r="CR99">
        <v>0.1556836902800659</v>
      </c>
      <c r="CS99">
        <v>853.39571663920913</v>
      </c>
      <c r="CT99">
        <v>4.0384615384615383</v>
      </c>
      <c r="CU99">
        <v>22137.230769230766</v>
      </c>
    </row>
    <row r="100" spans="2:99" x14ac:dyDescent="0.2">
      <c r="C100" s="118" t="s">
        <v>266</v>
      </c>
      <c r="D100">
        <v>4.518828451882845</v>
      </c>
      <c r="E100">
        <v>7331.3472803347267</v>
      </c>
      <c r="F100">
        <v>12</v>
      </c>
      <c r="G100">
        <v>19468.8</v>
      </c>
      <c r="H100">
        <v>12</v>
      </c>
      <c r="I100">
        <v>19468.8</v>
      </c>
      <c r="J100">
        <v>6.4480273367056569</v>
      </c>
      <c r="K100">
        <v>10461.279551071257</v>
      </c>
      <c r="L100">
        <v>4.9793814432989691</v>
      </c>
      <c r="M100">
        <v>8078.5484536082467</v>
      </c>
      <c r="N100">
        <v>0</v>
      </c>
      <c r="O100">
        <v>0</v>
      </c>
      <c r="P100">
        <v>10.424460431654676</v>
      </c>
      <c r="Q100">
        <v>16912.644604316545</v>
      </c>
      <c r="R100">
        <v>3.3195876288659791</v>
      </c>
      <c r="S100">
        <v>5385.6989690721639</v>
      </c>
      <c r="T100">
        <v>3.4810810810810806</v>
      </c>
      <c r="U100">
        <v>5647.7059459459451</v>
      </c>
      <c r="V100">
        <v>0</v>
      </c>
      <c r="W100">
        <v>0</v>
      </c>
      <c r="X100">
        <v>8.7818181818181795</v>
      </c>
      <c r="Y100">
        <v>14247.621818181813</v>
      </c>
      <c r="Z100">
        <v>0</v>
      </c>
      <c r="AA100">
        <v>0</v>
      </c>
      <c r="AB100">
        <v>4.0086767895878523</v>
      </c>
      <c r="AC100">
        <v>6503.6772234273312</v>
      </c>
      <c r="AD100">
        <v>4.4140127388535024</v>
      </c>
      <c r="AE100">
        <v>7161.294267515922</v>
      </c>
      <c r="AF100">
        <v>4.2060957910014505</v>
      </c>
      <c r="AG100">
        <v>6823.9698113207523</v>
      </c>
      <c r="AH100">
        <v>3.8333333333333326</v>
      </c>
      <c r="AI100">
        <v>6219.199999999998</v>
      </c>
      <c r="AJ100">
        <v>9</v>
      </c>
      <c r="AK100">
        <v>14601.599999999999</v>
      </c>
      <c r="AL100">
        <v>1.9483101391650084</v>
      </c>
      <c r="AM100">
        <v>3160.9383697813096</v>
      </c>
      <c r="AN100">
        <v>10.193181818181817</v>
      </c>
      <c r="AO100">
        <v>16537.418181818179</v>
      </c>
      <c r="AP100">
        <v>6.391304347826086</v>
      </c>
      <c r="AQ100">
        <v>10369.252173913041</v>
      </c>
      <c r="AR100">
        <v>6.0700179533213641</v>
      </c>
      <c r="AS100">
        <v>9847.9971274685795</v>
      </c>
      <c r="AT100">
        <v>0</v>
      </c>
      <c r="AU100">
        <v>0</v>
      </c>
      <c r="AV100">
        <v>4.4538934426229506</v>
      </c>
      <c r="AW100">
        <v>7225.9967213114742</v>
      </c>
      <c r="AX100">
        <v>9.975903614457831</v>
      </c>
      <c r="AY100">
        <v>16184.906024096384</v>
      </c>
      <c r="AZ100">
        <v>5.9831081081081079</v>
      </c>
      <c r="BA100">
        <v>9706.9945945945929</v>
      </c>
      <c r="BB100">
        <v>0</v>
      </c>
      <c r="BC100">
        <v>0</v>
      </c>
      <c r="BD100">
        <v>5.2499999999999991</v>
      </c>
      <c r="BE100">
        <v>8517.5999999999985</v>
      </c>
      <c r="BF100">
        <v>4.2785433070866139</v>
      </c>
      <c r="BG100">
        <v>6941.5086614173215</v>
      </c>
      <c r="BH100">
        <v>3.1692073170731705</v>
      </c>
      <c r="BI100">
        <v>5141.7219512195115</v>
      </c>
      <c r="BJ100">
        <v>0.14952531645569619</v>
      </c>
      <c r="BK100">
        <v>242.58987341772149</v>
      </c>
      <c r="BL100">
        <v>8.9319470699432877</v>
      </c>
      <c r="BM100">
        <v>14491.190926275989</v>
      </c>
      <c r="BN100">
        <v>0.29829545454545453</v>
      </c>
      <c r="BO100">
        <v>483.95454545454538</v>
      </c>
      <c r="BP100">
        <v>8.9021739130434785</v>
      </c>
      <c r="BQ100">
        <v>14442.886956521739</v>
      </c>
      <c r="BR100">
        <v>4.4156118143459908</v>
      </c>
      <c r="BS100">
        <v>7163.8886075949349</v>
      </c>
      <c r="BT100">
        <v>3.5660377358490565</v>
      </c>
      <c r="BU100">
        <v>5785.5396226415087</v>
      </c>
      <c r="BV100">
        <v>3.468581687612208</v>
      </c>
      <c r="BW100">
        <v>5627.4269299820453</v>
      </c>
      <c r="BX100">
        <v>5.9805825242718438</v>
      </c>
      <c r="BY100">
        <v>9702.8970873786384</v>
      </c>
      <c r="BZ100">
        <v>0</v>
      </c>
      <c r="CA100">
        <v>0</v>
      </c>
      <c r="CB100">
        <v>11.366602687140114</v>
      </c>
      <c r="CC100">
        <v>18441.176199616119</v>
      </c>
      <c r="CD100">
        <v>4.367088607594936</v>
      </c>
      <c r="CE100">
        <v>7085.1645569620232</v>
      </c>
      <c r="CF100">
        <v>4.7406716417910442</v>
      </c>
      <c r="CG100">
        <v>7691.2656716417896</v>
      </c>
      <c r="CH100">
        <v>3.0377358490566038</v>
      </c>
      <c r="CI100">
        <v>4928.4226415094336</v>
      </c>
      <c r="CJ100">
        <v>5.1524163568773229</v>
      </c>
      <c r="CK100">
        <v>8359.2802973977687</v>
      </c>
      <c r="CL100">
        <v>4.4516129032258061</v>
      </c>
      <c r="CM100">
        <v>7222.2967741935472</v>
      </c>
      <c r="CN100">
        <v>6.0335820895522376</v>
      </c>
      <c r="CO100">
        <v>9788.8835820895492</v>
      </c>
      <c r="CP100">
        <v>4.6523642732049035</v>
      </c>
      <c r="CQ100">
        <v>7547.9957968476347</v>
      </c>
      <c r="CR100">
        <v>0.19028006589785831</v>
      </c>
      <c r="CS100">
        <v>308.71037891268531</v>
      </c>
      <c r="CT100">
        <v>4.8461538461538458</v>
      </c>
      <c r="CU100">
        <v>7862.3999999999987</v>
      </c>
    </row>
    <row r="101" spans="2:99" x14ac:dyDescent="0.2">
      <c r="C101" s="118" t="s">
        <v>267</v>
      </c>
      <c r="D101">
        <v>5.02092050209205</v>
      </c>
      <c r="E101">
        <v>5976.9037656903756</v>
      </c>
      <c r="F101">
        <v>13</v>
      </c>
      <c r="G101">
        <v>15475.199999999999</v>
      </c>
      <c r="H101">
        <v>14</v>
      </c>
      <c r="I101">
        <v>16665.599999999999</v>
      </c>
      <c r="J101">
        <v>7.6203959433794122</v>
      </c>
      <c r="K101">
        <v>9071.319330998851</v>
      </c>
      <c r="L101">
        <v>4.9793814432989691</v>
      </c>
      <c r="M101">
        <v>5927.4556701030924</v>
      </c>
      <c r="N101">
        <v>0</v>
      </c>
      <c r="O101">
        <v>0</v>
      </c>
      <c r="P101">
        <v>9.5557553956834518</v>
      </c>
      <c r="Q101">
        <v>11375.17122302158</v>
      </c>
      <c r="R101">
        <v>3.3195876288659791</v>
      </c>
      <c r="S101">
        <v>3951.637113402061</v>
      </c>
      <c r="T101">
        <v>4.3513513513513509</v>
      </c>
      <c r="U101">
        <v>5179.8486486486472</v>
      </c>
      <c r="V101">
        <v>0</v>
      </c>
      <c r="W101">
        <v>0</v>
      </c>
      <c r="X101">
        <v>7.8060606060606048</v>
      </c>
      <c r="Y101">
        <v>9292.3345454545433</v>
      </c>
      <c r="Z101">
        <v>0</v>
      </c>
      <c r="AA101">
        <v>0</v>
      </c>
      <c r="AB101">
        <v>4.5097613882863339</v>
      </c>
      <c r="AC101">
        <v>5368.4199566160514</v>
      </c>
      <c r="AD101">
        <v>4.4140127388535024</v>
      </c>
      <c r="AE101">
        <v>5254.4407643312088</v>
      </c>
      <c r="AF101">
        <v>4.9071117561683595</v>
      </c>
      <c r="AG101">
        <v>5841.4258345428143</v>
      </c>
      <c r="AH101">
        <v>3.407407407407407</v>
      </c>
      <c r="AI101">
        <v>4056.177777777777</v>
      </c>
      <c r="AJ101">
        <v>9</v>
      </c>
      <c r="AK101">
        <v>10713.599999999999</v>
      </c>
      <c r="AL101">
        <v>1.9483101391650084</v>
      </c>
      <c r="AM101">
        <v>2319.2683896620256</v>
      </c>
      <c r="AN101">
        <v>10.193181818181817</v>
      </c>
      <c r="AO101">
        <v>12133.963636363633</v>
      </c>
      <c r="AP101">
        <v>6.8478260869565206</v>
      </c>
      <c r="AQ101">
        <v>8151.6521739130412</v>
      </c>
      <c r="AR101">
        <v>6.0700179533213641</v>
      </c>
      <c r="AS101">
        <v>7225.7493716337513</v>
      </c>
      <c r="AT101">
        <v>0</v>
      </c>
      <c r="AU101">
        <v>0</v>
      </c>
      <c r="AV101">
        <v>5.4436475409836058</v>
      </c>
      <c r="AW101">
        <v>6480.1180327868833</v>
      </c>
      <c r="AX101">
        <v>9.975903614457831</v>
      </c>
      <c r="AY101">
        <v>11875.315662650601</v>
      </c>
      <c r="AZ101">
        <v>5.9831081081081079</v>
      </c>
      <c r="BA101">
        <v>7122.2918918918904</v>
      </c>
      <c r="BB101">
        <v>0</v>
      </c>
      <c r="BC101">
        <v>0</v>
      </c>
      <c r="BD101">
        <v>5.9999999999999991</v>
      </c>
      <c r="BE101">
        <v>7142.3999999999978</v>
      </c>
      <c r="BF101">
        <v>4.2785433070866139</v>
      </c>
      <c r="BG101">
        <v>5093.1779527559047</v>
      </c>
      <c r="BH101">
        <v>3.5213414634146338</v>
      </c>
      <c r="BI101">
        <v>4191.8048780487798</v>
      </c>
      <c r="BJ101">
        <v>0.16613924050632911</v>
      </c>
      <c r="BK101">
        <v>197.77215189873417</v>
      </c>
      <c r="BL101">
        <v>8.0387523629489586</v>
      </c>
      <c r="BM101">
        <v>9569.3308128544395</v>
      </c>
      <c r="BN101">
        <v>0.25852272727272724</v>
      </c>
      <c r="BO101">
        <v>307.74545454545449</v>
      </c>
      <c r="BP101">
        <v>8.9021739130434785</v>
      </c>
      <c r="BQ101">
        <v>10597.147826086955</v>
      </c>
      <c r="BR101">
        <v>4.7552742616033754</v>
      </c>
      <c r="BS101">
        <v>5660.6784810126574</v>
      </c>
      <c r="BT101">
        <v>3.9622641509433958</v>
      </c>
      <c r="BU101">
        <v>4716.6792452830177</v>
      </c>
      <c r="BV101">
        <v>3.9021543985637335</v>
      </c>
      <c r="BW101">
        <v>4645.1245960502674</v>
      </c>
      <c r="BX101">
        <v>5.9805825242718438</v>
      </c>
      <c r="BY101">
        <v>7119.2854368932021</v>
      </c>
      <c r="BZ101">
        <v>0</v>
      </c>
      <c r="CA101">
        <v>0</v>
      </c>
      <c r="CB101">
        <v>10.419385796545104</v>
      </c>
      <c r="CC101">
        <v>12403.23685220729</v>
      </c>
      <c r="CD101">
        <v>3.9303797468354427</v>
      </c>
      <c r="CE101">
        <v>4678.7240506329108</v>
      </c>
      <c r="CF101">
        <v>5.1716417910447756</v>
      </c>
      <c r="CG101">
        <v>6156.3223880596997</v>
      </c>
      <c r="CH101">
        <v>2.658018867924528</v>
      </c>
      <c r="CI101">
        <v>3164.1056603773577</v>
      </c>
      <c r="CJ101">
        <v>5.1524163568773229</v>
      </c>
      <c r="CK101">
        <v>6133.4364312267644</v>
      </c>
      <c r="CL101">
        <v>4.0806451612903221</v>
      </c>
      <c r="CM101">
        <v>4857.5999999999985</v>
      </c>
      <c r="CN101">
        <v>6.0335820895522376</v>
      </c>
      <c r="CO101">
        <v>7182.376119402983</v>
      </c>
      <c r="CP101">
        <v>4.6523642732049035</v>
      </c>
      <c r="CQ101">
        <v>5538.1744308231164</v>
      </c>
      <c r="CR101">
        <v>0.20757825370675451</v>
      </c>
      <c r="CS101">
        <v>247.10115321252053</v>
      </c>
      <c r="CT101">
        <v>5.2499999999999991</v>
      </c>
      <c r="CU101">
        <v>6249.5999999999985</v>
      </c>
    </row>
    <row r="102" spans="2:99" x14ac:dyDescent="0.2">
      <c r="C102" s="118" t="s">
        <v>268</v>
      </c>
      <c r="D102">
        <v>4.518828451882845</v>
      </c>
      <c r="E102">
        <v>8762.9121338912119</v>
      </c>
      <c r="F102">
        <v>13</v>
      </c>
      <c r="G102">
        <v>25209.599999999999</v>
      </c>
      <c r="H102">
        <v>11</v>
      </c>
      <c r="I102">
        <v>21331.199999999997</v>
      </c>
      <c r="J102">
        <v>6.4480273367056569</v>
      </c>
      <c r="K102">
        <v>12504.014611339609</v>
      </c>
      <c r="L102">
        <v>4.4814432989690722</v>
      </c>
      <c r="M102">
        <v>8690.4148453608232</v>
      </c>
      <c r="N102">
        <v>0</v>
      </c>
      <c r="O102">
        <v>0</v>
      </c>
      <c r="P102">
        <v>9.5557553956834518</v>
      </c>
      <c r="Q102">
        <v>18530.520863309346</v>
      </c>
      <c r="R102">
        <v>2.9046391752577319</v>
      </c>
      <c r="S102">
        <v>5632.6762886597935</v>
      </c>
      <c r="T102">
        <v>3.4810810810810806</v>
      </c>
      <c r="U102">
        <v>6750.5124324324306</v>
      </c>
      <c r="V102">
        <v>0</v>
      </c>
      <c r="W102">
        <v>0</v>
      </c>
      <c r="X102">
        <v>7.8060606060606048</v>
      </c>
      <c r="Y102">
        <v>15137.512727272724</v>
      </c>
      <c r="Z102">
        <v>0</v>
      </c>
      <c r="AA102">
        <v>0</v>
      </c>
      <c r="AB102">
        <v>4.5097613882863339</v>
      </c>
      <c r="AC102">
        <v>8745.3292841648581</v>
      </c>
      <c r="AD102">
        <v>4.0127388535031843</v>
      </c>
      <c r="AE102">
        <v>7781.5031847133741</v>
      </c>
      <c r="AF102">
        <v>4.2060957910014505</v>
      </c>
      <c r="AG102">
        <v>8156.4609579100124</v>
      </c>
      <c r="AH102">
        <v>3.407407407407407</v>
      </c>
      <c r="AI102">
        <v>6607.6444444444433</v>
      </c>
      <c r="AJ102">
        <v>8</v>
      </c>
      <c r="AK102">
        <v>15513.599999999999</v>
      </c>
      <c r="AL102">
        <v>1.6699801192842929</v>
      </c>
      <c r="AM102">
        <v>3238.4254473161004</v>
      </c>
      <c r="AN102">
        <v>8.6249999999999982</v>
      </c>
      <c r="AO102">
        <v>16725.599999999995</v>
      </c>
      <c r="AP102">
        <v>5.4782608695652169</v>
      </c>
      <c r="AQ102">
        <v>10623.443478260868</v>
      </c>
      <c r="AR102">
        <v>5.6364452423698372</v>
      </c>
      <c r="AS102">
        <v>10930.194614003587</v>
      </c>
      <c r="AT102">
        <v>0</v>
      </c>
      <c r="AU102">
        <v>0</v>
      </c>
      <c r="AV102">
        <v>5.4436475409836058</v>
      </c>
      <c r="AW102">
        <v>10556.321311475407</v>
      </c>
      <c r="AX102">
        <v>9.975903614457831</v>
      </c>
      <c r="AY102">
        <v>19345.272289156623</v>
      </c>
      <c r="AZ102">
        <v>4.8952702702702702</v>
      </c>
      <c r="BA102">
        <v>9492.9081081081076</v>
      </c>
      <c r="BB102">
        <v>0</v>
      </c>
      <c r="BC102">
        <v>0</v>
      </c>
      <c r="BD102">
        <v>5.2499999999999991</v>
      </c>
      <c r="BE102">
        <v>10180.799999999997</v>
      </c>
      <c r="BF102">
        <v>4.7539370078740149</v>
      </c>
      <c r="BG102">
        <v>9218.8346456692889</v>
      </c>
      <c r="BH102">
        <v>3.5213414634146338</v>
      </c>
      <c r="BI102">
        <v>6828.5853658536571</v>
      </c>
      <c r="BJ102">
        <v>0.18275316455696203</v>
      </c>
      <c r="BK102">
        <v>354.39493670886071</v>
      </c>
      <c r="BL102">
        <v>8.0387523629489586</v>
      </c>
      <c r="BM102">
        <v>15588.748582230619</v>
      </c>
      <c r="BN102">
        <v>0.25852272727272724</v>
      </c>
      <c r="BO102">
        <v>501.3272727272726</v>
      </c>
      <c r="BP102">
        <v>8.2173913043478244</v>
      </c>
      <c r="BQ102">
        <v>15935.165217391299</v>
      </c>
      <c r="BR102">
        <v>4.7552742616033754</v>
      </c>
      <c r="BS102">
        <v>9221.4278481012643</v>
      </c>
      <c r="BT102">
        <v>3.5660377358490565</v>
      </c>
      <c r="BU102">
        <v>6915.2603773584897</v>
      </c>
      <c r="BV102">
        <v>3.9021543985637335</v>
      </c>
      <c r="BW102">
        <v>7567.0578096947911</v>
      </c>
      <c r="BX102">
        <v>5.233009708737864</v>
      </c>
      <c r="BY102">
        <v>10147.852427184465</v>
      </c>
      <c r="BZ102">
        <v>0</v>
      </c>
      <c r="CA102">
        <v>0</v>
      </c>
      <c r="CB102">
        <v>10.419385796545104</v>
      </c>
      <c r="CC102">
        <v>20205.272936660262</v>
      </c>
      <c r="CD102">
        <v>4.367088607594936</v>
      </c>
      <c r="CE102">
        <v>8468.6582278480982</v>
      </c>
      <c r="CF102">
        <v>4.7406716417910442</v>
      </c>
      <c r="CG102">
        <v>9193.1104477611916</v>
      </c>
      <c r="CH102">
        <v>3.0377358490566038</v>
      </c>
      <c r="CI102">
        <v>5890.7773584905653</v>
      </c>
      <c r="CJ102">
        <v>4.6840148698884754</v>
      </c>
      <c r="CK102">
        <v>9083.2416356877311</v>
      </c>
      <c r="CL102">
        <v>4.0806451612903221</v>
      </c>
      <c r="CM102">
        <v>7913.1870967741916</v>
      </c>
      <c r="CN102">
        <v>6.0335820895522376</v>
      </c>
      <c r="CO102">
        <v>11700.322388059698</v>
      </c>
      <c r="CP102">
        <v>3.8064798598949205</v>
      </c>
      <c r="CQ102">
        <v>7381.5257443082292</v>
      </c>
      <c r="CR102">
        <v>0.22487644151565075</v>
      </c>
      <c r="CS102">
        <v>436.08039538714991</v>
      </c>
      <c r="CT102">
        <v>5.6538461538461533</v>
      </c>
      <c r="CU102">
        <v>10963.938461538459</v>
      </c>
    </row>
    <row r="103" spans="2:99" x14ac:dyDescent="0.2">
      <c r="C103" s="118" t="s">
        <v>269</v>
      </c>
      <c r="D103">
        <v>4.518828451882845</v>
      </c>
      <c r="E103">
        <v>9164.1841004184098</v>
      </c>
      <c r="F103">
        <v>13</v>
      </c>
      <c r="G103">
        <v>26364</v>
      </c>
      <c r="H103">
        <v>13</v>
      </c>
      <c r="I103">
        <v>26364</v>
      </c>
      <c r="J103">
        <v>7.0342116400425345</v>
      </c>
      <c r="K103">
        <v>14265.381206006259</v>
      </c>
      <c r="L103">
        <v>3.9835051546391753</v>
      </c>
      <c r="M103">
        <v>8078.5484536082477</v>
      </c>
      <c r="N103">
        <v>0</v>
      </c>
      <c r="O103">
        <v>0</v>
      </c>
      <c r="P103">
        <v>8.6870503597122291</v>
      </c>
      <c r="Q103">
        <v>17617.338129496402</v>
      </c>
      <c r="R103">
        <v>3.3195876288659791</v>
      </c>
      <c r="S103">
        <v>6732.1237113402058</v>
      </c>
      <c r="T103">
        <v>3.916216216216216</v>
      </c>
      <c r="U103">
        <v>7942.0864864864861</v>
      </c>
      <c r="V103">
        <v>0</v>
      </c>
      <c r="W103">
        <v>0</v>
      </c>
      <c r="X103">
        <v>6.8303030303030301</v>
      </c>
      <c r="Y103">
        <v>13851.854545454546</v>
      </c>
      <c r="Z103">
        <v>0</v>
      </c>
      <c r="AA103">
        <v>0</v>
      </c>
      <c r="AB103">
        <v>3.5075921908893704</v>
      </c>
      <c r="AC103">
        <v>7113.3969631236432</v>
      </c>
      <c r="AD103">
        <v>3.6114649681528661</v>
      </c>
      <c r="AE103">
        <v>7324.0509554140126</v>
      </c>
      <c r="AF103">
        <v>3.8555878084179964</v>
      </c>
      <c r="AG103">
        <v>7819.1320754716971</v>
      </c>
      <c r="AH103">
        <v>3.8333333333333326</v>
      </c>
      <c r="AI103">
        <v>7773.9999999999982</v>
      </c>
      <c r="AJ103">
        <v>9</v>
      </c>
      <c r="AK103">
        <v>18252</v>
      </c>
      <c r="AL103">
        <v>1.6699801192842929</v>
      </c>
      <c r="AM103">
        <v>3386.7196819085461</v>
      </c>
      <c r="AN103">
        <v>8.6249999999999982</v>
      </c>
      <c r="AO103">
        <v>17491.499999999996</v>
      </c>
      <c r="AP103">
        <v>5.4782608695652169</v>
      </c>
      <c r="AQ103">
        <v>11109.91304347826</v>
      </c>
      <c r="AR103">
        <v>4.7692998204667854</v>
      </c>
      <c r="AS103">
        <v>9672.1400359066411</v>
      </c>
      <c r="AT103">
        <v>0</v>
      </c>
      <c r="AU103">
        <v>0</v>
      </c>
      <c r="AV103">
        <v>4.9487704918032778</v>
      </c>
      <c r="AW103">
        <v>10036.106557377047</v>
      </c>
      <c r="AX103">
        <v>9.975903614457831</v>
      </c>
      <c r="AY103">
        <v>20231.132530120482</v>
      </c>
      <c r="AZ103">
        <v>5.4391891891891886</v>
      </c>
      <c r="BA103">
        <v>11030.675675675675</v>
      </c>
      <c r="BB103">
        <v>0</v>
      </c>
      <c r="BC103">
        <v>0</v>
      </c>
      <c r="BD103">
        <v>5.9999999999999991</v>
      </c>
      <c r="BE103">
        <v>12167.999999999998</v>
      </c>
      <c r="BF103">
        <v>4.2785433070866139</v>
      </c>
      <c r="BG103">
        <v>8676.8858267716532</v>
      </c>
      <c r="BH103">
        <v>3.5213414634146338</v>
      </c>
      <c r="BI103">
        <v>7141.2804878048773</v>
      </c>
      <c r="BJ103">
        <v>0.16613924050632911</v>
      </c>
      <c r="BK103">
        <v>336.93037974683546</v>
      </c>
      <c r="BL103">
        <v>7.1455576559546303</v>
      </c>
      <c r="BM103">
        <v>14491.190926275991</v>
      </c>
      <c r="BN103">
        <v>0.23863636363636365</v>
      </c>
      <c r="BO103">
        <v>483.9545454545455</v>
      </c>
      <c r="BP103">
        <v>8.2173913043478244</v>
      </c>
      <c r="BQ103">
        <v>16664.869565217388</v>
      </c>
      <c r="BR103">
        <v>4.4156118143459908</v>
      </c>
      <c r="BS103">
        <v>8954.8607594936693</v>
      </c>
      <c r="BT103">
        <v>3.9622641509433958</v>
      </c>
      <c r="BU103">
        <v>8035.4716981132069</v>
      </c>
      <c r="BV103">
        <v>3.468581687612208</v>
      </c>
      <c r="BW103">
        <v>7034.2836624775582</v>
      </c>
      <c r="BX103">
        <v>5.6067961165048539</v>
      </c>
      <c r="BY103">
        <v>11370.582524271844</v>
      </c>
      <c r="BZ103">
        <v>0</v>
      </c>
      <c r="CA103">
        <v>0</v>
      </c>
      <c r="CB103">
        <v>9.4721689059500935</v>
      </c>
      <c r="CC103">
        <v>19209.55854126679</v>
      </c>
      <c r="CD103">
        <v>4.367088607594936</v>
      </c>
      <c r="CE103">
        <v>8856.4556962025308</v>
      </c>
      <c r="CF103">
        <v>4.7406716417910442</v>
      </c>
      <c r="CG103">
        <v>9614.0820895522374</v>
      </c>
      <c r="CH103">
        <v>3.0377358490566038</v>
      </c>
      <c r="CI103">
        <v>6160.5283018867922</v>
      </c>
      <c r="CJ103">
        <v>4.2156133828996269</v>
      </c>
      <c r="CK103">
        <v>8549.2639405204427</v>
      </c>
      <c r="CL103">
        <v>3.7096774193548381</v>
      </c>
      <c r="CM103">
        <v>7523.2258064516118</v>
      </c>
      <c r="CN103">
        <v>5.1716417910447756</v>
      </c>
      <c r="CO103">
        <v>10488.089552238805</v>
      </c>
      <c r="CP103">
        <v>3.8064798598949205</v>
      </c>
      <c r="CQ103">
        <v>7719.5411558668993</v>
      </c>
      <c r="CR103">
        <v>0.20757825370675451</v>
      </c>
      <c r="CS103">
        <v>420.96869851729815</v>
      </c>
      <c r="CT103">
        <v>5.6538461538461533</v>
      </c>
      <c r="CU103">
        <v>11465.999999999998</v>
      </c>
    </row>
    <row r="104" spans="2:99" x14ac:dyDescent="0.2">
      <c r="C104" s="118" t="s">
        <v>270</v>
      </c>
      <c r="D104">
        <v>4.518828451882845</v>
      </c>
      <c r="E104">
        <v>9364.8200836820088</v>
      </c>
      <c r="F104">
        <v>13</v>
      </c>
      <c r="G104">
        <v>26941.200000000001</v>
      </c>
      <c r="H104">
        <v>13</v>
      </c>
      <c r="I104">
        <v>26941.200000000001</v>
      </c>
      <c r="J104">
        <v>7.0342116400425345</v>
      </c>
      <c r="K104">
        <v>14577.70020282415</v>
      </c>
      <c r="L104">
        <v>3.9835051546391753</v>
      </c>
      <c r="M104">
        <v>8255.4160824742266</v>
      </c>
      <c r="N104">
        <v>0</v>
      </c>
      <c r="O104">
        <v>0</v>
      </c>
      <c r="P104">
        <v>8.6870503597122291</v>
      </c>
      <c r="Q104">
        <v>18003.043165467625</v>
      </c>
      <c r="R104">
        <v>2.9046391752577319</v>
      </c>
      <c r="S104">
        <v>6019.574226804124</v>
      </c>
      <c r="T104">
        <v>3.916216216216216</v>
      </c>
      <c r="U104">
        <v>8115.9664864864862</v>
      </c>
      <c r="V104">
        <v>0</v>
      </c>
      <c r="W104">
        <v>0</v>
      </c>
      <c r="X104">
        <v>7.8060606060606048</v>
      </c>
      <c r="Y104">
        <v>16177.279999999999</v>
      </c>
      <c r="Z104">
        <v>0</v>
      </c>
      <c r="AA104">
        <v>0</v>
      </c>
      <c r="AB104">
        <v>3.5075921908893704</v>
      </c>
      <c r="AC104">
        <v>7269.1340563991316</v>
      </c>
      <c r="AD104">
        <v>4.4140127388535024</v>
      </c>
      <c r="AE104">
        <v>9147.5999999999985</v>
      </c>
      <c r="AF104">
        <v>4.5566037735849045</v>
      </c>
      <c r="AG104">
        <v>9443.1056603773559</v>
      </c>
      <c r="AH104">
        <v>3.407407407407407</v>
      </c>
      <c r="AI104">
        <v>7061.5111111111109</v>
      </c>
      <c r="AJ104">
        <v>9</v>
      </c>
      <c r="AK104">
        <v>18651.600000000002</v>
      </c>
      <c r="AL104">
        <v>1.9483101391650084</v>
      </c>
      <c r="AM104">
        <v>4037.6779324055638</v>
      </c>
      <c r="AN104">
        <v>9.4090909090909083</v>
      </c>
      <c r="AO104">
        <v>19499.399999999998</v>
      </c>
      <c r="AP104">
        <v>5.9347826086956514</v>
      </c>
      <c r="AQ104">
        <v>12299.243478260869</v>
      </c>
      <c r="AR104">
        <v>5.6364452423698372</v>
      </c>
      <c r="AS104">
        <v>11680.969120287251</v>
      </c>
      <c r="AT104">
        <v>0</v>
      </c>
      <c r="AU104">
        <v>0</v>
      </c>
      <c r="AV104">
        <v>4.9487704918032778</v>
      </c>
      <c r="AW104">
        <v>10255.831967213113</v>
      </c>
      <c r="AX104">
        <v>9.1445783132530103</v>
      </c>
      <c r="AY104">
        <v>18951.22409638554</v>
      </c>
      <c r="AZ104">
        <v>5.4391891891891886</v>
      </c>
      <c r="BA104">
        <v>11272.175675675675</v>
      </c>
      <c r="BB104">
        <v>0</v>
      </c>
      <c r="BC104">
        <v>0</v>
      </c>
      <c r="BD104">
        <v>5.2499999999999991</v>
      </c>
      <c r="BE104">
        <v>10880.099999999999</v>
      </c>
      <c r="BF104">
        <v>4.2785433070866139</v>
      </c>
      <c r="BG104">
        <v>8866.8531496062988</v>
      </c>
      <c r="BH104">
        <v>3.1692073170731705</v>
      </c>
      <c r="BI104">
        <v>6567.865243902439</v>
      </c>
      <c r="BJ104">
        <v>0.16613924050632911</v>
      </c>
      <c r="BK104">
        <v>344.30696202531647</v>
      </c>
      <c r="BL104">
        <v>8.9319470699432877</v>
      </c>
      <c r="BM104">
        <v>18510.56710775047</v>
      </c>
      <c r="BN104">
        <v>0.23863636363636365</v>
      </c>
      <c r="BO104">
        <v>494.55000000000007</v>
      </c>
      <c r="BP104">
        <v>8.2173913043478244</v>
      </c>
      <c r="BQ104">
        <v>17029.721739130433</v>
      </c>
      <c r="BR104">
        <v>4.7552742616033754</v>
      </c>
      <c r="BS104">
        <v>9854.8303797468361</v>
      </c>
      <c r="BT104">
        <v>3.5660377358490565</v>
      </c>
      <c r="BU104">
        <v>7390.2566037735851</v>
      </c>
      <c r="BV104">
        <v>3.035008976660682</v>
      </c>
      <c r="BW104">
        <v>6289.7526032315973</v>
      </c>
      <c r="BX104">
        <v>5.6067961165048539</v>
      </c>
      <c r="BY104">
        <v>11619.524271844659</v>
      </c>
      <c r="BZ104">
        <v>0</v>
      </c>
      <c r="CA104">
        <v>0</v>
      </c>
      <c r="CB104">
        <v>11.366602687140114</v>
      </c>
      <c r="CC104">
        <v>23556.147408829172</v>
      </c>
      <c r="CD104">
        <v>3.9303797468354427</v>
      </c>
      <c r="CE104">
        <v>8145.3189873417714</v>
      </c>
      <c r="CF104">
        <v>4.3097014925373127</v>
      </c>
      <c r="CG104">
        <v>8931.4253731343269</v>
      </c>
      <c r="CH104">
        <v>3.0377358490566038</v>
      </c>
      <c r="CI104">
        <v>6295.403773584906</v>
      </c>
      <c r="CJ104">
        <v>4.2156133828996269</v>
      </c>
      <c r="CK104">
        <v>8736.4371747211881</v>
      </c>
      <c r="CL104">
        <v>4.0806451612903221</v>
      </c>
      <c r="CM104">
        <v>8456.7290322580629</v>
      </c>
      <c r="CN104">
        <v>5.1716417910447756</v>
      </c>
      <c r="CO104">
        <v>10717.710447761194</v>
      </c>
      <c r="CP104">
        <v>3.8064798598949205</v>
      </c>
      <c r="CQ104">
        <v>7888.5488616462335</v>
      </c>
      <c r="CR104">
        <v>0.20757825370675451</v>
      </c>
      <c r="CS104">
        <v>430.18517298187805</v>
      </c>
      <c r="CT104">
        <v>4.4423076923076916</v>
      </c>
      <c r="CU104">
        <v>9206.2384615384599</v>
      </c>
    </row>
    <row r="105" spans="2:99" x14ac:dyDescent="0.2">
      <c r="C105" s="118" t="s">
        <v>271</v>
      </c>
      <c r="D105">
        <v>4.518828451882845</v>
      </c>
      <c r="E105">
        <v>9028.6192468619247</v>
      </c>
      <c r="F105">
        <v>13</v>
      </c>
      <c r="G105">
        <v>25974</v>
      </c>
      <c r="H105">
        <v>13</v>
      </c>
      <c r="I105">
        <v>25974</v>
      </c>
      <c r="J105">
        <v>7.0342116400425345</v>
      </c>
      <c r="K105">
        <v>14054.354856804985</v>
      </c>
      <c r="L105">
        <v>4.4814432989690722</v>
      </c>
      <c r="M105">
        <v>8953.9237113402069</v>
      </c>
      <c r="N105">
        <v>0</v>
      </c>
      <c r="O105">
        <v>0</v>
      </c>
      <c r="P105">
        <v>9.5557553956834518</v>
      </c>
      <c r="Q105">
        <v>19092.399280575537</v>
      </c>
      <c r="R105">
        <v>3.3195876288659791</v>
      </c>
      <c r="S105">
        <v>6632.5360824742265</v>
      </c>
      <c r="T105">
        <v>3.4810810810810806</v>
      </c>
      <c r="U105">
        <v>6955.1999999999989</v>
      </c>
      <c r="V105">
        <v>0</v>
      </c>
      <c r="W105">
        <v>0</v>
      </c>
      <c r="X105">
        <v>7.8060606060606048</v>
      </c>
      <c r="Y105">
        <v>15596.509090909089</v>
      </c>
      <c r="Z105">
        <v>0</v>
      </c>
      <c r="AA105">
        <v>0</v>
      </c>
      <c r="AB105">
        <v>4.0086767895878523</v>
      </c>
      <c r="AC105">
        <v>8009.3362255965294</v>
      </c>
      <c r="AD105">
        <v>4.4140127388535024</v>
      </c>
      <c r="AE105">
        <v>8819.1974522292985</v>
      </c>
      <c r="AF105">
        <v>4.2060957910014505</v>
      </c>
      <c r="AG105">
        <v>8403.7793904208975</v>
      </c>
      <c r="AH105">
        <v>3.8333333333333326</v>
      </c>
      <c r="AI105">
        <v>7658.9999999999982</v>
      </c>
      <c r="AJ105">
        <v>9</v>
      </c>
      <c r="AK105">
        <v>17982</v>
      </c>
      <c r="AL105">
        <v>1.6699801192842929</v>
      </c>
      <c r="AM105">
        <v>3336.6202783300173</v>
      </c>
      <c r="AN105">
        <v>8.6249999999999982</v>
      </c>
      <c r="AO105">
        <v>17232.749999999996</v>
      </c>
      <c r="AP105">
        <v>5.9347826086956514</v>
      </c>
      <c r="AQ105">
        <v>11857.695652173912</v>
      </c>
      <c r="AR105">
        <v>4.7692998204667854</v>
      </c>
      <c r="AS105">
        <v>9529.061041292638</v>
      </c>
      <c r="AT105">
        <v>0</v>
      </c>
      <c r="AU105">
        <v>0</v>
      </c>
      <c r="AV105">
        <v>4.9487704918032778</v>
      </c>
      <c r="AW105">
        <v>9887.6434426229498</v>
      </c>
      <c r="AX105">
        <v>9.1445783132530103</v>
      </c>
      <c r="AY105">
        <v>18270.867469879515</v>
      </c>
      <c r="AZ105">
        <v>4.8952702702702702</v>
      </c>
      <c r="BA105">
        <v>9780.75</v>
      </c>
      <c r="BB105">
        <v>0</v>
      </c>
      <c r="BC105">
        <v>0</v>
      </c>
      <c r="BD105">
        <v>5.2499999999999991</v>
      </c>
      <c r="BE105">
        <v>10489.499999999998</v>
      </c>
      <c r="BF105">
        <v>4.7539370078740149</v>
      </c>
      <c r="BG105">
        <v>9498.3661417322819</v>
      </c>
      <c r="BH105">
        <v>3.5213414634146338</v>
      </c>
      <c r="BI105">
        <v>7035.6402439024387</v>
      </c>
      <c r="BJ105">
        <v>0.14952531645569619</v>
      </c>
      <c r="BK105">
        <v>298.75158227848101</v>
      </c>
      <c r="BL105">
        <v>8.0387523629489586</v>
      </c>
      <c r="BM105">
        <v>16061.42722117202</v>
      </c>
      <c r="BN105">
        <v>0.27840909090909094</v>
      </c>
      <c r="BO105">
        <v>556.26136363636374</v>
      </c>
      <c r="BP105">
        <v>8.9021739130434785</v>
      </c>
      <c r="BQ105">
        <v>17786.543478260872</v>
      </c>
      <c r="BR105">
        <v>4.7552742616033754</v>
      </c>
      <c r="BS105">
        <v>9501.0379746835442</v>
      </c>
      <c r="BT105">
        <v>3.9622641509433958</v>
      </c>
      <c r="BU105">
        <v>7916.603773584905</v>
      </c>
      <c r="BV105">
        <v>3.035008976660682</v>
      </c>
      <c r="BW105">
        <v>6063.9479353680426</v>
      </c>
      <c r="BX105">
        <v>4.8592233009708732</v>
      </c>
      <c r="BY105">
        <v>9708.7281553398043</v>
      </c>
      <c r="BZ105">
        <v>0</v>
      </c>
      <c r="CA105">
        <v>0</v>
      </c>
      <c r="CB105">
        <v>10.419385796545104</v>
      </c>
      <c r="CC105">
        <v>20817.932821497117</v>
      </c>
      <c r="CD105">
        <v>4.367088607594936</v>
      </c>
      <c r="CE105">
        <v>8725.4430379746827</v>
      </c>
      <c r="CF105">
        <v>4.3097014925373127</v>
      </c>
      <c r="CG105">
        <v>8610.7835820895507</v>
      </c>
      <c r="CH105">
        <v>2.658018867924528</v>
      </c>
      <c r="CI105">
        <v>5310.7216981132069</v>
      </c>
      <c r="CJ105">
        <v>4.6840148698884754</v>
      </c>
      <c r="CK105">
        <v>9358.6617100371732</v>
      </c>
      <c r="CL105">
        <v>4.0806451612903221</v>
      </c>
      <c r="CM105">
        <v>8153.1290322580635</v>
      </c>
      <c r="CN105">
        <v>5.6026119402985071</v>
      </c>
      <c r="CO105">
        <v>11194.018656716416</v>
      </c>
      <c r="CP105">
        <v>4.2294220665499118</v>
      </c>
      <c r="CQ105">
        <v>8450.3852889667232</v>
      </c>
      <c r="CR105">
        <v>0.20757825370675451</v>
      </c>
      <c r="CS105">
        <v>414.74135090609548</v>
      </c>
      <c r="CT105">
        <v>5.2499999999999991</v>
      </c>
      <c r="CU105">
        <v>10489.499999999998</v>
      </c>
    </row>
    <row r="107" spans="2:99" x14ac:dyDescent="0.2">
      <c r="B107" s="121" t="s">
        <v>276</v>
      </c>
    </row>
    <row r="108" spans="2:99" x14ac:dyDescent="0.2">
      <c r="C108" s="118" t="s">
        <v>277</v>
      </c>
      <c r="D108" s="118" t="s">
        <v>92</v>
      </c>
      <c r="E108" s="118" t="s">
        <v>93</v>
      </c>
      <c r="F108" s="118" t="s">
        <v>94</v>
      </c>
      <c r="G108" s="118" t="s">
        <v>95</v>
      </c>
      <c r="H108" s="118" t="s">
        <v>96</v>
      </c>
      <c r="I108" s="118" t="s">
        <v>97</v>
      </c>
      <c r="J108" s="118" t="s">
        <v>98</v>
      </c>
      <c r="K108" s="118" t="s">
        <v>99</v>
      </c>
      <c r="L108" s="118" t="s">
        <v>100</v>
      </c>
      <c r="M108" s="118" t="s">
        <v>101</v>
      </c>
      <c r="N108" s="118" t="s">
        <v>102</v>
      </c>
      <c r="O108" s="118" t="s">
        <v>103</v>
      </c>
    </row>
    <row r="109" spans="2:99" x14ac:dyDescent="0.2">
      <c r="C109" s="118" t="s">
        <v>126</v>
      </c>
      <c r="D109">
        <f>SUM(D$6:D$19)+SUM(F$6:F$19)+SUM(H$6:H$19)+SUM(J$6:J$19)</f>
        <v>327</v>
      </c>
      <c r="E109">
        <f>SUM(L$6:L$19)+SUM(N$6:N$19)+SUM(P$6:P$19)+SUM(R$6:R$19)</f>
        <v>283</v>
      </c>
      <c r="F109">
        <f>SUM(T$6:T$19)+SUM(V$6:V$19)+SUM(X$6:X$19)+SUM(Z$6:Z$19)</f>
        <v>403</v>
      </c>
      <c r="G109">
        <f>SUM(AB$6:AB$19)+SUM(AD$6:AD$19)+SUM(AF$6:AF$19)+SUM(AH$6:AH$19)</f>
        <v>370</v>
      </c>
      <c r="H109">
        <f>SUM(AJ$6:AJ$19)+SUM(AL$6:AL$19)+SUM(AN$6:AN$19)+SUM(AP$6:AP$19)</f>
        <v>360</v>
      </c>
      <c r="I109">
        <f>SUM(AR$6:AR$19)+SUM(AT$6:AT$19)+SUM(AV$6:AV$19)+SUM(AX$6:AX$19)</f>
        <v>404</v>
      </c>
      <c r="J109">
        <f>SUM(AZ$6:AZ$19)+SUM(BB$6:BB$19)+SUM(BD$6:BD$19)+SUM(BF$6:BF$19)</f>
        <v>394</v>
      </c>
      <c r="K109">
        <f>SUM(BH$6:BH$19)+SUM(BJ$6:BJ$19)+SUM(BL$6:BL$19)+SUM(BN$6:BN$19)</f>
        <v>366</v>
      </c>
      <c r="L109">
        <f>SUM(BP$6:BP$19)+SUM(BR$6:BR$19)+SUM(BT$6:BT$19)+SUM(BV$6:BV$19)</f>
        <v>435</v>
      </c>
      <c r="M109">
        <f>SUM(BX$6:BX$19)+SUM(BZ$6:BZ$19)+SUM(CB$6:CB$19)+SUM(CD$6:CD$19)</f>
        <v>291</v>
      </c>
      <c r="N109">
        <f>SUM(CF$6:CF$19)+SUM(CH$6:CH$19)+SUM(CJ$6:CJ$19)+SUM(CL$6:CL$19)</f>
        <v>347</v>
      </c>
      <c r="O109">
        <f>SUM(CN$6:CN$19)+SUM(CP$6:CP$19)+SUM(CR$6:CR$19)+SUM(CT$6:CT$19)</f>
        <v>430</v>
      </c>
    </row>
    <row r="110" spans="2:99" x14ac:dyDescent="0.2">
      <c r="C110" s="118" t="s">
        <v>127</v>
      </c>
      <c r="D110">
        <f>SUM(D$20:D$36)+SUM(F$20:F$36)+SUM(H$20:H$36)+SUM(J$20:J$36)</f>
        <v>886</v>
      </c>
      <c r="E110">
        <f>SUM(L$20:L$36)+SUM(N$20:N$36)+SUM(P$20:P$36)+SUM(R$20:R$36)</f>
        <v>1056</v>
      </c>
      <c r="F110">
        <f>SUM(T$20:T$36)+SUM(V$20:V$36)+SUM(X$20:X$36)+SUM(Z$20:Z$36)</f>
        <v>931</v>
      </c>
      <c r="G110">
        <f>SUM(AB$20:AB$36)+SUM(AD$20:AD$36)+SUM(AF$20:AF$36)+SUM(AH$20:AH$36)</f>
        <v>973</v>
      </c>
      <c r="H110">
        <f>SUM(AJ$20:AJ$36)+SUM(AL$20:AL$36)+SUM(AN$20:AN$36)+SUM(AP$20:AP$36)</f>
        <v>971</v>
      </c>
      <c r="I110">
        <f>SUM(AR$20:AR$36)+SUM(AT$20:AT$36)+SUM(AV$20:AV$36)+SUM(AX$20:AX$36)</f>
        <v>872</v>
      </c>
      <c r="J110">
        <f>SUM(AZ$20:AZ$36)+SUM(BB$20:BB$36)+SUM(BD$20:BD$36)+SUM(BF$20:BF$36)</f>
        <v>948</v>
      </c>
      <c r="K110">
        <f>SUM(BH$20:BH$36)+SUM(BJ$20:BJ$36)+SUM(BL$20:BL$36)+SUM(BN$20:BN$36)</f>
        <v>1203</v>
      </c>
      <c r="L110">
        <f>SUM(BP$20:BP$36)+SUM(BR$20:BR$36)+SUM(BT$20:BT$36)+SUM(BV$20:BV$36)</f>
        <v>1107</v>
      </c>
      <c r="M110">
        <f>SUM(BX$20:BX$36)+SUM(BZ$20:BZ$36)+SUM(CB$20:CB$36)+SUM(CD$20:CD$36)</f>
        <v>903</v>
      </c>
      <c r="N110">
        <f>SUM(CF$20:CF$36)+SUM(CH$20:CH$36)+SUM(CJ$20:CJ$36)+SUM(CL$20:CL$36)</f>
        <v>1146</v>
      </c>
      <c r="O110">
        <f>SUM(CN$20:CN$36)+SUM(CP$20:CP$36)+SUM(CR$20:CR$36)+SUM(CT$20:CT$36)</f>
        <v>1041</v>
      </c>
    </row>
    <row r="111" spans="2:99" x14ac:dyDescent="0.2">
      <c r="C111" s="118" t="s">
        <v>128</v>
      </c>
      <c r="D111">
        <f>SUM(D$37:D$48)+SUM(F$37:F$48)+SUM(H$37:H$48)+SUM(J$37:J$48)</f>
        <v>763</v>
      </c>
      <c r="E111">
        <f>SUM(L$37:L$48)+SUM(N$37:N$48)+SUM(P$37:P$48)+SUM(R$37:R$48)</f>
        <v>951</v>
      </c>
      <c r="F111">
        <f>SUM(T$37:T$48)+SUM(V$37:V$48)+SUM(X$37:X$48)+SUM(Z$37:Z$48)</f>
        <v>753</v>
      </c>
      <c r="G111">
        <f>SUM(AB$37:AB$48)+SUM(AD$37:AD$48)+SUM(AF$37:AF$48)+SUM(AH$37:AH$48)</f>
        <v>803</v>
      </c>
      <c r="H111">
        <f>SUM(AJ$37:AJ$48)+SUM(AL$37:AL$48)+SUM(AN$37:AN$48)+SUM(AP$37:AP$48)</f>
        <v>683</v>
      </c>
      <c r="I111">
        <f>SUM(AR$37:AR$48)+SUM(AT$37:AT$48)+SUM(AV$37:AV$48)+SUM(AX$37:AX$48)</f>
        <v>855</v>
      </c>
      <c r="J111">
        <f>SUM(AZ$37:AZ$48)+SUM(BB$37:BB$48)+SUM(BD$37:BD$48)+SUM(BF$37:BF$48)</f>
        <v>883</v>
      </c>
      <c r="K111">
        <f>SUM(BH$37:BH$48)+SUM(BJ$37:BJ$48)+SUM(BL$37:BL$48)+SUM(BN$37:BN$48)</f>
        <v>826</v>
      </c>
      <c r="L111">
        <f>SUM(BP$37:BP$48)+SUM(BR$37:BR$48)+SUM(BT$37:BT$48)+SUM(BV$37:BV$48)</f>
        <v>850</v>
      </c>
      <c r="M111">
        <f>SUM(BX$37:BX$48)+SUM(BZ$37:BZ$48)+SUM(CB$37:CB$48)+SUM(CD$37:CD$48)</f>
        <v>690</v>
      </c>
      <c r="N111">
        <f>SUM(CF$37:CF$48)+SUM(CH$37:CH$48)+SUM(CJ$37:CJ$48)+SUM(CL$37:CL$48)</f>
        <v>920</v>
      </c>
      <c r="O111">
        <f>SUM(CN$37:CN$48)+SUM(CP$37:CP$48)+SUM(CR$37:CR$48)+SUM(CT$37:CT$48)</f>
        <v>920</v>
      </c>
    </row>
    <row r="112" spans="2:99" x14ac:dyDescent="0.2">
      <c r="C112" s="118" t="s">
        <v>129</v>
      </c>
      <c r="D112">
        <f>SUM(D$49:D$70)+SUM(F$49:F$70)+SUM(H$49:H$70)+SUM(J$49:J$70)</f>
        <v>997.6674884766129</v>
      </c>
      <c r="E112">
        <f>SUM(L$49:L$70)+SUM(N$49:N$70)+SUM(P$49:P$70)+SUM(R$49:R$70)</f>
        <v>877.4138841504116</v>
      </c>
      <c r="F112">
        <f>SUM(T$49:T$70)+SUM(V$49:V$70)+SUM(X$49:X$70)+SUM(Z$49:Z$70)</f>
        <v>858.94864864864871</v>
      </c>
      <c r="G112">
        <f>SUM(AB$49:AB$70)+SUM(AD$49:AD$70)+SUM(AF$49:AF$70)+SUM(AH$49:AH$70)</f>
        <v>835.46957424756215</v>
      </c>
      <c r="H112">
        <f>SUM(AJ$49:AJ$70)+SUM(AL$49:AL$70)+SUM(AN$49:AN$70)+SUM(AP$49:AP$70)</f>
        <v>1015.1227467212534</v>
      </c>
      <c r="I112">
        <f>SUM(AR$49:AR$70)+SUM(AT$49:AT$70)+SUM(AV$49:AV$70)+SUM(AX$49:AX$70)</f>
        <v>1001.2948691416341</v>
      </c>
      <c r="J112">
        <f>SUM(AZ$49:AZ$70)+SUM(BB$49:BB$70)+SUM(BD$49:BD$70)+SUM(BF$49:BF$70)</f>
        <v>859.51327410087242</v>
      </c>
      <c r="K112">
        <f>SUM(BH$49:BH$70)+SUM(BJ$49:BJ$70)+SUM(BL$49:BL$70)+SUM(BN$49:BN$70)</f>
        <v>886.0524240063437</v>
      </c>
      <c r="L112">
        <f>SUM(BP$49:BP$70)+SUM(BR$49:BR$70)+SUM(BT$49:BT$70)+SUM(BV$49:BV$70)</f>
        <v>937.92795219433754</v>
      </c>
      <c r="M112">
        <f>SUM(BX$49:BX$70)+SUM(BZ$49:BZ$70)+SUM(CB$49:CB$70)+SUM(CD$49:CD$70)</f>
        <v>991.86108182876865</v>
      </c>
      <c r="N112">
        <f>SUM(CF$49:CF$70)+SUM(CH$49:CH$70)+SUM(CJ$49:CJ$70)+SUM(CL$49:CL$70)</f>
        <v>930.07855841637934</v>
      </c>
      <c r="O112">
        <f>SUM(CN$49:CN$70)+SUM(CP$49:CP$70)+SUM(CR$49:CR$70)+SUM(CT$49:CT$70)</f>
        <v>1102.6676030125736</v>
      </c>
    </row>
    <row r="113" spans="2:15" x14ac:dyDescent="0.2">
      <c r="C113" s="118" t="s">
        <v>130</v>
      </c>
      <c r="D113">
        <f>SUM(D$71:D$86)+SUM(F$71:F$86)+SUM(H$71:H$86)+SUM(J$71:J$86)</f>
        <v>827.71770560419782</v>
      </c>
      <c r="E113">
        <f>SUM(L$71:L$86)+SUM(N$71:N$86)+SUM(P$71:P$86)+SUM(R$71:R$86)</f>
        <v>571.33804791218563</v>
      </c>
      <c r="F113">
        <f>SUM(T$71:T$86)+SUM(V$71:V$86)+SUM(X$71:X$86)+SUM(Z$71:Z$86)</f>
        <v>439.01179361179356</v>
      </c>
      <c r="G113">
        <f>SUM(AB$71:AB$86)+SUM(AD$71:AD$86)+SUM(AF$71:AF$86)+SUM(AH$71:AH$86)</f>
        <v>588.94946139248941</v>
      </c>
      <c r="H113">
        <f>SUM(AJ$71:AJ$86)+SUM(AL$71:AL$86)+SUM(AN$71:AN$86)+SUM(AP$71:AP$86)</f>
        <v>631.89534826613431</v>
      </c>
      <c r="I113">
        <f>SUM(AR$71:AR$86)+SUM(AT$71:AT$86)+SUM(AV$71:AV$86)+SUM(AX$71:AX$86)</f>
        <v>515.98656778717418</v>
      </c>
      <c r="J113">
        <f>SUM(AZ$71:AZ$86)+SUM(BB$71:BB$86)+SUM(BD$71:BD$86)+SUM(BF$71:BF$86)</f>
        <v>544.05107469674397</v>
      </c>
      <c r="K113">
        <f>SUM(BH$71:BH$86)+SUM(BJ$71:BJ$86)+SUM(BL$71:BL$86)+SUM(BN$71:BN$86)</f>
        <v>430.97607281225379</v>
      </c>
      <c r="L113">
        <f>SUM(BP$71:BP$86)+SUM(BR$71:BR$86)+SUM(BT$71:BT$86)+SUM(BV$71:BV$86)</f>
        <v>725.86544581806947</v>
      </c>
      <c r="M113">
        <f>SUM(BX$71:BX$86)+SUM(BZ$71:BZ$86)+SUM(CB$71:CB$86)+SUM(CD$71:CD$86)</f>
        <v>525.21040945403058</v>
      </c>
      <c r="N113">
        <f>SUM(CF$71:CF$86)+SUM(CH$71:CH$86)+SUM(CJ$71:CJ$86)+SUM(CL$71:CL$86)</f>
        <v>578.71341156557605</v>
      </c>
      <c r="O113">
        <f>SUM(CN$71:CN$86)+SUM(CP$71:CP$86)+SUM(CR$71:CR$86)+SUM(CT$71:CT$86)</f>
        <v>389.43705210387924</v>
      </c>
    </row>
    <row r="114" spans="2:15" x14ac:dyDescent="0.2">
      <c r="C114" s="118" t="s">
        <v>131</v>
      </c>
      <c r="D114">
        <f>SUM(D$87:D$94)+SUM(F$87:F$94)+SUM(H$87:H$94)+SUM(J$87:J$94)</f>
        <v>259.92985804933539</v>
      </c>
      <c r="E114">
        <f>SUM(L$87:L$94)+SUM(N$87:N$94)+SUM(P$87:P$94)+SUM(R$87:R$94)</f>
        <v>150.93078320848474</v>
      </c>
      <c r="F114">
        <f>SUM(T$87:T$94)+SUM(V$87:V$94)+SUM(X$87:X$94)+SUM(Z$87:Z$94)</f>
        <v>117.59197379197377</v>
      </c>
      <c r="G114">
        <f>SUM(AB$87:AB$94)+SUM(AD$87:AD$94)+SUM(AF$87:AF$94)+SUM(AH$87:AH$94)</f>
        <v>147.88142826264675</v>
      </c>
      <c r="H114">
        <f>SUM(AJ$87:AJ$94)+SUM(AL$87:AL$94)+SUM(AN$87:AN$94)+SUM(AP$87:AP$94)</f>
        <v>204.2799251919314</v>
      </c>
      <c r="I114">
        <f>SUM(AR$87:AR$94)+SUM(AT$87:AT$94)+SUM(AV$87:AV$94)+SUM(AX$87:AX$94)</f>
        <v>156.79500878695046</v>
      </c>
      <c r="J114">
        <f>SUM(AZ$87:AZ$94)+SUM(BB$87:BB$94)+SUM(BD$87:BD$94)+SUM(BF$87:BF$94)</f>
        <v>196.8890189402</v>
      </c>
      <c r="K114">
        <f>SUM(BH$87:BH$94)+SUM(BJ$87:BJ$94)+SUM(BL$87:BL$94)+SUM(BN$87:BN$94)</f>
        <v>128.80977065268721</v>
      </c>
      <c r="L114">
        <f>SUM(BP$87:BP$94)+SUM(BR$87:BR$94)+SUM(BT$87:BT$94)+SUM(BV$87:BV$94)</f>
        <v>194.63418927001464</v>
      </c>
      <c r="M114">
        <f>SUM(BX$87:BX$94)+SUM(BZ$87:BZ$94)+SUM(CB$87:CB$94)+SUM(CD$87:CD$94)</f>
        <v>159.40258214827318</v>
      </c>
      <c r="N114">
        <f>SUM(CF$87:CF$94)+SUM(CH$87:CH$94)+SUM(CJ$87:CJ$94)+SUM(CL$87:CL$94)</f>
        <v>153.45555596961736</v>
      </c>
      <c r="O114">
        <f>SUM(CN$87:CN$94)+SUM(CP$87:CP$94)+SUM(CR$87:CR$94)+SUM(CT$87:CT$94)</f>
        <v>102.52601700795407</v>
      </c>
    </row>
    <row r="115" spans="2:15" x14ac:dyDescent="0.2">
      <c r="C115" s="118" t="s">
        <v>132</v>
      </c>
      <c r="D115">
        <f>SUM(D$95:D$105)+SUM(F$95:F$105)+SUM(H$95:H$105)+SUM(J$95:J$105)</f>
        <v>400.91525650492383</v>
      </c>
      <c r="E115">
        <f>SUM(L$95:L$105)+SUM(N$95:N$105)+SUM(P$95:P$105)+SUM(R$95:R$105)</f>
        <v>187.31728472891785</v>
      </c>
      <c r="F115">
        <f>SUM(T$95:T$105)+SUM(V$95:V$105)+SUM(X$95:X$105)+SUM(Z$95:Z$105)</f>
        <v>123.94758394758392</v>
      </c>
      <c r="G115">
        <f>SUM(AB$95:AB$105)+SUM(AD$95:AD$105)+SUM(AF$95:AF$105)+SUM(AH$95:AH$105)</f>
        <v>178.69953609730146</v>
      </c>
      <c r="H115">
        <f>SUM(AJ$95:AJ$105)+SUM(AL$95:AL$105)+SUM(AN$95:AN$105)+SUM(AP$95:AP$105)</f>
        <v>281.20197982068066</v>
      </c>
      <c r="I115">
        <f>SUM(AR$95:AR$105)+SUM(AT$95:AT$105)+SUM(AV$95:AV$105)+SUM(AX$95:AX$105)</f>
        <v>223.92355428424116</v>
      </c>
      <c r="J115">
        <f>SUM(AZ$95:AZ$105)+SUM(BB$95:BB$105)+SUM(BD$95:BD$105)+SUM(BF$95:BF$105)</f>
        <v>169.54663226218344</v>
      </c>
      <c r="K115">
        <f>SUM(BH$95:BH$105)+SUM(BJ$95:BJ$105)+SUM(BL$95:BL$105)+SUM(BN$95:BN$105)</f>
        <v>132.66173252871522</v>
      </c>
      <c r="L115">
        <f>SUM(BP$95:BP$105)+SUM(BR$95:BR$105)+SUM(BT$95:BT$105)+SUM(BV$95:BV$105)</f>
        <v>221.07241271757823</v>
      </c>
      <c r="M115">
        <f>SUM(BX$95:BX$105)+SUM(BZ$95:BZ$105)+SUM(CB$95:CB$105)+SUM(CD$95:CD$105)</f>
        <v>219.52592656892745</v>
      </c>
      <c r="N115">
        <f>SUM(CF$95:CF$105)+SUM(CH$95:CH$105)+SUM(CJ$95:CJ$105)+SUM(CL$95:CL$105)</f>
        <v>176.75247404842713</v>
      </c>
      <c r="O115">
        <f>SUM(CN$95:CN$105)+SUM(CP$95:CP$105)+SUM(CR$95:CR$105)+SUM(CT$95:CT$105)</f>
        <v>167.36932787559297</v>
      </c>
    </row>
    <row r="116" spans="2:15" x14ac:dyDescent="0.2">
      <c r="C116" s="118" t="s">
        <v>278</v>
      </c>
      <c r="D116">
        <f t="shared" ref="D116:O116" si="0">SUM(D$109:D$115)</f>
        <v>4462.2303086350703</v>
      </c>
      <c r="E116">
        <f t="shared" si="0"/>
        <v>4077</v>
      </c>
      <c r="F116">
        <f t="shared" si="0"/>
        <v>3626.5</v>
      </c>
      <c r="G116">
        <f t="shared" si="0"/>
        <v>3897</v>
      </c>
      <c r="H116">
        <f t="shared" si="0"/>
        <v>4146.5</v>
      </c>
      <c r="I116">
        <f t="shared" si="0"/>
        <v>4028.9999999999995</v>
      </c>
      <c r="J116">
        <f t="shared" si="0"/>
        <v>3994.9999999999995</v>
      </c>
      <c r="K116">
        <f t="shared" si="0"/>
        <v>3973.5</v>
      </c>
      <c r="L116">
        <f t="shared" si="0"/>
        <v>4471.5</v>
      </c>
      <c r="M116">
        <f t="shared" si="0"/>
        <v>3780</v>
      </c>
      <c r="N116">
        <f t="shared" si="0"/>
        <v>4252</v>
      </c>
      <c r="O116">
        <f t="shared" si="0"/>
        <v>4153</v>
      </c>
    </row>
    <row r="118" spans="2:15" x14ac:dyDescent="0.2">
      <c r="B118" s="120" t="s">
        <v>279</v>
      </c>
    </row>
    <row r="119" spans="2:15" x14ac:dyDescent="0.2">
      <c r="C119" s="118" t="s">
        <v>277</v>
      </c>
      <c r="D119" s="118" t="s">
        <v>92</v>
      </c>
      <c r="E119" s="118" t="s">
        <v>93</v>
      </c>
      <c r="F119" s="118" t="s">
        <v>94</v>
      </c>
      <c r="G119" s="118" t="s">
        <v>95</v>
      </c>
      <c r="H119" s="118" t="s">
        <v>96</v>
      </c>
      <c r="I119" s="118" t="s">
        <v>97</v>
      </c>
      <c r="J119" s="118" t="s">
        <v>98</v>
      </c>
      <c r="K119" s="118" t="s">
        <v>99</v>
      </c>
      <c r="L119" s="118" t="s">
        <v>100</v>
      </c>
      <c r="M119" s="118" t="s">
        <v>101</v>
      </c>
      <c r="N119" s="118" t="s">
        <v>102</v>
      </c>
      <c r="O119" s="118" t="s">
        <v>103</v>
      </c>
    </row>
    <row r="120" spans="2:15" x14ac:dyDescent="0.2">
      <c r="C120" s="118" t="s">
        <v>126</v>
      </c>
      <c r="D120">
        <f>D109*pricing!D15*2000</f>
        <v>2320645.0044355635</v>
      </c>
      <c r="E120">
        <f>E109*pricing!E15*2000</f>
        <v>2008386.9610252734</v>
      </c>
      <c r="F120">
        <f>F109*pricing!F15*2000</f>
        <v>2859999.8066897001</v>
      </c>
      <c r="G120">
        <f>G109*pricing!G15*2000</f>
        <v>2625806.2741319826</v>
      </c>
      <c r="H120">
        <f>H109*pricing!H15*2000</f>
        <v>2554838.5369932805</v>
      </c>
      <c r="I120">
        <f>I109*pricing!I15*2000</f>
        <v>2867096.5804035706</v>
      </c>
      <c r="J120">
        <f>J109*pricing!J15*2000</f>
        <v>2796128.8432648685</v>
      </c>
      <c r="K120">
        <f>K109*pricing!K15*2000</f>
        <v>2597419.1792765018</v>
      </c>
      <c r="L120">
        <f>L109*pricing!L15*2000</f>
        <v>3087096.5655335477</v>
      </c>
      <c r="M120">
        <f>M109*pricing!M15*2000</f>
        <v>2065161.1507362353</v>
      </c>
      <c r="N120">
        <f>N109*pricing!N15*2000</f>
        <v>2462580.4787129676</v>
      </c>
      <c r="O120">
        <f>O109*pricing!O15*2000</f>
        <v>3051612.6969641964</v>
      </c>
    </row>
    <row r="121" spans="2:15" x14ac:dyDescent="0.2">
      <c r="C121" s="118" t="s">
        <v>127</v>
      </c>
      <c r="D121">
        <f>D110*pricing!D16*2000</f>
        <v>5661229.6767001217</v>
      </c>
      <c r="E121">
        <f>E110*pricing!E16*2000</f>
        <v>6747470.1338547729</v>
      </c>
      <c r="F121">
        <f>F110*pricing!F16*2000</f>
        <v>5948763.9153587064</v>
      </c>
      <c r="G121">
        <f>G110*pricing!G16*2000</f>
        <v>6217129.2047733841</v>
      </c>
      <c r="H121">
        <f>H110*pricing!H16*2000</f>
        <v>6204349.9052774468</v>
      </c>
      <c r="I121">
        <f>I110*pricing!I16*2000</f>
        <v>5571774.5802285615</v>
      </c>
      <c r="J121">
        <f>J110*pricing!J16*2000</f>
        <v>6057387.9610741707</v>
      </c>
      <c r="K121">
        <f>K110*pricing!K16*2000</f>
        <v>7686748.6468061469</v>
      </c>
      <c r="L121">
        <f>L110*pricing!L16*2000</f>
        <v>7073342.2710011685</v>
      </c>
      <c r="M121">
        <f>M110*pricing!M16*2000</f>
        <v>5769853.7224155869</v>
      </c>
      <c r="N121">
        <f>N110*pricing!N16*2000</f>
        <v>7322538.6111719413</v>
      </c>
      <c r="O121">
        <f>O110*pricing!O16*2000</f>
        <v>6651625.387635245</v>
      </c>
    </row>
    <row r="122" spans="2:15" x14ac:dyDescent="0.2">
      <c r="C122" s="118" t="s">
        <v>128</v>
      </c>
      <c r="D122">
        <f>D111*pricing!D17*2000</f>
        <v>3817874.5743371262</v>
      </c>
      <c r="E122">
        <f>E111*pricing!E17*2000</f>
        <v>4758582.8573979121</v>
      </c>
      <c r="F122">
        <f>F111*pricing!F17*2000</f>
        <v>3767836.8997062333</v>
      </c>
      <c r="G122">
        <f>G111*pricing!G17*2000</f>
        <v>4018025.2728606979</v>
      </c>
      <c r="H122">
        <f>H111*pricing!H17*2000</f>
        <v>3417573.1772899837</v>
      </c>
      <c r="I122">
        <f>I111*pricing!I17*2000</f>
        <v>4278221.1809413414</v>
      </c>
      <c r="J122">
        <f>J111*pricing!J17*2000</f>
        <v>4418326.6699078409</v>
      </c>
      <c r="K122">
        <f>K111*pricing!K17*2000</f>
        <v>4133111.9245117516</v>
      </c>
      <c r="L122">
        <f>L111*pricing!L17*2000</f>
        <v>4253202.3436258938</v>
      </c>
      <c r="M122">
        <f>M111*pricing!M17*2000</f>
        <v>3452599.5495316084</v>
      </c>
      <c r="N122">
        <f>N111*pricing!N17*2000</f>
        <v>4603466.0660421448</v>
      </c>
      <c r="O122">
        <f>O111*pricing!O17*2000</f>
        <v>4603466.0660421448</v>
      </c>
    </row>
    <row r="123" spans="2:15" x14ac:dyDescent="0.2">
      <c r="C123" s="118" t="s">
        <v>129</v>
      </c>
      <c r="D123">
        <f>D112*pricing!D18*2000</f>
        <v>5178110.6572974278</v>
      </c>
      <c r="E123">
        <f>E112*pricing!E18*2000</f>
        <v>4553968.368075653</v>
      </c>
      <c r="F123">
        <f>F112*pricing!F18*2000</f>
        <v>4458129.7907484677</v>
      </c>
      <c r="G123">
        <f>G112*pricing!G18*2000</f>
        <v>4336268.3020420568</v>
      </c>
      <c r="H123">
        <f>H112*pricing!H18*2000</f>
        <v>5268707.2335980805</v>
      </c>
      <c r="I123">
        <f>I112*pricing!I18*2000</f>
        <v>5196937.5497205751</v>
      </c>
      <c r="J123">
        <f>J112*pricing!J18*2000</f>
        <v>4461060.3193116523</v>
      </c>
      <c r="K123">
        <f>K112*pricing!K18*2000</f>
        <v>4598804.2636101404</v>
      </c>
      <c r="L123">
        <f>L112*pricing!L18*2000</f>
        <v>4868049.5066052275</v>
      </c>
      <c r="M123">
        <f>M112*pricing!M18*2000</f>
        <v>5147974.147397005</v>
      </c>
      <c r="N123">
        <f>N112*pricing!N18*2000</f>
        <v>4827309.4503796473</v>
      </c>
      <c r="O123">
        <f>O112*pricing!O18*2000</f>
        <v>5723084.0260561053</v>
      </c>
    </row>
    <row r="124" spans="2:15" x14ac:dyDescent="0.2">
      <c r="C124" s="118" t="s">
        <v>130</v>
      </c>
      <c r="D124">
        <f>D113*pricing!D19*2000</f>
        <v>3863855.2597929435</v>
      </c>
      <c r="E124">
        <f>E113*pricing!E19*2000</f>
        <v>2667053.6423210893</v>
      </c>
      <c r="F124">
        <f>F113*pricing!F19*2000</f>
        <v>2049343.6546942699</v>
      </c>
      <c r="G124">
        <f>G113*pricing!G19*2000</f>
        <v>2749265.1887789345</v>
      </c>
      <c r="H124">
        <f>H113*pricing!H19*2000</f>
        <v>2949740.1692701136</v>
      </c>
      <c r="I124">
        <f>I113*pricing!I19*2000</f>
        <v>2408668.3182301493</v>
      </c>
      <c r="J124">
        <f>J113*pricing!J19*2000</f>
        <v>2539675.7763307127</v>
      </c>
      <c r="K124">
        <f>K113*pricing!K19*2000</f>
        <v>2011832.2400328366</v>
      </c>
      <c r="L124">
        <f>L113*pricing!L19*2000</f>
        <v>3388400.419293717</v>
      </c>
      <c r="M124">
        <f>M113*pricing!M19*2000</f>
        <v>2451725.9801584575</v>
      </c>
      <c r="N124">
        <f>N113*pricing!N19*2000</f>
        <v>2701482.4547677636</v>
      </c>
      <c r="O124">
        <f>O113*pricing!O19*2000</f>
        <v>1817924.6280970227</v>
      </c>
    </row>
    <row r="125" spans="2:15" x14ac:dyDescent="0.2">
      <c r="C125" s="118" t="s">
        <v>131</v>
      </c>
      <c r="D125">
        <f>D114*pricing!D20*2000</f>
        <v>1267158.05799051</v>
      </c>
      <c r="E125">
        <f>E114*pricing!E20*2000</f>
        <v>735787.5681413631</v>
      </c>
      <c r="F125">
        <f>F114*pricing!F20*2000</f>
        <v>573260.8722358722</v>
      </c>
      <c r="G125">
        <f>G114*pricing!G20*2000</f>
        <v>720921.96278040297</v>
      </c>
      <c r="H125">
        <f>H114*pricing!H20*2000</f>
        <v>995864.63531066559</v>
      </c>
      <c r="I125">
        <f>I114*pricing!I20*2000</f>
        <v>764375.66783638357</v>
      </c>
      <c r="J125">
        <f>J114*pricing!J20*2000</f>
        <v>959833.96733347501</v>
      </c>
      <c r="K125">
        <f>K114*pricing!K20*2000</f>
        <v>627947.6319318501</v>
      </c>
      <c r="L125">
        <f>L114*pricing!L20*2000</f>
        <v>948841.67269132135</v>
      </c>
      <c r="M125">
        <f>M114*pricing!M20*2000</f>
        <v>777087.5879728318</v>
      </c>
      <c r="N125">
        <f>N114*pricing!N20*2000</f>
        <v>748095.8353518846</v>
      </c>
      <c r="O125">
        <f>O114*pricing!O20*2000</f>
        <v>499814.33291377604</v>
      </c>
    </row>
    <row r="126" spans="2:15" x14ac:dyDescent="0.2">
      <c r="C126" s="118" t="s">
        <v>132</v>
      </c>
      <c r="D126">
        <f>D115*pricing!D21*2000</f>
        <v>2260755.0963483728</v>
      </c>
      <c r="E126">
        <f>E115*pricing!E21*2000</f>
        <v>1056279.3488499715</v>
      </c>
      <c r="F126">
        <f>F115*pricing!F21*2000</f>
        <v>698938.56006481661</v>
      </c>
      <c r="G126">
        <f>G115*pricing!G21*2000</f>
        <v>1007683.9940415254</v>
      </c>
      <c r="H126">
        <f>H115*pricing!H21*2000</f>
        <v>1585693.7312013926</v>
      </c>
      <c r="I126">
        <f>I115*pricing!I21*2000</f>
        <v>1262701.5518286277</v>
      </c>
      <c r="J126">
        <f>J115*pricing!J21*2000</f>
        <v>956070.9070963657</v>
      </c>
      <c r="K126">
        <f>K115*pricing!K21*2000</f>
        <v>748077.51273744367</v>
      </c>
      <c r="L126">
        <f>L115*pricing!L21*2000</f>
        <v>1246624.0074531999</v>
      </c>
      <c r="M126">
        <f>M115*pricing!M21*2000</f>
        <v>1237903.3953406212</v>
      </c>
      <c r="N126">
        <f>N115*pricing!N21*2000</f>
        <v>996704.54045756056</v>
      </c>
      <c r="O126">
        <f>O115*pricing!O21*2000</f>
        <v>943793.1204359181</v>
      </c>
    </row>
    <row r="127" spans="2:15" x14ac:dyDescent="0.2">
      <c r="C127" s="118" t="s">
        <v>278</v>
      </c>
      <c r="D127">
        <f t="shared" ref="D127:O127" si="1">SUM(D$120:D$126)</f>
        <v>24369628.326902062</v>
      </c>
      <c r="E127">
        <f t="shared" si="1"/>
        <v>22527528.879666034</v>
      </c>
      <c r="F127">
        <f t="shared" si="1"/>
        <v>20356273.499498066</v>
      </c>
      <c r="G127">
        <f t="shared" si="1"/>
        <v>21675100.199408986</v>
      </c>
      <c r="H127">
        <f t="shared" si="1"/>
        <v>22976767.38894096</v>
      </c>
      <c r="I127">
        <f t="shared" si="1"/>
        <v>22349775.429189205</v>
      </c>
      <c r="J127">
        <f t="shared" si="1"/>
        <v>22188484.444319088</v>
      </c>
      <c r="K127">
        <f t="shared" si="1"/>
        <v>22403941.398906671</v>
      </c>
      <c r="L127">
        <f t="shared" si="1"/>
        <v>24865556.786204077</v>
      </c>
      <c r="M127">
        <f t="shared" si="1"/>
        <v>20902305.533552345</v>
      </c>
      <c r="N127">
        <f t="shared" si="1"/>
        <v>23662177.436883911</v>
      </c>
      <c r="O127">
        <f t="shared" si="1"/>
        <v>23291320.258144412</v>
      </c>
    </row>
    <row r="129" spans="2:15" x14ac:dyDescent="0.2">
      <c r="B129" s="120" t="s">
        <v>280</v>
      </c>
    </row>
    <row r="130" spans="2:15" x14ac:dyDescent="0.2">
      <c r="C130" s="122" t="s">
        <v>277</v>
      </c>
      <c r="D130" s="122" t="s">
        <v>92</v>
      </c>
      <c r="E130" s="122" t="s">
        <v>93</v>
      </c>
      <c r="F130" s="122" t="s">
        <v>94</v>
      </c>
      <c r="G130" s="122" t="s">
        <v>95</v>
      </c>
      <c r="H130" s="122" t="s">
        <v>96</v>
      </c>
      <c r="I130" s="122" t="s">
        <v>97</v>
      </c>
      <c r="J130" s="122" t="s">
        <v>98</v>
      </c>
      <c r="K130" s="122" t="s">
        <v>99</v>
      </c>
      <c r="L130" s="122" t="s">
        <v>100</v>
      </c>
      <c r="M130" s="122" t="s">
        <v>101</v>
      </c>
      <c r="N130" s="122" t="s">
        <v>102</v>
      </c>
      <c r="O130" s="122" t="s">
        <v>103</v>
      </c>
    </row>
    <row r="131" spans="2:15" x14ac:dyDescent="0.2">
      <c r="C131" s="122" t="s">
        <v>126</v>
      </c>
      <c r="D131" s="123">
        <f>SUM(E$6:E$19)+SUM(G$6:G$19)+SUM(I$6:I$19)+SUM(K$6:K$19)</f>
        <v>164092.79999999999</v>
      </c>
      <c r="E131" s="123">
        <f>SUM(M$6:M$19)+SUM(O$6:O$19)+SUM(Q$6:Q$19)+SUM(S$6:S$19)</f>
        <v>142536</v>
      </c>
      <c r="F131" s="123">
        <f>SUM(U$6:U$19)+SUM(W$6:W$19)+SUM(Y$6:Y$19)+SUM(AA$6:AA$19)</f>
        <v>203630.4</v>
      </c>
      <c r="G131" s="123">
        <f>SUM(AC$6:AC$19)+SUM(AE$6:AE$19)+SUM(AG$6:AG$19)+SUM(AI$6:AI$19)</f>
        <v>187726.8</v>
      </c>
      <c r="H131" s="123">
        <f>SUM(AK$6:AK$19)+SUM(AM$6:AM$19)+SUM(AO$6:AO$19)+SUM(AQ$6:AQ$19)</f>
        <v>181858.8</v>
      </c>
      <c r="I131" s="123">
        <f>SUM(AS$6:AS$19)+SUM(AU$6:AU$19)+SUM(AW$6:AW$19)+SUM(AY$6:AY$19)</f>
        <v>205011.59999999998</v>
      </c>
      <c r="J131" s="123">
        <f>SUM(BA$6:BA$19)+SUM(BC$6:BC$19)+SUM(BE$6:BE$19)+SUM(BG$6:BG$19)</f>
        <v>198951.59999999998</v>
      </c>
      <c r="K131" s="123">
        <f>SUM(BI$6:BI$19)+SUM(BK$6:BK$19)+SUM(BM$6:BM$19)+SUM(BO$6:BO$19)</f>
        <v>184744.8</v>
      </c>
      <c r="L131" s="123">
        <f>SUM(BQ$6:BQ$19)+SUM(BS$6:BS$19)+SUM(BU$6:BU$19)+SUM(BW$6:BW$19)</f>
        <v>219143.99999999997</v>
      </c>
      <c r="M131" s="123">
        <f>SUM(BY$6:BY$19)+SUM(CA$6:CA$19)+SUM(CC$6:CC$19)+SUM(CE$6:CE$19)</f>
        <v>146852.4</v>
      </c>
      <c r="N131" s="123">
        <f>SUM(CG$6:CG$19)+SUM(CI$6:CI$19)+SUM(CK$6:CK$19)+SUM(CM$6:CM$19)</f>
        <v>174783.59999999998</v>
      </c>
      <c r="O131" s="123">
        <f>SUM(CO$6:CO$19)+SUM(CQ$6:CQ$19)+SUM(CS$6:CS$19)+SUM(CU$6:CU$19)</f>
        <v>215245.2</v>
      </c>
    </row>
    <row r="132" spans="2:15" x14ac:dyDescent="0.2">
      <c r="C132" s="122" t="s">
        <v>127</v>
      </c>
      <c r="D132" s="123">
        <f>SUM(E$20:E$36)+SUM(G$20:G$36)+SUM(I$20:I$36)+SUM(K$20:K$36)</f>
        <v>380307.6</v>
      </c>
      <c r="E132" s="123">
        <f>SUM(M$20:M$36)+SUM(O$20:O$36)+SUM(Q$20:Q$36)+SUM(S$20:S$36)</f>
        <v>451406.39999999997</v>
      </c>
      <c r="F132" s="123">
        <f>SUM(U$20:U$36)+SUM(W$20:W$36)+SUM(Y$20:Y$36)+SUM(AA$20:AA$36)</f>
        <v>399993.59999999998</v>
      </c>
      <c r="G132" s="123">
        <f>SUM(AC$20:AC$36)+SUM(AE$20:AE$36)+SUM(AG$20:AG$36)+SUM(AI$20:AI$36)</f>
        <v>416932.8</v>
      </c>
      <c r="H132" s="123">
        <f>SUM(AK$20:AK$36)+SUM(AM$20:AM$36)+SUM(AO$20:AO$36)+SUM(AQ$20:AQ$36)</f>
        <v>413695.19999999995</v>
      </c>
      <c r="I132" s="123">
        <f>SUM(AS$20:AS$36)+SUM(AU$20:AU$36)+SUM(AW$20:AW$36)+SUM(AY$20:AY$36)</f>
        <v>372090</v>
      </c>
      <c r="J132" s="123">
        <f>SUM(BA$20:BA$36)+SUM(BC$20:BC$36)+SUM(BE$20:BE$36)+SUM(BG$20:BG$36)</f>
        <v>406958.4</v>
      </c>
      <c r="K132" s="123">
        <f>SUM(BI$20:BI$36)+SUM(BK$20:BK$36)+SUM(BM$20:BM$36)+SUM(BO$20:BO$36)</f>
        <v>515890.80000000005</v>
      </c>
      <c r="L132" s="123">
        <f>SUM(BQ$20:BQ$36)+SUM(BS$20:BS$36)+SUM(BU$20:BU$36)+SUM(BW$20:BW$36)</f>
        <v>473769.6</v>
      </c>
      <c r="M132" s="123">
        <f>SUM(BY$20:BY$36)+SUM(CA$20:CA$36)+SUM(CC$20:CC$36)+SUM(CE$20:CE$36)</f>
        <v>383770.80000000005</v>
      </c>
      <c r="N132" s="123">
        <f>SUM(CG$20:CG$36)+SUM(CI$20:CI$36)+SUM(CK$20:CK$36)+SUM(CM$20:CM$36)</f>
        <v>490655.99999999994</v>
      </c>
      <c r="O132" s="123">
        <f>SUM(CO$20:CO$36)+SUM(CQ$20:CQ$36)+SUM(CS$20:CS$36)+SUM(CU$20:CU$36)</f>
        <v>446628</v>
      </c>
    </row>
    <row r="133" spans="2:15" x14ac:dyDescent="0.2">
      <c r="C133" s="122" t="s">
        <v>128</v>
      </c>
      <c r="D133" s="123">
        <f>SUM(E$37:E$48)+SUM(G$37:G$48)+SUM(I$37:I$48)+SUM(K$37:K$48)</f>
        <v>799791.6</v>
      </c>
      <c r="E133" s="123">
        <f>SUM(M$37:M$48)+SUM(O$37:O$48)+SUM(Q$37:Q$48)+SUM(S$37:S$48)</f>
        <v>1000585.2</v>
      </c>
      <c r="F133" s="123">
        <f>SUM(U$37:U$48)+SUM(W$37:W$48)+SUM(Y$37:Y$48)+SUM(AA$37:AA$48)</f>
        <v>791222.4</v>
      </c>
      <c r="G133" s="123">
        <f>SUM(AC$37:AC$48)+SUM(AE$37:AE$48)+SUM(AG$37:AG$48)+SUM(AI$37:AI$48)</f>
        <v>842114.4</v>
      </c>
      <c r="H133" s="123">
        <f>SUM(AK$37:AK$48)+SUM(AM$37:AM$48)+SUM(AO$37:AO$48)+SUM(AQ$37:AQ$48)</f>
        <v>716098.8</v>
      </c>
      <c r="I133" s="123">
        <f>SUM(AS$37:AS$48)+SUM(AU$37:AU$48)+SUM(AW$37:AW$48)+SUM(AY$37:AY$48)</f>
        <v>896078.4</v>
      </c>
      <c r="J133" s="123">
        <f>SUM(BA$37:BA$48)+SUM(BC$37:BC$48)+SUM(BE$37:BE$48)+SUM(BG$37:BG$48)</f>
        <v>928561.2</v>
      </c>
      <c r="K133" s="123">
        <f>SUM(BI$37:BI$48)+SUM(BK$37:BK$48)+SUM(BM$37:BM$48)+SUM(BO$37:BO$48)</f>
        <v>866119.20000000007</v>
      </c>
      <c r="L133" s="123">
        <f>SUM(BQ$37:BQ$48)+SUM(BS$37:BS$48)+SUM(BU$37:BU$48)+SUM(BW$37:BW$48)</f>
        <v>891975.6</v>
      </c>
      <c r="M133" s="123">
        <f>SUM(BY$37:BY$48)+SUM(CA$37:CA$48)+SUM(CC$37:CC$48)+SUM(CE$37:CE$48)</f>
        <v>721958.39999999991</v>
      </c>
      <c r="N133" s="123">
        <f>SUM(CG$37:CG$48)+SUM(CI$37:CI$48)+SUM(CK$37:CK$48)+SUM(CM$37:CM$48)</f>
        <v>964492.80000000005</v>
      </c>
      <c r="O133" s="123">
        <f>SUM(CO$37:CO$48)+SUM(CQ$37:CQ$48)+SUM(CS$37:CS$48)+SUM(CU$37:CU$48)</f>
        <v>967041.60000000009</v>
      </c>
    </row>
    <row r="134" spans="2:15" x14ac:dyDescent="0.2">
      <c r="C134" s="122" t="s">
        <v>129</v>
      </c>
      <c r="D134" s="123">
        <f>SUM(E$49:E$70)+SUM(G$49:G$70)+SUM(I$49:I$70)+SUM(K$49:K$70)</f>
        <v>844012.12490118644</v>
      </c>
      <c r="E134" s="123">
        <f>SUM(M$49:M$70)+SUM(O$49:O$70)+SUM(Q$49:Q$70)+SUM(S$49:S$70)</f>
        <v>724594.65192909585</v>
      </c>
      <c r="F134" s="123">
        <f>SUM(U$49:U$70)+SUM(W$49:W$70)+SUM(Y$49:Y$70)+SUM(AA$49:AA$70)</f>
        <v>708117.94211302209</v>
      </c>
      <c r="G134" s="123">
        <f>SUM(AC$49:AC$70)+SUM(AE$49:AE$70)+SUM(AG$49:AG$70)+SUM(AI$49:AI$70)</f>
        <v>689425.0407975252</v>
      </c>
      <c r="H134" s="123">
        <f>SUM(AK$49:AK$70)+SUM(AM$49:AM$70)+SUM(AO$49:AO$70)+SUM(AQ$49:AQ$70)</f>
        <v>850320.60501300485</v>
      </c>
      <c r="I134" s="123">
        <f>SUM(AS$49:AS$70)+SUM(AU$49:AU$70)+SUM(AW$49:AW$70)+SUM(AY$49:AY$70)</f>
        <v>831339.73378406058</v>
      </c>
      <c r="J134" s="123">
        <f>SUM(BA$49:BA$70)+SUM(BC$49:BC$70)+SUM(BE$49:BE$70)+SUM(BG$49:BG$70)</f>
        <v>715549.56381144922</v>
      </c>
      <c r="K134" s="123">
        <f>SUM(BI$49:BI$70)+SUM(BK$49:BK$70)+SUM(BM$49:BM$70)+SUM(BO$49:BO$70)</f>
        <v>725589.44187791331</v>
      </c>
      <c r="L134" s="123">
        <f>SUM(BQ$49:BQ$70)+SUM(BS$49:BS$70)+SUM(BU$49:BU$70)+SUM(BW$49:BW$70)</f>
        <v>776588.52797436225</v>
      </c>
      <c r="M134" s="123">
        <f>SUM(BY$49:BY$70)+SUM(CA$49:CA$70)+SUM(CC$49:CC$70)+SUM(CE$49:CE$70)</f>
        <v>816241.28720484162</v>
      </c>
      <c r="N134" s="123">
        <f>SUM(CG$49:CG$70)+SUM(CI$49:CI$70)+SUM(CK$49:CK$70)+SUM(CM$49:CM$70)</f>
        <v>767411.89498145145</v>
      </c>
      <c r="O134" s="123">
        <f>SUM(CO$49:CO$70)+SUM(CQ$49:CQ$70)+SUM(CS$49:CS$70)+SUM(CU$49:CU$70)</f>
        <v>907189.29327175417</v>
      </c>
    </row>
    <row r="135" spans="2:15" x14ac:dyDescent="0.2">
      <c r="C135" s="122" t="s">
        <v>130</v>
      </c>
      <c r="D135" s="123">
        <f>SUM(E$71:E$86)+SUM(G$71:G$86)+SUM(I$71:I$86)+SUM(K$71:K$86)</f>
        <v>461593.80777316308</v>
      </c>
      <c r="E135" s="123">
        <f>SUM(M$71:M$86)+SUM(O$71:O$86)+SUM(Q$71:Q$86)+SUM(S$71:S$86)</f>
        <v>318095.83943781059</v>
      </c>
      <c r="F135" s="123">
        <f>SUM(U$71:U$86)+SUM(W$71:W$86)+SUM(Y$71:Y$86)+SUM(AA$71:AA$86)</f>
        <v>245314.82181818178</v>
      </c>
      <c r="G135" s="123">
        <f>SUM(AC$71:AC$86)+SUM(AE$71:AE$86)+SUM(AG$71:AG$86)+SUM(AI$71:AI$86)</f>
        <v>329192.9235544398</v>
      </c>
      <c r="H135" s="123">
        <f>SUM(AK$71:AK$86)+SUM(AM$71:AM$86)+SUM(AO$71:AO$86)+SUM(AQ$71:AQ$86)</f>
        <v>352636.94596767222</v>
      </c>
      <c r="I135" s="123">
        <f>SUM(AS$71:AS$86)+SUM(AU$71:AU$86)+SUM(AW$71:AW$86)+SUM(AY$71:AY$86)</f>
        <v>288867.6470333758</v>
      </c>
      <c r="J135" s="123">
        <f>SUM(BA$71:BA$86)+SUM(BC$71:BC$86)+SUM(BE$71:BE$86)+SUM(BG$71:BG$86)</f>
        <v>305344.45246861025</v>
      </c>
      <c r="K135" s="123">
        <f>SUM(BI$71:BI$86)+SUM(BK$71:BK$86)+SUM(BM$71:BM$86)+SUM(BO$71:BO$86)</f>
        <v>241260.67861452396</v>
      </c>
      <c r="L135" s="123">
        <f>SUM(BQ$71:BQ$86)+SUM(BS$71:BS$86)+SUM(BU$71:BU$86)+SUM(BW$71:BW$86)</f>
        <v>402937.86195994308</v>
      </c>
      <c r="M135" s="123">
        <f>SUM(BY$71:BY$86)+SUM(CA$71:CA$86)+SUM(CC$71:CC$86)+SUM(CE$71:CE$86)</f>
        <v>293210.14941733179</v>
      </c>
      <c r="N135" s="123">
        <f>SUM(CG$71:CG$86)+SUM(CI$71:CI$86)+SUM(CK$71:CK$86)+SUM(CM$71:CM$86)</f>
        <v>322558.38698397618</v>
      </c>
      <c r="O135" s="123">
        <f>SUM(CO$71:CO$86)+SUM(CQ$71:CQ$86)+SUM(CS$71:CS$86)+SUM(CU$71:CU$86)</f>
        <v>217161.300207338</v>
      </c>
    </row>
    <row r="136" spans="2:15" x14ac:dyDescent="0.2">
      <c r="C136" s="122" t="s">
        <v>131</v>
      </c>
      <c r="D136" s="123">
        <f>SUM(E$87:E$94)+SUM(G$87:G$94)+SUM(I$87:I$94)+SUM(K$87:K$94)</f>
        <v>528544.10264588951</v>
      </c>
      <c r="E136" s="123">
        <f>SUM(M$87:M$94)+SUM(O$87:O$94)+SUM(Q$87:Q$94)+SUM(S$87:S$94)</f>
        <v>306024.228283023</v>
      </c>
      <c r="F136" s="123">
        <f>SUM(U$87:U$94)+SUM(W$87:W$94)+SUM(Y$87:Y$94)+SUM(AA$87:AA$94)</f>
        <v>238845.20098280092</v>
      </c>
      <c r="G136" s="123">
        <f>SUM(AC$87:AC$94)+SUM(AE$87:AE$94)+SUM(AG$87:AG$94)+SUM(AI$87:AI$94)</f>
        <v>299689.63858046429</v>
      </c>
      <c r="H136" s="123">
        <f>SUM(AK$87:AK$94)+SUM(AM$87:AM$94)+SUM(AO$87:AO$94)+SUM(AQ$87:AQ$94)</f>
        <v>415375.67683542997</v>
      </c>
      <c r="I136" s="123">
        <f>SUM(AS$87:AS$94)+SUM(AU$87:AU$94)+SUM(AW$87:AW$94)+SUM(AY$87:AY$94)</f>
        <v>319312.09039579739</v>
      </c>
      <c r="J136" s="123">
        <f>SUM(BA$87:BA$94)+SUM(BC$87:BC$94)+SUM(BE$87:BE$94)+SUM(BG$87:BG$94)</f>
        <v>400149.38197488821</v>
      </c>
      <c r="K136" s="123">
        <f>SUM(BI$87:BI$94)+SUM(BK$87:BK$94)+SUM(BM$87:BM$94)+SUM(BO$87:BO$94)</f>
        <v>262028.39421682482</v>
      </c>
      <c r="L136" s="123">
        <f>SUM(BQ$87:BQ$94)+SUM(BS$87:BS$94)+SUM(BU$87:BU$94)+SUM(BW$87:BW$94)</f>
        <v>394357.26160435542</v>
      </c>
      <c r="M136" s="123">
        <f>SUM(BY$87:BY$94)+SUM(CA$87:CA$94)+SUM(CC$87:CC$94)+SUM(CE$87:CE$94)</f>
        <v>323671.5776267125</v>
      </c>
      <c r="N136" s="123">
        <f>SUM(CG$87:CG$94)+SUM(CI$87:CI$94)+SUM(CK$87:CK$94)+SUM(CM$87:CM$94)</f>
        <v>312831.45151309494</v>
      </c>
      <c r="O136" s="123">
        <f>SUM(CO$87:CO$94)+SUM(CQ$87:CQ$94)+SUM(CS$87:CS$94)+SUM(CU$87:CU$94)</f>
        <v>208321.77459719981</v>
      </c>
    </row>
    <row r="137" spans="2:15" x14ac:dyDescent="0.2">
      <c r="C137" s="122" t="s">
        <v>132</v>
      </c>
      <c r="D137" s="123">
        <f>SUM(E$95:E$105)+SUM(G$95:G$105)+SUM(I$95:I$105)+SUM(K$95:K$105)</f>
        <v>764444.79443268804</v>
      </c>
      <c r="E137" s="123">
        <f>SUM(M$95:M$105)+SUM(O$95:O$105)+SUM(Q$95:Q$105)+SUM(S$95:S$105)</f>
        <v>356562.23885633756</v>
      </c>
      <c r="F137" s="123">
        <f>SUM(U$95:U$105)+SUM(W$95:W$105)+SUM(Y$95:Y$105)+SUM(AA$95:AA$105)</f>
        <v>236070.95341523341</v>
      </c>
      <c r="G137" s="123">
        <f>SUM(AC$95:AC$105)+SUM(AE$95:AE$105)+SUM(AG$95:AG$105)+SUM(AI$95:AI$105)</f>
        <v>344247.41083229159</v>
      </c>
      <c r="H137" s="123">
        <f>SUM(AK$95:AK$105)+SUM(AM$95:AM$105)+SUM(AO$95:AO$105)+SUM(AQ$95:AQ$105)</f>
        <v>540748.80909365928</v>
      </c>
      <c r="I137" s="123">
        <f>SUM(AS$95:AS$105)+SUM(AU$95:AU$105)+SUM(AW$95:AW$105)+SUM(AY$95:AY$105)</f>
        <v>426286.67339108023</v>
      </c>
      <c r="J137" s="123">
        <f>SUM(BA$95:BA$105)+SUM(BC$95:BC$105)+SUM(BE$95:BE$105)+SUM(BG$95:BG$105)</f>
        <v>321005.45666099165</v>
      </c>
      <c r="K137" s="123">
        <f>SUM(BI$95:BI$105)+SUM(BK$95:BK$105)+SUM(BM$95:BM$105)+SUM(BO$95:BO$105)</f>
        <v>251445.08893323407</v>
      </c>
      <c r="L137" s="123">
        <f>SUM(BQ$95:BQ$105)+SUM(BS$95:BS$105)+SUM(BU$95:BU$105)+SUM(BW$95:BW$105)</f>
        <v>424722.70833876135</v>
      </c>
      <c r="M137" s="123">
        <f>SUM(BY$95:BY$105)+SUM(CA$95:CA$105)+SUM(CC$95:CC$105)+SUM(CE$95:CE$105)</f>
        <v>420088.21997614263</v>
      </c>
      <c r="N137" s="123">
        <f>SUM(CG$95:CG$105)+SUM(CI$95:CI$105)+SUM(CK$95:CK$105)+SUM(CM$95:CM$105)</f>
        <v>341015.57742414845</v>
      </c>
      <c r="O137" s="123">
        <f>SUM(CO$95:CO$105)+SUM(CQ$95:CQ$105)+SUM(CS$95:CS$105)+SUM(CU$95:CU$105)</f>
        <v>317545.41242824757</v>
      </c>
    </row>
    <row r="138" spans="2:15" x14ac:dyDescent="0.2">
      <c r="C138" s="122" t="s">
        <v>278</v>
      </c>
      <c r="D138">
        <f t="shared" ref="D138:O138" si="2">SUM(D$131:D$137)</f>
        <v>3942786.8297529272</v>
      </c>
      <c r="E138">
        <f t="shared" si="2"/>
        <v>3299804.5585062671</v>
      </c>
      <c r="F138">
        <f t="shared" si="2"/>
        <v>2823195.3183292383</v>
      </c>
      <c r="G138">
        <f t="shared" si="2"/>
        <v>3109329.0137647209</v>
      </c>
      <c r="H138">
        <f t="shared" si="2"/>
        <v>3470734.8369097663</v>
      </c>
      <c r="I138">
        <f t="shared" si="2"/>
        <v>3338986.1446043141</v>
      </c>
      <c r="J138">
        <f t="shared" si="2"/>
        <v>3276520.054915939</v>
      </c>
      <c r="K138">
        <f t="shared" si="2"/>
        <v>3047078.4036424966</v>
      </c>
      <c r="L138">
        <f t="shared" si="2"/>
        <v>3583495.5598774222</v>
      </c>
      <c r="M138">
        <f t="shared" si="2"/>
        <v>3105792.8342250288</v>
      </c>
      <c r="N138">
        <f t="shared" si="2"/>
        <v>3373749.7109026709</v>
      </c>
      <c r="O138">
        <f t="shared" si="2"/>
        <v>3279132.5805045394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sheetData>
    <row r="2" spans="1:99" x14ac:dyDescent="0.2">
      <c r="B2" s="1" t="s">
        <v>272</v>
      </c>
    </row>
    <row r="3" spans="1:99" x14ac:dyDescent="0.2">
      <c r="B3" s="120" t="s">
        <v>281</v>
      </c>
    </row>
    <row r="4" spans="1:99" x14ac:dyDescent="0.2">
      <c r="A4" s="119"/>
      <c r="B4" s="119"/>
      <c r="C4" s="118" t="s">
        <v>274</v>
      </c>
      <c r="D4" s="118" t="s">
        <v>92</v>
      </c>
      <c r="E4" s="119"/>
      <c r="F4" s="119"/>
      <c r="G4" s="119"/>
      <c r="H4" s="119"/>
      <c r="I4" s="119"/>
      <c r="J4" s="119"/>
      <c r="K4" s="119"/>
      <c r="L4" s="118" t="s">
        <v>93</v>
      </c>
      <c r="M4" s="119"/>
      <c r="N4" s="119"/>
      <c r="O4" s="119"/>
      <c r="P4" s="119"/>
      <c r="Q4" s="119"/>
      <c r="R4" s="119"/>
      <c r="S4" s="119"/>
      <c r="T4" s="118" t="s">
        <v>94</v>
      </c>
      <c r="U4" s="119"/>
      <c r="V4" s="119"/>
      <c r="W4" s="119"/>
      <c r="X4" s="119"/>
      <c r="Y4" s="119"/>
      <c r="Z4" s="119"/>
      <c r="AA4" s="119"/>
      <c r="AB4" s="118" t="s">
        <v>95</v>
      </c>
      <c r="AC4" s="119"/>
      <c r="AD4" s="119"/>
      <c r="AE4" s="119"/>
      <c r="AF4" s="119"/>
      <c r="AG4" s="119"/>
      <c r="AH4" s="119"/>
      <c r="AI4" s="119"/>
      <c r="AJ4" s="118" t="s">
        <v>96</v>
      </c>
      <c r="AK4" s="119"/>
      <c r="AL4" s="119"/>
      <c r="AM4" s="119"/>
      <c r="AN4" s="119"/>
      <c r="AO4" s="119"/>
      <c r="AP4" s="119"/>
      <c r="AQ4" s="119"/>
      <c r="AR4" s="118" t="s">
        <v>97</v>
      </c>
      <c r="AS4" s="119"/>
      <c r="AT4" s="119"/>
      <c r="AU4" s="119"/>
      <c r="AV4" s="119"/>
      <c r="AW4" s="119"/>
      <c r="AX4" s="119"/>
      <c r="AY4" s="119"/>
      <c r="AZ4" s="118" t="s">
        <v>98</v>
      </c>
      <c r="BA4" s="119"/>
      <c r="BB4" s="119"/>
      <c r="BC4" s="119"/>
      <c r="BD4" s="119"/>
      <c r="BE4" s="119"/>
      <c r="BF4" s="119"/>
      <c r="BG4" s="119"/>
      <c r="BH4" s="118" t="s">
        <v>99</v>
      </c>
      <c r="BI4" s="119"/>
      <c r="BJ4" s="119"/>
      <c r="BK4" s="119"/>
      <c r="BL4" s="119"/>
      <c r="BM4" s="119"/>
      <c r="BN4" s="119"/>
      <c r="BO4" s="119"/>
      <c r="BP4" s="118" t="s">
        <v>100</v>
      </c>
      <c r="BQ4" s="119"/>
      <c r="BR4" s="119"/>
      <c r="BS4" s="119"/>
      <c r="BT4" s="119"/>
      <c r="BU4" s="119"/>
      <c r="BV4" s="119"/>
      <c r="BW4" s="119"/>
      <c r="BX4" s="118" t="s">
        <v>101</v>
      </c>
      <c r="BY4" s="119"/>
      <c r="BZ4" s="119"/>
      <c r="CA4" s="119"/>
      <c r="CB4" s="119"/>
      <c r="CC4" s="119"/>
      <c r="CD4" s="119"/>
      <c r="CE4" s="119"/>
      <c r="CF4" s="118" t="s">
        <v>102</v>
      </c>
      <c r="CG4" s="119"/>
      <c r="CH4" s="119"/>
      <c r="CI4" s="119"/>
      <c r="CJ4" s="119"/>
      <c r="CK4" s="119"/>
      <c r="CL4" s="119"/>
      <c r="CM4" s="119"/>
      <c r="CN4" s="118" t="s">
        <v>103</v>
      </c>
      <c r="CO4" s="119"/>
      <c r="CP4" s="119"/>
      <c r="CQ4" s="119"/>
      <c r="CR4" s="119"/>
      <c r="CS4" s="119"/>
      <c r="CT4" s="119"/>
      <c r="CU4" s="119"/>
    </row>
    <row r="5" spans="1:99" x14ac:dyDescent="0.2">
      <c r="B5" s="118" t="s">
        <v>167</v>
      </c>
      <c r="C5" s="118" t="s">
        <v>275</v>
      </c>
      <c r="D5" s="118">
        <v>1</v>
      </c>
      <c r="E5" s="118"/>
      <c r="F5" s="118">
        <v>2</v>
      </c>
      <c r="G5" s="118"/>
      <c r="H5" s="118">
        <v>3</v>
      </c>
      <c r="I5" s="118"/>
      <c r="J5" s="118">
        <v>4</v>
      </c>
      <c r="K5" s="118"/>
      <c r="L5" s="118">
        <v>1</v>
      </c>
      <c r="M5" s="118"/>
      <c r="N5" s="118">
        <v>2</v>
      </c>
      <c r="O5" s="118"/>
      <c r="P5" s="118">
        <v>3</v>
      </c>
      <c r="Q5" s="118"/>
      <c r="R5" s="118">
        <v>4</v>
      </c>
      <c r="S5" s="118"/>
      <c r="T5" s="118">
        <v>1</v>
      </c>
      <c r="U5" s="118"/>
      <c r="V5" s="118">
        <v>2</v>
      </c>
      <c r="W5" s="118"/>
      <c r="X5" s="118">
        <v>3</v>
      </c>
      <c r="Y5" s="118"/>
      <c r="Z5" s="118">
        <v>4</v>
      </c>
      <c r="AA5" s="118"/>
      <c r="AB5" s="118">
        <v>1</v>
      </c>
      <c r="AC5" s="118"/>
      <c r="AD5" s="118">
        <v>2</v>
      </c>
      <c r="AE5" s="118"/>
      <c r="AF5" s="118">
        <v>3</v>
      </c>
      <c r="AG5" s="118"/>
      <c r="AH5" s="118">
        <v>4</v>
      </c>
      <c r="AI5" s="118"/>
      <c r="AJ5" s="118">
        <v>1</v>
      </c>
      <c r="AK5" s="118"/>
      <c r="AL5" s="118">
        <v>2</v>
      </c>
      <c r="AM5" s="118"/>
      <c r="AN5" s="118">
        <v>3</v>
      </c>
      <c r="AO5" s="118"/>
      <c r="AP5" s="118">
        <v>4</v>
      </c>
      <c r="AQ5" s="118"/>
      <c r="AR5" s="118">
        <v>1</v>
      </c>
      <c r="AS5" s="118"/>
      <c r="AT5" s="118">
        <v>2</v>
      </c>
      <c r="AU5" s="118"/>
      <c r="AV5" s="118">
        <v>3</v>
      </c>
      <c r="AW5" s="118"/>
      <c r="AX5" s="118">
        <v>4</v>
      </c>
      <c r="AY5" s="118"/>
      <c r="AZ5" s="118">
        <v>1</v>
      </c>
      <c r="BA5" s="118"/>
      <c r="BB5" s="118">
        <v>2</v>
      </c>
      <c r="BC5" s="118"/>
      <c r="BD5" s="118">
        <v>3</v>
      </c>
      <c r="BE5" s="118"/>
      <c r="BF5" s="118">
        <v>4</v>
      </c>
      <c r="BG5" s="118"/>
      <c r="BH5" s="118">
        <v>1</v>
      </c>
      <c r="BI5" s="118"/>
      <c r="BJ5" s="118">
        <v>2</v>
      </c>
      <c r="BK5" s="118"/>
      <c r="BL5" s="118">
        <v>3</v>
      </c>
      <c r="BM5" s="118"/>
      <c r="BN5" s="118">
        <v>4</v>
      </c>
      <c r="BO5" s="118"/>
      <c r="BP5" s="118">
        <v>1</v>
      </c>
      <c r="BQ5" s="118"/>
      <c r="BR5" s="118">
        <v>2</v>
      </c>
      <c r="BS5" s="118"/>
      <c r="BT5" s="118">
        <v>3</v>
      </c>
      <c r="BU5" s="118"/>
      <c r="BV5" s="118">
        <v>4</v>
      </c>
      <c r="BW5" s="118"/>
      <c r="BX5" s="118">
        <v>1</v>
      </c>
      <c r="BY5" s="118"/>
      <c r="BZ5" s="118">
        <v>2</v>
      </c>
      <c r="CA5" s="118"/>
      <c r="CB5" s="118">
        <v>3</v>
      </c>
      <c r="CC5" s="118"/>
      <c r="CD5" s="118">
        <v>4</v>
      </c>
      <c r="CE5" s="118"/>
      <c r="CF5" s="118">
        <v>1</v>
      </c>
      <c r="CG5" s="118"/>
      <c r="CH5" s="118">
        <v>2</v>
      </c>
      <c r="CI5" s="118"/>
      <c r="CJ5" s="118">
        <v>3</v>
      </c>
      <c r="CK5" s="118"/>
      <c r="CL5" s="118">
        <v>4</v>
      </c>
      <c r="CM5" s="118"/>
      <c r="CN5" s="118">
        <v>1</v>
      </c>
      <c r="CO5" s="118"/>
      <c r="CP5" s="118">
        <v>2</v>
      </c>
      <c r="CQ5" s="118"/>
      <c r="CR5" s="118">
        <v>3</v>
      </c>
      <c r="CS5" s="118"/>
      <c r="CT5" s="118">
        <v>4</v>
      </c>
      <c r="CU5" s="118"/>
    </row>
    <row r="6" spans="1:99" x14ac:dyDescent="0.2">
      <c r="B6" s="118" t="s">
        <v>126</v>
      </c>
      <c r="C6" s="118" t="s">
        <v>172</v>
      </c>
      <c r="D6">
        <v>20</v>
      </c>
      <c r="E6">
        <v>11568</v>
      </c>
      <c r="F6">
        <v>15</v>
      </c>
      <c r="G6">
        <v>8676</v>
      </c>
      <c r="H6">
        <v>22</v>
      </c>
      <c r="I6">
        <v>12724.8</v>
      </c>
      <c r="J6">
        <v>20</v>
      </c>
      <c r="K6">
        <v>11568</v>
      </c>
      <c r="L6">
        <v>17</v>
      </c>
      <c r="M6">
        <v>9832.7999999999993</v>
      </c>
      <c r="N6">
        <v>23</v>
      </c>
      <c r="O6">
        <v>13303.199999999999</v>
      </c>
      <c r="P6">
        <v>21</v>
      </c>
      <c r="Q6">
        <v>12146.4</v>
      </c>
      <c r="R6">
        <v>21</v>
      </c>
      <c r="S6">
        <v>12146.4</v>
      </c>
      <c r="T6">
        <v>16</v>
      </c>
      <c r="U6">
        <v>9254.4</v>
      </c>
      <c r="V6">
        <v>26</v>
      </c>
      <c r="W6">
        <v>15038.4</v>
      </c>
      <c r="X6">
        <v>15</v>
      </c>
      <c r="Y6">
        <v>8676</v>
      </c>
      <c r="Z6">
        <v>18</v>
      </c>
      <c r="AA6">
        <v>10411.199999999999</v>
      </c>
      <c r="AB6">
        <v>24</v>
      </c>
      <c r="AC6">
        <v>13881.599999999999</v>
      </c>
      <c r="AD6">
        <v>19</v>
      </c>
      <c r="AE6">
        <v>10989.6</v>
      </c>
      <c r="AF6">
        <v>17</v>
      </c>
      <c r="AG6">
        <v>9832.7999999999993</v>
      </c>
      <c r="AH6">
        <v>22</v>
      </c>
      <c r="AI6">
        <v>12724.8</v>
      </c>
      <c r="AJ6">
        <v>20</v>
      </c>
      <c r="AK6">
        <v>11568</v>
      </c>
      <c r="AL6">
        <v>22</v>
      </c>
      <c r="AM6">
        <v>12724.8</v>
      </c>
      <c r="AN6">
        <v>19</v>
      </c>
      <c r="AO6">
        <v>10989.6</v>
      </c>
      <c r="AP6">
        <v>14</v>
      </c>
      <c r="AQ6">
        <v>8097.5999999999995</v>
      </c>
      <c r="AR6">
        <v>25</v>
      </c>
      <c r="AS6">
        <v>14460</v>
      </c>
      <c r="AT6">
        <v>15</v>
      </c>
      <c r="AU6">
        <v>8676</v>
      </c>
      <c r="AV6">
        <v>18</v>
      </c>
      <c r="AW6">
        <v>10411.199999999999</v>
      </c>
      <c r="AX6">
        <v>18</v>
      </c>
      <c r="AY6">
        <v>10411.199999999999</v>
      </c>
      <c r="AZ6">
        <v>16</v>
      </c>
      <c r="BA6">
        <v>9254.4</v>
      </c>
      <c r="BB6">
        <v>17</v>
      </c>
      <c r="BC6">
        <v>9832.7999999999993</v>
      </c>
      <c r="BD6">
        <v>26</v>
      </c>
      <c r="BE6">
        <v>15038.4</v>
      </c>
      <c r="BF6">
        <v>17</v>
      </c>
      <c r="BG6">
        <v>9832.7999999999993</v>
      </c>
      <c r="BH6">
        <v>21</v>
      </c>
      <c r="BI6">
        <v>12146.4</v>
      </c>
      <c r="BJ6">
        <v>15</v>
      </c>
      <c r="BK6">
        <v>8676</v>
      </c>
      <c r="BL6">
        <v>17</v>
      </c>
      <c r="BM6">
        <v>9832.7999999999993</v>
      </c>
      <c r="BN6">
        <v>21</v>
      </c>
      <c r="BO6">
        <v>12146.4</v>
      </c>
      <c r="BP6">
        <v>27</v>
      </c>
      <c r="BQ6">
        <v>15616.8</v>
      </c>
      <c r="BR6">
        <v>23</v>
      </c>
      <c r="BS6">
        <v>13303.199999999999</v>
      </c>
      <c r="BT6">
        <v>16</v>
      </c>
      <c r="BU6">
        <v>9254.4</v>
      </c>
      <c r="BV6">
        <v>28</v>
      </c>
      <c r="BW6">
        <v>16195.199999999999</v>
      </c>
      <c r="BX6">
        <v>26</v>
      </c>
      <c r="BY6">
        <v>15038.4</v>
      </c>
      <c r="BZ6">
        <v>20</v>
      </c>
      <c r="CA6">
        <v>11568</v>
      </c>
      <c r="CB6">
        <v>25</v>
      </c>
      <c r="CC6">
        <v>14460</v>
      </c>
      <c r="CD6">
        <v>26</v>
      </c>
      <c r="CE6">
        <v>15038.4</v>
      </c>
      <c r="CF6">
        <v>19</v>
      </c>
      <c r="CG6">
        <v>10989.6</v>
      </c>
      <c r="CH6">
        <v>25</v>
      </c>
      <c r="CI6">
        <v>14460</v>
      </c>
      <c r="CJ6">
        <v>23</v>
      </c>
      <c r="CK6">
        <v>13303.199999999999</v>
      </c>
      <c r="CL6">
        <v>27</v>
      </c>
      <c r="CM6">
        <v>15616.8</v>
      </c>
      <c r="CN6">
        <v>32</v>
      </c>
      <c r="CO6">
        <v>18508.8</v>
      </c>
      <c r="CP6">
        <v>25</v>
      </c>
      <c r="CQ6">
        <v>14460</v>
      </c>
      <c r="CR6">
        <v>21</v>
      </c>
      <c r="CS6">
        <v>12146.4</v>
      </c>
      <c r="CT6">
        <v>23</v>
      </c>
      <c r="CU6">
        <v>13303.199999999999</v>
      </c>
    </row>
    <row r="7" spans="1:99" x14ac:dyDescent="0.2">
      <c r="C7" s="118" t="s">
        <v>173</v>
      </c>
      <c r="D7">
        <v>20</v>
      </c>
      <c r="E7">
        <v>15768</v>
      </c>
      <c r="F7">
        <v>14</v>
      </c>
      <c r="G7">
        <v>11037.6</v>
      </c>
      <c r="H7">
        <v>20</v>
      </c>
      <c r="I7">
        <v>15768</v>
      </c>
      <c r="J7">
        <v>19</v>
      </c>
      <c r="K7">
        <v>14979.6</v>
      </c>
      <c r="L7">
        <v>16</v>
      </c>
      <c r="M7">
        <v>12614.4</v>
      </c>
      <c r="N7">
        <v>23</v>
      </c>
      <c r="O7">
        <v>18133.2</v>
      </c>
      <c r="P7">
        <v>20</v>
      </c>
      <c r="Q7">
        <v>15768</v>
      </c>
      <c r="R7">
        <v>24</v>
      </c>
      <c r="S7">
        <v>18921.599999999999</v>
      </c>
      <c r="T7">
        <v>16</v>
      </c>
      <c r="U7">
        <v>12614.4</v>
      </c>
      <c r="V7">
        <v>22</v>
      </c>
      <c r="W7">
        <v>17344.8</v>
      </c>
      <c r="X7">
        <v>15</v>
      </c>
      <c r="Y7">
        <v>11826</v>
      </c>
      <c r="Z7">
        <v>16</v>
      </c>
      <c r="AA7">
        <v>12614.4</v>
      </c>
      <c r="AB7">
        <v>26</v>
      </c>
      <c r="AC7">
        <v>20498.399999999998</v>
      </c>
      <c r="AD7">
        <v>19</v>
      </c>
      <c r="AE7">
        <v>14979.6</v>
      </c>
      <c r="AF7">
        <v>18</v>
      </c>
      <c r="AG7">
        <v>14191.199999999999</v>
      </c>
      <c r="AH7">
        <v>25</v>
      </c>
      <c r="AI7">
        <v>19710</v>
      </c>
      <c r="AJ7">
        <v>21</v>
      </c>
      <c r="AK7">
        <v>16556.399999999998</v>
      </c>
      <c r="AL7">
        <v>25</v>
      </c>
      <c r="AM7">
        <v>19710</v>
      </c>
      <c r="AN7">
        <v>18</v>
      </c>
      <c r="AO7">
        <v>14191.199999999999</v>
      </c>
      <c r="AP7">
        <v>14</v>
      </c>
      <c r="AQ7">
        <v>11037.6</v>
      </c>
      <c r="AR7">
        <v>25</v>
      </c>
      <c r="AS7">
        <v>19710</v>
      </c>
      <c r="AT7">
        <v>15</v>
      </c>
      <c r="AU7">
        <v>11826</v>
      </c>
      <c r="AV7">
        <v>15</v>
      </c>
      <c r="AW7">
        <v>11826</v>
      </c>
      <c r="AX7">
        <v>20</v>
      </c>
      <c r="AY7">
        <v>15768</v>
      </c>
      <c r="AZ7">
        <v>13</v>
      </c>
      <c r="BA7">
        <v>10249.199999999999</v>
      </c>
      <c r="BB7">
        <v>19</v>
      </c>
      <c r="BC7">
        <v>14979.6</v>
      </c>
      <c r="BD7">
        <v>26</v>
      </c>
      <c r="BE7">
        <v>20498.399999999998</v>
      </c>
      <c r="BF7">
        <v>15</v>
      </c>
      <c r="BG7">
        <v>11826</v>
      </c>
      <c r="BH7">
        <v>18</v>
      </c>
      <c r="BI7">
        <v>14191.199999999999</v>
      </c>
      <c r="BJ7">
        <v>14</v>
      </c>
      <c r="BK7">
        <v>11037.6</v>
      </c>
      <c r="BL7">
        <v>17</v>
      </c>
      <c r="BM7">
        <v>13402.8</v>
      </c>
      <c r="BN7">
        <v>19</v>
      </c>
      <c r="BO7">
        <v>14979.6</v>
      </c>
      <c r="BP7">
        <v>24</v>
      </c>
      <c r="BQ7">
        <v>18921.599999999999</v>
      </c>
      <c r="BR7">
        <v>20</v>
      </c>
      <c r="BS7">
        <v>15768</v>
      </c>
      <c r="BT7">
        <v>15</v>
      </c>
      <c r="BU7">
        <v>11826</v>
      </c>
      <c r="BV7">
        <v>25</v>
      </c>
      <c r="BW7">
        <v>19710</v>
      </c>
      <c r="BX7">
        <v>28</v>
      </c>
      <c r="BY7">
        <v>22075.200000000001</v>
      </c>
      <c r="BZ7">
        <v>17</v>
      </c>
      <c r="CA7">
        <v>13402.8</v>
      </c>
      <c r="CB7">
        <v>23</v>
      </c>
      <c r="CC7">
        <v>18133.2</v>
      </c>
      <c r="CD7">
        <v>21</v>
      </c>
      <c r="CE7">
        <v>16556.399999999998</v>
      </c>
      <c r="CF7">
        <v>21</v>
      </c>
      <c r="CG7">
        <v>16556.399999999998</v>
      </c>
      <c r="CH7">
        <v>25</v>
      </c>
      <c r="CI7">
        <v>19710</v>
      </c>
      <c r="CJ7">
        <v>23</v>
      </c>
      <c r="CK7">
        <v>18133.2</v>
      </c>
      <c r="CL7">
        <v>30</v>
      </c>
      <c r="CM7">
        <v>23652</v>
      </c>
      <c r="CN7">
        <v>30</v>
      </c>
      <c r="CO7">
        <v>23652</v>
      </c>
      <c r="CP7">
        <v>26</v>
      </c>
      <c r="CQ7">
        <v>20498.399999999998</v>
      </c>
      <c r="CR7">
        <v>18</v>
      </c>
      <c r="CS7">
        <v>14191.199999999999</v>
      </c>
      <c r="CT7">
        <v>24</v>
      </c>
      <c r="CU7">
        <v>18921.599999999999</v>
      </c>
    </row>
    <row r="8" spans="1:99" x14ac:dyDescent="0.2">
      <c r="C8" s="118" t="s">
        <v>174</v>
      </c>
      <c r="D8">
        <v>22</v>
      </c>
      <c r="E8">
        <v>6811.1999999999989</v>
      </c>
      <c r="F8">
        <v>17</v>
      </c>
      <c r="G8">
        <v>5263.2</v>
      </c>
      <c r="H8">
        <v>23</v>
      </c>
      <c r="I8">
        <v>7120.7999999999993</v>
      </c>
      <c r="J8">
        <v>20</v>
      </c>
      <c r="K8">
        <v>6191.9999999999991</v>
      </c>
      <c r="L8">
        <v>17</v>
      </c>
      <c r="M8">
        <v>5263.2</v>
      </c>
      <c r="N8">
        <v>23</v>
      </c>
      <c r="O8">
        <v>7120.7999999999993</v>
      </c>
      <c r="P8">
        <v>23</v>
      </c>
      <c r="Q8">
        <v>7120.7999999999993</v>
      </c>
      <c r="R8">
        <v>24</v>
      </c>
      <c r="S8">
        <v>7430.4</v>
      </c>
      <c r="T8">
        <v>19</v>
      </c>
      <c r="U8">
        <v>5882.4</v>
      </c>
      <c r="V8">
        <v>27</v>
      </c>
      <c r="W8">
        <v>8359.1999999999989</v>
      </c>
      <c r="X8">
        <v>14</v>
      </c>
      <c r="Y8">
        <v>4334.3999999999996</v>
      </c>
      <c r="Z8">
        <v>17</v>
      </c>
      <c r="AA8">
        <v>5263.2</v>
      </c>
      <c r="AB8">
        <v>28</v>
      </c>
      <c r="AC8">
        <v>8668.7999999999993</v>
      </c>
      <c r="AD8">
        <v>21</v>
      </c>
      <c r="AE8">
        <v>6501.5999999999995</v>
      </c>
      <c r="AF8">
        <v>19</v>
      </c>
      <c r="AG8">
        <v>5882.4</v>
      </c>
      <c r="AH8">
        <v>23</v>
      </c>
      <c r="AI8">
        <v>7120.7999999999993</v>
      </c>
      <c r="AJ8">
        <v>24</v>
      </c>
      <c r="AK8">
        <v>7430.4</v>
      </c>
      <c r="AL8">
        <v>23</v>
      </c>
      <c r="AM8">
        <v>7120.7999999999993</v>
      </c>
      <c r="AN8">
        <v>22</v>
      </c>
      <c r="AO8">
        <v>6811.1999999999989</v>
      </c>
      <c r="AP8">
        <v>15</v>
      </c>
      <c r="AQ8">
        <v>4643.9999999999991</v>
      </c>
      <c r="AR8">
        <v>28</v>
      </c>
      <c r="AS8">
        <v>8668.7999999999993</v>
      </c>
      <c r="AT8">
        <v>15</v>
      </c>
      <c r="AU8">
        <v>4643.9999999999991</v>
      </c>
      <c r="AV8">
        <v>19</v>
      </c>
      <c r="AW8">
        <v>5882.4</v>
      </c>
      <c r="AX8">
        <v>19</v>
      </c>
      <c r="AY8">
        <v>5882.4</v>
      </c>
      <c r="AZ8">
        <v>15</v>
      </c>
      <c r="BA8">
        <v>4643.9999999999991</v>
      </c>
      <c r="BB8">
        <v>18</v>
      </c>
      <c r="BC8">
        <v>5572.7999999999993</v>
      </c>
      <c r="BD8">
        <v>27</v>
      </c>
      <c r="BE8">
        <v>8359.1999999999989</v>
      </c>
      <c r="BF8">
        <v>16</v>
      </c>
      <c r="BG8">
        <v>4953.5999999999995</v>
      </c>
      <c r="BH8">
        <v>20</v>
      </c>
      <c r="BI8">
        <v>6191.9999999999991</v>
      </c>
      <c r="BJ8">
        <v>14</v>
      </c>
      <c r="BK8">
        <v>4334.3999999999996</v>
      </c>
      <c r="BL8">
        <v>17</v>
      </c>
      <c r="BM8">
        <v>5263.2</v>
      </c>
      <c r="BN8">
        <v>21</v>
      </c>
      <c r="BO8">
        <v>6501.5999999999995</v>
      </c>
      <c r="BP8">
        <v>30</v>
      </c>
      <c r="BQ8">
        <v>9287.9999999999982</v>
      </c>
      <c r="BR8">
        <v>23</v>
      </c>
      <c r="BS8">
        <v>7120.7999999999993</v>
      </c>
      <c r="BT8">
        <v>16</v>
      </c>
      <c r="BU8">
        <v>4953.5999999999995</v>
      </c>
      <c r="BV8">
        <v>27</v>
      </c>
      <c r="BW8">
        <v>8359.1999999999989</v>
      </c>
      <c r="BX8">
        <v>30</v>
      </c>
      <c r="BY8">
        <v>9287.9999999999982</v>
      </c>
      <c r="BZ8">
        <v>20</v>
      </c>
      <c r="CA8">
        <v>6191.9999999999991</v>
      </c>
      <c r="CB8">
        <v>26</v>
      </c>
      <c r="CC8">
        <v>8049.5999999999995</v>
      </c>
      <c r="CD8">
        <v>22</v>
      </c>
      <c r="CE8">
        <v>6811.1999999999989</v>
      </c>
      <c r="CF8">
        <v>21</v>
      </c>
      <c r="CG8">
        <v>6501.5999999999995</v>
      </c>
      <c r="CH8">
        <v>24</v>
      </c>
      <c r="CI8">
        <v>7430.4</v>
      </c>
      <c r="CJ8">
        <v>24</v>
      </c>
      <c r="CK8">
        <v>7430.4</v>
      </c>
      <c r="CL8">
        <v>29</v>
      </c>
      <c r="CM8">
        <v>8978.4</v>
      </c>
      <c r="CN8">
        <v>34</v>
      </c>
      <c r="CO8">
        <v>10526.4</v>
      </c>
      <c r="CP8">
        <v>26</v>
      </c>
      <c r="CQ8">
        <v>8049.5999999999995</v>
      </c>
      <c r="CR8">
        <v>21</v>
      </c>
      <c r="CS8">
        <v>6501.5999999999995</v>
      </c>
      <c r="CT8">
        <v>23</v>
      </c>
      <c r="CU8">
        <v>7120.7999999999993</v>
      </c>
    </row>
    <row r="9" spans="1:99" x14ac:dyDescent="0.2">
      <c r="C9" s="118" t="s">
        <v>175</v>
      </c>
      <c r="D9">
        <v>18</v>
      </c>
      <c r="E9">
        <v>12636</v>
      </c>
      <c r="F9">
        <v>17</v>
      </c>
      <c r="G9">
        <v>11934</v>
      </c>
      <c r="H9">
        <v>21</v>
      </c>
      <c r="I9">
        <v>14742</v>
      </c>
      <c r="J9">
        <v>21</v>
      </c>
      <c r="K9">
        <v>14742</v>
      </c>
      <c r="L9">
        <v>17</v>
      </c>
      <c r="M9">
        <v>11934</v>
      </c>
      <c r="N9">
        <v>24</v>
      </c>
      <c r="O9">
        <v>16848</v>
      </c>
      <c r="P9">
        <v>21</v>
      </c>
      <c r="Q9">
        <v>14742</v>
      </c>
      <c r="R9">
        <v>24</v>
      </c>
      <c r="S9">
        <v>16848</v>
      </c>
      <c r="T9">
        <v>17</v>
      </c>
      <c r="U9">
        <v>11934</v>
      </c>
      <c r="V9">
        <v>24</v>
      </c>
      <c r="W9">
        <v>16848</v>
      </c>
      <c r="X9">
        <v>13</v>
      </c>
      <c r="Y9">
        <v>9126</v>
      </c>
      <c r="Z9">
        <v>19</v>
      </c>
      <c r="AA9">
        <v>13338</v>
      </c>
      <c r="AB9">
        <v>27</v>
      </c>
      <c r="AC9">
        <v>18954</v>
      </c>
      <c r="AD9">
        <v>18</v>
      </c>
      <c r="AE9">
        <v>12636</v>
      </c>
      <c r="AF9">
        <v>19</v>
      </c>
      <c r="AG9">
        <v>13338</v>
      </c>
      <c r="AH9">
        <v>26</v>
      </c>
      <c r="AI9">
        <v>18252</v>
      </c>
      <c r="AJ9">
        <v>21</v>
      </c>
      <c r="AK9">
        <v>14742</v>
      </c>
      <c r="AL9">
        <v>23</v>
      </c>
      <c r="AM9">
        <v>16146</v>
      </c>
      <c r="AN9">
        <v>18</v>
      </c>
      <c r="AO9">
        <v>12636</v>
      </c>
      <c r="AP9">
        <v>13</v>
      </c>
      <c r="AQ9">
        <v>9126</v>
      </c>
      <c r="AR9">
        <v>25</v>
      </c>
      <c r="AS9">
        <v>17550</v>
      </c>
      <c r="AT9">
        <v>16</v>
      </c>
      <c r="AU9">
        <v>11232</v>
      </c>
      <c r="AV9">
        <v>15</v>
      </c>
      <c r="AW9">
        <v>10530</v>
      </c>
      <c r="AX9">
        <v>21</v>
      </c>
      <c r="AY9">
        <v>14742</v>
      </c>
      <c r="AZ9">
        <v>15</v>
      </c>
      <c r="BA9">
        <v>10530</v>
      </c>
      <c r="BB9">
        <v>19</v>
      </c>
      <c r="BC9">
        <v>13338</v>
      </c>
      <c r="BD9">
        <v>28</v>
      </c>
      <c r="BE9">
        <v>19656</v>
      </c>
      <c r="BF9">
        <v>17</v>
      </c>
      <c r="BG9">
        <v>11934</v>
      </c>
      <c r="BH9">
        <v>18</v>
      </c>
      <c r="BI9">
        <v>12636</v>
      </c>
      <c r="BJ9">
        <v>14</v>
      </c>
      <c r="BK9">
        <v>9828</v>
      </c>
      <c r="BL9">
        <v>17</v>
      </c>
      <c r="BM9">
        <v>11934</v>
      </c>
      <c r="BN9">
        <v>21</v>
      </c>
      <c r="BO9">
        <v>14742</v>
      </c>
      <c r="BP9">
        <v>26</v>
      </c>
      <c r="BQ9">
        <v>18252</v>
      </c>
      <c r="BR9">
        <v>20</v>
      </c>
      <c r="BS9">
        <v>14040</v>
      </c>
      <c r="BT9">
        <v>16</v>
      </c>
      <c r="BU9">
        <v>11232</v>
      </c>
      <c r="BV9">
        <v>25</v>
      </c>
      <c r="BW9">
        <v>17550</v>
      </c>
      <c r="BX9">
        <v>30</v>
      </c>
      <c r="BY9">
        <v>21060</v>
      </c>
      <c r="BZ9">
        <v>20</v>
      </c>
      <c r="CA9">
        <v>14040</v>
      </c>
      <c r="CB9">
        <v>23</v>
      </c>
      <c r="CC9">
        <v>16146</v>
      </c>
      <c r="CD9">
        <v>21</v>
      </c>
      <c r="CE9">
        <v>14742</v>
      </c>
      <c r="CF9">
        <v>20</v>
      </c>
      <c r="CG9">
        <v>14040</v>
      </c>
      <c r="CH9">
        <v>24</v>
      </c>
      <c r="CI9">
        <v>16848</v>
      </c>
      <c r="CJ9">
        <v>24</v>
      </c>
      <c r="CK9">
        <v>16848</v>
      </c>
      <c r="CL9">
        <v>29</v>
      </c>
      <c r="CM9">
        <v>20358</v>
      </c>
      <c r="CN9">
        <v>32</v>
      </c>
      <c r="CO9">
        <v>22464</v>
      </c>
      <c r="CP9">
        <v>26</v>
      </c>
      <c r="CQ9">
        <v>18252</v>
      </c>
      <c r="CR9">
        <v>20</v>
      </c>
      <c r="CS9">
        <v>14040</v>
      </c>
      <c r="CT9">
        <v>23</v>
      </c>
      <c r="CU9">
        <v>16146</v>
      </c>
    </row>
    <row r="10" spans="1:99" x14ac:dyDescent="0.2">
      <c r="C10" s="118" t="s">
        <v>176</v>
      </c>
      <c r="D10">
        <v>21</v>
      </c>
      <c r="E10">
        <v>11440.8</v>
      </c>
      <c r="F10">
        <v>15</v>
      </c>
      <c r="G10">
        <v>8171.9999999999991</v>
      </c>
      <c r="H10">
        <v>20</v>
      </c>
      <c r="I10">
        <v>10896</v>
      </c>
      <c r="J10">
        <v>20</v>
      </c>
      <c r="K10">
        <v>10896</v>
      </c>
      <c r="L10">
        <v>17</v>
      </c>
      <c r="M10">
        <v>9261.5999999999985</v>
      </c>
      <c r="N10">
        <v>20</v>
      </c>
      <c r="O10">
        <v>10896</v>
      </c>
      <c r="P10">
        <v>22</v>
      </c>
      <c r="Q10">
        <v>11985.599999999999</v>
      </c>
      <c r="R10">
        <v>21</v>
      </c>
      <c r="S10">
        <v>11440.8</v>
      </c>
      <c r="T10">
        <v>19</v>
      </c>
      <c r="U10">
        <v>10351.199999999999</v>
      </c>
      <c r="V10">
        <v>25</v>
      </c>
      <c r="W10">
        <v>13619.999999999998</v>
      </c>
      <c r="X10">
        <v>14</v>
      </c>
      <c r="Y10">
        <v>7627.1999999999989</v>
      </c>
      <c r="Z10">
        <v>16</v>
      </c>
      <c r="AA10">
        <v>8716.7999999999993</v>
      </c>
      <c r="AB10">
        <v>27</v>
      </c>
      <c r="AC10">
        <v>14709.599999999999</v>
      </c>
      <c r="AD10">
        <v>20</v>
      </c>
      <c r="AE10">
        <v>10896</v>
      </c>
      <c r="AF10">
        <v>17</v>
      </c>
      <c r="AG10">
        <v>9261.5999999999985</v>
      </c>
      <c r="AH10">
        <v>26</v>
      </c>
      <c r="AI10">
        <v>14164.8</v>
      </c>
      <c r="AJ10">
        <v>23</v>
      </c>
      <c r="AK10">
        <v>12530.4</v>
      </c>
      <c r="AL10">
        <v>23</v>
      </c>
      <c r="AM10">
        <v>12530.4</v>
      </c>
      <c r="AN10">
        <v>19</v>
      </c>
      <c r="AO10">
        <v>10351.199999999999</v>
      </c>
      <c r="AP10">
        <v>15</v>
      </c>
      <c r="AQ10">
        <v>8171.9999999999991</v>
      </c>
      <c r="AR10">
        <v>23</v>
      </c>
      <c r="AS10">
        <v>12530.4</v>
      </c>
      <c r="AT10">
        <v>15</v>
      </c>
      <c r="AU10">
        <v>8171.9999999999991</v>
      </c>
      <c r="AV10">
        <v>19</v>
      </c>
      <c r="AW10">
        <v>10351.199999999999</v>
      </c>
      <c r="AX10">
        <v>20</v>
      </c>
      <c r="AY10">
        <v>10896</v>
      </c>
      <c r="AZ10">
        <v>14</v>
      </c>
      <c r="BA10">
        <v>7627.1999999999989</v>
      </c>
      <c r="BB10">
        <v>18</v>
      </c>
      <c r="BC10">
        <v>9806.4</v>
      </c>
      <c r="BD10">
        <v>26</v>
      </c>
      <c r="BE10">
        <v>14164.8</v>
      </c>
      <c r="BF10">
        <v>17</v>
      </c>
      <c r="BG10">
        <v>9261.5999999999985</v>
      </c>
      <c r="BH10">
        <v>18</v>
      </c>
      <c r="BI10">
        <v>9806.4</v>
      </c>
      <c r="BJ10">
        <v>14</v>
      </c>
      <c r="BK10">
        <v>7627.1999999999989</v>
      </c>
      <c r="BL10">
        <v>17</v>
      </c>
      <c r="BM10">
        <v>9261.5999999999985</v>
      </c>
      <c r="BN10">
        <v>22</v>
      </c>
      <c r="BO10">
        <v>11985.599999999999</v>
      </c>
      <c r="BP10">
        <v>27</v>
      </c>
      <c r="BQ10">
        <v>14709.599999999999</v>
      </c>
      <c r="BR10">
        <v>22</v>
      </c>
      <c r="BS10">
        <v>11985.599999999999</v>
      </c>
      <c r="BT10">
        <v>14</v>
      </c>
      <c r="BU10">
        <v>7627.1999999999989</v>
      </c>
      <c r="BV10">
        <v>26</v>
      </c>
      <c r="BW10">
        <v>14164.8</v>
      </c>
      <c r="BX10">
        <v>28</v>
      </c>
      <c r="BY10">
        <v>15254.399999999998</v>
      </c>
      <c r="BZ10">
        <v>19</v>
      </c>
      <c r="CA10">
        <v>10351.199999999999</v>
      </c>
      <c r="CB10">
        <v>22</v>
      </c>
      <c r="CC10">
        <v>11985.599999999999</v>
      </c>
      <c r="CD10">
        <v>22</v>
      </c>
      <c r="CE10">
        <v>11985.599999999999</v>
      </c>
      <c r="CF10">
        <v>18</v>
      </c>
      <c r="CG10">
        <v>9806.4</v>
      </c>
      <c r="CH10">
        <v>24</v>
      </c>
      <c r="CI10">
        <v>13075.199999999999</v>
      </c>
      <c r="CJ10">
        <v>26</v>
      </c>
      <c r="CK10">
        <v>14164.8</v>
      </c>
      <c r="CL10">
        <v>29</v>
      </c>
      <c r="CM10">
        <v>15799.199999999999</v>
      </c>
      <c r="CN10">
        <v>31</v>
      </c>
      <c r="CO10">
        <v>16888.8</v>
      </c>
      <c r="CP10">
        <v>26</v>
      </c>
      <c r="CQ10">
        <v>14164.8</v>
      </c>
      <c r="CR10">
        <v>19</v>
      </c>
      <c r="CS10">
        <v>10351.199999999999</v>
      </c>
      <c r="CT10">
        <v>22</v>
      </c>
      <c r="CU10">
        <v>11985.599999999999</v>
      </c>
    </row>
    <row r="11" spans="1:99" x14ac:dyDescent="0.2">
      <c r="C11" s="118" t="s">
        <v>177</v>
      </c>
      <c r="D11">
        <v>20</v>
      </c>
      <c r="E11">
        <v>10656</v>
      </c>
      <c r="F11">
        <v>17</v>
      </c>
      <c r="G11">
        <v>9057.5999999999985</v>
      </c>
      <c r="H11">
        <v>23</v>
      </c>
      <c r="I11">
        <v>12254.4</v>
      </c>
      <c r="J11">
        <v>21</v>
      </c>
      <c r="K11">
        <v>11188.8</v>
      </c>
      <c r="L11">
        <v>17</v>
      </c>
      <c r="M11">
        <v>9057.5999999999985</v>
      </c>
      <c r="N11">
        <v>22</v>
      </c>
      <c r="O11">
        <v>11721.599999999999</v>
      </c>
      <c r="P11">
        <v>20</v>
      </c>
      <c r="Q11">
        <v>10656</v>
      </c>
      <c r="R11">
        <v>21</v>
      </c>
      <c r="S11">
        <v>11188.8</v>
      </c>
      <c r="T11">
        <v>19</v>
      </c>
      <c r="U11">
        <v>10123.199999999999</v>
      </c>
      <c r="V11">
        <v>26</v>
      </c>
      <c r="W11">
        <v>13852.8</v>
      </c>
      <c r="X11">
        <v>15</v>
      </c>
      <c r="Y11">
        <v>7991.9999999999991</v>
      </c>
      <c r="Z11">
        <v>17</v>
      </c>
      <c r="AA11">
        <v>9057.5999999999985</v>
      </c>
      <c r="AB11">
        <v>23</v>
      </c>
      <c r="AC11">
        <v>12254.4</v>
      </c>
      <c r="AD11">
        <v>19</v>
      </c>
      <c r="AE11">
        <v>10123.199999999999</v>
      </c>
      <c r="AF11">
        <v>17</v>
      </c>
      <c r="AG11">
        <v>9057.5999999999985</v>
      </c>
      <c r="AH11">
        <v>23</v>
      </c>
      <c r="AI11">
        <v>12254.4</v>
      </c>
      <c r="AJ11">
        <v>20</v>
      </c>
      <c r="AK11">
        <v>10656</v>
      </c>
      <c r="AL11">
        <v>22</v>
      </c>
      <c r="AM11">
        <v>11721.599999999999</v>
      </c>
      <c r="AN11">
        <v>19</v>
      </c>
      <c r="AO11">
        <v>10123.199999999999</v>
      </c>
      <c r="AP11">
        <v>15</v>
      </c>
      <c r="AQ11">
        <v>7991.9999999999991</v>
      </c>
      <c r="AR11">
        <v>24</v>
      </c>
      <c r="AS11">
        <v>12787.199999999999</v>
      </c>
      <c r="AT11">
        <v>16</v>
      </c>
      <c r="AU11">
        <v>8524.7999999999993</v>
      </c>
      <c r="AV11">
        <v>17</v>
      </c>
      <c r="AW11">
        <v>9057.5999999999985</v>
      </c>
      <c r="AX11">
        <v>20</v>
      </c>
      <c r="AY11">
        <v>10656</v>
      </c>
      <c r="AZ11">
        <v>14</v>
      </c>
      <c r="BA11">
        <v>7459.1999999999989</v>
      </c>
      <c r="BB11">
        <v>18</v>
      </c>
      <c r="BC11">
        <v>9590.4</v>
      </c>
      <c r="BD11">
        <v>30</v>
      </c>
      <c r="BE11">
        <v>15983.999999999998</v>
      </c>
      <c r="BF11">
        <v>16</v>
      </c>
      <c r="BG11">
        <v>8524.7999999999993</v>
      </c>
      <c r="BH11">
        <v>22</v>
      </c>
      <c r="BI11">
        <v>11721.599999999999</v>
      </c>
      <c r="BJ11">
        <v>16</v>
      </c>
      <c r="BK11">
        <v>8524.7999999999993</v>
      </c>
      <c r="BL11">
        <v>19</v>
      </c>
      <c r="BM11">
        <v>10123.199999999999</v>
      </c>
      <c r="BN11">
        <v>22</v>
      </c>
      <c r="BO11">
        <v>11721.599999999999</v>
      </c>
      <c r="BP11">
        <v>27</v>
      </c>
      <c r="BQ11">
        <v>14385.599999999999</v>
      </c>
      <c r="BR11">
        <v>22</v>
      </c>
      <c r="BS11">
        <v>11721.599999999999</v>
      </c>
      <c r="BT11">
        <v>15</v>
      </c>
      <c r="BU11">
        <v>7991.9999999999991</v>
      </c>
      <c r="BV11">
        <v>27</v>
      </c>
      <c r="BW11">
        <v>14385.599999999999</v>
      </c>
      <c r="BX11">
        <v>29</v>
      </c>
      <c r="BY11">
        <v>15451.199999999999</v>
      </c>
      <c r="BZ11">
        <v>21</v>
      </c>
      <c r="CA11">
        <v>11188.8</v>
      </c>
      <c r="CB11">
        <v>25</v>
      </c>
      <c r="CC11">
        <v>13319.999999999998</v>
      </c>
      <c r="CD11">
        <v>24</v>
      </c>
      <c r="CE11">
        <v>12787.199999999999</v>
      </c>
      <c r="CF11">
        <v>19</v>
      </c>
      <c r="CG11">
        <v>10123.199999999999</v>
      </c>
      <c r="CH11">
        <v>25</v>
      </c>
      <c r="CI11">
        <v>13319.999999999998</v>
      </c>
      <c r="CJ11">
        <v>27</v>
      </c>
      <c r="CK11">
        <v>14385.599999999999</v>
      </c>
      <c r="CL11">
        <v>27</v>
      </c>
      <c r="CM11">
        <v>14385.599999999999</v>
      </c>
      <c r="CN11">
        <v>34</v>
      </c>
      <c r="CO11">
        <v>18115.199999999997</v>
      </c>
      <c r="CP11">
        <v>28</v>
      </c>
      <c r="CQ11">
        <v>14918.399999999998</v>
      </c>
      <c r="CR11">
        <v>19</v>
      </c>
      <c r="CS11">
        <v>10123.199999999999</v>
      </c>
      <c r="CT11">
        <v>24</v>
      </c>
      <c r="CU11">
        <v>12787.199999999999</v>
      </c>
    </row>
    <row r="12" spans="1:99" x14ac:dyDescent="0.2">
      <c r="C12" s="118" t="s">
        <v>178</v>
      </c>
      <c r="D12">
        <v>22</v>
      </c>
      <c r="E12">
        <v>12381.599999999999</v>
      </c>
      <c r="F12">
        <v>17</v>
      </c>
      <c r="G12">
        <v>9567.5999999999985</v>
      </c>
      <c r="H12">
        <v>20</v>
      </c>
      <c r="I12">
        <v>11256</v>
      </c>
      <c r="J12">
        <v>21</v>
      </c>
      <c r="K12">
        <v>11818.8</v>
      </c>
      <c r="L12">
        <v>16</v>
      </c>
      <c r="M12">
        <v>9004.7999999999993</v>
      </c>
      <c r="N12">
        <v>23</v>
      </c>
      <c r="O12">
        <v>12944.4</v>
      </c>
      <c r="P12">
        <v>19</v>
      </c>
      <c r="Q12">
        <v>10693.199999999999</v>
      </c>
      <c r="R12">
        <v>22</v>
      </c>
      <c r="S12">
        <v>12381.599999999999</v>
      </c>
      <c r="T12">
        <v>19</v>
      </c>
      <c r="U12">
        <v>10693.199999999999</v>
      </c>
      <c r="V12">
        <v>25</v>
      </c>
      <c r="W12">
        <v>14069.999999999998</v>
      </c>
      <c r="X12">
        <v>15</v>
      </c>
      <c r="Y12">
        <v>8442</v>
      </c>
      <c r="Z12">
        <v>17</v>
      </c>
      <c r="AA12">
        <v>9567.5999999999985</v>
      </c>
      <c r="AB12">
        <v>27</v>
      </c>
      <c r="AC12">
        <v>15195.599999999999</v>
      </c>
      <c r="AD12">
        <v>20</v>
      </c>
      <c r="AE12">
        <v>11256</v>
      </c>
      <c r="AF12">
        <v>19</v>
      </c>
      <c r="AG12">
        <v>10693.199999999999</v>
      </c>
      <c r="AH12">
        <v>23</v>
      </c>
      <c r="AI12">
        <v>12944.4</v>
      </c>
      <c r="AJ12">
        <v>24</v>
      </c>
      <c r="AK12">
        <v>13507.199999999999</v>
      </c>
      <c r="AL12">
        <v>24</v>
      </c>
      <c r="AM12">
        <v>13507.199999999999</v>
      </c>
      <c r="AN12">
        <v>20</v>
      </c>
      <c r="AO12">
        <v>11256</v>
      </c>
      <c r="AP12">
        <v>14</v>
      </c>
      <c r="AQ12">
        <v>7879.1999999999989</v>
      </c>
      <c r="AR12">
        <v>27</v>
      </c>
      <c r="AS12">
        <v>15195.599999999999</v>
      </c>
      <c r="AT12">
        <v>16</v>
      </c>
      <c r="AU12">
        <v>9004.7999999999993</v>
      </c>
      <c r="AV12">
        <v>19</v>
      </c>
      <c r="AW12">
        <v>10693.199999999999</v>
      </c>
      <c r="AX12">
        <v>18</v>
      </c>
      <c r="AY12">
        <v>10130.4</v>
      </c>
      <c r="AZ12">
        <v>15</v>
      </c>
      <c r="BA12">
        <v>8442</v>
      </c>
      <c r="BB12">
        <v>19</v>
      </c>
      <c r="BC12">
        <v>10693.199999999999</v>
      </c>
      <c r="BD12">
        <v>30</v>
      </c>
      <c r="BE12">
        <v>16884</v>
      </c>
      <c r="BF12">
        <v>16</v>
      </c>
      <c r="BG12">
        <v>9004.7999999999993</v>
      </c>
      <c r="BH12">
        <v>22</v>
      </c>
      <c r="BI12">
        <v>12381.599999999999</v>
      </c>
      <c r="BJ12">
        <v>14</v>
      </c>
      <c r="BK12">
        <v>7879.1999999999989</v>
      </c>
      <c r="BL12">
        <v>19</v>
      </c>
      <c r="BM12">
        <v>10693.199999999999</v>
      </c>
      <c r="BN12">
        <v>18</v>
      </c>
      <c r="BO12">
        <v>10130.4</v>
      </c>
      <c r="BP12">
        <v>28</v>
      </c>
      <c r="BQ12">
        <v>15758.399999999998</v>
      </c>
      <c r="BR12">
        <v>23</v>
      </c>
      <c r="BS12">
        <v>12944.4</v>
      </c>
      <c r="BT12">
        <v>15</v>
      </c>
      <c r="BU12">
        <v>8442</v>
      </c>
      <c r="BV12">
        <v>28</v>
      </c>
      <c r="BW12">
        <v>15758.399999999998</v>
      </c>
      <c r="BX12">
        <v>30</v>
      </c>
      <c r="BY12">
        <v>16884</v>
      </c>
      <c r="BZ12">
        <v>18</v>
      </c>
      <c r="CA12">
        <v>10130.4</v>
      </c>
      <c r="CB12">
        <v>22</v>
      </c>
      <c r="CC12">
        <v>12381.599999999999</v>
      </c>
      <c r="CD12">
        <v>22</v>
      </c>
      <c r="CE12">
        <v>12381.599999999999</v>
      </c>
      <c r="CF12">
        <v>21</v>
      </c>
      <c r="CG12">
        <v>11818.8</v>
      </c>
      <c r="CH12">
        <v>24</v>
      </c>
      <c r="CI12">
        <v>13507.199999999999</v>
      </c>
      <c r="CJ12">
        <v>26</v>
      </c>
      <c r="CK12">
        <v>14632.8</v>
      </c>
      <c r="CL12">
        <v>32</v>
      </c>
      <c r="CM12">
        <v>18009.599999999999</v>
      </c>
      <c r="CN12">
        <v>32</v>
      </c>
      <c r="CO12">
        <v>18009.599999999999</v>
      </c>
      <c r="CP12">
        <v>27</v>
      </c>
      <c r="CQ12">
        <v>15195.599999999999</v>
      </c>
      <c r="CR12">
        <v>18</v>
      </c>
      <c r="CS12">
        <v>10130.4</v>
      </c>
      <c r="CT12">
        <v>23</v>
      </c>
      <c r="CU12">
        <v>12944.4</v>
      </c>
    </row>
    <row r="13" spans="1:99" x14ac:dyDescent="0.2">
      <c r="C13" s="118" t="s">
        <v>179</v>
      </c>
      <c r="D13">
        <v>22</v>
      </c>
      <c r="E13">
        <v>1874.4</v>
      </c>
      <c r="F13">
        <v>17</v>
      </c>
      <c r="G13">
        <v>1448.4</v>
      </c>
      <c r="H13">
        <v>22</v>
      </c>
      <c r="I13">
        <v>1874.4</v>
      </c>
      <c r="J13">
        <v>20</v>
      </c>
      <c r="K13">
        <v>1704</v>
      </c>
      <c r="L13">
        <v>17</v>
      </c>
      <c r="M13">
        <v>1448.4</v>
      </c>
      <c r="N13">
        <v>22</v>
      </c>
      <c r="O13">
        <v>1874.4</v>
      </c>
      <c r="P13">
        <v>20</v>
      </c>
      <c r="Q13">
        <v>1704</v>
      </c>
      <c r="R13">
        <v>22</v>
      </c>
      <c r="S13">
        <v>1874.4</v>
      </c>
      <c r="T13">
        <v>20</v>
      </c>
      <c r="U13">
        <v>1704</v>
      </c>
      <c r="V13">
        <v>26</v>
      </c>
      <c r="W13">
        <v>2215.2000000000003</v>
      </c>
      <c r="X13">
        <v>14</v>
      </c>
      <c r="Y13">
        <v>1192.8</v>
      </c>
      <c r="Z13">
        <v>19</v>
      </c>
      <c r="AA13">
        <v>1618.8</v>
      </c>
      <c r="AB13">
        <v>28</v>
      </c>
      <c r="AC13">
        <v>2385.6</v>
      </c>
      <c r="AD13">
        <v>20</v>
      </c>
      <c r="AE13">
        <v>1704</v>
      </c>
      <c r="AF13">
        <v>19</v>
      </c>
      <c r="AG13">
        <v>1618.8</v>
      </c>
      <c r="AH13">
        <v>23</v>
      </c>
      <c r="AI13">
        <v>1959.6000000000001</v>
      </c>
      <c r="AJ13">
        <v>21</v>
      </c>
      <c r="AK13">
        <v>1789.2</v>
      </c>
      <c r="AL13">
        <v>26</v>
      </c>
      <c r="AM13">
        <v>2215.2000000000003</v>
      </c>
      <c r="AN13">
        <v>21</v>
      </c>
      <c r="AO13">
        <v>1789.2</v>
      </c>
      <c r="AP13">
        <v>16</v>
      </c>
      <c r="AQ13">
        <v>1363.2</v>
      </c>
      <c r="AR13">
        <v>29</v>
      </c>
      <c r="AS13">
        <v>2470.8000000000002</v>
      </c>
      <c r="AT13">
        <v>15</v>
      </c>
      <c r="AU13">
        <v>1278</v>
      </c>
      <c r="AV13">
        <v>17</v>
      </c>
      <c r="AW13">
        <v>1448.4</v>
      </c>
      <c r="AX13">
        <v>22</v>
      </c>
      <c r="AY13">
        <v>1874.4</v>
      </c>
      <c r="AZ13">
        <v>15</v>
      </c>
      <c r="BA13">
        <v>1278</v>
      </c>
      <c r="BB13">
        <v>20</v>
      </c>
      <c r="BC13">
        <v>1704</v>
      </c>
      <c r="BD13">
        <v>32</v>
      </c>
      <c r="BE13">
        <v>2726.4</v>
      </c>
      <c r="BF13">
        <v>18</v>
      </c>
      <c r="BG13">
        <v>1533.6000000000001</v>
      </c>
      <c r="BH13">
        <v>20</v>
      </c>
      <c r="BI13">
        <v>1704</v>
      </c>
      <c r="BJ13">
        <v>15</v>
      </c>
      <c r="BK13">
        <v>1278</v>
      </c>
      <c r="BL13">
        <v>19</v>
      </c>
      <c r="BM13">
        <v>1618.8</v>
      </c>
      <c r="BN13">
        <v>20</v>
      </c>
      <c r="BO13">
        <v>1704</v>
      </c>
      <c r="BP13">
        <v>26</v>
      </c>
      <c r="BQ13">
        <v>2215.2000000000003</v>
      </c>
      <c r="BR13">
        <v>25</v>
      </c>
      <c r="BS13">
        <v>2130</v>
      </c>
      <c r="BT13">
        <v>17</v>
      </c>
      <c r="BU13">
        <v>1448.4</v>
      </c>
      <c r="BV13">
        <v>25</v>
      </c>
      <c r="BW13">
        <v>2130</v>
      </c>
      <c r="BX13">
        <v>30</v>
      </c>
      <c r="BY13">
        <v>2556</v>
      </c>
      <c r="BZ13">
        <v>21</v>
      </c>
      <c r="CA13">
        <v>1789.2</v>
      </c>
      <c r="CB13">
        <v>24</v>
      </c>
      <c r="CC13">
        <v>2044.8000000000002</v>
      </c>
      <c r="CD13">
        <v>24</v>
      </c>
      <c r="CE13">
        <v>2044.8000000000002</v>
      </c>
      <c r="CF13">
        <v>23</v>
      </c>
      <c r="CG13">
        <v>1959.6000000000001</v>
      </c>
      <c r="CH13">
        <v>28</v>
      </c>
      <c r="CI13">
        <v>2385.6</v>
      </c>
      <c r="CJ13">
        <v>25</v>
      </c>
      <c r="CK13">
        <v>2130</v>
      </c>
      <c r="CL13">
        <v>29</v>
      </c>
      <c r="CM13">
        <v>2470.8000000000002</v>
      </c>
      <c r="CN13">
        <v>36</v>
      </c>
      <c r="CO13">
        <v>3067.2000000000003</v>
      </c>
      <c r="CP13">
        <v>27</v>
      </c>
      <c r="CQ13">
        <v>2300.4</v>
      </c>
      <c r="CR13">
        <v>21</v>
      </c>
      <c r="CS13">
        <v>1789.2</v>
      </c>
      <c r="CT13">
        <v>26</v>
      </c>
      <c r="CU13">
        <v>2215.2000000000003</v>
      </c>
    </row>
    <row r="14" spans="1:99" x14ac:dyDescent="0.2">
      <c r="C14" s="118" t="s">
        <v>180</v>
      </c>
      <c r="D14">
        <v>19</v>
      </c>
      <c r="E14">
        <v>9279.6</v>
      </c>
      <c r="F14">
        <v>18</v>
      </c>
      <c r="G14">
        <v>8791.1999999999989</v>
      </c>
      <c r="H14">
        <v>22</v>
      </c>
      <c r="I14">
        <v>10744.8</v>
      </c>
      <c r="J14">
        <v>21</v>
      </c>
      <c r="K14">
        <v>10256.4</v>
      </c>
      <c r="L14">
        <v>15</v>
      </c>
      <c r="M14">
        <v>7326</v>
      </c>
      <c r="N14">
        <v>25</v>
      </c>
      <c r="O14">
        <v>12210</v>
      </c>
      <c r="P14">
        <v>19</v>
      </c>
      <c r="Q14">
        <v>9279.6</v>
      </c>
      <c r="R14">
        <v>24</v>
      </c>
      <c r="S14">
        <v>11721.599999999999</v>
      </c>
      <c r="T14">
        <v>18</v>
      </c>
      <c r="U14">
        <v>8791.1999999999989</v>
      </c>
      <c r="V14">
        <v>25</v>
      </c>
      <c r="W14">
        <v>12210</v>
      </c>
      <c r="X14">
        <v>14</v>
      </c>
      <c r="Y14">
        <v>6837.5999999999995</v>
      </c>
      <c r="Z14">
        <v>18</v>
      </c>
      <c r="AA14">
        <v>8791.1999999999989</v>
      </c>
      <c r="AB14">
        <v>24</v>
      </c>
      <c r="AC14">
        <v>11721.599999999999</v>
      </c>
      <c r="AD14">
        <v>21</v>
      </c>
      <c r="AE14">
        <v>10256.4</v>
      </c>
      <c r="AF14">
        <v>17</v>
      </c>
      <c r="AG14">
        <v>8302.7999999999993</v>
      </c>
      <c r="AH14">
        <v>25</v>
      </c>
      <c r="AI14">
        <v>12210</v>
      </c>
      <c r="AJ14">
        <v>21</v>
      </c>
      <c r="AK14">
        <v>10256.4</v>
      </c>
      <c r="AL14">
        <v>24</v>
      </c>
      <c r="AM14">
        <v>11721.599999999999</v>
      </c>
      <c r="AN14">
        <v>20</v>
      </c>
      <c r="AO14">
        <v>9768</v>
      </c>
      <c r="AP14">
        <v>15</v>
      </c>
      <c r="AQ14">
        <v>7326</v>
      </c>
      <c r="AR14">
        <v>28</v>
      </c>
      <c r="AS14">
        <v>13675.199999999999</v>
      </c>
      <c r="AT14">
        <v>16</v>
      </c>
      <c r="AU14">
        <v>7814.4</v>
      </c>
      <c r="AV14">
        <v>17</v>
      </c>
      <c r="AW14">
        <v>8302.7999999999993</v>
      </c>
      <c r="AX14">
        <v>22</v>
      </c>
      <c r="AY14">
        <v>10744.8</v>
      </c>
      <c r="AZ14">
        <v>15</v>
      </c>
      <c r="BA14">
        <v>7326</v>
      </c>
      <c r="BB14">
        <v>20</v>
      </c>
      <c r="BC14">
        <v>9768</v>
      </c>
      <c r="BD14">
        <v>28</v>
      </c>
      <c r="BE14">
        <v>13675.199999999999</v>
      </c>
      <c r="BF14">
        <v>16</v>
      </c>
      <c r="BG14">
        <v>7814.4</v>
      </c>
      <c r="BH14">
        <v>19</v>
      </c>
      <c r="BI14">
        <v>9279.6</v>
      </c>
      <c r="BJ14">
        <v>16</v>
      </c>
      <c r="BK14">
        <v>7814.4</v>
      </c>
      <c r="BL14">
        <v>19</v>
      </c>
      <c r="BM14">
        <v>9279.6</v>
      </c>
      <c r="BN14">
        <v>22</v>
      </c>
      <c r="BO14">
        <v>10744.8</v>
      </c>
      <c r="BP14">
        <v>24</v>
      </c>
      <c r="BQ14">
        <v>11721.599999999999</v>
      </c>
      <c r="BR14">
        <v>21</v>
      </c>
      <c r="BS14">
        <v>10256.4</v>
      </c>
      <c r="BT14">
        <v>17</v>
      </c>
      <c r="BU14">
        <v>8302.7999999999993</v>
      </c>
      <c r="BV14">
        <v>25</v>
      </c>
      <c r="BW14">
        <v>12210</v>
      </c>
      <c r="BX14">
        <v>31</v>
      </c>
      <c r="BY14">
        <v>15140.4</v>
      </c>
      <c r="BZ14">
        <v>19</v>
      </c>
      <c r="CA14">
        <v>9279.6</v>
      </c>
      <c r="CB14">
        <v>22</v>
      </c>
      <c r="CC14">
        <v>10744.8</v>
      </c>
      <c r="CD14">
        <v>23</v>
      </c>
      <c r="CE14">
        <v>11233.199999999999</v>
      </c>
      <c r="CF14">
        <v>20</v>
      </c>
      <c r="CG14">
        <v>9768</v>
      </c>
      <c r="CH14">
        <v>24</v>
      </c>
      <c r="CI14">
        <v>11721.599999999999</v>
      </c>
      <c r="CJ14">
        <v>25</v>
      </c>
      <c r="CK14">
        <v>12210</v>
      </c>
      <c r="CL14">
        <v>28</v>
      </c>
      <c r="CM14">
        <v>13675.199999999999</v>
      </c>
      <c r="CN14">
        <v>32</v>
      </c>
      <c r="CO14">
        <v>15628.8</v>
      </c>
      <c r="CP14">
        <v>27</v>
      </c>
      <c r="CQ14">
        <v>13186.8</v>
      </c>
      <c r="CR14">
        <v>21</v>
      </c>
      <c r="CS14">
        <v>10256.4</v>
      </c>
      <c r="CT14">
        <v>23</v>
      </c>
      <c r="CU14">
        <v>11233.199999999999</v>
      </c>
    </row>
    <row r="15" spans="1:99" x14ac:dyDescent="0.2">
      <c r="C15" s="118" t="s">
        <v>181</v>
      </c>
      <c r="D15">
        <v>18</v>
      </c>
      <c r="E15">
        <v>13737.599999999999</v>
      </c>
      <c r="F15">
        <v>17</v>
      </c>
      <c r="G15">
        <v>12974.4</v>
      </c>
      <c r="H15">
        <v>19</v>
      </c>
      <c r="I15">
        <v>14500.8</v>
      </c>
      <c r="J15">
        <v>20</v>
      </c>
      <c r="K15">
        <v>15263.999999999998</v>
      </c>
      <c r="L15">
        <v>15</v>
      </c>
      <c r="M15">
        <v>11447.999999999998</v>
      </c>
      <c r="N15">
        <v>21</v>
      </c>
      <c r="O15">
        <v>16027.199999999999</v>
      </c>
      <c r="P15">
        <v>20</v>
      </c>
      <c r="Q15">
        <v>15263.999999999998</v>
      </c>
      <c r="R15">
        <v>21</v>
      </c>
      <c r="S15">
        <v>16027.199999999999</v>
      </c>
      <c r="T15">
        <v>18</v>
      </c>
      <c r="U15">
        <v>13737.599999999999</v>
      </c>
      <c r="V15">
        <v>23</v>
      </c>
      <c r="W15">
        <v>17553.599999999999</v>
      </c>
      <c r="X15">
        <v>14</v>
      </c>
      <c r="Y15">
        <v>10684.8</v>
      </c>
      <c r="Z15">
        <v>17</v>
      </c>
      <c r="AA15">
        <v>12974.4</v>
      </c>
      <c r="AB15">
        <v>24</v>
      </c>
      <c r="AC15">
        <v>18316.8</v>
      </c>
      <c r="AD15">
        <v>20</v>
      </c>
      <c r="AE15">
        <v>15263.999999999998</v>
      </c>
      <c r="AF15">
        <v>17</v>
      </c>
      <c r="AG15">
        <v>12974.4</v>
      </c>
      <c r="AH15">
        <v>25</v>
      </c>
      <c r="AI15">
        <v>19080</v>
      </c>
      <c r="AJ15">
        <v>20</v>
      </c>
      <c r="AK15">
        <v>15263.999999999998</v>
      </c>
      <c r="AL15">
        <v>22</v>
      </c>
      <c r="AM15">
        <v>16790.399999999998</v>
      </c>
      <c r="AN15">
        <v>22</v>
      </c>
      <c r="AO15">
        <v>16790.399999999998</v>
      </c>
      <c r="AP15">
        <v>13</v>
      </c>
      <c r="AQ15">
        <v>9921.5999999999985</v>
      </c>
      <c r="AR15">
        <v>26</v>
      </c>
      <c r="AS15">
        <v>19843.199999999997</v>
      </c>
      <c r="AT15">
        <v>16</v>
      </c>
      <c r="AU15">
        <v>12211.199999999999</v>
      </c>
      <c r="AV15">
        <v>17</v>
      </c>
      <c r="AW15">
        <v>12974.4</v>
      </c>
      <c r="AX15">
        <v>21</v>
      </c>
      <c r="AY15">
        <v>16027.199999999999</v>
      </c>
      <c r="AZ15">
        <v>16</v>
      </c>
      <c r="BA15">
        <v>12211.199999999999</v>
      </c>
      <c r="BB15">
        <v>17</v>
      </c>
      <c r="BC15">
        <v>12974.4</v>
      </c>
      <c r="BD15">
        <v>29</v>
      </c>
      <c r="BE15">
        <v>22132.799999999999</v>
      </c>
      <c r="BF15">
        <v>15</v>
      </c>
      <c r="BG15">
        <v>11447.999999999998</v>
      </c>
      <c r="BH15">
        <v>19</v>
      </c>
      <c r="BI15">
        <v>14500.8</v>
      </c>
      <c r="BJ15">
        <v>16</v>
      </c>
      <c r="BK15">
        <v>12211.199999999999</v>
      </c>
      <c r="BL15">
        <v>18</v>
      </c>
      <c r="BM15">
        <v>13737.599999999999</v>
      </c>
      <c r="BN15">
        <v>21</v>
      </c>
      <c r="BO15">
        <v>16027.199999999999</v>
      </c>
      <c r="BP15">
        <v>24</v>
      </c>
      <c r="BQ15">
        <v>18316.8</v>
      </c>
      <c r="BR15">
        <v>21</v>
      </c>
      <c r="BS15">
        <v>16027.199999999999</v>
      </c>
      <c r="BT15">
        <v>15</v>
      </c>
      <c r="BU15">
        <v>11447.999999999998</v>
      </c>
      <c r="BV15">
        <v>27</v>
      </c>
      <c r="BW15">
        <v>20606.399999999998</v>
      </c>
      <c r="BX15">
        <v>25</v>
      </c>
      <c r="BY15">
        <v>19080</v>
      </c>
      <c r="BZ15">
        <v>18</v>
      </c>
      <c r="CA15">
        <v>13737.599999999999</v>
      </c>
      <c r="CB15">
        <v>23</v>
      </c>
      <c r="CC15">
        <v>17553.599999999999</v>
      </c>
      <c r="CD15">
        <v>21</v>
      </c>
      <c r="CE15">
        <v>16027.199999999999</v>
      </c>
      <c r="CF15">
        <v>19</v>
      </c>
      <c r="CG15">
        <v>14500.8</v>
      </c>
      <c r="CH15">
        <v>24</v>
      </c>
      <c r="CI15">
        <v>18316.8</v>
      </c>
      <c r="CJ15">
        <v>25</v>
      </c>
      <c r="CK15">
        <v>19080</v>
      </c>
      <c r="CL15">
        <v>30</v>
      </c>
      <c r="CM15">
        <v>22895.999999999996</v>
      </c>
      <c r="CN15">
        <v>32</v>
      </c>
      <c r="CO15">
        <v>24422.399999999998</v>
      </c>
      <c r="CP15">
        <v>27</v>
      </c>
      <c r="CQ15">
        <v>20606.399999999998</v>
      </c>
      <c r="CR15">
        <v>18</v>
      </c>
      <c r="CS15">
        <v>13737.599999999999</v>
      </c>
      <c r="CT15">
        <v>24</v>
      </c>
      <c r="CU15">
        <v>18316.8</v>
      </c>
    </row>
    <row r="16" spans="1:99" x14ac:dyDescent="0.2">
      <c r="C16" s="118" t="s">
        <v>182</v>
      </c>
      <c r="D16">
        <v>19</v>
      </c>
      <c r="E16">
        <v>6475.2</v>
      </c>
      <c r="F16">
        <v>16</v>
      </c>
      <c r="G16">
        <v>5452.8</v>
      </c>
      <c r="H16">
        <v>21</v>
      </c>
      <c r="I16">
        <v>7156.8</v>
      </c>
      <c r="J16">
        <v>21</v>
      </c>
      <c r="K16">
        <v>7156.8</v>
      </c>
      <c r="L16">
        <v>16</v>
      </c>
      <c r="M16">
        <v>5452.8</v>
      </c>
      <c r="N16">
        <v>24</v>
      </c>
      <c r="O16">
        <v>8179.2000000000007</v>
      </c>
      <c r="P16">
        <v>22</v>
      </c>
      <c r="Q16">
        <v>7497.6</v>
      </c>
      <c r="R16">
        <v>23</v>
      </c>
      <c r="S16">
        <v>7838.4000000000005</v>
      </c>
      <c r="T16">
        <v>17</v>
      </c>
      <c r="U16">
        <v>5793.6</v>
      </c>
      <c r="V16">
        <v>26</v>
      </c>
      <c r="W16">
        <v>8860.8000000000011</v>
      </c>
      <c r="X16">
        <v>16</v>
      </c>
      <c r="Y16">
        <v>5452.8</v>
      </c>
      <c r="Z16">
        <v>18</v>
      </c>
      <c r="AA16">
        <v>6134.4000000000005</v>
      </c>
      <c r="AB16">
        <v>26</v>
      </c>
      <c r="AC16">
        <v>8860.8000000000011</v>
      </c>
      <c r="AD16">
        <v>20</v>
      </c>
      <c r="AE16">
        <v>6816</v>
      </c>
      <c r="AF16">
        <v>18</v>
      </c>
      <c r="AG16">
        <v>6134.4000000000005</v>
      </c>
      <c r="AH16">
        <v>24</v>
      </c>
      <c r="AI16">
        <v>8179.2000000000007</v>
      </c>
      <c r="AJ16">
        <v>21</v>
      </c>
      <c r="AK16">
        <v>7156.8</v>
      </c>
      <c r="AL16">
        <v>22</v>
      </c>
      <c r="AM16">
        <v>7497.6</v>
      </c>
      <c r="AN16">
        <v>20</v>
      </c>
      <c r="AO16">
        <v>6816</v>
      </c>
      <c r="AP16">
        <v>14</v>
      </c>
      <c r="AQ16">
        <v>4771.2</v>
      </c>
      <c r="AR16">
        <v>27</v>
      </c>
      <c r="AS16">
        <v>9201.6</v>
      </c>
      <c r="AT16">
        <v>15</v>
      </c>
      <c r="AU16">
        <v>5112</v>
      </c>
      <c r="AV16">
        <v>17</v>
      </c>
      <c r="AW16">
        <v>5793.6</v>
      </c>
      <c r="AX16">
        <v>22</v>
      </c>
      <c r="AY16">
        <v>7497.6</v>
      </c>
      <c r="AZ16">
        <v>16</v>
      </c>
      <c r="BA16">
        <v>5452.8</v>
      </c>
      <c r="BB16">
        <v>19</v>
      </c>
      <c r="BC16">
        <v>6475.2</v>
      </c>
      <c r="BD16">
        <v>26</v>
      </c>
      <c r="BE16">
        <v>8860.8000000000011</v>
      </c>
      <c r="BF16">
        <v>17</v>
      </c>
      <c r="BG16">
        <v>5793.6</v>
      </c>
      <c r="BH16">
        <v>20</v>
      </c>
      <c r="BI16">
        <v>6816</v>
      </c>
      <c r="BJ16">
        <v>16</v>
      </c>
      <c r="BK16">
        <v>5452.8</v>
      </c>
      <c r="BL16">
        <v>18</v>
      </c>
      <c r="BM16">
        <v>6134.4000000000005</v>
      </c>
      <c r="BN16">
        <v>21</v>
      </c>
      <c r="BO16">
        <v>7156.8</v>
      </c>
      <c r="BP16">
        <v>30</v>
      </c>
      <c r="BQ16">
        <v>10224</v>
      </c>
      <c r="BR16">
        <v>21</v>
      </c>
      <c r="BS16">
        <v>7156.8</v>
      </c>
      <c r="BT16">
        <v>16</v>
      </c>
      <c r="BU16">
        <v>5452.8</v>
      </c>
      <c r="BV16">
        <v>27</v>
      </c>
      <c r="BW16">
        <v>9201.6</v>
      </c>
      <c r="BX16">
        <v>28</v>
      </c>
      <c r="BY16">
        <v>9542.4</v>
      </c>
      <c r="BZ16">
        <v>19</v>
      </c>
      <c r="CA16">
        <v>6475.2</v>
      </c>
      <c r="CB16">
        <v>25</v>
      </c>
      <c r="CC16">
        <v>8520</v>
      </c>
      <c r="CD16">
        <v>26</v>
      </c>
      <c r="CE16">
        <v>8860.8000000000011</v>
      </c>
      <c r="CF16">
        <v>18</v>
      </c>
      <c r="CG16">
        <v>6134.4000000000005</v>
      </c>
      <c r="CH16">
        <v>24</v>
      </c>
      <c r="CI16">
        <v>8179.2000000000007</v>
      </c>
      <c r="CJ16">
        <v>27</v>
      </c>
      <c r="CK16">
        <v>9201.6</v>
      </c>
      <c r="CL16">
        <v>28</v>
      </c>
      <c r="CM16">
        <v>9542.4</v>
      </c>
      <c r="CN16">
        <v>35</v>
      </c>
      <c r="CO16">
        <v>11928</v>
      </c>
      <c r="CP16">
        <v>28</v>
      </c>
      <c r="CQ16">
        <v>9542.4</v>
      </c>
      <c r="CR16">
        <v>18</v>
      </c>
      <c r="CS16">
        <v>6134.4000000000005</v>
      </c>
      <c r="CT16">
        <v>28</v>
      </c>
      <c r="CU16">
        <v>9542.4</v>
      </c>
    </row>
    <row r="17" spans="2:99" x14ac:dyDescent="0.2">
      <c r="C17" s="118" t="s">
        <v>183</v>
      </c>
      <c r="D17">
        <v>18</v>
      </c>
      <c r="E17">
        <v>7603.2</v>
      </c>
      <c r="F17">
        <v>17</v>
      </c>
      <c r="G17">
        <v>7180.7999999999993</v>
      </c>
      <c r="H17">
        <v>20</v>
      </c>
      <c r="I17">
        <v>8448</v>
      </c>
      <c r="J17">
        <v>18</v>
      </c>
      <c r="K17">
        <v>7603.2</v>
      </c>
      <c r="L17">
        <v>16</v>
      </c>
      <c r="M17">
        <v>6758.4</v>
      </c>
      <c r="N17">
        <v>25</v>
      </c>
      <c r="O17">
        <v>10560</v>
      </c>
      <c r="P17">
        <v>19</v>
      </c>
      <c r="Q17">
        <v>8025.5999999999995</v>
      </c>
      <c r="R17">
        <v>25</v>
      </c>
      <c r="S17">
        <v>10560</v>
      </c>
      <c r="T17">
        <v>17</v>
      </c>
      <c r="U17">
        <v>7180.7999999999993</v>
      </c>
      <c r="V17">
        <v>25</v>
      </c>
      <c r="W17">
        <v>10560</v>
      </c>
      <c r="X17">
        <v>13</v>
      </c>
      <c r="Y17">
        <v>5491.2</v>
      </c>
      <c r="Z17">
        <v>17</v>
      </c>
      <c r="AA17">
        <v>7180.7999999999993</v>
      </c>
      <c r="AB17">
        <v>24</v>
      </c>
      <c r="AC17">
        <v>10137.599999999999</v>
      </c>
      <c r="AD17">
        <v>19</v>
      </c>
      <c r="AE17">
        <v>8025.5999999999995</v>
      </c>
      <c r="AF17">
        <v>19</v>
      </c>
      <c r="AG17">
        <v>8025.5999999999995</v>
      </c>
      <c r="AH17">
        <v>25</v>
      </c>
      <c r="AI17">
        <v>10560</v>
      </c>
      <c r="AJ17">
        <v>21</v>
      </c>
      <c r="AK17">
        <v>8870.4</v>
      </c>
      <c r="AL17">
        <v>25</v>
      </c>
      <c r="AM17">
        <v>10560</v>
      </c>
      <c r="AN17">
        <v>19</v>
      </c>
      <c r="AO17">
        <v>8025.5999999999995</v>
      </c>
      <c r="AP17">
        <v>15</v>
      </c>
      <c r="AQ17">
        <v>6336</v>
      </c>
      <c r="AR17">
        <v>29</v>
      </c>
      <c r="AS17">
        <v>12249.599999999999</v>
      </c>
      <c r="AT17">
        <v>14</v>
      </c>
      <c r="AU17">
        <v>5913.5999999999995</v>
      </c>
      <c r="AV17">
        <v>16</v>
      </c>
      <c r="AW17">
        <v>6758.4</v>
      </c>
      <c r="AX17">
        <v>21</v>
      </c>
      <c r="AY17">
        <v>8870.4</v>
      </c>
      <c r="AZ17">
        <v>16</v>
      </c>
      <c r="BA17">
        <v>6758.4</v>
      </c>
      <c r="BB17">
        <v>17</v>
      </c>
      <c r="BC17">
        <v>7180.7999999999993</v>
      </c>
      <c r="BD17">
        <v>29</v>
      </c>
      <c r="BE17">
        <v>12249.599999999999</v>
      </c>
      <c r="BF17">
        <v>18</v>
      </c>
      <c r="BG17">
        <v>7603.2</v>
      </c>
      <c r="BH17">
        <v>18</v>
      </c>
      <c r="BI17">
        <v>7603.2</v>
      </c>
      <c r="BJ17">
        <v>14</v>
      </c>
      <c r="BK17">
        <v>5913.5999999999995</v>
      </c>
      <c r="BL17">
        <v>19</v>
      </c>
      <c r="BM17">
        <v>8025.5999999999995</v>
      </c>
      <c r="BN17">
        <v>21</v>
      </c>
      <c r="BO17">
        <v>8870.4</v>
      </c>
      <c r="BP17">
        <v>29</v>
      </c>
      <c r="BQ17">
        <v>12249.599999999999</v>
      </c>
      <c r="BR17">
        <v>21</v>
      </c>
      <c r="BS17">
        <v>8870.4</v>
      </c>
      <c r="BT17">
        <v>16</v>
      </c>
      <c r="BU17">
        <v>6758.4</v>
      </c>
      <c r="BV17">
        <v>25</v>
      </c>
      <c r="BW17">
        <v>10560</v>
      </c>
      <c r="BX17">
        <v>26</v>
      </c>
      <c r="BY17">
        <v>10982.4</v>
      </c>
      <c r="BZ17">
        <v>20</v>
      </c>
      <c r="CA17">
        <v>8448</v>
      </c>
      <c r="CB17">
        <v>25</v>
      </c>
      <c r="CC17">
        <v>10560</v>
      </c>
      <c r="CD17">
        <v>23</v>
      </c>
      <c r="CE17">
        <v>9715.1999999999989</v>
      </c>
      <c r="CF17">
        <v>20</v>
      </c>
      <c r="CG17">
        <v>8448</v>
      </c>
      <c r="CH17">
        <v>26</v>
      </c>
      <c r="CI17">
        <v>10982.4</v>
      </c>
      <c r="CJ17">
        <v>23</v>
      </c>
      <c r="CK17">
        <v>9715.1999999999989</v>
      </c>
      <c r="CL17">
        <v>30</v>
      </c>
      <c r="CM17">
        <v>12672</v>
      </c>
      <c r="CN17">
        <v>33</v>
      </c>
      <c r="CO17">
        <v>13939.199999999999</v>
      </c>
      <c r="CP17">
        <v>28</v>
      </c>
      <c r="CQ17">
        <v>11827.199999999999</v>
      </c>
      <c r="CR17">
        <v>20</v>
      </c>
      <c r="CS17">
        <v>8448</v>
      </c>
      <c r="CT17">
        <v>25</v>
      </c>
      <c r="CU17">
        <v>10560</v>
      </c>
    </row>
    <row r="18" spans="2:99" x14ac:dyDescent="0.2">
      <c r="C18" s="118" t="s">
        <v>184</v>
      </c>
      <c r="D18">
        <v>21</v>
      </c>
      <c r="E18">
        <v>13708.8</v>
      </c>
      <c r="F18">
        <v>17</v>
      </c>
      <c r="G18">
        <v>11097.599999999999</v>
      </c>
      <c r="H18">
        <v>20</v>
      </c>
      <c r="I18">
        <v>13056</v>
      </c>
      <c r="J18">
        <v>19</v>
      </c>
      <c r="K18">
        <v>12403.199999999999</v>
      </c>
      <c r="L18">
        <v>14</v>
      </c>
      <c r="M18">
        <v>9139.1999999999989</v>
      </c>
      <c r="N18">
        <v>23</v>
      </c>
      <c r="O18">
        <v>15014.4</v>
      </c>
      <c r="P18">
        <v>19</v>
      </c>
      <c r="Q18">
        <v>12403.199999999999</v>
      </c>
      <c r="R18">
        <v>25</v>
      </c>
      <c r="S18">
        <v>16319.999999999998</v>
      </c>
      <c r="T18">
        <v>17</v>
      </c>
      <c r="U18">
        <v>11097.599999999999</v>
      </c>
      <c r="V18">
        <v>24</v>
      </c>
      <c r="W18">
        <v>15667.199999999999</v>
      </c>
      <c r="X18">
        <v>15</v>
      </c>
      <c r="Y18">
        <v>9792</v>
      </c>
      <c r="Z18">
        <v>17</v>
      </c>
      <c r="AA18">
        <v>11097.599999999999</v>
      </c>
      <c r="AB18">
        <v>27</v>
      </c>
      <c r="AC18">
        <v>17625.599999999999</v>
      </c>
      <c r="AD18">
        <v>21</v>
      </c>
      <c r="AE18">
        <v>13708.8</v>
      </c>
      <c r="AF18">
        <v>16</v>
      </c>
      <c r="AG18">
        <v>10444.799999999999</v>
      </c>
      <c r="AH18">
        <v>21</v>
      </c>
      <c r="AI18">
        <v>13708.8</v>
      </c>
      <c r="AJ18">
        <v>20</v>
      </c>
      <c r="AK18">
        <v>13056</v>
      </c>
      <c r="AL18">
        <v>22</v>
      </c>
      <c r="AM18">
        <v>14361.599999999999</v>
      </c>
      <c r="AN18">
        <v>20</v>
      </c>
      <c r="AO18">
        <v>13056</v>
      </c>
      <c r="AP18">
        <v>15</v>
      </c>
      <c r="AQ18">
        <v>9792</v>
      </c>
      <c r="AR18">
        <v>24</v>
      </c>
      <c r="AS18">
        <v>15667.199999999999</v>
      </c>
      <c r="AT18">
        <v>13</v>
      </c>
      <c r="AU18">
        <v>8486.4</v>
      </c>
      <c r="AV18">
        <v>18</v>
      </c>
      <c r="AW18">
        <v>11750.4</v>
      </c>
      <c r="AX18">
        <v>21</v>
      </c>
      <c r="AY18">
        <v>13708.8</v>
      </c>
      <c r="AZ18">
        <v>14</v>
      </c>
      <c r="BA18">
        <v>9139.1999999999989</v>
      </c>
      <c r="BB18">
        <v>16</v>
      </c>
      <c r="BC18">
        <v>10444.799999999999</v>
      </c>
      <c r="BD18">
        <v>25</v>
      </c>
      <c r="BE18">
        <v>16319.999999999998</v>
      </c>
      <c r="BF18">
        <v>15</v>
      </c>
      <c r="BG18">
        <v>9792</v>
      </c>
      <c r="BH18">
        <v>21</v>
      </c>
      <c r="BI18">
        <v>13708.8</v>
      </c>
      <c r="BJ18">
        <v>16</v>
      </c>
      <c r="BK18">
        <v>10444.799999999999</v>
      </c>
      <c r="BL18">
        <v>17</v>
      </c>
      <c r="BM18">
        <v>11097.599999999999</v>
      </c>
      <c r="BN18">
        <v>21</v>
      </c>
      <c r="BO18">
        <v>13708.8</v>
      </c>
      <c r="BP18">
        <v>26</v>
      </c>
      <c r="BQ18">
        <v>16972.8</v>
      </c>
      <c r="BR18">
        <v>22</v>
      </c>
      <c r="BS18">
        <v>14361.599999999999</v>
      </c>
      <c r="BT18">
        <v>16</v>
      </c>
      <c r="BU18">
        <v>10444.799999999999</v>
      </c>
      <c r="BV18">
        <v>25</v>
      </c>
      <c r="BW18">
        <v>16319.999999999998</v>
      </c>
      <c r="BX18">
        <v>27</v>
      </c>
      <c r="BY18">
        <v>17625.599999999999</v>
      </c>
      <c r="BZ18">
        <v>20</v>
      </c>
      <c r="CA18">
        <v>13056</v>
      </c>
      <c r="CB18">
        <v>22</v>
      </c>
      <c r="CC18">
        <v>14361.599999999999</v>
      </c>
      <c r="CD18">
        <v>25</v>
      </c>
      <c r="CE18">
        <v>16319.999999999998</v>
      </c>
      <c r="CF18">
        <v>19</v>
      </c>
      <c r="CG18">
        <v>12403.199999999999</v>
      </c>
      <c r="CH18">
        <v>23</v>
      </c>
      <c r="CI18">
        <v>15014.4</v>
      </c>
      <c r="CJ18">
        <v>24</v>
      </c>
      <c r="CK18">
        <v>15667.199999999999</v>
      </c>
      <c r="CL18">
        <v>30</v>
      </c>
      <c r="CM18">
        <v>19584</v>
      </c>
      <c r="CN18">
        <v>34</v>
      </c>
      <c r="CO18">
        <v>22195.199999999997</v>
      </c>
      <c r="CP18">
        <v>27</v>
      </c>
      <c r="CQ18">
        <v>17625.599999999999</v>
      </c>
      <c r="CR18">
        <v>18</v>
      </c>
      <c r="CS18">
        <v>11750.4</v>
      </c>
      <c r="CT18">
        <v>23</v>
      </c>
      <c r="CU18">
        <v>15014.4</v>
      </c>
    </row>
    <row r="19" spans="2:99" x14ac:dyDescent="0.2">
      <c r="C19" s="118" t="s">
        <v>185</v>
      </c>
      <c r="D19">
        <v>21</v>
      </c>
      <c r="E19">
        <v>6930</v>
      </c>
      <c r="F19">
        <v>16</v>
      </c>
      <c r="G19">
        <v>5280</v>
      </c>
      <c r="H19">
        <v>22</v>
      </c>
      <c r="I19">
        <v>7260</v>
      </c>
      <c r="J19">
        <v>19</v>
      </c>
      <c r="K19">
        <v>6270</v>
      </c>
      <c r="L19">
        <v>17</v>
      </c>
      <c r="M19">
        <v>5610</v>
      </c>
      <c r="N19">
        <v>25</v>
      </c>
      <c r="O19">
        <v>8250</v>
      </c>
      <c r="P19">
        <v>21</v>
      </c>
      <c r="Q19">
        <v>6930</v>
      </c>
      <c r="R19">
        <v>25</v>
      </c>
      <c r="S19">
        <v>8250</v>
      </c>
      <c r="T19">
        <v>19</v>
      </c>
      <c r="U19">
        <v>6270</v>
      </c>
      <c r="V19">
        <v>23</v>
      </c>
      <c r="W19">
        <v>7590</v>
      </c>
      <c r="X19">
        <v>14</v>
      </c>
      <c r="Y19">
        <v>4620</v>
      </c>
      <c r="Z19">
        <v>16</v>
      </c>
      <c r="AA19">
        <v>5280</v>
      </c>
      <c r="AB19">
        <v>29</v>
      </c>
      <c r="AC19">
        <v>9570</v>
      </c>
      <c r="AD19">
        <v>22</v>
      </c>
      <c r="AE19">
        <v>7260</v>
      </c>
      <c r="AF19">
        <v>17</v>
      </c>
      <c r="AG19">
        <v>5610</v>
      </c>
      <c r="AH19">
        <v>24</v>
      </c>
      <c r="AI19">
        <v>7920</v>
      </c>
      <c r="AJ19">
        <v>24</v>
      </c>
      <c r="AK19">
        <v>7920</v>
      </c>
      <c r="AL19">
        <v>24</v>
      </c>
      <c r="AM19">
        <v>7920</v>
      </c>
      <c r="AN19">
        <v>19</v>
      </c>
      <c r="AO19">
        <v>6270</v>
      </c>
      <c r="AP19">
        <v>15</v>
      </c>
      <c r="AQ19">
        <v>4950</v>
      </c>
      <c r="AR19">
        <v>27</v>
      </c>
      <c r="AS19">
        <v>8910</v>
      </c>
      <c r="AT19">
        <v>15</v>
      </c>
      <c r="AU19">
        <v>4950</v>
      </c>
      <c r="AV19">
        <v>19</v>
      </c>
      <c r="AW19">
        <v>6270</v>
      </c>
      <c r="AX19">
        <v>22</v>
      </c>
      <c r="AY19">
        <v>7260</v>
      </c>
      <c r="AZ19">
        <v>15</v>
      </c>
      <c r="BA19">
        <v>4950</v>
      </c>
      <c r="BB19">
        <v>18</v>
      </c>
      <c r="BC19">
        <v>5940</v>
      </c>
      <c r="BD19">
        <v>29</v>
      </c>
      <c r="BE19">
        <v>9570</v>
      </c>
      <c r="BF19">
        <v>16</v>
      </c>
      <c r="BG19">
        <v>5280</v>
      </c>
      <c r="BH19">
        <v>22</v>
      </c>
      <c r="BI19">
        <v>7260</v>
      </c>
      <c r="BJ19">
        <v>16</v>
      </c>
      <c r="BK19">
        <v>5280</v>
      </c>
      <c r="BL19">
        <v>18</v>
      </c>
      <c r="BM19">
        <v>5940</v>
      </c>
      <c r="BN19">
        <v>22</v>
      </c>
      <c r="BO19">
        <v>7260</v>
      </c>
      <c r="BP19">
        <v>27</v>
      </c>
      <c r="BQ19">
        <v>8910</v>
      </c>
      <c r="BR19">
        <v>20</v>
      </c>
      <c r="BS19">
        <v>6600</v>
      </c>
      <c r="BT19">
        <v>17</v>
      </c>
      <c r="BU19">
        <v>5610</v>
      </c>
      <c r="BV19">
        <v>26</v>
      </c>
      <c r="BW19">
        <v>8580</v>
      </c>
      <c r="BX19">
        <v>29</v>
      </c>
      <c r="BY19">
        <v>9570</v>
      </c>
      <c r="BZ19">
        <v>18</v>
      </c>
      <c r="CA19">
        <v>5940</v>
      </c>
      <c r="CB19">
        <v>27</v>
      </c>
      <c r="CC19">
        <v>8910</v>
      </c>
      <c r="CD19">
        <v>22</v>
      </c>
      <c r="CE19">
        <v>7260</v>
      </c>
      <c r="CF19">
        <v>19</v>
      </c>
      <c r="CG19">
        <v>6270</v>
      </c>
      <c r="CH19">
        <v>24</v>
      </c>
      <c r="CI19">
        <v>7920</v>
      </c>
      <c r="CJ19">
        <v>25</v>
      </c>
      <c r="CK19">
        <v>8250</v>
      </c>
      <c r="CL19">
        <v>33</v>
      </c>
      <c r="CM19">
        <v>10890</v>
      </c>
      <c r="CN19">
        <v>32</v>
      </c>
      <c r="CO19">
        <v>10560</v>
      </c>
      <c r="CP19">
        <v>31</v>
      </c>
      <c r="CQ19">
        <v>10230</v>
      </c>
      <c r="CR19">
        <v>18</v>
      </c>
      <c r="CS19">
        <v>5940</v>
      </c>
      <c r="CT19">
        <v>24</v>
      </c>
      <c r="CU19">
        <v>7920</v>
      </c>
    </row>
    <row r="20" spans="2:99" x14ac:dyDescent="0.2">
      <c r="B20" s="118" t="s">
        <v>127</v>
      </c>
      <c r="C20" s="118" t="s">
        <v>186</v>
      </c>
      <c r="D20">
        <v>42</v>
      </c>
      <c r="E20">
        <v>12045.6</v>
      </c>
      <c r="F20">
        <v>25</v>
      </c>
      <c r="G20">
        <v>7170</v>
      </c>
      <c r="H20">
        <v>26</v>
      </c>
      <c r="I20">
        <v>7456.8</v>
      </c>
      <c r="J20">
        <v>24</v>
      </c>
      <c r="K20">
        <v>6883.2000000000007</v>
      </c>
      <c r="L20">
        <v>23</v>
      </c>
      <c r="M20">
        <v>6596.4000000000005</v>
      </c>
      <c r="N20">
        <v>43</v>
      </c>
      <c r="O20">
        <v>12332.4</v>
      </c>
      <c r="P20">
        <v>43</v>
      </c>
      <c r="Q20">
        <v>12332.4</v>
      </c>
      <c r="R20">
        <v>36</v>
      </c>
      <c r="S20">
        <v>10324.800000000001</v>
      </c>
      <c r="T20">
        <v>38</v>
      </c>
      <c r="U20">
        <v>10898.4</v>
      </c>
      <c r="V20">
        <v>32</v>
      </c>
      <c r="W20">
        <v>9177.6</v>
      </c>
      <c r="X20">
        <v>31</v>
      </c>
      <c r="Y20">
        <v>8890.8000000000011</v>
      </c>
      <c r="Z20">
        <v>44</v>
      </c>
      <c r="AA20">
        <v>12619.2</v>
      </c>
      <c r="AB20">
        <v>31</v>
      </c>
      <c r="AC20">
        <v>8890.8000000000011</v>
      </c>
      <c r="AD20">
        <v>24</v>
      </c>
      <c r="AE20">
        <v>6883.2000000000007</v>
      </c>
      <c r="AF20">
        <v>31</v>
      </c>
      <c r="AG20">
        <v>8890.8000000000011</v>
      </c>
      <c r="AH20">
        <v>41</v>
      </c>
      <c r="AI20">
        <v>11758.800000000001</v>
      </c>
      <c r="AJ20">
        <v>38</v>
      </c>
      <c r="AK20">
        <v>10898.4</v>
      </c>
      <c r="AL20">
        <v>29</v>
      </c>
      <c r="AM20">
        <v>8317.2000000000007</v>
      </c>
      <c r="AN20">
        <v>34</v>
      </c>
      <c r="AO20">
        <v>9751.2000000000007</v>
      </c>
      <c r="AP20">
        <v>41</v>
      </c>
      <c r="AQ20">
        <v>11758.800000000001</v>
      </c>
      <c r="AR20">
        <v>35</v>
      </c>
      <c r="AS20">
        <v>10038</v>
      </c>
      <c r="AT20">
        <v>22</v>
      </c>
      <c r="AU20">
        <v>6309.6</v>
      </c>
      <c r="AV20">
        <v>44</v>
      </c>
      <c r="AW20">
        <v>12619.2</v>
      </c>
      <c r="AX20">
        <v>35</v>
      </c>
      <c r="AY20">
        <v>10038</v>
      </c>
      <c r="AZ20">
        <v>49</v>
      </c>
      <c r="BA20">
        <v>14053.2</v>
      </c>
      <c r="BB20">
        <v>42</v>
      </c>
      <c r="BC20">
        <v>12045.6</v>
      </c>
      <c r="BD20">
        <v>24</v>
      </c>
      <c r="BE20">
        <v>6883.2000000000007</v>
      </c>
      <c r="BF20">
        <v>32</v>
      </c>
      <c r="BG20">
        <v>9177.6</v>
      </c>
      <c r="BH20">
        <v>30</v>
      </c>
      <c r="BI20">
        <v>8604</v>
      </c>
      <c r="BJ20">
        <v>32</v>
      </c>
      <c r="BK20">
        <v>9177.6</v>
      </c>
      <c r="BL20">
        <v>41</v>
      </c>
      <c r="BM20">
        <v>11758.800000000001</v>
      </c>
      <c r="BN20">
        <v>47</v>
      </c>
      <c r="BO20">
        <v>13479.6</v>
      </c>
      <c r="BP20">
        <v>41</v>
      </c>
      <c r="BQ20">
        <v>11758.800000000001</v>
      </c>
      <c r="BR20">
        <v>43</v>
      </c>
      <c r="BS20">
        <v>12332.4</v>
      </c>
      <c r="BT20">
        <v>47</v>
      </c>
      <c r="BU20">
        <v>13479.6</v>
      </c>
      <c r="BV20">
        <v>24</v>
      </c>
      <c r="BW20">
        <v>6883.2000000000007</v>
      </c>
      <c r="BX20">
        <v>31</v>
      </c>
      <c r="BY20">
        <v>8890.8000000000011</v>
      </c>
      <c r="BZ20">
        <v>30</v>
      </c>
      <c r="CA20">
        <v>8604</v>
      </c>
      <c r="CB20">
        <v>49</v>
      </c>
      <c r="CC20">
        <v>14053.2</v>
      </c>
      <c r="CD20">
        <v>30</v>
      </c>
      <c r="CE20">
        <v>8604</v>
      </c>
      <c r="CF20">
        <v>43</v>
      </c>
      <c r="CG20">
        <v>12332.4</v>
      </c>
      <c r="CH20">
        <v>36</v>
      </c>
      <c r="CI20">
        <v>10324.800000000001</v>
      </c>
      <c r="CJ20">
        <v>39</v>
      </c>
      <c r="CK20">
        <v>11185.2</v>
      </c>
      <c r="CL20">
        <v>40</v>
      </c>
      <c r="CM20">
        <v>11472</v>
      </c>
      <c r="CN20">
        <v>29</v>
      </c>
      <c r="CO20">
        <v>8317.2000000000007</v>
      </c>
      <c r="CP20">
        <v>50</v>
      </c>
      <c r="CQ20">
        <v>14340</v>
      </c>
      <c r="CR20">
        <v>38</v>
      </c>
      <c r="CS20">
        <v>10898.4</v>
      </c>
      <c r="CT20">
        <v>41</v>
      </c>
      <c r="CU20">
        <v>11758.800000000001</v>
      </c>
    </row>
    <row r="21" spans="2:99" x14ac:dyDescent="0.2">
      <c r="C21" s="118" t="s">
        <v>187</v>
      </c>
      <c r="D21">
        <v>45</v>
      </c>
      <c r="E21">
        <v>2808</v>
      </c>
      <c r="F21">
        <v>26</v>
      </c>
      <c r="G21">
        <v>1622.3999999999999</v>
      </c>
      <c r="H21">
        <v>27</v>
      </c>
      <c r="I21">
        <v>1684.8</v>
      </c>
      <c r="J21">
        <v>25</v>
      </c>
      <c r="K21">
        <v>1560</v>
      </c>
      <c r="L21">
        <v>21</v>
      </c>
      <c r="M21">
        <v>1310.3999999999999</v>
      </c>
      <c r="N21">
        <v>48</v>
      </c>
      <c r="O21">
        <v>2995.2</v>
      </c>
      <c r="P21">
        <v>39</v>
      </c>
      <c r="Q21">
        <v>2433.6</v>
      </c>
      <c r="R21">
        <v>39</v>
      </c>
      <c r="S21">
        <v>2433.6</v>
      </c>
      <c r="T21">
        <v>39</v>
      </c>
      <c r="U21">
        <v>2433.6</v>
      </c>
      <c r="V21">
        <v>36</v>
      </c>
      <c r="W21">
        <v>2246.4</v>
      </c>
      <c r="X21">
        <v>26</v>
      </c>
      <c r="Y21">
        <v>1622.3999999999999</v>
      </c>
      <c r="Z21">
        <v>43</v>
      </c>
      <c r="AA21">
        <v>2683.2</v>
      </c>
      <c r="AB21">
        <v>32</v>
      </c>
      <c r="AC21">
        <v>1996.8</v>
      </c>
      <c r="AD21">
        <v>25</v>
      </c>
      <c r="AE21">
        <v>1560</v>
      </c>
      <c r="AF21">
        <v>32</v>
      </c>
      <c r="AG21">
        <v>1996.8</v>
      </c>
      <c r="AH21">
        <v>45</v>
      </c>
      <c r="AI21">
        <v>2808</v>
      </c>
      <c r="AJ21">
        <v>35</v>
      </c>
      <c r="AK21">
        <v>2184</v>
      </c>
      <c r="AL21">
        <v>27</v>
      </c>
      <c r="AM21">
        <v>1684.8</v>
      </c>
      <c r="AN21">
        <v>33</v>
      </c>
      <c r="AO21">
        <v>2059.1999999999998</v>
      </c>
      <c r="AP21">
        <v>36</v>
      </c>
      <c r="AQ21">
        <v>2246.4</v>
      </c>
      <c r="AR21">
        <v>36</v>
      </c>
      <c r="AS21">
        <v>2246.4</v>
      </c>
      <c r="AT21">
        <v>22</v>
      </c>
      <c r="AU21">
        <v>1372.8</v>
      </c>
      <c r="AV21">
        <v>41</v>
      </c>
      <c r="AW21">
        <v>2558.4</v>
      </c>
      <c r="AX21">
        <v>33</v>
      </c>
      <c r="AY21">
        <v>2059.1999999999998</v>
      </c>
      <c r="AZ21">
        <v>43</v>
      </c>
      <c r="BA21">
        <v>2683.2</v>
      </c>
      <c r="BB21">
        <v>38</v>
      </c>
      <c r="BC21">
        <v>2371.1999999999998</v>
      </c>
      <c r="BD21">
        <v>28</v>
      </c>
      <c r="BE21">
        <v>1747.2</v>
      </c>
      <c r="BF21">
        <v>34</v>
      </c>
      <c r="BG21">
        <v>2121.6</v>
      </c>
      <c r="BH21">
        <v>29</v>
      </c>
      <c r="BI21">
        <v>1809.6</v>
      </c>
      <c r="BJ21">
        <v>31</v>
      </c>
      <c r="BK21">
        <v>1934.3999999999999</v>
      </c>
      <c r="BL21">
        <v>43</v>
      </c>
      <c r="BM21">
        <v>2683.2</v>
      </c>
      <c r="BN21">
        <v>48</v>
      </c>
      <c r="BO21">
        <v>2995.2</v>
      </c>
      <c r="BP21">
        <v>42</v>
      </c>
      <c r="BQ21">
        <v>2620.7999999999997</v>
      </c>
      <c r="BR21">
        <v>43</v>
      </c>
      <c r="BS21">
        <v>2683.2</v>
      </c>
      <c r="BT21">
        <v>43</v>
      </c>
      <c r="BU21">
        <v>2683.2</v>
      </c>
      <c r="BV21">
        <v>25</v>
      </c>
      <c r="BW21">
        <v>1560</v>
      </c>
      <c r="BX21">
        <v>29</v>
      </c>
      <c r="BY21">
        <v>1809.6</v>
      </c>
      <c r="BZ21">
        <v>33</v>
      </c>
      <c r="CA21">
        <v>2059.1999999999998</v>
      </c>
      <c r="CB21">
        <v>51</v>
      </c>
      <c r="CC21">
        <v>3182.4</v>
      </c>
      <c r="CD21">
        <v>30</v>
      </c>
      <c r="CE21">
        <v>1872</v>
      </c>
      <c r="CF21">
        <v>39</v>
      </c>
      <c r="CG21">
        <v>2433.6</v>
      </c>
      <c r="CH21">
        <v>34</v>
      </c>
      <c r="CI21">
        <v>2121.6</v>
      </c>
      <c r="CJ21">
        <v>36</v>
      </c>
      <c r="CK21">
        <v>2246.4</v>
      </c>
      <c r="CL21">
        <v>41</v>
      </c>
      <c r="CM21">
        <v>2558.4</v>
      </c>
      <c r="CN21">
        <v>33</v>
      </c>
      <c r="CO21">
        <v>2059.1999999999998</v>
      </c>
      <c r="CP21">
        <v>51</v>
      </c>
      <c r="CQ21">
        <v>3182.4</v>
      </c>
      <c r="CR21">
        <v>36</v>
      </c>
      <c r="CS21">
        <v>2246.4</v>
      </c>
      <c r="CT21">
        <v>41</v>
      </c>
      <c r="CU21">
        <v>2558.4</v>
      </c>
    </row>
    <row r="22" spans="2:99" x14ac:dyDescent="0.2">
      <c r="C22" s="118" t="s">
        <v>188</v>
      </c>
      <c r="D22">
        <v>43</v>
      </c>
      <c r="E22">
        <v>8049.5999999999995</v>
      </c>
      <c r="F22">
        <v>27</v>
      </c>
      <c r="G22">
        <v>5054.3999999999996</v>
      </c>
      <c r="H22">
        <v>28</v>
      </c>
      <c r="I22">
        <v>5241.5999999999995</v>
      </c>
      <c r="J22">
        <v>23</v>
      </c>
      <c r="K22">
        <v>4305.5999999999995</v>
      </c>
      <c r="L22">
        <v>20</v>
      </c>
      <c r="M22">
        <v>3744</v>
      </c>
      <c r="N22">
        <v>47</v>
      </c>
      <c r="O22">
        <v>8798.4</v>
      </c>
      <c r="P22">
        <v>44</v>
      </c>
      <c r="Q22">
        <v>8236.7999999999993</v>
      </c>
      <c r="R22">
        <v>43</v>
      </c>
      <c r="S22">
        <v>8049.5999999999995</v>
      </c>
      <c r="T22">
        <v>35</v>
      </c>
      <c r="U22">
        <v>6552</v>
      </c>
      <c r="V22">
        <v>37</v>
      </c>
      <c r="W22">
        <v>6926.4</v>
      </c>
      <c r="X22">
        <v>26</v>
      </c>
      <c r="Y22">
        <v>4867.2</v>
      </c>
      <c r="Z22">
        <v>45</v>
      </c>
      <c r="AA22">
        <v>8424</v>
      </c>
      <c r="AB22">
        <v>31</v>
      </c>
      <c r="AC22">
        <v>5803.2</v>
      </c>
      <c r="AD22">
        <v>26</v>
      </c>
      <c r="AE22">
        <v>4867.2</v>
      </c>
      <c r="AF22">
        <v>31</v>
      </c>
      <c r="AG22">
        <v>5803.2</v>
      </c>
      <c r="AH22">
        <v>38</v>
      </c>
      <c r="AI22">
        <v>7113.5999999999995</v>
      </c>
      <c r="AJ22">
        <v>34</v>
      </c>
      <c r="AK22">
        <v>6364.7999999999993</v>
      </c>
      <c r="AL22">
        <v>30</v>
      </c>
      <c r="AM22">
        <v>5616</v>
      </c>
      <c r="AN22">
        <v>31</v>
      </c>
      <c r="AO22">
        <v>5803.2</v>
      </c>
      <c r="AP22">
        <v>39</v>
      </c>
      <c r="AQ22">
        <v>7300.7999999999993</v>
      </c>
      <c r="AR22">
        <v>38</v>
      </c>
      <c r="AS22">
        <v>7113.5999999999995</v>
      </c>
      <c r="AT22">
        <v>22</v>
      </c>
      <c r="AU22">
        <v>4118.3999999999996</v>
      </c>
      <c r="AV22">
        <v>45</v>
      </c>
      <c r="AW22">
        <v>8424</v>
      </c>
      <c r="AX22">
        <v>36</v>
      </c>
      <c r="AY22">
        <v>6739.2</v>
      </c>
      <c r="AZ22">
        <v>44</v>
      </c>
      <c r="BA22">
        <v>8236.7999999999993</v>
      </c>
      <c r="BB22">
        <v>40</v>
      </c>
      <c r="BC22">
        <v>7488</v>
      </c>
      <c r="BD22">
        <v>25</v>
      </c>
      <c r="BE22">
        <v>4680</v>
      </c>
      <c r="BF22">
        <v>32</v>
      </c>
      <c r="BG22">
        <v>5990.4</v>
      </c>
      <c r="BH22">
        <v>30</v>
      </c>
      <c r="BI22">
        <v>5616</v>
      </c>
      <c r="BJ22">
        <v>31</v>
      </c>
      <c r="BK22">
        <v>5803.2</v>
      </c>
      <c r="BL22">
        <v>39</v>
      </c>
      <c r="BM22">
        <v>7300.7999999999993</v>
      </c>
      <c r="BN22">
        <v>41</v>
      </c>
      <c r="BO22">
        <v>7675.2</v>
      </c>
      <c r="BP22">
        <v>41</v>
      </c>
      <c r="BQ22">
        <v>7675.2</v>
      </c>
      <c r="BR22">
        <v>40</v>
      </c>
      <c r="BS22">
        <v>7488</v>
      </c>
      <c r="BT22">
        <v>51</v>
      </c>
      <c r="BU22">
        <v>9547.1999999999989</v>
      </c>
      <c r="BV22">
        <v>25</v>
      </c>
      <c r="BW22">
        <v>4680</v>
      </c>
      <c r="BX22">
        <v>30</v>
      </c>
      <c r="BY22">
        <v>5616</v>
      </c>
      <c r="BZ22">
        <v>31</v>
      </c>
      <c r="CA22">
        <v>5803.2</v>
      </c>
      <c r="CB22">
        <v>46</v>
      </c>
      <c r="CC22">
        <v>8611.1999999999989</v>
      </c>
      <c r="CD22">
        <v>28</v>
      </c>
      <c r="CE22">
        <v>5241.5999999999995</v>
      </c>
      <c r="CF22">
        <v>41</v>
      </c>
      <c r="CG22">
        <v>7675.2</v>
      </c>
      <c r="CH22">
        <v>37</v>
      </c>
      <c r="CI22">
        <v>6926.4</v>
      </c>
      <c r="CJ22">
        <v>39</v>
      </c>
      <c r="CK22">
        <v>7300.7999999999993</v>
      </c>
      <c r="CL22">
        <v>48</v>
      </c>
      <c r="CM22">
        <v>8985.5999999999985</v>
      </c>
      <c r="CN22">
        <v>28</v>
      </c>
      <c r="CO22">
        <v>5241.5999999999995</v>
      </c>
      <c r="CP22">
        <v>47</v>
      </c>
      <c r="CQ22">
        <v>8798.4</v>
      </c>
      <c r="CR22">
        <v>40</v>
      </c>
      <c r="CS22">
        <v>7488</v>
      </c>
      <c r="CT22">
        <v>43</v>
      </c>
      <c r="CU22">
        <v>8049.5999999999995</v>
      </c>
    </row>
    <row r="23" spans="2:99" x14ac:dyDescent="0.2">
      <c r="C23" s="118" t="s">
        <v>189</v>
      </c>
      <c r="D23">
        <v>42</v>
      </c>
      <c r="E23">
        <v>12348</v>
      </c>
      <c r="F23">
        <v>30</v>
      </c>
      <c r="G23">
        <v>8820</v>
      </c>
      <c r="H23">
        <v>26</v>
      </c>
      <c r="I23">
        <v>7644</v>
      </c>
      <c r="J23">
        <v>26</v>
      </c>
      <c r="K23">
        <v>7644</v>
      </c>
      <c r="L23">
        <v>20</v>
      </c>
      <c r="M23">
        <v>5880</v>
      </c>
      <c r="N23">
        <v>40</v>
      </c>
      <c r="O23">
        <v>11760</v>
      </c>
      <c r="P23">
        <v>44</v>
      </c>
      <c r="Q23">
        <v>12936</v>
      </c>
      <c r="R23">
        <v>38</v>
      </c>
      <c r="S23">
        <v>11172</v>
      </c>
      <c r="T23">
        <v>34</v>
      </c>
      <c r="U23">
        <v>9996</v>
      </c>
      <c r="V23">
        <v>36</v>
      </c>
      <c r="W23">
        <v>10584</v>
      </c>
      <c r="X23">
        <v>27</v>
      </c>
      <c r="Y23">
        <v>7938</v>
      </c>
      <c r="Z23">
        <v>44</v>
      </c>
      <c r="AA23">
        <v>12936</v>
      </c>
      <c r="AB23">
        <v>29</v>
      </c>
      <c r="AC23">
        <v>8526</v>
      </c>
      <c r="AD23">
        <v>26</v>
      </c>
      <c r="AE23">
        <v>7644</v>
      </c>
      <c r="AF23">
        <v>32</v>
      </c>
      <c r="AG23">
        <v>9408</v>
      </c>
      <c r="AH23">
        <v>43</v>
      </c>
      <c r="AI23">
        <v>12642</v>
      </c>
      <c r="AJ23">
        <v>33</v>
      </c>
      <c r="AK23">
        <v>9702</v>
      </c>
      <c r="AL23">
        <v>26</v>
      </c>
      <c r="AM23">
        <v>7644</v>
      </c>
      <c r="AN23">
        <v>30</v>
      </c>
      <c r="AO23">
        <v>8820</v>
      </c>
      <c r="AP23">
        <v>38</v>
      </c>
      <c r="AQ23">
        <v>11172</v>
      </c>
      <c r="AR23">
        <v>34</v>
      </c>
      <c r="AS23">
        <v>9996</v>
      </c>
      <c r="AT23">
        <v>22</v>
      </c>
      <c r="AU23">
        <v>6468</v>
      </c>
      <c r="AV23">
        <v>38</v>
      </c>
      <c r="AW23">
        <v>11172</v>
      </c>
      <c r="AX23">
        <v>36</v>
      </c>
      <c r="AY23">
        <v>10584</v>
      </c>
      <c r="AZ23">
        <v>44</v>
      </c>
      <c r="BA23">
        <v>12936</v>
      </c>
      <c r="BB23">
        <v>43</v>
      </c>
      <c r="BC23">
        <v>12642</v>
      </c>
      <c r="BD23">
        <v>27</v>
      </c>
      <c r="BE23">
        <v>7938</v>
      </c>
      <c r="BF23">
        <v>29</v>
      </c>
      <c r="BG23">
        <v>8526</v>
      </c>
      <c r="BH23">
        <v>26</v>
      </c>
      <c r="BI23">
        <v>7644</v>
      </c>
      <c r="BJ23">
        <v>35</v>
      </c>
      <c r="BK23">
        <v>10290</v>
      </c>
      <c r="BL23">
        <v>47</v>
      </c>
      <c r="BM23">
        <v>13818</v>
      </c>
      <c r="BN23">
        <v>48</v>
      </c>
      <c r="BO23">
        <v>14112</v>
      </c>
      <c r="BP23">
        <v>47</v>
      </c>
      <c r="BQ23">
        <v>13818</v>
      </c>
      <c r="BR23">
        <v>39</v>
      </c>
      <c r="BS23">
        <v>11466</v>
      </c>
      <c r="BT23">
        <v>43</v>
      </c>
      <c r="BU23">
        <v>12642</v>
      </c>
      <c r="BV23">
        <v>25</v>
      </c>
      <c r="BW23">
        <v>7350</v>
      </c>
      <c r="BX23">
        <v>31</v>
      </c>
      <c r="BY23">
        <v>9114</v>
      </c>
      <c r="BZ23">
        <v>30</v>
      </c>
      <c r="CA23">
        <v>8820</v>
      </c>
      <c r="CB23">
        <v>43</v>
      </c>
      <c r="CC23">
        <v>12642</v>
      </c>
      <c r="CD23">
        <v>27</v>
      </c>
      <c r="CE23">
        <v>7938</v>
      </c>
      <c r="CF23">
        <v>40</v>
      </c>
      <c r="CG23">
        <v>11760</v>
      </c>
      <c r="CH23">
        <v>35</v>
      </c>
      <c r="CI23">
        <v>10290</v>
      </c>
      <c r="CJ23">
        <v>38</v>
      </c>
      <c r="CK23">
        <v>11172</v>
      </c>
      <c r="CL23">
        <v>46</v>
      </c>
      <c r="CM23">
        <v>13524</v>
      </c>
      <c r="CN23">
        <v>29</v>
      </c>
      <c r="CO23">
        <v>8526</v>
      </c>
      <c r="CP23">
        <v>53</v>
      </c>
      <c r="CQ23">
        <v>15582</v>
      </c>
      <c r="CR23">
        <v>35</v>
      </c>
      <c r="CS23">
        <v>10290</v>
      </c>
      <c r="CT23">
        <v>41</v>
      </c>
      <c r="CU23">
        <v>12054</v>
      </c>
    </row>
    <row r="24" spans="2:99" x14ac:dyDescent="0.2">
      <c r="C24" s="118" t="s">
        <v>190</v>
      </c>
      <c r="D24">
        <v>42</v>
      </c>
      <c r="E24">
        <v>15422.4</v>
      </c>
      <c r="F24">
        <v>25</v>
      </c>
      <c r="G24">
        <v>9180</v>
      </c>
      <c r="H24">
        <v>25</v>
      </c>
      <c r="I24">
        <v>9180</v>
      </c>
      <c r="J24">
        <v>24</v>
      </c>
      <c r="K24">
        <v>8812.7999999999993</v>
      </c>
      <c r="L24">
        <v>21</v>
      </c>
      <c r="M24">
        <v>7711.2</v>
      </c>
      <c r="N24">
        <v>40</v>
      </c>
      <c r="O24">
        <v>14688</v>
      </c>
      <c r="P24">
        <v>40</v>
      </c>
      <c r="Q24">
        <v>14688</v>
      </c>
      <c r="R24">
        <v>37</v>
      </c>
      <c r="S24">
        <v>13586.4</v>
      </c>
      <c r="T24">
        <v>32</v>
      </c>
      <c r="U24">
        <v>11750.4</v>
      </c>
      <c r="V24">
        <v>31</v>
      </c>
      <c r="W24">
        <v>11383.199999999999</v>
      </c>
      <c r="X24">
        <v>31</v>
      </c>
      <c r="Y24">
        <v>11383.199999999999</v>
      </c>
      <c r="Z24">
        <v>40</v>
      </c>
      <c r="AA24">
        <v>14688</v>
      </c>
      <c r="AB24">
        <v>32</v>
      </c>
      <c r="AC24">
        <v>11750.4</v>
      </c>
      <c r="AD24">
        <v>26</v>
      </c>
      <c r="AE24">
        <v>9547.1999999999989</v>
      </c>
      <c r="AF24">
        <v>30</v>
      </c>
      <c r="AG24">
        <v>11016</v>
      </c>
      <c r="AH24">
        <v>40</v>
      </c>
      <c r="AI24">
        <v>14688</v>
      </c>
      <c r="AJ24">
        <v>38</v>
      </c>
      <c r="AK24">
        <v>13953.6</v>
      </c>
      <c r="AL24">
        <v>29</v>
      </c>
      <c r="AM24">
        <v>10648.8</v>
      </c>
      <c r="AN24">
        <v>31</v>
      </c>
      <c r="AO24">
        <v>11383.199999999999</v>
      </c>
      <c r="AP24">
        <v>37</v>
      </c>
      <c r="AQ24">
        <v>13586.4</v>
      </c>
      <c r="AR24">
        <v>35</v>
      </c>
      <c r="AS24">
        <v>12852</v>
      </c>
      <c r="AT24">
        <v>23</v>
      </c>
      <c r="AU24">
        <v>8445.6</v>
      </c>
      <c r="AV24">
        <v>41</v>
      </c>
      <c r="AW24">
        <v>15055.199999999999</v>
      </c>
      <c r="AX24">
        <v>33</v>
      </c>
      <c r="AY24">
        <v>12117.6</v>
      </c>
      <c r="AZ24">
        <v>46</v>
      </c>
      <c r="BA24">
        <v>16891.2</v>
      </c>
      <c r="BB24">
        <v>41</v>
      </c>
      <c r="BC24">
        <v>15055.199999999999</v>
      </c>
      <c r="BD24">
        <v>27</v>
      </c>
      <c r="BE24">
        <v>9914.4</v>
      </c>
      <c r="BF24">
        <v>30</v>
      </c>
      <c r="BG24">
        <v>11016</v>
      </c>
      <c r="BH24">
        <v>26</v>
      </c>
      <c r="BI24">
        <v>9547.1999999999989</v>
      </c>
      <c r="BJ24">
        <v>30</v>
      </c>
      <c r="BK24">
        <v>11016</v>
      </c>
      <c r="BL24">
        <v>40</v>
      </c>
      <c r="BM24">
        <v>14688</v>
      </c>
      <c r="BN24">
        <v>48</v>
      </c>
      <c r="BO24">
        <v>17625.599999999999</v>
      </c>
      <c r="BP24">
        <v>40</v>
      </c>
      <c r="BQ24">
        <v>14688</v>
      </c>
      <c r="BR24">
        <v>40</v>
      </c>
      <c r="BS24">
        <v>14688</v>
      </c>
      <c r="BT24">
        <v>43</v>
      </c>
      <c r="BU24">
        <v>15789.6</v>
      </c>
      <c r="BV24">
        <v>26</v>
      </c>
      <c r="BW24">
        <v>9547.1999999999989</v>
      </c>
      <c r="BX24">
        <v>33</v>
      </c>
      <c r="BY24">
        <v>12117.6</v>
      </c>
      <c r="BZ24">
        <v>30</v>
      </c>
      <c r="CA24">
        <v>11016</v>
      </c>
      <c r="CB24">
        <v>47</v>
      </c>
      <c r="CC24">
        <v>17258.399999999998</v>
      </c>
      <c r="CD24">
        <v>29</v>
      </c>
      <c r="CE24">
        <v>10648.8</v>
      </c>
      <c r="CF24">
        <v>43</v>
      </c>
      <c r="CG24">
        <v>15789.6</v>
      </c>
      <c r="CH24">
        <v>37</v>
      </c>
      <c r="CI24">
        <v>13586.4</v>
      </c>
      <c r="CJ24">
        <v>40</v>
      </c>
      <c r="CK24">
        <v>14688</v>
      </c>
      <c r="CL24">
        <v>47</v>
      </c>
      <c r="CM24">
        <v>17258.399999999998</v>
      </c>
      <c r="CN24">
        <v>28</v>
      </c>
      <c r="CO24">
        <v>10281.6</v>
      </c>
      <c r="CP24">
        <v>52</v>
      </c>
      <c r="CQ24">
        <v>19094.399999999998</v>
      </c>
      <c r="CR24">
        <v>40</v>
      </c>
      <c r="CS24">
        <v>14688</v>
      </c>
      <c r="CT24">
        <v>42</v>
      </c>
      <c r="CU24">
        <v>15422.4</v>
      </c>
    </row>
    <row r="25" spans="2:99" x14ac:dyDescent="0.2">
      <c r="C25" s="118" t="s">
        <v>191</v>
      </c>
      <c r="D25">
        <v>42</v>
      </c>
      <c r="E25">
        <v>22276.799999999999</v>
      </c>
      <c r="F25">
        <v>28</v>
      </c>
      <c r="G25">
        <v>14851.199999999999</v>
      </c>
      <c r="H25">
        <v>27</v>
      </c>
      <c r="I25">
        <v>14320.8</v>
      </c>
      <c r="J25">
        <v>24</v>
      </c>
      <c r="K25">
        <v>12729.599999999999</v>
      </c>
      <c r="L25">
        <v>22</v>
      </c>
      <c r="M25">
        <v>11668.8</v>
      </c>
      <c r="N25">
        <v>41</v>
      </c>
      <c r="O25">
        <v>21746.399999999998</v>
      </c>
      <c r="P25">
        <v>39</v>
      </c>
      <c r="Q25">
        <v>20685.599999999999</v>
      </c>
      <c r="R25">
        <v>35</v>
      </c>
      <c r="S25">
        <v>18564</v>
      </c>
      <c r="T25">
        <v>31</v>
      </c>
      <c r="U25">
        <v>16442.399999999998</v>
      </c>
      <c r="V25">
        <v>34</v>
      </c>
      <c r="W25">
        <v>18033.599999999999</v>
      </c>
      <c r="X25">
        <v>28</v>
      </c>
      <c r="Y25">
        <v>14851.199999999999</v>
      </c>
      <c r="Z25">
        <v>43</v>
      </c>
      <c r="AA25">
        <v>22807.200000000001</v>
      </c>
      <c r="AB25">
        <v>28</v>
      </c>
      <c r="AC25">
        <v>14851.199999999999</v>
      </c>
      <c r="AD25">
        <v>25</v>
      </c>
      <c r="AE25">
        <v>13260</v>
      </c>
      <c r="AF25">
        <v>34</v>
      </c>
      <c r="AG25">
        <v>18033.599999999999</v>
      </c>
      <c r="AH25">
        <v>35</v>
      </c>
      <c r="AI25">
        <v>18564</v>
      </c>
      <c r="AJ25">
        <v>36</v>
      </c>
      <c r="AK25">
        <v>19094.399999999998</v>
      </c>
      <c r="AL25">
        <v>29</v>
      </c>
      <c r="AM25">
        <v>15381.599999999999</v>
      </c>
      <c r="AN25">
        <v>30</v>
      </c>
      <c r="AO25">
        <v>15912</v>
      </c>
      <c r="AP25">
        <v>40</v>
      </c>
      <c r="AQ25">
        <v>21216</v>
      </c>
      <c r="AR25">
        <v>35</v>
      </c>
      <c r="AS25">
        <v>18564</v>
      </c>
      <c r="AT25">
        <v>22</v>
      </c>
      <c r="AU25">
        <v>11668.8</v>
      </c>
      <c r="AV25">
        <v>44</v>
      </c>
      <c r="AW25">
        <v>23337.599999999999</v>
      </c>
      <c r="AX25">
        <v>35</v>
      </c>
      <c r="AY25">
        <v>18564</v>
      </c>
      <c r="AZ25">
        <v>42</v>
      </c>
      <c r="BA25">
        <v>22276.799999999999</v>
      </c>
      <c r="BB25">
        <v>36</v>
      </c>
      <c r="BC25">
        <v>19094.399999999998</v>
      </c>
      <c r="BD25">
        <v>24</v>
      </c>
      <c r="BE25">
        <v>12729.599999999999</v>
      </c>
      <c r="BF25">
        <v>30</v>
      </c>
      <c r="BG25">
        <v>15912</v>
      </c>
      <c r="BH25">
        <v>25</v>
      </c>
      <c r="BI25">
        <v>13260</v>
      </c>
      <c r="BJ25">
        <v>29</v>
      </c>
      <c r="BK25">
        <v>15381.599999999999</v>
      </c>
      <c r="BL25">
        <v>43</v>
      </c>
      <c r="BM25">
        <v>22807.200000000001</v>
      </c>
      <c r="BN25">
        <v>42</v>
      </c>
      <c r="BO25">
        <v>22276.799999999999</v>
      </c>
      <c r="BP25">
        <v>40</v>
      </c>
      <c r="BQ25">
        <v>21216</v>
      </c>
      <c r="BR25">
        <v>36</v>
      </c>
      <c r="BS25">
        <v>19094.399999999998</v>
      </c>
      <c r="BT25">
        <v>42</v>
      </c>
      <c r="BU25">
        <v>22276.799999999999</v>
      </c>
      <c r="BV25">
        <v>27</v>
      </c>
      <c r="BW25">
        <v>14320.8</v>
      </c>
      <c r="BX25">
        <v>34</v>
      </c>
      <c r="BY25">
        <v>18033.599999999999</v>
      </c>
      <c r="BZ25">
        <v>30</v>
      </c>
      <c r="CA25">
        <v>15912</v>
      </c>
      <c r="CB25">
        <v>47</v>
      </c>
      <c r="CC25">
        <v>24928.799999999999</v>
      </c>
      <c r="CD25">
        <v>27</v>
      </c>
      <c r="CE25">
        <v>14320.8</v>
      </c>
      <c r="CF25">
        <v>37</v>
      </c>
      <c r="CG25">
        <v>19624.8</v>
      </c>
      <c r="CH25">
        <v>35</v>
      </c>
      <c r="CI25">
        <v>18564</v>
      </c>
      <c r="CJ25">
        <v>39</v>
      </c>
      <c r="CK25">
        <v>20685.599999999999</v>
      </c>
      <c r="CL25">
        <v>39</v>
      </c>
      <c r="CM25">
        <v>20685.599999999999</v>
      </c>
      <c r="CN25">
        <v>27</v>
      </c>
      <c r="CO25">
        <v>14320.8</v>
      </c>
      <c r="CP25">
        <v>45</v>
      </c>
      <c r="CQ25">
        <v>23868</v>
      </c>
      <c r="CR25">
        <v>39</v>
      </c>
      <c r="CS25">
        <v>20685.599999999999</v>
      </c>
      <c r="CT25">
        <v>38</v>
      </c>
      <c r="CU25">
        <v>20155.2</v>
      </c>
    </row>
    <row r="26" spans="2:99" x14ac:dyDescent="0.2">
      <c r="C26" s="118" t="s">
        <v>192</v>
      </c>
      <c r="D26">
        <v>44</v>
      </c>
      <c r="E26">
        <v>21384</v>
      </c>
      <c r="F26">
        <v>26</v>
      </c>
      <c r="G26">
        <v>12636</v>
      </c>
      <c r="H26">
        <v>25</v>
      </c>
      <c r="I26">
        <v>12150</v>
      </c>
      <c r="J26">
        <v>22</v>
      </c>
      <c r="K26">
        <v>10692</v>
      </c>
      <c r="L26">
        <v>20</v>
      </c>
      <c r="M26">
        <v>9720</v>
      </c>
      <c r="N26">
        <v>42</v>
      </c>
      <c r="O26">
        <v>20412</v>
      </c>
      <c r="P26">
        <v>42</v>
      </c>
      <c r="Q26">
        <v>20412</v>
      </c>
      <c r="R26">
        <v>41</v>
      </c>
      <c r="S26">
        <v>19926</v>
      </c>
      <c r="T26">
        <v>34</v>
      </c>
      <c r="U26">
        <v>16524</v>
      </c>
      <c r="V26">
        <v>35</v>
      </c>
      <c r="W26">
        <v>17010</v>
      </c>
      <c r="X26">
        <v>30</v>
      </c>
      <c r="Y26">
        <v>14580</v>
      </c>
      <c r="Z26">
        <v>43</v>
      </c>
      <c r="AA26">
        <v>20898</v>
      </c>
      <c r="AB26">
        <v>27</v>
      </c>
      <c r="AC26">
        <v>13122</v>
      </c>
      <c r="AD26">
        <v>23</v>
      </c>
      <c r="AE26">
        <v>11178</v>
      </c>
      <c r="AF26">
        <v>31</v>
      </c>
      <c r="AG26">
        <v>15066</v>
      </c>
      <c r="AH26">
        <v>37</v>
      </c>
      <c r="AI26">
        <v>17982</v>
      </c>
      <c r="AJ26">
        <v>31</v>
      </c>
      <c r="AK26">
        <v>15066</v>
      </c>
      <c r="AL26">
        <v>27</v>
      </c>
      <c r="AM26">
        <v>13122</v>
      </c>
      <c r="AN26">
        <v>33</v>
      </c>
      <c r="AO26">
        <v>16038</v>
      </c>
      <c r="AP26">
        <v>35</v>
      </c>
      <c r="AQ26">
        <v>17010</v>
      </c>
      <c r="AR26">
        <v>37</v>
      </c>
      <c r="AS26">
        <v>17982</v>
      </c>
      <c r="AT26">
        <v>24</v>
      </c>
      <c r="AU26">
        <v>11664</v>
      </c>
      <c r="AV26">
        <v>37</v>
      </c>
      <c r="AW26">
        <v>17982</v>
      </c>
      <c r="AX26">
        <v>33</v>
      </c>
      <c r="AY26">
        <v>16038</v>
      </c>
      <c r="AZ26">
        <v>48</v>
      </c>
      <c r="BA26">
        <v>23328</v>
      </c>
      <c r="BB26">
        <v>37</v>
      </c>
      <c r="BC26">
        <v>17982</v>
      </c>
      <c r="BD26">
        <v>26</v>
      </c>
      <c r="BE26">
        <v>12636</v>
      </c>
      <c r="BF26">
        <v>31</v>
      </c>
      <c r="BG26">
        <v>15066</v>
      </c>
      <c r="BH26">
        <v>27</v>
      </c>
      <c r="BI26">
        <v>13122</v>
      </c>
      <c r="BJ26">
        <v>30</v>
      </c>
      <c r="BK26">
        <v>14580</v>
      </c>
      <c r="BL26">
        <v>41</v>
      </c>
      <c r="BM26">
        <v>19926</v>
      </c>
      <c r="BN26">
        <v>41</v>
      </c>
      <c r="BO26">
        <v>19926</v>
      </c>
      <c r="BP26">
        <v>43</v>
      </c>
      <c r="BQ26">
        <v>20898</v>
      </c>
      <c r="BR26">
        <v>40</v>
      </c>
      <c r="BS26">
        <v>19440</v>
      </c>
      <c r="BT26">
        <v>42</v>
      </c>
      <c r="BU26">
        <v>20412</v>
      </c>
      <c r="BV26">
        <v>24</v>
      </c>
      <c r="BW26">
        <v>11664</v>
      </c>
      <c r="BX26">
        <v>29</v>
      </c>
      <c r="BY26">
        <v>14094</v>
      </c>
      <c r="BZ26">
        <v>30</v>
      </c>
      <c r="CA26">
        <v>14580</v>
      </c>
      <c r="CB26">
        <v>47</v>
      </c>
      <c r="CC26">
        <v>22842</v>
      </c>
      <c r="CD26">
        <v>29</v>
      </c>
      <c r="CE26">
        <v>14094</v>
      </c>
      <c r="CF26">
        <v>40</v>
      </c>
      <c r="CG26">
        <v>19440</v>
      </c>
      <c r="CH26">
        <v>35</v>
      </c>
      <c r="CI26">
        <v>17010</v>
      </c>
      <c r="CJ26">
        <v>34</v>
      </c>
      <c r="CK26">
        <v>16524</v>
      </c>
      <c r="CL26">
        <v>40</v>
      </c>
      <c r="CM26">
        <v>19440</v>
      </c>
      <c r="CN26">
        <v>28</v>
      </c>
      <c r="CO26">
        <v>13608</v>
      </c>
      <c r="CP26">
        <v>52</v>
      </c>
      <c r="CQ26">
        <v>25272</v>
      </c>
      <c r="CR26">
        <v>39</v>
      </c>
      <c r="CS26">
        <v>18954</v>
      </c>
      <c r="CT26">
        <v>42</v>
      </c>
      <c r="CU26">
        <v>20412</v>
      </c>
    </row>
    <row r="27" spans="2:99" x14ac:dyDescent="0.2">
      <c r="C27" s="118" t="s">
        <v>193</v>
      </c>
      <c r="D27">
        <v>44</v>
      </c>
      <c r="E27">
        <v>18796.8</v>
      </c>
      <c r="F27">
        <v>30</v>
      </c>
      <c r="G27">
        <v>12816</v>
      </c>
      <c r="H27">
        <v>26</v>
      </c>
      <c r="I27">
        <v>11107.199999999999</v>
      </c>
      <c r="J27">
        <v>23</v>
      </c>
      <c r="K27">
        <v>9825.6</v>
      </c>
      <c r="L27">
        <v>22</v>
      </c>
      <c r="M27">
        <v>9398.4</v>
      </c>
      <c r="N27">
        <v>39</v>
      </c>
      <c r="O27">
        <v>16660.8</v>
      </c>
      <c r="P27">
        <v>41</v>
      </c>
      <c r="Q27">
        <v>17515.2</v>
      </c>
      <c r="R27">
        <v>35</v>
      </c>
      <c r="S27">
        <v>14952</v>
      </c>
      <c r="T27">
        <v>37</v>
      </c>
      <c r="U27">
        <v>15806.4</v>
      </c>
      <c r="V27">
        <v>30</v>
      </c>
      <c r="W27">
        <v>12816</v>
      </c>
      <c r="X27">
        <v>27</v>
      </c>
      <c r="Y27">
        <v>11534.4</v>
      </c>
      <c r="Z27">
        <v>40</v>
      </c>
      <c r="AA27">
        <v>17088</v>
      </c>
      <c r="AB27">
        <v>29</v>
      </c>
      <c r="AC27">
        <v>12388.8</v>
      </c>
      <c r="AD27">
        <v>24</v>
      </c>
      <c r="AE27">
        <v>10252.799999999999</v>
      </c>
      <c r="AF27">
        <v>32</v>
      </c>
      <c r="AG27">
        <v>13670.4</v>
      </c>
      <c r="AH27">
        <v>39</v>
      </c>
      <c r="AI27">
        <v>16660.8</v>
      </c>
      <c r="AJ27">
        <v>34</v>
      </c>
      <c r="AK27">
        <v>14524.8</v>
      </c>
      <c r="AL27">
        <v>26</v>
      </c>
      <c r="AM27">
        <v>11107.199999999999</v>
      </c>
      <c r="AN27">
        <v>28</v>
      </c>
      <c r="AO27">
        <v>11961.6</v>
      </c>
      <c r="AP27">
        <v>36</v>
      </c>
      <c r="AQ27">
        <v>15379.199999999999</v>
      </c>
      <c r="AR27">
        <v>34</v>
      </c>
      <c r="AS27">
        <v>14524.8</v>
      </c>
      <c r="AT27">
        <v>22</v>
      </c>
      <c r="AU27">
        <v>9398.4</v>
      </c>
      <c r="AV27">
        <v>41</v>
      </c>
      <c r="AW27">
        <v>17515.2</v>
      </c>
      <c r="AX27">
        <v>34</v>
      </c>
      <c r="AY27">
        <v>14524.8</v>
      </c>
      <c r="AZ27">
        <v>40</v>
      </c>
      <c r="BA27">
        <v>17088</v>
      </c>
      <c r="BB27">
        <v>40</v>
      </c>
      <c r="BC27">
        <v>17088</v>
      </c>
      <c r="BD27">
        <v>23</v>
      </c>
      <c r="BE27">
        <v>9825.6</v>
      </c>
      <c r="BF27">
        <v>29</v>
      </c>
      <c r="BG27">
        <v>12388.8</v>
      </c>
      <c r="BH27">
        <v>30</v>
      </c>
      <c r="BI27">
        <v>12816</v>
      </c>
      <c r="BJ27">
        <v>34</v>
      </c>
      <c r="BK27">
        <v>14524.8</v>
      </c>
      <c r="BL27">
        <v>42</v>
      </c>
      <c r="BM27">
        <v>17942.399999999998</v>
      </c>
      <c r="BN27">
        <v>42</v>
      </c>
      <c r="BO27">
        <v>17942.399999999998</v>
      </c>
      <c r="BP27">
        <v>44</v>
      </c>
      <c r="BQ27">
        <v>18796.8</v>
      </c>
      <c r="BR27">
        <v>37</v>
      </c>
      <c r="BS27">
        <v>15806.4</v>
      </c>
      <c r="BT27">
        <v>42</v>
      </c>
      <c r="BU27">
        <v>17942.399999999998</v>
      </c>
      <c r="BV27">
        <v>29</v>
      </c>
      <c r="BW27">
        <v>12388.8</v>
      </c>
      <c r="BX27">
        <v>32</v>
      </c>
      <c r="BY27">
        <v>13670.4</v>
      </c>
      <c r="BZ27">
        <v>33</v>
      </c>
      <c r="CA27">
        <v>14097.6</v>
      </c>
      <c r="CB27">
        <v>45</v>
      </c>
      <c r="CC27">
        <v>19224</v>
      </c>
      <c r="CD27">
        <v>29</v>
      </c>
      <c r="CE27">
        <v>12388.8</v>
      </c>
      <c r="CF27">
        <v>39</v>
      </c>
      <c r="CG27">
        <v>16660.8</v>
      </c>
      <c r="CH27">
        <v>37</v>
      </c>
      <c r="CI27">
        <v>15806.4</v>
      </c>
      <c r="CJ27">
        <v>35</v>
      </c>
      <c r="CK27">
        <v>14952</v>
      </c>
      <c r="CL27">
        <v>47</v>
      </c>
      <c r="CM27">
        <v>20078.399999999998</v>
      </c>
      <c r="CN27">
        <v>29</v>
      </c>
      <c r="CO27">
        <v>12388.8</v>
      </c>
      <c r="CP27">
        <v>45</v>
      </c>
      <c r="CQ27">
        <v>19224</v>
      </c>
      <c r="CR27">
        <v>35</v>
      </c>
      <c r="CS27">
        <v>14952</v>
      </c>
      <c r="CT27">
        <v>37</v>
      </c>
      <c r="CU27">
        <v>15806.4</v>
      </c>
    </row>
    <row r="28" spans="2:99" x14ac:dyDescent="0.2">
      <c r="C28" s="118" t="s">
        <v>194</v>
      </c>
      <c r="D28">
        <v>36</v>
      </c>
      <c r="E28">
        <v>26568</v>
      </c>
      <c r="F28">
        <v>27</v>
      </c>
      <c r="G28">
        <v>19926</v>
      </c>
      <c r="H28">
        <v>26</v>
      </c>
      <c r="I28">
        <v>19188</v>
      </c>
      <c r="J28">
        <v>21</v>
      </c>
      <c r="K28">
        <v>15498</v>
      </c>
      <c r="L28">
        <v>22</v>
      </c>
      <c r="M28">
        <v>16236</v>
      </c>
      <c r="N28">
        <v>38</v>
      </c>
      <c r="O28">
        <v>28044</v>
      </c>
      <c r="P28">
        <v>38</v>
      </c>
      <c r="Q28">
        <v>28044</v>
      </c>
      <c r="R28">
        <v>37</v>
      </c>
      <c r="S28">
        <v>27306</v>
      </c>
      <c r="T28">
        <v>31</v>
      </c>
      <c r="U28">
        <v>22878</v>
      </c>
      <c r="V28">
        <v>30</v>
      </c>
      <c r="W28">
        <v>22140</v>
      </c>
      <c r="X28">
        <v>26</v>
      </c>
      <c r="Y28">
        <v>19188</v>
      </c>
      <c r="Z28">
        <v>38</v>
      </c>
      <c r="AA28">
        <v>28044</v>
      </c>
      <c r="AB28">
        <v>26</v>
      </c>
      <c r="AC28">
        <v>19188</v>
      </c>
      <c r="AD28">
        <v>22</v>
      </c>
      <c r="AE28">
        <v>16236</v>
      </c>
      <c r="AF28">
        <v>32</v>
      </c>
      <c r="AG28">
        <v>23616</v>
      </c>
      <c r="AH28">
        <v>38</v>
      </c>
      <c r="AI28">
        <v>28044</v>
      </c>
      <c r="AJ28">
        <v>35</v>
      </c>
      <c r="AK28">
        <v>25830</v>
      </c>
      <c r="AL28">
        <v>27</v>
      </c>
      <c r="AM28">
        <v>19926</v>
      </c>
      <c r="AN28">
        <v>28</v>
      </c>
      <c r="AO28">
        <v>20664</v>
      </c>
      <c r="AP28">
        <v>35</v>
      </c>
      <c r="AQ28">
        <v>25830</v>
      </c>
      <c r="AR28">
        <v>37</v>
      </c>
      <c r="AS28">
        <v>27306</v>
      </c>
      <c r="AT28">
        <v>23</v>
      </c>
      <c r="AU28">
        <v>16974</v>
      </c>
      <c r="AV28">
        <v>38</v>
      </c>
      <c r="AW28">
        <v>28044</v>
      </c>
      <c r="AX28">
        <v>33</v>
      </c>
      <c r="AY28">
        <v>24354</v>
      </c>
      <c r="AZ28">
        <v>44</v>
      </c>
      <c r="BA28">
        <v>32472</v>
      </c>
      <c r="BB28">
        <v>34</v>
      </c>
      <c r="BC28">
        <v>25092</v>
      </c>
      <c r="BD28">
        <v>27</v>
      </c>
      <c r="BE28">
        <v>19926</v>
      </c>
      <c r="BF28">
        <v>29</v>
      </c>
      <c r="BG28">
        <v>21402</v>
      </c>
      <c r="BH28">
        <v>26</v>
      </c>
      <c r="BI28">
        <v>19188</v>
      </c>
      <c r="BJ28">
        <v>29</v>
      </c>
      <c r="BK28">
        <v>21402</v>
      </c>
      <c r="BL28">
        <v>41</v>
      </c>
      <c r="BM28">
        <v>30258</v>
      </c>
      <c r="BN28">
        <v>44</v>
      </c>
      <c r="BO28">
        <v>32472</v>
      </c>
      <c r="BP28">
        <v>43</v>
      </c>
      <c r="BQ28">
        <v>31734</v>
      </c>
      <c r="BR28">
        <v>42</v>
      </c>
      <c r="BS28">
        <v>30996</v>
      </c>
      <c r="BT28">
        <v>42</v>
      </c>
      <c r="BU28">
        <v>30996</v>
      </c>
      <c r="BV28">
        <v>27</v>
      </c>
      <c r="BW28">
        <v>19926</v>
      </c>
      <c r="BX28">
        <v>28</v>
      </c>
      <c r="BY28">
        <v>20664</v>
      </c>
      <c r="BZ28">
        <v>32</v>
      </c>
      <c r="CA28">
        <v>23616</v>
      </c>
      <c r="CB28">
        <v>42</v>
      </c>
      <c r="CC28">
        <v>30996</v>
      </c>
      <c r="CD28">
        <v>28</v>
      </c>
      <c r="CE28">
        <v>20664</v>
      </c>
      <c r="CF28">
        <v>43</v>
      </c>
      <c r="CG28">
        <v>31734</v>
      </c>
      <c r="CH28">
        <v>35</v>
      </c>
      <c r="CI28">
        <v>25830</v>
      </c>
      <c r="CJ28">
        <v>38</v>
      </c>
      <c r="CK28">
        <v>28044</v>
      </c>
      <c r="CL28">
        <v>45</v>
      </c>
      <c r="CM28">
        <v>33210</v>
      </c>
      <c r="CN28">
        <v>28</v>
      </c>
      <c r="CO28">
        <v>20664</v>
      </c>
      <c r="CP28">
        <v>48</v>
      </c>
      <c r="CQ28">
        <v>35424</v>
      </c>
      <c r="CR28">
        <v>33</v>
      </c>
      <c r="CS28">
        <v>24354</v>
      </c>
      <c r="CT28">
        <v>40</v>
      </c>
      <c r="CU28">
        <v>29520</v>
      </c>
    </row>
    <row r="29" spans="2:99" x14ac:dyDescent="0.2">
      <c r="C29" s="118" t="s">
        <v>195</v>
      </c>
      <c r="D29">
        <v>39</v>
      </c>
      <c r="E29">
        <v>13197.599999999999</v>
      </c>
      <c r="F29">
        <v>26</v>
      </c>
      <c r="G29">
        <v>8798.4</v>
      </c>
      <c r="H29">
        <v>25</v>
      </c>
      <c r="I29">
        <v>8460</v>
      </c>
      <c r="J29">
        <v>24</v>
      </c>
      <c r="K29">
        <v>8121.5999999999995</v>
      </c>
      <c r="L29">
        <v>21</v>
      </c>
      <c r="M29">
        <v>7106.4</v>
      </c>
      <c r="N29">
        <v>46</v>
      </c>
      <c r="O29">
        <v>15566.4</v>
      </c>
      <c r="P29">
        <v>44</v>
      </c>
      <c r="Q29">
        <v>14889.599999999999</v>
      </c>
      <c r="R29">
        <v>35</v>
      </c>
      <c r="S29">
        <v>11844</v>
      </c>
      <c r="T29">
        <v>37</v>
      </c>
      <c r="U29">
        <v>12520.8</v>
      </c>
      <c r="V29">
        <v>32</v>
      </c>
      <c r="W29">
        <v>10828.8</v>
      </c>
      <c r="X29">
        <v>29</v>
      </c>
      <c r="Y29">
        <v>9813.5999999999985</v>
      </c>
      <c r="Z29">
        <v>41</v>
      </c>
      <c r="AA29">
        <v>13874.4</v>
      </c>
      <c r="AB29">
        <v>29</v>
      </c>
      <c r="AC29">
        <v>9813.5999999999985</v>
      </c>
      <c r="AD29">
        <v>22</v>
      </c>
      <c r="AE29">
        <v>7444.7999999999993</v>
      </c>
      <c r="AF29">
        <v>33</v>
      </c>
      <c r="AG29">
        <v>11167.199999999999</v>
      </c>
      <c r="AH29">
        <v>41</v>
      </c>
      <c r="AI29">
        <v>13874.4</v>
      </c>
      <c r="AJ29">
        <v>36</v>
      </c>
      <c r="AK29">
        <v>12182.4</v>
      </c>
      <c r="AL29">
        <v>31</v>
      </c>
      <c r="AM29">
        <v>10490.4</v>
      </c>
      <c r="AN29">
        <v>31</v>
      </c>
      <c r="AO29">
        <v>10490.4</v>
      </c>
      <c r="AP29">
        <v>41</v>
      </c>
      <c r="AQ29">
        <v>13874.4</v>
      </c>
      <c r="AR29">
        <v>38</v>
      </c>
      <c r="AS29">
        <v>12859.199999999999</v>
      </c>
      <c r="AT29">
        <v>22</v>
      </c>
      <c r="AU29">
        <v>7444.7999999999993</v>
      </c>
      <c r="AV29">
        <v>40</v>
      </c>
      <c r="AW29">
        <v>13536</v>
      </c>
      <c r="AX29">
        <v>31</v>
      </c>
      <c r="AY29">
        <v>10490.4</v>
      </c>
      <c r="AZ29">
        <v>49</v>
      </c>
      <c r="BA29">
        <v>16581.599999999999</v>
      </c>
      <c r="BB29">
        <v>42</v>
      </c>
      <c r="BC29">
        <v>14212.8</v>
      </c>
      <c r="BD29">
        <v>23</v>
      </c>
      <c r="BE29">
        <v>7783.2</v>
      </c>
      <c r="BF29">
        <v>33</v>
      </c>
      <c r="BG29">
        <v>11167.199999999999</v>
      </c>
      <c r="BH29">
        <v>29</v>
      </c>
      <c r="BI29">
        <v>9813.5999999999985</v>
      </c>
      <c r="BJ29">
        <v>36</v>
      </c>
      <c r="BK29">
        <v>12182.4</v>
      </c>
      <c r="BL29">
        <v>43</v>
      </c>
      <c r="BM29">
        <v>14551.199999999999</v>
      </c>
      <c r="BN29">
        <v>44</v>
      </c>
      <c r="BO29">
        <v>14889.599999999999</v>
      </c>
      <c r="BP29">
        <v>40</v>
      </c>
      <c r="BQ29">
        <v>13536</v>
      </c>
      <c r="BR29">
        <v>44</v>
      </c>
      <c r="BS29">
        <v>14889.599999999999</v>
      </c>
      <c r="BT29">
        <v>45</v>
      </c>
      <c r="BU29">
        <v>15227.999999999998</v>
      </c>
      <c r="BV29">
        <v>29</v>
      </c>
      <c r="BW29">
        <v>9813.5999999999985</v>
      </c>
      <c r="BX29">
        <v>32</v>
      </c>
      <c r="BY29">
        <v>10828.8</v>
      </c>
      <c r="BZ29">
        <v>31</v>
      </c>
      <c r="CA29">
        <v>10490.4</v>
      </c>
      <c r="CB29">
        <v>44</v>
      </c>
      <c r="CC29">
        <v>14889.599999999999</v>
      </c>
      <c r="CD29">
        <v>25</v>
      </c>
      <c r="CE29">
        <v>8460</v>
      </c>
      <c r="CF29">
        <v>39</v>
      </c>
      <c r="CG29">
        <v>13197.599999999999</v>
      </c>
      <c r="CH29">
        <v>33</v>
      </c>
      <c r="CI29">
        <v>11167.199999999999</v>
      </c>
      <c r="CJ29">
        <v>35</v>
      </c>
      <c r="CK29">
        <v>11844</v>
      </c>
      <c r="CL29">
        <v>47</v>
      </c>
      <c r="CM29">
        <v>15904.8</v>
      </c>
      <c r="CN29">
        <v>28</v>
      </c>
      <c r="CO29">
        <v>9475.1999999999989</v>
      </c>
      <c r="CP29">
        <v>45</v>
      </c>
      <c r="CQ29">
        <v>15227.999999999998</v>
      </c>
      <c r="CR29">
        <v>41</v>
      </c>
      <c r="CS29">
        <v>13874.4</v>
      </c>
      <c r="CT29">
        <v>40</v>
      </c>
      <c r="CU29">
        <v>13536</v>
      </c>
    </row>
    <row r="30" spans="2:99" x14ac:dyDescent="0.2">
      <c r="C30" s="118" t="s">
        <v>196</v>
      </c>
      <c r="D30">
        <v>42</v>
      </c>
      <c r="E30">
        <v>5846.4</v>
      </c>
      <c r="F30">
        <v>29</v>
      </c>
      <c r="G30">
        <v>4036.7999999999997</v>
      </c>
      <c r="H30">
        <v>30</v>
      </c>
      <c r="I30">
        <v>4176</v>
      </c>
      <c r="J30">
        <v>22</v>
      </c>
      <c r="K30">
        <v>3062.3999999999996</v>
      </c>
      <c r="L30">
        <v>22</v>
      </c>
      <c r="M30">
        <v>3062.3999999999996</v>
      </c>
      <c r="N30">
        <v>43</v>
      </c>
      <c r="O30">
        <v>5985.5999999999995</v>
      </c>
      <c r="P30">
        <v>42</v>
      </c>
      <c r="Q30">
        <v>5846.4</v>
      </c>
      <c r="R30">
        <v>37</v>
      </c>
      <c r="S30">
        <v>5150.3999999999996</v>
      </c>
      <c r="T30">
        <v>38</v>
      </c>
      <c r="U30">
        <v>5289.5999999999995</v>
      </c>
      <c r="V30">
        <v>36</v>
      </c>
      <c r="W30">
        <v>5011.2</v>
      </c>
      <c r="X30">
        <v>27</v>
      </c>
      <c r="Y30">
        <v>3758.3999999999996</v>
      </c>
      <c r="Z30">
        <v>45</v>
      </c>
      <c r="AA30">
        <v>6263.9999999999991</v>
      </c>
      <c r="AB30">
        <v>28</v>
      </c>
      <c r="AC30">
        <v>3897.5999999999995</v>
      </c>
      <c r="AD30">
        <v>23</v>
      </c>
      <c r="AE30">
        <v>3201.6</v>
      </c>
      <c r="AF30">
        <v>35</v>
      </c>
      <c r="AG30">
        <v>4872</v>
      </c>
      <c r="AH30">
        <v>38</v>
      </c>
      <c r="AI30">
        <v>5289.5999999999995</v>
      </c>
      <c r="AJ30">
        <v>35</v>
      </c>
      <c r="AK30">
        <v>4872</v>
      </c>
      <c r="AL30">
        <v>27</v>
      </c>
      <c r="AM30">
        <v>3758.3999999999996</v>
      </c>
      <c r="AN30">
        <v>32</v>
      </c>
      <c r="AO30">
        <v>4454.3999999999996</v>
      </c>
      <c r="AP30">
        <v>40</v>
      </c>
      <c r="AQ30">
        <v>5568</v>
      </c>
      <c r="AR30">
        <v>40</v>
      </c>
      <c r="AS30">
        <v>5568</v>
      </c>
      <c r="AT30">
        <v>22</v>
      </c>
      <c r="AU30">
        <v>3062.3999999999996</v>
      </c>
      <c r="AV30">
        <v>46</v>
      </c>
      <c r="AW30">
        <v>6403.2</v>
      </c>
      <c r="AX30">
        <v>34</v>
      </c>
      <c r="AY30">
        <v>4732.7999999999993</v>
      </c>
      <c r="AZ30">
        <v>48</v>
      </c>
      <c r="BA30">
        <v>6681.5999999999995</v>
      </c>
      <c r="BB30">
        <v>39</v>
      </c>
      <c r="BC30">
        <v>5428.7999999999993</v>
      </c>
      <c r="BD30">
        <v>25</v>
      </c>
      <c r="BE30">
        <v>3479.9999999999995</v>
      </c>
      <c r="BF30">
        <v>30</v>
      </c>
      <c r="BG30">
        <v>4176</v>
      </c>
      <c r="BH30">
        <v>30</v>
      </c>
      <c r="BI30">
        <v>4176</v>
      </c>
      <c r="BJ30">
        <v>33</v>
      </c>
      <c r="BK30">
        <v>4593.5999999999995</v>
      </c>
      <c r="BL30">
        <v>47</v>
      </c>
      <c r="BM30">
        <v>6542.4</v>
      </c>
      <c r="BN30">
        <v>41</v>
      </c>
      <c r="BO30">
        <v>5707.2</v>
      </c>
      <c r="BP30">
        <v>42</v>
      </c>
      <c r="BQ30">
        <v>5846.4</v>
      </c>
      <c r="BR30">
        <v>39</v>
      </c>
      <c r="BS30">
        <v>5428.7999999999993</v>
      </c>
      <c r="BT30">
        <v>44</v>
      </c>
      <c r="BU30">
        <v>6124.7999999999993</v>
      </c>
      <c r="BV30">
        <v>25</v>
      </c>
      <c r="BW30">
        <v>3479.9999999999995</v>
      </c>
      <c r="BX30">
        <v>29</v>
      </c>
      <c r="BY30">
        <v>4036.7999999999997</v>
      </c>
      <c r="BZ30">
        <v>33</v>
      </c>
      <c r="CA30">
        <v>4593.5999999999995</v>
      </c>
      <c r="CB30">
        <v>47</v>
      </c>
      <c r="CC30">
        <v>6542.4</v>
      </c>
      <c r="CD30">
        <v>26</v>
      </c>
      <c r="CE30">
        <v>3619.2</v>
      </c>
      <c r="CF30">
        <v>42</v>
      </c>
      <c r="CG30">
        <v>5846.4</v>
      </c>
      <c r="CH30">
        <v>38</v>
      </c>
      <c r="CI30">
        <v>5289.5999999999995</v>
      </c>
      <c r="CJ30">
        <v>37</v>
      </c>
      <c r="CK30">
        <v>5150.3999999999996</v>
      </c>
      <c r="CL30">
        <v>42</v>
      </c>
      <c r="CM30">
        <v>5846.4</v>
      </c>
      <c r="CN30">
        <v>30</v>
      </c>
      <c r="CO30">
        <v>4176</v>
      </c>
      <c r="CP30">
        <v>48</v>
      </c>
      <c r="CQ30">
        <v>6681.5999999999995</v>
      </c>
      <c r="CR30">
        <v>37</v>
      </c>
      <c r="CS30">
        <v>5150.3999999999996</v>
      </c>
      <c r="CT30">
        <v>44</v>
      </c>
      <c r="CU30">
        <v>6124.7999999999993</v>
      </c>
    </row>
    <row r="31" spans="2:99" x14ac:dyDescent="0.2">
      <c r="C31" s="118" t="s">
        <v>197</v>
      </c>
      <c r="D31">
        <v>44</v>
      </c>
      <c r="E31">
        <v>14995.2</v>
      </c>
      <c r="F31">
        <v>26</v>
      </c>
      <c r="G31">
        <v>8860.8000000000011</v>
      </c>
      <c r="H31">
        <v>27</v>
      </c>
      <c r="I31">
        <v>9201.6</v>
      </c>
      <c r="J31">
        <v>22</v>
      </c>
      <c r="K31">
        <v>7497.6</v>
      </c>
      <c r="L31">
        <v>22</v>
      </c>
      <c r="M31">
        <v>7497.6</v>
      </c>
      <c r="N31">
        <v>47</v>
      </c>
      <c r="O31">
        <v>16017.6</v>
      </c>
      <c r="P31">
        <v>40</v>
      </c>
      <c r="Q31">
        <v>13632</v>
      </c>
      <c r="R31">
        <v>40</v>
      </c>
      <c r="S31">
        <v>13632</v>
      </c>
      <c r="T31">
        <v>34</v>
      </c>
      <c r="U31">
        <v>11587.2</v>
      </c>
      <c r="V31">
        <v>34</v>
      </c>
      <c r="W31">
        <v>11587.2</v>
      </c>
      <c r="X31">
        <v>28</v>
      </c>
      <c r="Y31">
        <v>9542.4</v>
      </c>
      <c r="Z31">
        <v>47</v>
      </c>
      <c r="AA31">
        <v>16017.6</v>
      </c>
      <c r="AB31">
        <v>27</v>
      </c>
      <c r="AC31">
        <v>9201.6</v>
      </c>
      <c r="AD31">
        <v>23</v>
      </c>
      <c r="AE31">
        <v>7838.4000000000005</v>
      </c>
      <c r="AF31">
        <v>31</v>
      </c>
      <c r="AG31">
        <v>10564.800000000001</v>
      </c>
      <c r="AH31">
        <v>42</v>
      </c>
      <c r="AI31">
        <v>14313.6</v>
      </c>
      <c r="AJ31">
        <v>36</v>
      </c>
      <c r="AK31">
        <v>12268.800000000001</v>
      </c>
      <c r="AL31">
        <v>26</v>
      </c>
      <c r="AM31">
        <v>8860.8000000000011</v>
      </c>
      <c r="AN31">
        <v>31</v>
      </c>
      <c r="AO31">
        <v>10564.800000000001</v>
      </c>
      <c r="AP31">
        <v>35</v>
      </c>
      <c r="AQ31">
        <v>11928</v>
      </c>
      <c r="AR31">
        <v>40</v>
      </c>
      <c r="AS31">
        <v>13632</v>
      </c>
      <c r="AT31">
        <v>22</v>
      </c>
      <c r="AU31">
        <v>7497.6</v>
      </c>
      <c r="AV31">
        <v>38</v>
      </c>
      <c r="AW31">
        <v>12950.4</v>
      </c>
      <c r="AX31">
        <v>33</v>
      </c>
      <c r="AY31">
        <v>11246.4</v>
      </c>
      <c r="AZ31">
        <v>46</v>
      </c>
      <c r="BA31">
        <v>15676.800000000001</v>
      </c>
      <c r="BB31">
        <v>41</v>
      </c>
      <c r="BC31">
        <v>13972.800000000001</v>
      </c>
      <c r="BD31">
        <v>24</v>
      </c>
      <c r="BE31">
        <v>8179.2000000000007</v>
      </c>
      <c r="BF31">
        <v>31</v>
      </c>
      <c r="BG31">
        <v>10564.800000000001</v>
      </c>
      <c r="BH31">
        <v>28</v>
      </c>
      <c r="BI31">
        <v>9542.4</v>
      </c>
      <c r="BJ31">
        <v>36</v>
      </c>
      <c r="BK31">
        <v>12268.800000000001</v>
      </c>
      <c r="BL31">
        <v>44</v>
      </c>
      <c r="BM31">
        <v>14995.2</v>
      </c>
      <c r="BN31">
        <v>42</v>
      </c>
      <c r="BO31">
        <v>14313.6</v>
      </c>
      <c r="BP31">
        <v>45</v>
      </c>
      <c r="BQ31">
        <v>15336</v>
      </c>
      <c r="BR31">
        <v>38</v>
      </c>
      <c r="BS31">
        <v>12950.4</v>
      </c>
      <c r="BT31">
        <v>49</v>
      </c>
      <c r="BU31">
        <v>16699.2</v>
      </c>
      <c r="BV31">
        <v>26</v>
      </c>
      <c r="BW31">
        <v>8860.8000000000011</v>
      </c>
      <c r="BX31">
        <v>32</v>
      </c>
      <c r="BY31">
        <v>10905.6</v>
      </c>
      <c r="BZ31">
        <v>31</v>
      </c>
      <c r="CA31">
        <v>10564.800000000001</v>
      </c>
      <c r="CB31">
        <v>46</v>
      </c>
      <c r="CC31">
        <v>15676.800000000001</v>
      </c>
      <c r="CD31">
        <v>29</v>
      </c>
      <c r="CE31">
        <v>9883.2000000000007</v>
      </c>
      <c r="CF31">
        <v>41</v>
      </c>
      <c r="CG31">
        <v>13972.800000000001</v>
      </c>
      <c r="CH31">
        <v>35</v>
      </c>
      <c r="CI31">
        <v>11928</v>
      </c>
      <c r="CJ31">
        <v>40</v>
      </c>
      <c r="CK31">
        <v>13632</v>
      </c>
      <c r="CL31">
        <v>42</v>
      </c>
      <c r="CM31">
        <v>14313.6</v>
      </c>
      <c r="CN31">
        <v>32</v>
      </c>
      <c r="CO31">
        <v>10905.6</v>
      </c>
      <c r="CP31">
        <v>52</v>
      </c>
      <c r="CQ31">
        <v>17721.600000000002</v>
      </c>
      <c r="CR31">
        <v>34</v>
      </c>
      <c r="CS31">
        <v>11587.2</v>
      </c>
      <c r="CT31">
        <v>38</v>
      </c>
      <c r="CU31">
        <v>12950.4</v>
      </c>
    </row>
    <row r="32" spans="2:99" x14ac:dyDescent="0.2">
      <c r="C32" s="118" t="s">
        <v>198</v>
      </c>
      <c r="D32">
        <v>37</v>
      </c>
      <c r="E32">
        <v>31080</v>
      </c>
      <c r="F32">
        <v>28</v>
      </c>
      <c r="G32">
        <v>23520</v>
      </c>
      <c r="H32">
        <v>24</v>
      </c>
      <c r="I32">
        <v>20160</v>
      </c>
      <c r="J32">
        <v>22</v>
      </c>
      <c r="K32">
        <v>18480</v>
      </c>
      <c r="L32">
        <v>20</v>
      </c>
      <c r="M32">
        <v>16800</v>
      </c>
      <c r="N32">
        <v>40</v>
      </c>
      <c r="O32">
        <v>33600</v>
      </c>
      <c r="P32">
        <v>42</v>
      </c>
      <c r="Q32">
        <v>35280</v>
      </c>
      <c r="R32">
        <v>36</v>
      </c>
      <c r="S32">
        <v>30240</v>
      </c>
      <c r="T32">
        <v>32</v>
      </c>
      <c r="U32">
        <v>26880</v>
      </c>
      <c r="V32">
        <v>32</v>
      </c>
      <c r="W32">
        <v>26880</v>
      </c>
      <c r="X32">
        <v>27</v>
      </c>
      <c r="Y32">
        <v>22680</v>
      </c>
      <c r="Z32">
        <v>39</v>
      </c>
      <c r="AA32">
        <v>32760</v>
      </c>
      <c r="AB32">
        <v>26</v>
      </c>
      <c r="AC32">
        <v>21840</v>
      </c>
      <c r="AD32">
        <v>21</v>
      </c>
      <c r="AE32">
        <v>17640</v>
      </c>
      <c r="AF32">
        <v>30</v>
      </c>
      <c r="AG32">
        <v>25200</v>
      </c>
      <c r="AH32">
        <v>40</v>
      </c>
      <c r="AI32">
        <v>33600</v>
      </c>
      <c r="AJ32">
        <v>31</v>
      </c>
      <c r="AK32">
        <v>26040</v>
      </c>
      <c r="AL32">
        <v>26</v>
      </c>
      <c r="AM32">
        <v>21840</v>
      </c>
      <c r="AN32">
        <v>32</v>
      </c>
      <c r="AO32">
        <v>26880</v>
      </c>
      <c r="AP32">
        <v>34</v>
      </c>
      <c r="AQ32">
        <v>28560</v>
      </c>
      <c r="AR32">
        <v>33</v>
      </c>
      <c r="AS32">
        <v>27720</v>
      </c>
      <c r="AT32">
        <v>23</v>
      </c>
      <c r="AU32">
        <v>19320</v>
      </c>
      <c r="AV32">
        <v>38</v>
      </c>
      <c r="AW32">
        <v>31920</v>
      </c>
      <c r="AX32">
        <v>31</v>
      </c>
      <c r="AY32">
        <v>26040</v>
      </c>
      <c r="AZ32">
        <v>46</v>
      </c>
      <c r="BA32">
        <v>38640</v>
      </c>
      <c r="BB32">
        <v>36</v>
      </c>
      <c r="BC32">
        <v>30240</v>
      </c>
      <c r="BD32">
        <v>26</v>
      </c>
      <c r="BE32">
        <v>21840</v>
      </c>
      <c r="BF32">
        <v>28</v>
      </c>
      <c r="BG32">
        <v>23520</v>
      </c>
      <c r="BH32">
        <v>24</v>
      </c>
      <c r="BI32">
        <v>20160</v>
      </c>
      <c r="BJ32">
        <v>28</v>
      </c>
      <c r="BK32">
        <v>23520</v>
      </c>
      <c r="BL32">
        <v>41</v>
      </c>
      <c r="BM32">
        <v>34440</v>
      </c>
      <c r="BN32">
        <v>46</v>
      </c>
      <c r="BO32">
        <v>38640</v>
      </c>
      <c r="BP32">
        <v>43</v>
      </c>
      <c r="BQ32">
        <v>36120</v>
      </c>
      <c r="BR32">
        <v>41</v>
      </c>
      <c r="BS32">
        <v>34440</v>
      </c>
      <c r="BT32">
        <v>42</v>
      </c>
      <c r="BU32">
        <v>35280</v>
      </c>
      <c r="BV32">
        <v>25</v>
      </c>
      <c r="BW32">
        <v>21000</v>
      </c>
      <c r="BX32">
        <v>29</v>
      </c>
      <c r="BY32">
        <v>24360</v>
      </c>
      <c r="BZ32">
        <v>30</v>
      </c>
      <c r="CA32">
        <v>25200</v>
      </c>
      <c r="CB32">
        <v>46</v>
      </c>
      <c r="CC32">
        <v>38640</v>
      </c>
      <c r="CD32">
        <v>25</v>
      </c>
      <c r="CE32">
        <v>21000</v>
      </c>
      <c r="CF32">
        <v>39</v>
      </c>
      <c r="CG32">
        <v>32760</v>
      </c>
      <c r="CH32">
        <v>34</v>
      </c>
      <c r="CI32">
        <v>28560</v>
      </c>
      <c r="CJ32">
        <v>32</v>
      </c>
      <c r="CK32">
        <v>26880</v>
      </c>
      <c r="CL32">
        <v>45</v>
      </c>
      <c r="CM32">
        <v>37800</v>
      </c>
      <c r="CN32">
        <v>28</v>
      </c>
      <c r="CO32">
        <v>23520</v>
      </c>
      <c r="CP32">
        <v>42</v>
      </c>
      <c r="CQ32">
        <v>35280</v>
      </c>
      <c r="CR32">
        <v>34</v>
      </c>
      <c r="CS32">
        <v>28560</v>
      </c>
      <c r="CT32">
        <v>36</v>
      </c>
      <c r="CU32">
        <v>30240</v>
      </c>
    </row>
    <row r="33" spans="2:99" x14ac:dyDescent="0.2">
      <c r="C33" s="118" t="s">
        <v>199</v>
      </c>
      <c r="D33">
        <v>39</v>
      </c>
      <c r="E33">
        <v>18486</v>
      </c>
      <c r="F33">
        <v>25</v>
      </c>
      <c r="G33">
        <v>11850</v>
      </c>
      <c r="H33">
        <v>26</v>
      </c>
      <c r="I33">
        <v>12324</v>
      </c>
      <c r="J33">
        <v>22</v>
      </c>
      <c r="K33">
        <v>10428</v>
      </c>
      <c r="L33">
        <v>23</v>
      </c>
      <c r="M33">
        <v>10902</v>
      </c>
      <c r="N33">
        <v>44</v>
      </c>
      <c r="O33">
        <v>20856</v>
      </c>
      <c r="P33">
        <v>45</v>
      </c>
      <c r="Q33">
        <v>21330</v>
      </c>
      <c r="R33">
        <v>40</v>
      </c>
      <c r="S33">
        <v>18960</v>
      </c>
      <c r="T33">
        <v>36</v>
      </c>
      <c r="U33">
        <v>17064</v>
      </c>
      <c r="V33">
        <v>36</v>
      </c>
      <c r="W33">
        <v>17064</v>
      </c>
      <c r="X33">
        <v>29</v>
      </c>
      <c r="Y33">
        <v>13746</v>
      </c>
      <c r="Z33">
        <v>42</v>
      </c>
      <c r="AA33">
        <v>19908</v>
      </c>
      <c r="AB33">
        <v>32</v>
      </c>
      <c r="AC33">
        <v>15168</v>
      </c>
      <c r="AD33">
        <v>25</v>
      </c>
      <c r="AE33">
        <v>11850</v>
      </c>
      <c r="AF33">
        <v>31</v>
      </c>
      <c r="AG33">
        <v>14694</v>
      </c>
      <c r="AH33">
        <v>40</v>
      </c>
      <c r="AI33">
        <v>18960</v>
      </c>
      <c r="AJ33">
        <v>37</v>
      </c>
      <c r="AK33">
        <v>17538</v>
      </c>
      <c r="AL33">
        <v>29</v>
      </c>
      <c r="AM33">
        <v>13746</v>
      </c>
      <c r="AN33">
        <v>33</v>
      </c>
      <c r="AO33">
        <v>15642</v>
      </c>
      <c r="AP33">
        <v>36</v>
      </c>
      <c r="AQ33">
        <v>17064</v>
      </c>
      <c r="AR33">
        <v>37</v>
      </c>
      <c r="AS33">
        <v>17538</v>
      </c>
      <c r="AT33">
        <v>23</v>
      </c>
      <c r="AU33">
        <v>10902</v>
      </c>
      <c r="AV33">
        <v>40</v>
      </c>
      <c r="AW33">
        <v>18960</v>
      </c>
      <c r="AX33">
        <v>35</v>
      </c>
      <c r="AY33">
        <v>16590</v>
      </c>
      <c r="AZ33">
        <v>42</v>
      </c>
      <c r="BA33">
        <v>19908</v>
      </c>
      <c r="BB33">
        <v>38</v>
      </c>
      <c r="BC33">
        <v>18012</v>
      </c>
      <c r="BD33">
        <v>26</v>
      </c>
      <c r="BE33">
        <v>12324</v>
      </c>
      <c r="BF33">
        <v>32</v>
      </c>
      <c r="BG33">
        <v>15168</v>
      </c>
      <c r="BH33">
        <v>28</v>
      </c>
      <c r="BI33">
        <v>13272</v>
      </c>
      <c r="BJ33">
        <v>30</v>
      </c>
      <c r="BK33">
        <v>14220</v>
      </c>
      <c r="BL33">
        <v>39</v>
      </c>
      <c r="BM33">
        <v>18486</v>
      </c>
      <c r="BN33">
        <v>42</v>
      </c>
      <c r="BO33">
        <v>19908</v>
      </c>
      <c r="BP33">
        <v>44</v>
      </c>
      <c r="BQ33">
        <v>20856</v>
      </c>
      <c r="BR33">
        <v>42</v>
      </c>
      <c r="BS33">
        <v>19908</v>
      </c>
      <c r="BT33">
        <v>49</v>
      </c>
      <c r="BU33">
        <v>23226</v>
      </c>
      <c r="BV33">
        <v>26</v>
      </c>
      <c r="BW33">
        <v>12324</v>
      </c>
      <c r="BX33">
        <v>33</v>
      </c>
      <c r="BY33">
        <v>15642</v>
      </c>
      <c r="BZ33">
        <v>31</v>
      </c>
      <c r="CA33">
        <v>14694</v>
      </c>
      <c r="CB33">
        <v>46</v>
      </c>
      <c r="CC33">
        <v>21804</v>
      </c>
      <c r="CD33">
        <v>25</v>
      </c>
      <c r="CE33">
        <v>11850</v>
      </c>
      <c r="CF33">
        <v>43</v>
      </c>
      <c r="CG33">
        <v>20382</v>
      </c>
      <c r="CH33">
        <v>37</v>
      </c>
      <c r="CI33">
        <v>17538</v>
      </c>
      <c r="CJ33">
        <v>36</v>
      </c>
      <c r="CK33">
        <v>17064</v>
      </c>
      <c r="CL33">
        <v>39</v>
      </c>
      <c r="CM33">
        <v>18486</v>
      </c>
      <c r="CN33">
        <v>30</v>
      </c>
      <c r="CO33">
        <v>14220</v>
      </c>
      <c r="CP33">
        <v>52</v>
      </c>
      <c r="CQ33">
        <v>24648</v>
      </c>
      <c r="CR33">
        <v>35</v>
      </c>
      <c r="CS33">
        <v>16590</v>
      </c>
      <c r="CT33">
        <v>44</v>
      </c>
      <c r="CU33">
        <v>20856</v>
      </c>
    </row>
    <row r="34" spans="2:99" x14ac:dyDescent="0.2">
      <c r="C34" s="118" t="s">
        <v>200</v>
      </c>
      <c r="D34">
        <v>44</v>
      </c>
      <c r="E34">
        <v>24129.599999999999</v>
      </c>
      <c r="F34">
        <v>27</v>
      </c>
      <c r="G34">
        <v>14806.8</v>
      </c>
      <c r="H34">
        <v>27</v>
      </c>
      <c r="I34">
        <v>14806.8</v>
      </c>
      <c r="J34">
        <v>21</v>
      </c>
      <c r="K34">
        <v>11516.4</v>
      </c>
      <c r="L34">
        <v>23</v>
      </c>
      <c r="M34">
        <v>12613.199999999999</v>
      </c>
      <c r="N34">
        <v>41</v>
      </c>
      <c r="O34">
        <v>22484.399999999998</v>
      </c>
      <c r="P34">
        <v>42</v>
      </c>
      <c r="Q34">
        <v>23032.799999999999</v>
      </c>
      <c r="R34">
        <v>36</v>
      </c>
      <c r="S34">
        <v>19742.399999999998</v>
      </c>
      <c r="T34">
        <v>33</v>
      </c>
      <c r="U34">
        <v>18097.2</v>
      </c>
      <c r="V34">
        <v>33</v>
      </c>
      <c r="W34">
        <v>18097.2</v>
      </c>
      <c r="X34">
        <v>25</v>
      </c>
      <c r="Y34">
        <v>13710</v>
      </c>
      <c r="Z34">
        <v>44</v>
      </c>
      <c r="AA34">
        <v>24129.599999999999</v>
      </c>
      <c r="AB34">
        <v>26</v>
      </c>
      <c r="AC34">
        <v>14258.4</v>
      </c>
      <c r="AD34">
        <v>23</v>
      </c>
      <c r="AE34">
        <v>12613.199999999999</v>
      </c>
      <c r="AF34">
        <v>34</v>
      </c>
      <c r="AG34">
        <v>18645.599999999999</v>
      </c>
      <c r="AH34">
        <v>37</v>
      </c>
      <c r="AI34">
        <v>20290.8</v>
      </c>
      <c r="AJ34">
        <v>34</v>
      </c>
      <c r="AK34">
        <v>18645.599999999999</v>
      </c>
      <c r="AL34">
        <v>30</v>
      </c>
      <c r="AM34">
        <v>16452</v>
      </c>
      <c r="AN34">
        <v>30</v>
      </c>
      <c r="AO34">
        <v>16452</v>
      </c>
      <c r="AP34">
        <v>36</v>
      </c>
      <c r="AQ34">
        <v>19742.399999999998</v>
      </c>
      <c r="AR34">
        <v>35</v>
      </c>
      <c r="AS34">
        <v>19194</v>
      </c>
      <c r="AT34">
        <v>25</v>
      </c>
      <c r="AU34">
        <v>13710</v>
      </c>
      <c r="AV34">
        <v>39</v>
      </c>
      <c r="AW34">
        <v>21387.599999999999</v>
      </c>
      <c r="AX34">
        <v>33</v>
      </c>
      <c r="AY34">
        <v>18097.2</v>
      </c>
      <c r="AZ34">
        <v>43</v>
      </c>
      <c r="BA34">
        <v>23581.200000000001</v>
      </c>
      <c r="BB34">
        <v>35</v>
      </c>
      <c r="BC34">
        <v>19194</v>
      </c>
      <c r="BD34">
        <v>25</v>
      </c>
      <c r="BE34">
        <v>13710</v>
      </c>
      <c r="BF34">
        <v>33</v>
      </c>
      <c r="BG34">
        <v>18097.2</v>
      </c>
      <c r="BH34">
        <v>25</v>
      </c>
      <c r="BI34">
        <v>13710</v>
      </c>
      <c r="BJ34">
        <v>32</v>
      </c>
      <c r="BK34">
        <v>17548.8</v>
      </c>
      <c r="BL34">
        <v>44</v>
      </c>
      <c r="BM34">
        <v>24129.599999999999</v>
      </c>
      <c r="BN34">
        <v>45</v>
      </c>
      <c r="BO34">
        <v>24678</v>
      </c>
      <c r="BP34">
        <v>39</v>
      </c>
      <c r="BQ34">
        <v>21387.599999999999</v>
      </c>
      <c r="BR34">
        <v>40</v>
      </c>
      <c r="BS34">
        <v>21936</v>
      </c>
      <c r="BT34">
        <v>48</v>
      </c>
      <c r="BU34">
        <v>26323.199999999997</v>
      </c>
      <c r="BV34">
        <v>27</v>
      </c>
      <c r="BW34">
        <v>14806.8</v>
      </c>
      <c r="BX34">
        <v>33</v>
      </c>
      <c r="BY34">
        <v>18097.2</v>
      </c>
      <c r="BZ34">
        <v>29</v>
      </c>
      <c r="CA34">
        <v>15903.599999999999</v>
      </c>
      <c r="CB34">
        <v>47</v>
      </c>
      <c r="CC34">
        <v>25774.799999999999</v>
      </c>
      <c r="CD34">
        <v>29</v>
      </c>
      <c r="CE34">
        <v>15903.599999999999</v>
      </c>
      <c r="CF34">
        <v>40</v>
      </c>
      <c r="CG34">
        <v>21936</v>
      </c>
      <c r="CH34">
        <v>32</v>
      </c>
      <c r="CI34">
        <v>17548.8</v>
      </c>
      <c r="CJ34">
        <v>38</v>
      </c>
      <c r="CK34">
        <v>20839.2</v>
      </c>
      <c r="CL34">
        <v>40</v>
      </c>
      <c r="CM34">
        <v>21936</v>
      </c>
      <c r="CN34">
        <v>31</v>
      </c>
      <c r="CO34">
        <v>17000.399999999998</v>
      </c>
      <c r="CP34">
        <v>47</v>
      </c>
      <c r="CQ34">
        <v>25774.799999999999</v>
      </c>
      <c r="CR34">
        <v>36</v>
      </c>
      <c r="CS34">
        <v>19742.399999999998</v>
      </c>
      <c r="CT34">
        <v>41</v>
      </c>
      <c r="CU34">
        <v>22484.399999999998</v>
      </c>
    </row>
    <row r="35" spans="2:99" x14ac:dyDescent="0.2">
      <c r="C35" s="118" t="s">
        <v>201</v>
      </c>
      <c r="D35">
        <v>42</v>
      </c>
      <c r="E35">
        <v>21117.599999999995</v>
      </c>
      <c r="F35">
        <v>26</v>
      </c>
      <c r="G35">
        <v>13072.799999999997</v>
      </c>
      <c r="H35">
        <v>28</v>
      </c>
      <c r="I35">
        <v>14078.399999999998</v>
      </c>
      <c r="J35">
        <v>25</v>
      </c>
      <c r="K35">
        <v>12569.999999999998</v>
      </c>
      <c r="L35">
        <v>22</v>
      </c>
      <c r="M35">
        <v>11061.599999999999</v>
      </c>
      <c r="N35">
        <v>42</v>
      </c>
      <c r="O35">
        <v>21117.599999999995</v>
      </c>
      <c r="P35">
        <v>42</v>
      </c>
      <c r="Q35">
        <v>21117.599999999995</v>
      </c>
      <c r="R35">
        <v>36</v>
      </c>
      <c r="S35">
        <v>18100.799999999996</v>
      </c>
      <c r="T35">
        <v>32</v>
      </c>
      <c r="U35">
        <v>16089.599999999997</v>
      </c>
      <c r="V35">
        <v>36</v>
      </c>
      <c r="W35">
        <v>18100.799999999996</v>
      </c>
      <c r="X35">
        <v>29</v>
      </c>
      <c r="Y35">
        <v>14581.199999999997</v>
      </c>
      <c r="Z35">
        <v>39</v>
      </c>
      <c r="AA35">
        <v>19609.199999999997</v>
      </c>
      <c r="AB35">
        <v>28</v>
      </c>
      <c r="AC35">
        <v>14078.399999999998</v>
      </c>
      <c r="AD35">
        <v>23</v>
      </c>
      <c r="AE35">
        <v>11564.399999999998</v>
      </c>
      <c r="AF35">
        <v>32</v>
      </c>
      <c r="AG35">
        <v>16089.599999999997</v>
      </c>
      <c r="AH35">
        <v>36</v>
      </c>
      <c r="AI35">
        <v>18100.799999999996</v>
      </c>
      <c r="AJ35">
        <v>32</v>
      </c>
      <c r="AK35">
        <v>16089.599999999997</v>
      </c>
      <c r="AL35">
        <v>28</v>
      </c>
      <c r="AM35">
        <v>14078.399999999998</v>
      </c>
      <c r="AN35">
        <v>29</v>
      </c>
      <c r="AO35">
        <v>14581.199999999997</v>
      </c>
      <c r="AP35">
        <v>34</v>
      </c>
      <c r="AQ35">
        <v>17095.199999999997</v>
      </c>
      <c r="AR35">
        <v>34</v>
      </c>
      <c r="AS35">
        <v>17095.199999999997</v>
      </c>
      <c r="AT35">
        <v>22</v>
      </c>
      <c r="AU35">
        <v>11061.599999999999</v>
      </c>
      <c r="AV35">
        <v>43</v>
      </c>
      <c r="AW35">
        <v>21620.399999999994</v>
      </c>
      <c r="AX35">
        <v>31</v>
      </c>
      <c r="AY35">
        <v>15586.799999999997</v>
      </c>
      <c r="AZ35">
        <v>49</v>
      </c>
      <c r="BA35">
        <v>24637.199999999993</v>
      </c>
      <c r="BB35">
        <v>35</v>
      </c>
      <c r="BC35">
        <v>17597.999999999996</v>
      </c>
      <c r="BD35">
        <v>26</v>
      </c>
      <c r="BE35">
        <v>13072.799999999997</v>
      </c>
      <c r="BF35">
        <v>28</v>
      </c>
      <c r="BG35">
        <v>14078.399999999998</v>
      </c>
      <c r="BH35">
        <v>27</v>
      </c>
      <c r="BI35">
        <v>13575.599999999997</v>
      </c>
      <c r="BJ35">
        <v>33</v>
      </c>
      <c r="BK35">
        <v>16592.399999999998</v>
      </c>
      <c r="BL35">
        <v>45</v>
      </c>
      <c r="BM35">
        <v>22625.999999999996</v>
      </c>
      <c r="BN35">
        <v>45</v>
      </c>
      <c r="BO35">
        <v>22625.999999999996</v>
      </c>
      <c r="BP35">
        <v>46</v>
      </c>
      <c r="BQ35">
        <v>23128.799999999996</v>
      </c>
      <c r="BR35">
        <v>42</v>
      </c>
      <c r="BS35">
        <v>21117.599999999995</v>
      </c>
      <c r="BT35">
        <v>47</v>
      </c>
      <c r="BU35">
        <v>23631.599999999995</v>
      </c>
      <c r="BV35">
        <v>26</v>
      </c>
      <c r="BW35">
        <v>13072.799999999997</v>
      </c>
      <c r="BX35">
        <v>32</v>
      </c>
      <c r="BY35">
        <v>16089.599999999997</v>
      </c>
      <c r="BZ35">
        <v>35</v>
      </c>
      <c r="CA35">
        <v>17597.999999999996</v>
      </c>
      <c r="CB35">
        <v>42</v>
      </c>
      <c r="CC35">
        <v>21117.599999999995</v>
      </c>
      <c r="CD35">
        <v>27</v>
      </c>
      <c r="CE35">
        <v>13575.599999999997</v>
      </c>
      <c r="CF35">
        <v>42</v>
      </c>
      <c r="CG35">
        <v>21117.599999999995</v>
      </c>
      <c r="CH35">
        <v>32</v>
      </c>
      <c r="CI35">
        <v>16089.599999999997</v>
      </c>
      <c r="CJ35">
        <v>38</v>
      </c>
      <c r="CK35">
        <v>19106.399999999998</v>
      </c>
      <c r="CL35">
        <v>41</v>
      </c>
      <c r="CM35">
        <v>20614.799999999996</v>
      </c>
      <c r="CN35">
        <v>32</v>
      </c>
      <c r="CO35">
        <v>16089.599999999997</v>
      </c>
      <c r="CP35">
        <v>43</v>
      </c>
      <c r="CQ35">
        <v>21620.399999999994</v>
      </c>
      <c r="CR35">
        <v>34</v>
      </c>
      <c r="CS35">
        <v>17095.199999999997</v>
      </c>
      <c r="CT35">
        <v>41</v>
      </c>
      <c r="CU35">
        <v>20614.799999999996</v>
      </c>
    </row>
    <row r="36" spans="2:99" x14ac:dyDescent="0.2">
      <c r="C36" s="118" t="s">
        <v>202</v>
      </c>
      <c r="D36">
        <v>39</v>
      </c>
      <c r="E36">
        <v>29671.199999999997</v>
      </c>
      <c r="F36">
        <v>26</v>
      </c>
      <c r="G36">
        <v>19780.8</v>
      </c>
      <c r="H36">
        <v>27</v>
      </c>
      <c r="I36">
        <v>20541.599999999999</v>
      </c>
      <c r="J36">
        <v>22</v>
      </c>
      <c r="K36">
        <v>16737.599999999999</v>
      </c>
      <c r="L36">
        <v>21</v>
      </c>
      <c r="M36">
        <v>15976.8</v>
      </c>
      <c r="N36">
        <v>42</v>
      </c>
      <c r="O36">
        <v>31953.599999999999</v>
      </c>
      <c r="P36">
        <v>37</v>
      </c>
      <c r="Q36">
        <v>28149.599999999999</v>
      </c>
      <c r="R36">
        <v>38</v>
      </c>
      <c r="S36">
        <v>28910.399999999998</v>
      </c>
      <c r="T36">
        <v>30</v>
      </c>
      <c r="U36">
        <v>22824</v>
      </c>
      <c r="V36">
        <v>29</v>
      </c>
      <c r="W36">
        <v>22063.199999999997</v>
      </c>
      <c r="X36">
        <v>29</v>
      </c>
      <c r="Y36">
        <v>22063.199999999997</v>
      </c>
      <c r="Z36">
        <v>42</v>
      </c>
      <c r="AA36">
        <v>31953.599999999999</v>
      </c>
      <c r="AB36">
        <v>28</v>
      </c>
      <c r="AC36">
        <v>21302.399999999998</v>
      </c>
      <c r="AD36">
        <v>23</v>
      </c>
      <c r="AE36">
        <v>17498.399999999998</v>
      </c>
      <c r="AF36">
        <v>33</v>
      </c>
      <c r="AG36">
        <v>25106.399999999998</v>
      </c>
      <c r="AH36">
        <v>36</v>
      </c>
      <c r="AI36">
        <v>27388.799999999999</v>
      </c>
      <c r="AJ36">
        <v>36</v>
      </c>
      <c r="AK36">
        <v>27388.799999999999</v>
      </c>
      <c r="AL36">
        <v>28</v>
      </c>
      <c r="AM36">
        <v>21302.399999999998</v>
      </c>
      <c r="AN36">
        <v>29</v>
      </c>
      <c r="AO36">
        <v>22063.199999999997</v>
      </c>
      <c r="AP36">
        <v>33</v>
      </c>
      <c r="AQ36">
        <v>25106.399999999998</v>
      </c>
      <c r="AR36">
        <v>34</v>
      </c>
      <c r="AS36">
        <v>25867.199999999997</v>
      </c>
      <c r="AT36">
        <v>21</v>
      </c>
      <c r="AU36">
        <v>15976.8</v>
      </c>
      <c r="AV36">
        <v>39</v>
      </c>
      <c r="AW36">
        <v>29671.199999999997</v>
      </c>
      <c r="AX36">
        <v>30</v>
      </c>
      <c r="AY36">
        <v>22824</v>
      </c>
      <c r="AZ36">
        <v>42</v>
      </c>
      <c r="BA36">
        <v>31953.599999999999</v>
      </c>
      <c r="BB36">
        <v>40</v>
      </c>
      <c r="BC36">
        <v>30432</v>
      </c>
      <c r="BD36">
        <v>25</v>
      </c>
      <c r="BE36">
        <v>19020</v>
      </c>
      <c r="BF36">
        <v>33</v>
      </c>
      <c r="BG36">
        <v>25106.399999999998</v>
      </c>
      <c r="BH36">
        <v>28</v>
      </c>
      <c r="BI36">
        <v>21302.399999999998</v>
      </c>
      <c r="BJ36">
        <v>32</v>
      </c>
      <c r="BK36">
        <v>24345.599999999999</v>
      </c>
      <c r="BL36">
        <v>38</v>
      </c>
      <c r="BM36">
        <v>28910.399999999998</v>
      </c>
      <c r="BN36">
        <v>42</v>
      </c>
      <c r="BO36">
        <v>31953.599999999999</v>
      </c>
      <c r="BP36">
        <v>40</v>
      </c>
      <c r="BQ36">
        <v>30432</v>
      </c>
      <c r="BR36">
        <v>35</v>
      </c>
      <c r="BS36">
        <v>26628</v>
      </c>
      <c r="BT36">
        <v>43</v>
      </c>
      <c r="BU36">
        <v>32714.399999999998</v>
      </c>
      <c r="BV36">
        <v>25</v>
      </c>
      <c r="BW36">
        <v>19020</v>
      </c>
      <c r="BX36">
        <v>33</v>
      </c>
      <c r="BY36">
        <v>25106.399999999998</v>
      </c>
      <c r="BZ36">
        <v>30</v>
      </c>
      <c r="CA36">
        <v>22824</v>
      </c>
      <c r="CB36">
        <v>43</v>
      </c>
      <c r="CC36">
        <v>32714.399999999998</v>
      </c>
      <c r="CD36">
        <v>27</v>
      </c>
      <c r="CE36">
        <v>20541.599999999999</v>
      </c>
      <c r="CF36">
        <v>42</v>
      </c>
      <c r="CG36">
        <v>31953.599999999999</v>
      </c>
      <c r="CH36">
        <v>32</v>
      </c>
      <c r="CI36">
        <v>24345.599999999999</v>
      </c>
      <c r="CJ36">
        <v>38</v>
      </c>
      <c r="CK36">
        <v>28910.399999999998</v>
      </c>
      <c r="CL36">
        <v>42</v>
      </c>
      <c r="CM36">
        <v>31953.599999999999</v>
      </c>
      <c r="CN36">
        <v>30</v>
      </c>
      <c r="CO36">
        <v>22824</v>
      </c>
      <c r="CP36">
        <v>48</v>
      </c>
      <c r="CQ36">
        <v>36518.399999999994</v>
      </c>
      <c r="CR36">
        <v>35</v>
      </c>
      <c r="CS36">
        <v>26628</v>
      </c>
      <c r="CT36">
        <v>39</v>
      </c>
      <c r="CU36">
        <v>29671.199999999997</v>
      </c>
    </row>
    <row r="37" spans="2:99" x14ac:dyDescent="0.2">
      <c r="B37" s="118" t="s">
        <v>128</v>
      </c>
      <c r="C37" s="118" t="s">
        <v>203</v>
      </c>
      <c r="D37">
        <v>10</v>
      </c>
      <c r="E37">
        <v>8604</v>
      </c>
      <c r="F37">
        <v>12</v>
      </c>
      <c r="G37">
        <v>10324.799999999999</v>
      </c>
      <c r="H37">
        <v>16</v>
      </c>
      <c r="I37">
        <v>13766.4</v>
      </c>
      <c r="J37">
        <v>11</v>
      </c>
      <c r="K37">
        <v>9464.4</v>
      </c>
      <c r="L37">
        <v>20</v>
      </c>
      <c r="M37">
        <v>17208</v>
      </c>
      <c r="N37">
        <v>14</v>
      </c>
      <c r="O37">
        <v>12045.6</v>
      </c>
      <c r="P37">
        <v>11</v>
      </c>
      <c r="Q37">
        <v>9464.4</v>
      </c>
      <c r="R37">
        <v>16</v>
      </c>
      <c r="S37">
        <v>13766.4</v>
      </c>
      <c r="T37">
        <v>19</v>
      </c>
      <c r="U37">
        <v>16347.6</v>
      </c>
      <c r="V37">
        <v>12</v>
      </c>
      <c r="W37">
        <v>10324.799999999999</v>
      </c>
      <c r="X37">
        <v>20</v>
      </c>
      <c r="Y37">
        <v>17208</v>
      </c>
      <c r="Z37">
        <v>18</v>
      </c>
      <c r="AA37">
        <v>15487.199999999999</v>
      </c>
      <c r="AB37">
        <v>12</v>
      </c>
      <c r="AC37">
        <v>10324.799999999999</v>
      </c>
      <c r="AD37">
        <v>13</v>
      </c>
      <c r="AE37">
        <v>11185.199999999999</v>
      </c>
      <c r="AF37">
        <v>14</v>
      </c>
      <c r="AG37">
        <v>12045.6</v>
      </c>
      <c r="AH37">
        <v>13</v>
      </c>
      <c r="AI37">
        <v>11185.199999999999</v>
      </c>
      <c r="AJ37">
        <v>17</v>
      </c>
      <c r="AK37">
        <v>14626.8</v>
      </c>
      <c r="AL37">
        <v>15</v>
      </c>
      <c r="AM37">
        <v>12906</v>
      </c>
      <c r="AN37">
        <v>11</v>
      </c>
      <c r="AO37">
        <v>9464.4</v>
      </c>
      <c r="AP37">
        <v>16</v>
      </c>
      <c r="AQ37">
        <v>13766.4</v>
      </c>
      <c r="AR37">
        <v>17</v>
      </c>
      <c r="AS37">
        <v>14626.8</v>
      </c>
      <c r="AT37">
        <v>16</v>
      </c>
      <c r="AU37">
        <v>13766.4</v>
      </c>
      <c r="AV37">
        <v>17</v>
      </c>
      <c r="AW37">
        <v>14626.8</v>
      </c>
      <c r="AX37">
        <v>18</v>
      </c>
      <c r="AY37">
        <v>15487.199999999999</v>
      </c>
      <c r="AZ37">
        <v>18</v>
      </c>
      <c r="BA37">
        <v>15487.199999999999</v>
      </c>
      <c r="BB37">
        <v>12</v>
      </c>
      <c r="BC37">
        <v>10324.799999999999</v>
      </c>
      <c r="BD37">
        <v>20</v>
      </c>
      <c r="BE37">
        <v>17208</v>
      </c>
      <c r="BF37">
        <v>13</v>
      </c>
      <c r="BG37">
        <v>11185.199999999999</v>
      </c>
      <c r="BH37">
        <v>11</v>
      </c>
      <c r="BI37">
        <v>9464.4</v>
      </c>
      <c r="BJ37">
        <v>12</v>
      </c>
      <c r="BK37">
        <v>10324.799999999999</v>
      </c>
      <c r="BL37">
        <v>12</v>
      </c>
      <c r="BM37">
        <v>10324.799999999999</v>
      </c>
      <c r="BN37">
        <v>18</v>
      </c>
      <c r="BO37">
        <v>15487.199999999999</v>
      </c>
      <c r="BP37">
        <v>10</v>
      </c>
      <c r="BQ37">
        <v>8604</v>
      </c>
      <c r="BR37">
        <v>20</v>
      </c>
      <c r="BS37">
        <v>17208</v>
      </c>
      <c r="BT37">
        <v>11</v>
      </c>
      <c r="BU37">
        <v>9464.4</v>
      </c>
      <c r="BV37">
        <v>16</v>
      </c>
      <c r="BW37">
        <v>13766.4</v>
      </c>
      <c r="BX37">
        <v>15</v>
      </c>
      <c r="BY37">
        <v>12906</v>
      </c>
      <c r="BZ37">
        <v>16</v>
      </c>
      <c r="CA37">
        <v>13766.4</v>
      </c>
      <c r="CB37">
        <v>12</v>
      </c>
      <c r="CC37">
        <v>10324.799999999999</v>
      </c>
      <c r="CD37">
        <v>18</v>
      </c>
      <c r="CE37">
        <v>15487.199999999999</v>
      </c>
      <c r="CF37">
        <v>15</v>
      </c>
      <c r="CG37">
        <v>12906</v>
      </c>
      <c r="CH37">
        <v>13</v>
      </c>
      <c r="CI37">
        <v>11185.199999999999</v>
      </c>
      <c r="CJ37">
        <v>20</v>
      </c>
      <c r="CK37">
        <v>17208</v>
      </c>
      <c r="CL37">
        <v>21</v>
      </c>
      <c r="CM37">
        <v>18068.399999999998</v>
      </c>
      <c r="CN37">
        <v>12</v>
      </c>
      <c r="CO37">
        <v>10324.799999999999</v>
      </c>
      <c r="CP37">
        <v>20</v>
      </c>
      <c r="CQ37">
        <v>17208</v>
      </c>
      <c r="CR37">
        <v>15</v>
      </c>
      <c r="CS37">
        <v>12906</v>
      </c>
      <c r="CT37">
        <v>14</v>
      </c>
      <c r="CU37">
        <v>12045.6</v>
      </c>
    </row>
    <row r="38" spans="2:99" x14ac:dyDescent="0.2">
      <c r="C38" s="118" t="s">
        <v>204</v>
      </c>
      <c r="D38">
        <v>11</v>
      </c>
      <c r="E38">
        <v>13662</v>
      </c>
      <c r="F38">
        <v>12</v>
      </c>
      <c r="G38">
        <v>14904</v>
      </c>
      <c r="H38">
        <v>15</v>
      </c>
      <c r="I38">
        <v>18630</v>
      </c>
      <c r="J38">
        <v>12</v>
      </c>
      <c r="K38">
        <v>14904</v>
      </c>
      <c r="L38">
        <v>18</v>
      </c>
      <c r="M38">
        <v>22356</v>
      </c>
      <c r="N38">
        <v>12</v>
      </c>
      <c r="O38">
        <v>14904</v>
      </c>
      <c r="P38">
        <v>10</v>
      </c>
      <c r="Q38">
        <v>12420</v>
      </c>
      <c r="R38">
        <v>17</v>
      </c>
      <c r="S38">
        <v>21114</v>
      </c>
      <c r="T38">
        <v>16</v>
      </c>
      <c r="U38">
        <v>19872</v>
      </c>
      <c r="V38">
        <v>10</v>
      </c>
      <c r="W38">
        <v>12420</v>
      </c>
      <c r="X38">
        <v>18</v>
      </c>
      <c r="Y38">
        <v>22356</v>
      </c>
      <c r="Z38">
        <v>18</v>
      </c>
      <c r="AA38">
        <v>22356</v>
      </c>
      <c r="AB38">
        <v>11</v>
      </c>
      <c r="AC38">
        <v>13662</v>
      </c>
      <c r="AD38">
        <v>12</v>
      </c>
      <c r="AE38">
        <v>14904</v>
      </c>
      <c r="AF38">
        <v>14</v>
      </c>
      <c r="AG38">
        <v>17388</v>
      </c>
      <c r="AH38">
        <v>12</v>
      </c>
      <c r="AI38">
        <v>14904</v>
      </c>
      <c r="AJ38">
        <v>19</v>
      </c>
      <c r="AK38">
        <v>23598</v>
      </c>
      <c r="AL38">
        <v>16</v>
      </c>
      <c r="AM38">
        <v>19872</v>
      </c>
      <c r="AN38">
        <v>10</v>
      </c>
      <c r="AO38">
        <v>12420</v>
      </c>
      <c r="AP38">
        <v>13</v>
      </c>
      <c r="AQ38">
        <v>16146</v>
      </c>
      <c r="AR38">
        <v>17</v>
      </c>
      <c r="AS38">
        <v>21114</v>
      </c>
      <c r="AT38">
        <v>14</v>
      </c>
      <c r="AU38">
        <v>17388</v>
      </c>
      <c r="AV38">
        <v>17</v>
      </c>
      <c r="AW38">
        <v>21114</v>
      </c>
      <c r="AX38">
        <v>18</v>
      </c>
      <c r="AY38">
        <v>22356</v>
      </c>
      <c r="AZ38">
        <v>17</v>
      </c>
      <c r="BA38">
        <v>21114</v>
      </c>
      <c r="BB38">
        <v>12</v>
      </c>
      <c r="BC38">
        <v>14904</v>
      </c>
      <c r="BD38">
        <v>18</v>
      </c>
      <c r="BE38">
        <v>22356</v>
      </c>
      <c r="BF38">
        <v>12</v>
      </c>
      <c r="BG38">
        <v>14904</v>
      </c>
      <c r="BH38">
        <v>10</v>
      </c>
      <c r="BI38">
        <v>12420</v>
      </c>
      <c r="BJ38">
        <v>12</v>
      </c>
      <c r="BK38">
        <v>14904</v>
      </c>
      <c r="BL38">
        <v>13</v>
      </c>
      <c r="BM38">
        <v>16146</v>
      </c>
      <c r="BN38">
        <v>18</v>
      </c>
      <c r="BO38">
        <v>22356</v>
      </c>
      <c r="BP38">
        <v>10</v>
      </c>
      <c r="BQ38">
        <v>12420</v>
      </c>
      <c r="BR38">
        <v>19</v>
      </c>
      <c r="BS38">
        <v>23598</v>
      </c>
      <c r="BT38">
        <v>12</v>
      </c>
      <c r="BU38">
        <v>14904</v>
      </c>
      <c r="BV38">
        <v>15</v>
      </c>
      <c r="BW38">
        <v>18630</v>
      </c>
      <c r="BX38">
        <v>13</v>
      </c>
      <c r="BY38">
        <v>16146</v>
      </c>
      <c r="BZ38">
        <v>15</v>
      </c>
      <c r="CA38">
        <v>18630</v>
      </c>
      <c r="CB38">
        <v>10</v>
      </c>
      <c r="CC38">
        <v>12420</v>
      </c>
      <c r="CD38">
        <v>18</v>
      </c>
      <c r="CE38">
        <v>22356</v>
      </c>
      <c r="CF38">
        <v>16</v>
      </c>
      <c r="CG38">
        <v>19872</v>
      </c>
      <c r="CH38">
        <v>13</v>
      </c>
      <c r="CI38">
        <v>16146</v>
      </c>
      <c r="CJ38">
        <v>17</v>
      </c>
      <c r="CK38">
        <v>21114</v>
      </c>
      <c r="CL38">
        <v>18</v>
      </c>
      <c r="CM38">
        <v>22356</v>
      </c>
      <c r="CN38">
        <v>12</v>
      </c>
      <c r="CO38">
        <v>14904</v>
      </c>
      <c r="CP38">
        <v>20</v>
      </c>
      <c r="CQ38">
        <v>24840</v>
      </c>
      <c r="CR38">
        <v>14</v>
      </c>
      <c r="CS38">
        <v>17388</v>
      </c>
      <c r="CT38">
        <v>13</v>
      </c>
      <c r="CU38">
        <v>16146</v>
      </c>
    </row>
    <row r="39" spans="2:99" x14ac:dyDescent="0.2">
      <c r="C39" s="118" t="s">
        <v>205</v>
      </c>
      <c r="D39">
        <v>11</v>
      </c>
      <c r="E39">
        <v>15655.2</v>
      </c>
      <c r="F39">
        <v>13</v>
      </c>
      <c r="G39">
        <v>18501.600000000002</v>
      </c>
      <c r="H39">
        <v>16</v>
      </c>
      <c r="I39">
        <v>22771.200000000001</v>
      </c>
      <c r="J39">
        <v>11</v>
      </c>
      <c r="K39">
        <v>15655.2</v>
      </c>
      <c r="L39">
        <v>18</v>
      </c>
      <c r="M39">
        <v>25617.600000000002</v>
      </c>
      <c r="N39">
        <v>12</v>
      </c>
      <c r="O39">
        <v>17078.400000000001</v>
      </c>
      <c r="P39">
        <v>9</v>
      </c>
      <c r="Q39">
        <v>12808.800000000001</v>
      </c>
      <c r="R39">
        <v>15</v>
      </c>
      <c r="S39">
        <v>21348</v>
      </c>
      <c r="T39">
        <v>17</v>
      </c>
      <c r="U39">
        <v>24194.400000000001</v>
      </c>
      <c r="V39">
        <v>10</v>
      </c>
      <c r="W39">
        <v>14232</v>
      </c>
      <c r="X39">
        <v>16</v>
      </c>
      <c r="Y39">
        <v>22771.200000000001</v>
      </c>
      <c r="Z39">
        <v>19</v>
      </c>
      <c r="AA39">
        <v>27040.799999999999</v>
      </c>
      <c r="AB39">
        <v>11</v>
      </c>
      <c r="AC39">
        <v>15655.2</v>
      </c>
      <c r="AD39">
        <v>12</v>
      </c>
      <c r="AE39">
        <v>17078.400000000001</v>
      </c>
      <c r="AF39">
        <v>12</v>
      </c>
      <c r="AG39">
        <v>17078.400000000001</v>
      </c>
      <c r="AH39">
        <v>11</v>
      </c>
      <c r="AI39">
        <v>15655.2</v>
      </c>
      <c r="AJ39">
        <v>17</v>
      </c>
      <c r="AK39">
        <v>24194.400000000001</v>
      </c>
      <c r="AL39">
        <v>15</v>
      </c>
      <c r="AM39">
        <v>21348</v>
      </c>
      <c r="AN39">
        <v>10</v>
      </c>
      <c r="AO39">
        <v>14232</v>
      </c>
      <c r="AP39">
        <v>14</v>
      </c>
      <c r="AQ39">
        <v>19924.8</v>
      </c>
      <c r="AR39">
        <v>18</v>
      </c>
      <c r="AS39">
        <v>25617.600000000002</v>
      </c>
      <c r="AT39">
        <v>15</v>
      </c>
      <c r="AU39">
        <v>21348</v>
      </c>
      <c r="AV39">
        <v>17</v>
      </c>
      <c r="AW39">
        <v>24194.400000000001</v>
      </c>
      <c r="AX39">
        <v>20</v>
      </c>
      <c r="AY39">
        <v>28464</v>
      </c>
      <c r="AZ39">
        <v>19</v>
      </c>
      <c r="BA39">
        <v>27040.799999999999</v>
      </c>
      <c r="BB39">
        <v>12</v>
      </c>
      <c r="BC39">
        <v>17078.400000000001</v>
      </c>
      <c r="BD39">
        <v>19</v>
      </c>
      <c r="BE39">
        <v>27040.799999999999</v>
      </c>
      <c r="BF39">
        <v>11</v>
      </c>
      <c r="BG39">
        <v>15655.2</v>
      </c>
      <c r="BH39">
        <v>11</v>
      </c>
      <c r="BI39">
        <v>15655.2</v>
      </c>
      <c r="BJ39">
        <v>11</v>
      </c>
      <c r="BK39">
        <v>15655.2</v>
      </c>
      <c r="BL39">
        <v>12</v>
      </c>
      <c r="BM39">
        <v>17078.400000000001</v>
      </c>
      <c r="BN39">
        <v>18</v>
      </c>
      <c r="BO39">
        <v>25617.600000000002</v>
      </c>
      <c r="BP39">
        <v>10</v>
      </c>
      <c r="BQ39">
        <v>14232</v>
      </c>
      <c r="BR39">
        <v>19</v>
      </c>
      <c r="BS39">
        <v>27040.799999999999</v>
      </c>
      <c r="BT39">
        <v>12</v>
      </c>
      <c r="BU39">
        <v>17078.400000000001</v>
      </c>
      <c r="BV39">
        <v>16</v>
      </c>
      <c r="BW39">
        <v>22771.200000000001</v>
      </c>
      <c r="BX39">
        <v>13</v>
      </c>
      <c r="BY39">
        <v>18501.600000000002</v>
      </c>
      <c r="BZ39">
        <v>14</v>
      </c>
      <c r="CA39">
        <v>19924.8</v>
      </c>
      <c r="CB39">
        <v>10</v>
      </c>
      <c r="CC39">
        <v>14232</v>
      </c>
      <c r="CD39">
        <v>16</v>
      </c>
      <c r="CE39">
        <v>22771.200000000001</v>
      </c>
      <c r="CF39">
        <v>16</v>
      </c>
      <c r="CG39">
        <v>22771.200000000001</v>
      </c>
      <c r="CH39">
        <v>14</v>
      </c>
      <c r="CI39">
        <v>19924.8</v>
      </c>
      <c r="CJ39">
        <v>18</v>
      </c>
      <c r="CK39">
        <v>25617.600000000002</v>
      </c>
      <c r="CL39">
        <v>18</v>
      </c>
      <c r="CM39">
        <v>25617.600000000002</v>
      </c>
      <c r="CN39">
        <v>10</v>
      </c>
      <c r="CO39">
        <v>14232</v>
      </c>
      <c r="CP39">
        <v>20</v>
      </c>
      <c r="CQ39">
        <v>28464</v>
      </c>
      <c r="CR39">
        <v>12</v>
      </c>
      <c r="CS39">
        <v>17078.400000000001</v>
      </c>
      <c r="CT39">
        <v>12</v>
      </c>
      <c r="CU39">
        <v>17078.400000000001</v>
      </c>
    </row>
    <row r="40" spans="2:99" x14ac:dyDescent="0.2">
      <c r="C40" s="118" t="s">
        <v>206</v>
      </c>
      <c r="D40">
        <v>10</v>
      </c>
      <c r="E40">
        <v>7248</v>
      </c>
      <c r="F40">
        <v>13</v>
      </c>
      <c r="G40">
        <v>9422.4</v>
      </c>
      <c r="H40">
        <v>15</v>
      </c>
      <c r="I40">
        <v>10872</v>
      </c>
      <c r="J40">
        <v>13</v>
      </c>
      <c r="K40">
        <v>9422.4</v>
      </c>
      <c r="L40">
        <v>18</v>
      </c>
      <c r="M40">
        <v>13046.4</v>
      </c>
      <c r="N40">
        <v>13</v>
      </c>
      <c r="O40">
        <v>9422.4</v>
      </c>
      <c r="P40">
        <v>9</v>
      </c>
      <c r="Q40">
        <v>6523.2</v>
      </c>
      <c r="R40">
        <v>17</v>
      </c>
      <c r="S40">
        <v>12321.599999999999</v>
      </c>
      <c r="T40">
        <v>19</v>
      </c>
      <c r="U40">
        <v>13771.199999999999</v>
      </c>
      <c r="V40">
        <v>11</v>
      </c>
      <c r="W40">
        <v>7972.7999999999993</v>
      </c>
      <c r="X40">
        <v>17</v>
      </c>
      <c r="Y40">
        <v>12321.599999999999</v>
      </c>
      <c r="Z40">
        <v>18</v>
      </c>
      <c r="AA40">
        <v>13046.4</v>
      </c>
      <c r="AB40">
        <v>12</v>
      </c>
      <c r="AC40">
        <v>8697.5999999999985</v>
      </c>
      <c r="AD40">
        <v>13</v>
      </c>
      <c r="AE40">
        <v>9422.4</v>
      </c>
      <c r="AF40">
        <v>14</v>
      </c>
      <c r="AG40">
        <v>10147.199999999999</v>
      </c>
      <c r="AH40">
        <v>13</v>
      </c>
      <c r="AI40">
        <v>9422.4</v>
      </c>
      <c r="AJ40">
        <v>19</v>
      </c>
      <c r="AK40">
        <v>13771.199999999999</v>
      </c>
      <c r="AL40">
        <v>16</v>
      </c>
      <c r="AM40">
        <v>11596.8</v>
      </c>
      <c r="AN40">
        <v>11</v>
      </c>
      <c r="AO40">
        <v>7972.7999999999993</v>
      </c>
      <c r="AP40">
        <v>16</v>
      </c>
      <c r="AQ40">
        <v>11596.8</v>
      </c>
      <c r="AR40">
        <v>17</v>
      </c>
      <c r="AS40">
        <v>12321.599999999999</v>
      </c>
      <c r="AT40">
        <v>16</v>
      </c>
      <c r="AU40">
        <v>11596.8</v>
      </c>
      <c r="AV40">
        <v>19</v>
      </c>
      <c r="AW40">
        <v>13771.199999999999</v>
      </c>
      <c r="AX40">
        <v>18</v>
      </c>
      <c r="AY40">
        <v>13046.4</v>
      </c>
      <c r="AZ40">
        <v>18</v>
      </c>
      <c r="BA40">
        <v>13046.4</v>
      </c>
      <c r="BB40">
        <v>14</v>
      </c>
      <c r="BC40">
        <v>10147.199999999999</v>
      </c>
      <c r="BD40">
        <v>18</v>
      </c>
      <c r="BE40">
        <v>13046.4</v>
      </c>
      <c r="BF40">
        <v>14</v>
      </c>
      <c r="BG40">
        <v>10147.199999999999</v>
      </c>
      <c r="BH40">
        <v>10</v>
      </c>
      <c r="BI40">
        <v>7248</v>
      </c>
      <c r="BJ40">
        <v>13</v>
      </c>
      <c r="BK40">
        <v>9422.4</v>
      </c>
      <c r="BL40">
        <v>13</v>
      </c>
      <c r="BM40">
        <v>9422.4</v>
      </c>
      <c r="BN40">
        <v>18</v>
      </c>
      <c r="BO40">
        <v>13046.4</v>
      </c>
      <c r="BP40">
        <v>11</v>
      </c>
      <c r="BQ40">
        <v>7972.7999999999993</v>
      </c>
      <c r="BR40">
        <v>20</v>
      </c>
      <c r="BS40">
        <v>14496</v>
      </c>
      <c r="BT40">
        <v>12</v>
      </c>
      <c r="BU40">
        <v>8697.5999999999985</v>
      </c>
      <c r="BV40">
        <v>15</v>
      </c>
      <c r="BW40">
        <v>10872</v>
      </c>
      <c r="BX40">
        <v>16</v>
      </c>
      <c r="BY40">
        <v>11596.8</v>
      </c>
      <c r="BZ40">
        <v>15</v>
      </c>
      <c r="CA40">
        <v>10872</v>
      </c>
      <c r="CB40">
        <v>11</v>
      </c>
      <c r="CC40">
        <v>7972.7999999999993</v>
      </c>
      <c r="CD40">
        <v>19</v>
      </c>
      <c r="CE40">
        <v>13771.199999999999</v>
      </c>
      <c r="CF40">
        <v>15</v>
      </c>
      <c r="CG40">
        <v>10872</v>
      </c>
      <c r="CH40">
        <v>13</v>
      </c>
      <c r="CI40">
        <v>9422.4</v>
      </c>
      <c r="CJ40">
        <v>19</v>
      </c>
      <c r="CK40">
        <v>13771.199999999999</v>
      </c>
      <c r="CL40">
        <v>19</v>
      </c>
      <c r="CM40">
        <v>13771.199999999999</v>
      </c>
      <c r="CN40">
        <v>12</v>
      </c>
      <c r="CO40">
        <v>8697.5999999999985</v>
      </c>
      <c r="CP40">
        <v>22</v>
      </c>
      <c r="CQ40">
        <v>15945.599999999999</v>
      </c>
      <c r="CR40">
        <v>13</v>
      </c>
      <c r="CS40">
        <v>9422.4</v>
      </c>
      <c r="CT40">
        <v>15</v>
      </c>
      <c r="CU40">
        <v>10872</v>
      </c>
    </row>
    <row r="41" spans="2:99" x14ac:dyDescent="0.2">
      <c r="C41" s="118" t="s">
        <v>207</v>
      </c>
      <c r="D41">
        <v>10</v>
      </c>
      <c r="E41">
        <v>6600</v>
      </c>
      <c r="F41">
        <v>13</v>
      </c>
      <c r="G41">
        <v>8580</v>
      </c>
      <c r="H41">
        <v>16</v>
      </c>
      <c r="I41">
        <v>10560</v>
      </c>
      <c r="J41">
        <v>12</v>
      </c>
      <c r="K41">
        <v>7920</v>
      </c>
      <c r="L41">
        <v>20</v>
      </c>
      <c r="M41">
        <v>13200</v>
      </c>
      <c r="N41">
        <v>13</v>
      </c>
      <c r="O41">
        <v>8580</v>
      </c>
      <c r="P41">
        <v>9</v>
      </c>
      <c r="Q41">
        <v>5940</v>
      </c>
      <c r="R41">
        <v>18</v>
      </c>
      <c r="S41">
        <v>11880</v>
      </c>
      <c r="T41">
        <v>20</v>
      </c>
      <c r="U41">
        <v>13200</v>
      </c>
      <c r="V41">
        <v>12</v>
      </c>
      <c r="W41">
        <v>7920</v>
      </c>
      <c r="X41">
        <v>20</v>
      </c>
      <c r="Y41">
        <v>13200</v>
      </c>
      <c r="Z41">
        <v>18</v>
      </c>
      <c r="AA41">
        <v>11880</v>
      </c>
      <c r="AB41">
        <v>11</v>
      </c>
      <c r="AC41">
        <v>7260</v>
      </c>
      <c r="AD41">
        <v>13</v>
      </c>
      <c r="AE41">
        <v>8580</v>
      </c>
      <c r="AF41">
        <v>14</v>
      </c>
      <c r="AG41">
        <v>9240</v>
      </c>
      <c r="AH41">
        <v>13</v>
      </c>
      <c r="AI41">
        <v>8580</v>
      </c>
      <c r="AJ41">
        <v>19</v>
      </c>
      <c r="AK41">
        <v>12540</v>
      </c>
      <c r="AL41">
        <v>18</v>
      </c>
      <c r="AM41">
        <v>11880</v>
      </c>
      <c r="AN41">
        <v>11</v>
      </c>
      <c r="AO41">
        <v>7260</v>
      </c>
      <c r="AP41">
        <v>17</v>
      </c>
      <c r="AQ41">
        <v>11220</v>
      </c>
      <c r="AR41">
        <v>19</v>
      </c>
      <c r="AS41">
        <v>12540</v>
      </c>
      <c r="AT41">
        <v>16</v>
      </c>
      <c r="AU41">
        <v>10560</v>
      </c>
      <c r="AV41">
        <v>17</v>
      </c>
      <c r="AW41">
        <v>11220</v>
      </c>
      <c r="AX41">
        <v>21</v>
      </c>
      <c r="AY41">
        <v>13860</v>
      </c>
      <c r="AZ41">
        <v>19</v>
      </c>
      <c r="BA41">
        <v>12540</v>
      </c>
      <c r="BB41">
        <v>13</v>
      </c>
      <c r="BC41">
        <v>8580</v>
      </c>
      <c r="BD41">
        <v>20</v>
      </c>
      <c r="BE41">
        <v>13200</v>
      </c>
      <c r="BF41">
        <v>12</v>
      </c>
      <c r="BG41">
        <v>7920</v>
      </c>
      <c r="BH41">
        <v>10</v>
      </c>
      <c r="BI41">
        <v>6600</v>
      </c>
      <c r="BJ41">
        <v>12</v>
      </c>
      <c r="BK41">
        <v>7920</v>
      </c>
      <c r="BL41">
        <v>13</v>
      </c>
      <c r="BM41">
        <v>8580</v>
      </c>
      <c r="BN41">
        <v>20</v>
      </c>
      <c r="BO41">
        <v>13200</v>
      </c>
      <c r="BP41">
        <v>10</v>
      </c>
      <c r="BQ41">
        <v>6600</v>
      </c>
      <c r="BR41">
        <v>19</v>
      </c>
      <c r="BS41">
        <v>12540</v>
      </c>
      <c r="BT41">
        <v>11</v>
      </c>
      <c r="BU41">
        <v>7260</v>
      </c>
      <c r="BV41">
        <v>18</v>
      </c>
      <c r="BW41">
        <v>11880</v>
      </c>
      <c r="BX41">
        <v>13</v>
      </c>
      <c r="BY41">
        <v>8580</v>
      </c>
      <c r="BZ41">
        <v>14</v>
      </c>
      <c r="CA41">
        <v>9240</v>
      </c>
      <c r="CB41">
        <v>12</v>
      </c>
      <c r="CC41">
        <v>7920</v>
      </c>
      <c r="CD41">
        <v>20</v>
      </c>
      <c r="CE41">
        <v>13200</v>
      </c>
      <c r="CF41">
        <v>15</v>
      </c>
      <c r="CG41">
        <v>9900</v>
      </c>
      <c r="CH41">
        <v>15</v>
      </c>
      <c r="CI41">
        <v>9900</v>
      </c>
      <c r="CJ41">
        <v>20</v>
      </c>
      <c r="CK41">
        <v>13200</v>
      </c>
      <c r="CL41">
        <v>22</v>
      </c>
      <c r="CM41">
        <v>14520</v>
      </c>
      <c r="CN41">
        <v>12</v>
      </c>
      <c r="CO41">
        <v>7920</v>
      </c>
      <c r="CP41">
        <v>19</v>
      </c>
      <c r="CQ41">
        <v>12540</v>
      </c>
      <c r="CR41">
        <v>14</v>
      </c>
      <c r="CS41">
        <v>9240</v>
      </c>
      <c r="CT41">
        <v>13</v>
      </c>
      <c r="CU41">
        <v>8580</v>
      </c>
    </row>
    <row r="42" spans="2:99" x14ac:dyDescent="0.2">
      <c r="C42" s="118" t="s">
        <v>208</v>
      </c>
      <c r="D42">
        <v>11</v>
      </c>
      <c r="E42">
        <v>9306</v>
      </c>
      <c r="F42">
        <v>11</v>
      </c>
      <c r="G42">
        <v>9306</v>
      </c>
      <c r="H42">
        <v>16</v>
      </c>
      <c r="I42">
        <v>13536</v>
      </c>
      <c r="J42">
        <v>14</v>
      </c>
      <c r="K42">
        <v>11844</v>
      </c>
      <c r="L42">
        <v>18</v>
      </c>
      <c r="M42">
        <v>15228</v>
      </c>
      <c r="N42">
        <v>14</v>
      </c>
      <c r="O42">
        <v>11844</v>
      </c>
      <c r="P42">
        <v>10</v>
      </c>
      <c r="Q42">
        <v>8460</v>
      </c>
      <c r="R42">
        <v>16</v>
      </c>
      <c r="S42">
        <v>13536</v>
      </c>
      <c r="T42">
        <v>18</v>
      </c>
      <c r="U42">
        <v>15228</v>
      </c>
      <c r="V42">
        <v>11</v>
      </c>
      <c r="W42">
        <v>9306</v>
      </c>
      <c r="X42">
        <v>17</v>
      </c>
      <c r="Y42">
        <v>14382</v>
      </c>
      <c r="Z42">
        <v>20</v>
      </c>
      <c r="AA42">
        <v>16920</v>
      </c>
      <c r="AB42">
        <v>12</v>
      </c>
      <c r="AC42">
        <v>10152</v>
      </c>
      <c r="AD42">
        <v>12</v>
      </c>
      <c r="AE42">
        <v>10152</v>
      </c>
      <c r="AF42">
        <v>14</v>
      </c>
      <c r="AG42">
        <v>11844</v>
      </c>
      <c r="AH42">
        <v>12</v>
      </c>
      <c r="AI42">
        <v>10152</v>
      </c>
      <c r="AJ42">
        <v>17</v>
      </c>
      <c r="AK42">
        <v>14382</v>
      </c>
      <c r="AL42">
        <v>18</v>
      </c>
      <c r="AM42">
        <v>15228</v>
      </c>
      <c r="AN42">
        <v>10</v>
      </c>
      <c r="AO42">
        <v>8460</v>
      </c>
      <c r="AP42">
        <v>15</v>
      </c>
      <c r="AQ42">
        <v>12690</v>
      </c>
      <c r="AR42">
        <v>18</v>
      </c>
      <c r="AS42">
        <v>15228</v>
      </c>
      <c r="AT42">
        <v>15</v>
      </c>
      <c r="AU42">
        <v>12690</v>
      </c>
      <c r="AV42">
        <v>16</v>
      </c>
      <c r="AW42">
        <v>13536</v>
      </c>
      <c r="AX42">
        <v>19</v>
      </c>
      <c r="AY42">
        <v>16074</v>
      </c>
      <c r="AZ42">
        <v>20</v>
      </c>
      <c r="BA42">
        <v>16920</v>
      </c>
      <c r="BB42">
        <v>13</v>
      </c>
      <c r="BC42">
        <v>10998</v>
      </c>
      <c r="BD42">
        <v>20</v>
      </c>
      <c r="BE42">
        <v>16920</v>
      </c>
      <c r="BF42">
        <v>14</v>
      </c>
      <c r="BG42">
        <v>11844</v>
      </c>
      <c r="BH42">
        <v>10</v>
      </c>
      <c r="BI42">
        <v>8460</v>
      </c>
      <c r="BJ42">
        <v>13</v>
      </c>
      <c r="BK42">
        <v>10998</v>
      </c>
      <c r="BL42">
        <v>13</v>
      </c>
      <c r="BM42">
        <v>10998</v>
      </c>
      <c r="BN42">
        <v>17</v>
      </c>
      <c r="BO42">
        <v>14382</v>
      </c>
      <c r="BP42">
        <v>11</v>
      </c>
      <c r="BQ42">
        <v>9306</v>
      </c>
      <c r="BR42">
        <v>21</v>
      </c>
      <c r="BS42">
        <v>17766</v>
      </c>
      <c r="BT42">
        <v>12</v>
      </c>
      <c r="BU42">
        <v>10152</v>
      </c>
      <c r="BV42">
        <v>16</v>
      </c>
      <c r="BW42">
        <v>13536</v>
      </c>
      <c r="BX42">
        <v>15</v>
      </c>
      <c r="BY42">
        <v>12690</v>
      </c>
      <c r="BZ42">
        <v>16</v>
      </c>
      <c r="CA42">
        <v>13536</v>
      </c>
      <c r="CB42">
        <v>11</v>
      </c>
      <c r="CC42">
        <v>9306</v>
      </c>
      <c r="CD42">
        <v>19</v>
      </c>
      <c r="CE42">
        <v>16074</v>
      </c>
      <c r="CF42">
        <v>17</v>
      </c>
      <c r="CG42">
        <v>14382</v>
      </c>
      <c r="CH42">
        <v>15</v>
      </c>
      <c r="CI42">
        <v>12690</v>
      </c>
      <c r="CJ42">
        <v>17</v>
      </c>
      <c r="CK42">
        <v>14382</v>
      </c>
      <c r="CL42">
        <v>19</v>
      </c>
      <c r="CM42">
        <v>16074</v>
      </c>
      <c r="CN42">
        <v>13</v>
      </c>
      <c r="CO42">
        <v>10998</v>
      </c>
      <c r="CP42">
        <v>19</v>
      </c>
      <c r="CQ42">
        <v>16074</v>
      </c>
      <c r="CR42">
        <v>13</v>
      </c>
      <c r="CS42">
        <v>10998</v>
      </c>
      <c r="CT42">
        <v>14</v>
      </c>
      <c r="CU42">
        <v>11844</v>
      </c>
    </row>
    <row r="43" spans="2:99" x14ac:dyDescent="0.2">
      <c r="C43" s="118" t="s">
        <v>209</v>
      </c>
      <c r="D43">
        <v>11</v>
      </c>
      <c r="E43">
        <v>11246.4</v>
      </c>
      <c r="F43">
        <v>13</v>
      </c>
      <c r="G43">
        <v>13291.199999999999</v>
      </c>
      <c r="H43">
        <v>17</v>
      </c>
      <c r="I43">
        <v>17380.8</v>
      </c>
      <c r="J43">
        <v>13</v>
      </c>
      <c r="K43">
        <v>13291.199999999999</v>
      </c>
      <c r="L43">
        <v>19</v>
      </c>
      <c r="M43">
        <v>19425.599999999999</v>
      </c>
      <c r="N43">
        <v>13</v>
      </c>
      <c r="O43">
        <v>13291.199999999999</v>
      </c>
      <c r="P43">
        <v>9</v>
      </c>
      <c r="Q43">
        <v>9201.6</v>
      </c>
      <c r="R43">
        <v>16</v>
      </c>
      <c r="S43">
        <v>16358.4</v>
      </c>
      <c r="T43">
        <v>19</v>
      </c>
      <c r="U43">
        <v>19425.599999999999</v>
      </c>
      <c r="V43">
        <v>12</v>
      </c>
      <c r="W43">
        <v>12268.8</v>
      </c>
      <c r="X43">
        <v>19</v>
      </c>
      <c r="Y43">
        <v>19425.599999999999</v>
      </c>
      <c r="Z43">
        <v>18</v>
      </c>
      <c r="AA43">
        <v>18403.2</v>
      </c>
      <c r="AB43">
        <v>12</v>
      </c>
      <c r="AC43">
        <v>12268.8</v>
      </c>
      <c r="AD43">
        <v>11</v>
      </c>
      <c r="AE43">
        <v>11246.4</v>
      </c>
      <c r="AF43">
        <v>12</v>
      </c>
      <c r="AG43">
        <v>12268.8</v>
      </c>
      <c r="AH43">
        <v>12</v>
      </c>
      <c r="AI43">
        <v>12268.8</v>
      </c>
      <c r="AJ43">
        <v>18</v>
      </c>
      <c r="AK43">
        <v>18403.2</v>
      </c>
      <c r="AL43">
        <v>15</v>
      </c>
      <c r="AM43">
        <v>15336</v>
      </c>
      <c r="AN43">
        <v>11</v>
      </c>
      <c r="AO43">
        <v>11246.4</v>
      </c>
      <c r="AP43">
        <v>15</v>
      </c>
      <c r="AQ43">
        <v>15336</v>
      </c>
      <c r="AR43">
        <v>18</v>
      </c>
      <c r="AS43">
        <v>18403.2</v>
      </c>
      <c r="AT43">
        <v>17</v>
      </c>
      <c r="AU43">
        <v>17380.8</v>
      </c>
      <c r="AV43">
        <v>18</v>
      </c>
      <c r="AW43">
        <v>18403.2</v>
      </c>
      <c r="AX43">
        <v>18</v>
      </c>
      <c r="AY43">
        <v>18403.2</v>
      </c>
      <c r="AZ43">
        <v>21</v>
      </c>
      <c r="BA43">
        <v>21470.399999999998</v>
      </c>
      <c r="BB43">
        <v>12</v>
      </c>
      <c r="BC43">
        <v>12268.8</v>
      </c>
      <c r="BD43">
        <v>20</v>
      </c>
      <c r="BE43">
        <v>20448</v>
      </c>
      <c r="BF43">
        <v>12</v>
      </c>
      <c r="BG43">
        <v>12268.8</v>
      </c>
      <c r="BH43">
        <v>10</v>
      </c>
      <c r="BI43">
        <v>10224</v>
      </c>
      <c r="BJ43">
        <v>12</v>
      </c>
      <c r="BK43">
        <v>12268.8</v>
      </c>
      <c r="BL43">
        <v>12</v>
      </c>
      <c r="BM43">
        <v>12268.8</v>
      </c>
      <c r="BN43">
        <v>17</v>
      </c>
      <c r="BO43">
        <v>17380.8</v>
      </c>
      <c r="BP43">
        <v>9</v>
      </c>
      <c r="BQ43">
        <v>9201.6</v>
      </c>
      <c r="BR43">
        <v>21</v>
      </c>
      <c r="BS43">
        <v>21470.399999999998</v>
      </c>
      <c r="BT43">
        <v>12</v>
      </c>
      <c r="BU43">
        <v>12268.8</v>
      </c>
      <c r="BV43">
        <v>17</v>
      </c>
      <c r="BW43">
        <v>17380.8</v>
      </c>
      <c r="BX43">
        <v>15</v>
      </c>
      <c r="BY43">
        <v>15336</v>
      </c>
      <c r="BZ43">
        <v>16</v>
      </c>
      <c r="CA43">
        <v>16358.4</v>
      </c>
      <c r="CB43">
        <v>11</v>
      </c>
      <c r="CC43">
        <v>11246.4</v>
      </c>
      <c r="CD43">
        <v>18</v>
      </c>
      <c r="CE43">
        <v>18403.2</v>
      </c>
      <c r="CF43">
        <v>15</v>
      </c>
      <c r="CG43">
        <v>15336</v>
      </c>
      <c r="CH43">
        <v>12</v>
      </c>
      <c r="CI43">
        <v>12268.8</v>
      </c>
      <c r="CJ43">
        <v>17</v>
      </c>
      <c r="CK43">
        <v>17380.8</v>
      </c>
      <c r="CL43">
        <v>20</v>
      </c>
      <c r="CM43">
        <v>20448</v>
      </c>
      <c r="CN43">
        <v>11</v>
      </c>
      <c r="CO43">
        <v>11246.4</v>
      </c>
      <c r="CP43">
        <v>21</v>
      </c>
      <c r="CQ43">
        <v>21470.399999999998</v>
      </c>
      <c r="CR43">
        <v>14</v>
      </c>
      <c r="CS43">
        <v>14313.6</v>
      </c>
      <c r="CT43">
        <v>14</v>
      </c>
      <c r="CU43">
        <v>14313.6</v>
      </c>
    </row>
    <row r="44" spans="2:99" x14ac:dyDescent="0.2">
      <c r="C44" s="118" t="s">
        <v>210</v>
      </c>
      <c r="D44">
        <v>10</v>
      </c>
      <c r="E44">
        <v>10224</v>
      </c>
      <c r="F44">
        <v>13</v>
      </c>
      <c r="G44">
        <v>13291.199999999999</v>
      </c>
      <c r="H44">
        <v>16</v>
      </c>
      <c r="I44">
        <v>16358.4</v>
      </c>
      <c r="J44">
        <v>12</v>
      </c>
      <c r="K44">
        <v>12268.8</v>
      </c>
      <c r="L44">
        <v>19</v>
      </c>
      <c r="M44">
        <v>19425.599999999999</v>
      </c>
      <c r="N44">
        <v>12</v>
      </c>
      <c r="O44">
        <v>12268.8</v>
      </c>
      <c r="P44">
        <v>10</v>
      </c>
      <c r="Q44">
        <v>10224</v>
      </c>
      <c r="R44">
        <v>16</v>
      </c>
      <c r="S44">
        <v>16358.4</v>
      </c>
      <c r="T44">
        <v>19</v>
      </c>
      <c r="U44">
        <v>19425.599999999999</v>
      </c>
      <c r="V44">
        <v>10</v>
      </c>
      <c r="W44">
        <v>10224</v>
      </c>
      <c r="X44">
        <v>19</v>
      </c>
      <c r="Y44">
        <v>19425.599999999999</v>
      </c>
      <c r="Z44">
        <v>18</v>
      </c>
      <c r="AA44">
        <v>18403.2</v>
      </c>
      <c r="AB44">
        <v>11</v>
      </c>
      <c r="AC44">
        <v>11246.4</v>
      </c>
      <c r="AD44">
        <v>12</v>
      </c>
      <c r="AE44">
        <v>12268.8</v>
      </c>
      <c r="AF44">
        <v>13</v>
      </c>
      <c r="AG44">
        <v>13291.199999999999</v>
      </c>
      <c r="AH44">
        <v>12</v>
      </c>
      <c r="AI44">
        <v>12268.8</v>
      </c>
      <c r="AJ44">
        <v>17</v>
      </c>
      <c r="AK44">
        <v>17380.8</v>
      </c>
      <c r="AL44">
        <v>15</v>
      </c>
      <c r="AM44">
        <v>15336</v>
      </c>
      <c r="AN44">
        <v>11</v>
      </c>
      <c r="AO44">
        <v>11246.4</v>
      </c>
      <c r="AP44">
        <v>17</v>
      </c>
      <c r="AQ44">
        <v>17380.8</v>
      </c>
      <c r="AR44">
        <v>19</v>
      </c>
      <c r="AS44">
        <v>19425.599999999999</v>
      </c>
      <c r="AT44">
        <v>15</v>
      </c>
      <c r="AU44">
        <v>15336</v>
      </c>
      <c r="AV44">
        <v>17</v>
      </c>
      <c r="AW44">
        <v>17380.8</v>
      </c>
      <c r="AX44">
        <v>21</v>
      </c>
      <c r="AY44">
        <v>21470.399999999998</v>
      </c>
      <c r="AZ44">
        <v>21</v>
      </c>
      <c r="BA44">
        <v>21470.399999999998</v>
      </c>
      <c r="BB44">
        <v>13</v>
      </c>
      <c r="BC44">
        <v>13291.199999999999</v>
      </c>
      <c r="BD44">
        <v>17</v>
      </c>
      <c r="BE44">
        <v>17380.8</v>
      </c>
      <c r="BF44">
        <v>12</v>
      </c>
      <c r="BG44">
        <v>12268.8</v>
      </c>
      <c r="BH44">
        <v>10</v>
      </c>
      <c r="BI44">
        <v>10224</v>
      </c>
      <c r="BJ44">
        <v>13</v>
      </c>
      <c r="BK44">
        <v>13291.199999999999</v>
      </c>
      <c r="BL44">
        <v>12</v>
      </c>
      <c r="BM44">
        <v>12268.8</v>
      </c>
      <c r="BN44">
        <v>19</v>
      </c>
      <c r="BO44">
        <v>19425.599999999999</v>
      </c>
      <c r="BP44">
        <v>9</v>
      </c>
      <c r="BQ44">
        <v>9201.6</v>
      </c>
      <c r="BR44">
        <v>19</v>
      </c>
      <c r="BS44">
        <v>19425.599999999999</v>
      </c>
      <c r="BT44">
        <v>11</v>
      </c>
      <c r="BU44">
        <v>11246.4</v>
      </c>
      <c r="BV44">
        <v>15</v>
      </c>
      <c r="BW44">
        <v>15336</v>
      </c>
      <c r="BX44">
        <v>14</v>
      </c>
      <c r="BY44">
        <v>14313.6</v>
      </c>
      <c r="BZ44">
        <v>16</v>
      </c>
      <c r="CA44">
        <v>16358.4</v>
      </c>
      <c r="CB44">
        <v>10</v>
      </c>
      <c r="CC44">
        <v>10224</v>
      </c>
      <c r="CD44">
        <v>17</v>
      </c>
      <c r="CE44">
        <v>17380.8</v>
      </c>
      <c r="CF44">
        <v>17</v>
      </c>
      <c r="CG44">
        <v>17380.8</v>
      </c>
      <c r="CH44">
        <v>13</v>
      </c>
      <c r="CI44">
        <v>13291.199999999999</v>
      </c>
      <c r="CJ44">
        <v>18</v>
      </c>
      <c r="CK44">
        <v>18403.2</v>
      </c>
      <c r="CL44">
        <v>20</v>
      </c>
      <c r="CM44">
        <v>20448</v>
      </c>
      <c r="CN44">
        <v>13</v>
      </c>
      <c r="CO44">
        <v>13291.199999999999</v>
      </c>
      <c r="CP44">
        <v>18</v>
      </c>
      <c r="CQ44">
        <v>18403.2</v>
      </c>
      <c r="CR44">
        <v>13</v>
      </c>
      <c r="CS44">
        <v>13291.199999999999</v>
      </c>
      <c r="CT44">
        <v>14</v>
      </c>
      <c r="CU44">
        <v>14313.6</v>
      </c>
    </row>
    <row r="45" spans="2:99" x14ac:dyDescent="0.2">
      <c r="C45" s="118" t="s">
        <v>211</v>
      </c>
      <c r="D45">
        <v>10</v>
      </c>
      <c r="E45">
        <v>12492</v>
      </c>
      <c r="F45">
        <v>12</v>
      </c>
      <c r="G45">
        <v>14990.400000000001</v>
      </c>
      <c r="H45">
        <v>14</v>
      </c>
      <c r="I45">
        <v>17488.8</v>
      </c>
      <c r="J45">
        <v>12</v>
      </c>
      <c r="K45">
        <v>14990.400000000001</v>
      </c>
      <c r="L45">
        <v>17</v>
      </c>
      <c r="M45">
        <v>21236.400000000001</v>
      </c>
      <c r="N45">
        <v>12</v>
      </c>
      <c r="O45">
        <v>14990.400000000001</v>
      </c>
      <c r="P45">
        <v>10</v>
      </c>
      <c r="Q45">
        <v>12492</v>
      </c>
      <c r="R45">
        <v>15</v>
      </c>
      <c r="S45">
        <v>18738</v>
      </c>
      <c r="T45">
        <v>19</v>
      </c>
      <c r="U45">
        <v>23734.799999999999</v>
      </c>
      <c r="V45">
        <v>10</v>
      </c>
      <c r="W45">
        <v>12492</v>
      </c>
      <c r="X45">
        <v>17</v>
      </c>
      <c r="Y45">
        <v>21236.400000000001</v>
      </c>
      <c r="Z45">
        <v>17</v>
      </c>
      <c r="AA45">
        <v>21236.400000000001</v>
      </c>
      <c r="AB45">
        <v>10</v>
      </c>
      <c r="AC45">
        <v>12492</v>
      </c>
      <c r="AD45">
        <v>11</v>
      </c>
      <c r="AE45">
        <v>13741.2</v>
      </c>
      <c r="AF45">
        <v>13</v>
      </c>
      <c r="AG45">
        <v>16239.6</v>
      </c>
      <c r="AH45">
        <v>11</v>
      </c>
      <c r="AI45">
        <v>13741.2</v>
      </c>
      <c r="AJ45">
        <v>18</v>
      </c>
      <c r="AK45">
        <v>22485.600000000002</v>
      </c>
      <c r="AL45">
        <v>14</v>
      </c>
      <c r="AM45">
        <v>17488.8</v>
      </c>
      <c r="AN45">
        <v>10</v>
      </c>
      <c r="AO45">
        <v>12492</v>
      </c>
      <c r="AP45">
        <v>14</v>
      </c>
      <c r="AQ45">
        <v>17488.8</v>
      </c>
      <c r="AR45">
        <v>16</v>
      </c>
      <c r="AS45">
        <v>19987.2</v>
      </c>
      <c r="AT45">
        <v>14</v>
      </c>
      <c r="AU45">
        <v>17488.8</v>
      </c>
      <c r="AV45">
        <v>17</v>
      </c>
      <c r="AW45">
        <v>21236.400000000001</v>
      </c>
      <c r="AX45">
        <v>21</v>
      </c>
      <c r="AY45">
        <v>26233.200000000001</v>
      </c>
      <c r="AZ45">
        <v>18</v>
      </c>
      <c r="BA45">
        <v>22485.600000000002</v>
      </c>
      <c r="BB45">
        <v>13</v>
      </c>
      <c r="BC45">
        <v>16239.6</v>
      </c>
      <c r="BD45">
        <v>18</v>
      </c>
      <c r="BE45">
        <v>22485.600000000002</v>
      </c>
      <c r="BF45">
        <v>13</v>
      </c>
      <c r="BG45">
        <v>16239.6</v>
      </c>
      <c r="BH45">
        <v>11</v>
      </c>
      <c r="BI45">
        <v>13741.2</v>
      </c>
      <c r="BJ45">
        <v>12</v>
      </c>
      <c r="BK45">
        <v>14990.400000000001</v>
      </c>
      <c r="BL45">
        <v>12</v>
      </c>
      <c r="BM45">
        <v>14990.400000000001</v>
      </c>
      <c r="BN45">
        <v>19</v>
      </c>
      <c r="BO45">
        <v>23734.799999999999</v>
      </c>
      <c r="BP45">
        <v>9</v>
      </c>
      <c r="BQ45">
        <v>11242.800000000001</v>
      </c>
      <c r="BR45">
        <v>18</v>
      </c>
      <c r="BS45">
        <v>22485.600000000002</v>
      </c>
      <c r="BT45">
        <v>11</v>
      </c>
      <c r="BU45">
        <v>13741.2</v>
      </c>
      <c r="BV45">
        <v>16</v>
      </c>
      <c r="BW45">
        <v>19987.2</v>
      </c>
      <c r="BX45">
        <v>13</v>
      </c>
      <c r="BY45">
        <v>16239.6</v>
      </c>
      <c r="BZ45">
        <v>14</v>
      </c>
      <c r="CA45">
        <v>17488.8</v>
      </c>
      <c r="CB45">
        <v>10</v>
      </c>
      <c r="CC45">
        <v>12492</v>
      </c>
      <c r="CD45">
        <v>16</v>
      </c>
      <c r="CE45">
        <v>19987.2</v>
      </c>
      <c r="CF45">
        <v>15</v>
      </c>
      <c r="CG45">
        <v>18738</v>
      </c>
      <c r="CH45">
        <v>12</v>
      </c>
      <c r="CI45">
        <v>14990.400000000001</v>
      </c>
      <c r="CJ45">
        <v>18</v>
      </c>
      <c r="CK45">
        <v>22485.600000000002</v>
      </c>
      <c r="CL45">
        <v>18</v>
      </c>
      <c r="CM45">
        <v>22485.600000000002</v>
      </c>
      <c r="CN45">
        <v>11</v>
      </c>
      <c r="CO45">
        <v>13741.2</v>
      </c>
      <c r="CP45">
        <v>20</v>
      </c>
      <c r="CQ45">
        <v>24984</v>
      </c>
      <c r="CR45">
        <v>14</v>
      </c>
      <c r="CS45">
        <v>17488.8</v>
      </c>
      <c r="CT45">
        <v>13</v>
      </c>
      <c r="CU45">
        <v>16239.6</v>
      </c>
    </row>
    <row r="46" spans="2:99" x14ac:dyDescent="0.2">
      <c r="C46" s="118" t="s">
        <v>212</v>
      </c>
      <c r="D46">
        <v>11</v>
      </c>
      <c r="E46">
        <v>13332</v>
      </c>
      <c r="F46">
        <v>11</v>
      </c>
      <c r="G46">
        <v>13332</v>
      </c>
      <c r="H46">
        <v>14</v>
      </c>
      <c r="I46">
        <v>16968</v>
      </c>
      <c r="J46">
        <v>11</v>
      </c>
      <c r="K46">
        <v>13332</v>
      </c>
      <c r="L46">
        <v>17</v>
      </c>
      <c r="M46">
        <v>20604</v>
      </c>
      <c r="N46">
        <v>14</v>
      </c>
      <c r="O46">
        <v>16968</v>
      </c>
      <c r="P46">
        <v>9</v>
      </c>
      <c r="Q46">
        <v>10908</v>
      </c>
      <c r="R46">
        <v>18</v>
      </c>
      <c r="S46">
        <v>21816</v>
      </c>
      <c r="T46">
        <v>19</v>
      </c>
      <c r="U46">
        <v>23028</v>
      </c>
      <c r="V46">
        <v>11</v>
      </c>
      <c r="W46">
        <v>13332</v>
      </c>
      <c r="X46">
        <v>17</v>
      </c>
      <c r="Y46">
        <v>20604</v>
      </c>
      <c r="Z46">
        <v>20</v>
      </c>
      <c r="AA46">
        <v>24240</v>
      </c>
      <c r="AB46">
        <v>11</v>
      </c>
      <c r="AC46">
        <v>13332</v>
      </c>
      <c r="AD46">
        <v>12</v>
      </c>
      <c r="AE46">
        <v>14544</v>
      </c>
      <c r="AF46">
        <v>12</v>
      </c>
      <c r="AG46">
        <v>14544</v>
      </c>
      <c r="AH46">
        <v>12</v>
      </c>
      <c r="AI46">
        <v>14544</v>
      </c>
      <c r="AJ46">
        <v>16</v>
      </c>
      <c r="AK46">
        <v>19392</v>
      </c>
      <c r="AL46">
        <v>17</v>
      </c>
      <c r="AM46">
        <v>20604</v>
      </c>
      <c r="AN46">
        <v>10</v>
      </c>
      <c r="AO46">
        <v>12120</v>
      </c>
      <c r="AP46">
        <v>15</v>
      </c>
      <c r="AQ46">
        <v>18180</v>
      </c>
      <c r="AR46">
        <v>17</v>
      </c>
      <c r="AS46">
        <v>20604</v>
      </c>
      <c r="AT46">
        <v>16</v>
      </c>
      <c r="AU46">
        <v>19392</v>
      </c>
      <c r="AV46">
        <v>17</v>
      </c>
      <c r="AW46">
        <v>20604</v>
      </c>
      <c r="AX46">
        <v>19</v>
      </c>
      <c r="AY46">
        <v>23028</v>
      </c>
      <c r="AZ46">
        <v>20</v>
      </c>
      <c r="BA46">
        <v>24240</v>
      </c>
      <c r="BB46">
        <v>12</v>
      </c>
      <c r="BC46">
        <v>14544</v>
      </c>
      <c r="BD46">
        <v>18</v>
      </c>
      <c r="BE46">
        <v>21816</v>
      </c>
      <c r="BF46">
        <v>13</v>
      </c>
      <c r="BG46">
        <v>15756</v>
      </c>
      <c r="BH46">
        <v>10</v>
      </c>
      <c r="BI46">
        <v>12120</v>
      </c>
      <c r="BJ46">
        <v>12</v>
      </c>
      <c r="BK46">
        <v>14544</v>
      </c>
      <c r="BL46">
        <v>12</v>
      </c>
      <c r="BM46">
        <v>14544</v>
      </c>
      <c r="BN46">
        <v>17</v>
      </c>
      <c r="BO46">
        <v>20604</v>
      </c>
      <c r="BP46">
        <v>10</v>
      </c>
      <c r="BQ46">
        <v>12120</v>
      </c>
      <c r="BR46">
        <v>17</v>
      </c>
      <c r="BS46">
        <v>20604</v>
      </c>
      <c r="BT46">
        <v>11</v>
      </c>
      <c r="BU46">
        <v>13332</v>
      </c>
      <c r="BV46">
        <v>14</v>
      </c>
      <c r="BW46">
        <v>16968</v>
      </c>
      <c r="BX46">
        <v>15</v>
      </c>
      <c r="BY46">
        <v>18180</v>
      </c>
      <c r="BZ46">
        <v>14</v>
      </c>
      <c r="CA46">
        <v>16968</v>
      </c>
      <c r="CB46">
        <v>11</v>
      </c>
      <c r="CC46">
        <v>13332</v>
      </c>
      <c r="CD46">
        <v>18</v>
      </c>
      <c r="CE46">
        <v>21816</v>
      </c>
      <c r="CF46">
        <v>14</v>
      </c>
      <c r="CG46">
        <v>16968</v>
      </c>
      <c r="CH46">
        <v>13</v>
      </c>
      <c r="CI46">
        <v>15756</v>
      </c>
      <c r="CJ46">
        <v>19</v>
      </c>
      <c r="CK46">
        <v>23028</v>
      </c>
      <c r="CL46">
        <v>21</v>
      </c>
      <c r="CM46">
        <v>25452</v>
      </c>
      <c r="CN46">
        <v>12</v>
      </c>
      <c r="CO46">
        <v>14544</v>
      </c>
      <c r="CP46">
        <v>21</v>
      </c>
      <c r="CQ46">
        <v>25452</v>
      </c>
      <c r="CR46">
        <v>12</v>
      </c>
      <c r="CS46">
        <v>14544</v>
      </c>
      <c r="CT46">
        <v>13</v>
      </c>
      <c r="CU46">
        <v>15756</v>
      </c>
    </row>
    <row r="47" spans="2:99" x14ac:dyDescent="0.2">
      <c r="C47" s="118" t="s">
        <v>213</v>
      </c>
      <c r="D47">
        <v>10</v>
      </c>
      <c r="E47">
        <v>15276</v>
      </c>
      <c r="F47">
        <v>12</v>
      </c>
      <c r="G47">
        <v>18331.199999999997</v>
      </c>
      <c r="H47">
        <v>14</v>
      </c>
      <c r="I47">
        <v>21386.399999999998</v>
      </c>
      <c r="J47">
        <v>12</v>
      </c>
      <c r="K47">
        <v>18331.199999999997</v>
      </c>
      <c r="L47">
        <v>20</v>
      </c>
      <c r="M47">
        <v>30552</v>
      </c>
      <c r="N47">
        <v>13</v>
      </c>
      <c r="O47">
        <v>19858.8</v>
      </c>
      <c r="P47">
        <v>9</v>
      </c>
      <c r="Q47">
        <v>13748.4</v>
      </c>
      <c r="R47">
        <v>17</v>
      </c>
      <c r="S47">
        <v>25969.199999999997</v>
      </c>
      <c r="T47">
        <v>17</v>
      </c>
      <c r="U47">
        <v>25969.199999999997</v>
      </c>
      <c r="V47">
        <v>11</v>
      </c>
      <c r="W47">
        <v>16803.599999999999</v>
      </c>
      <c r="X47">
        <v>18</v>
      </c>
      <c r="Y47">
        <v>27496.799999999999</v>
      </c>
      <c r="Z47">
        <v>20</v>
      </c>
      <c r="AA47">
        <v>30552</v>
      </c>
      <c r="AB47">
        <v>10</v>
      </c>
      <c r="AC47">
        <v>15276</v>
      </c>
      <c r="AD47">
        <v>12</v>
      </c>
      <c r="AE47">
        <v>18331.199999999997</v>
      </c>
      <c r="AF47">
        <v>12</v>
      </c>
      <c r="AG47">
        <v>18331.199999999997</v>
      </c>
      <c r="AH47">
        <v>12</v>
      </c>
      <c r="AI47">
        <v>18331.199999999997</v>
      </c>
      <c r="AJ47">
        <v>18</v>
      </c>
      <c r="AK47">
        <v>27496.799999999999</v>
      </c>
      <c r="AL47">
        <v>14</v>
      </c>
      <c r="AM47">
        <v>21386.399999999998</v>
      </c>
      <c r="AN47">
        <v>10</v>
      </c>
      <c r="AO47">
        <v>15276</v>
      </c>
      <c r="AP47">
        <v>13</v>
      </c>
      <c r="AQ47">
        <v>19858.8</v>
      </c>
      <c r="AR47">
        <v>17</v>
      </c>
      <c r="AS47">
        <v>25969.199999999997</v>
      </c>
      <c r="AT47">
        <v>15</v>
      </c>
      <c r="AU47">
        <v>22914</v>
      </c>
      <c r="AV47">
        <v>17</v>
      </c>
      <c r="AW47">
        <v>25969.199999999997</v>
      </c>
      <c r="AX47">
        <v>19</v>
      </c>
      <c r="AY47">
        <v>29024.399999999998</v>
      </c>
      <c r="AZ47">
        <v>20</v>
      </c>
      <c r="BA47">
        <v>30552</v>
      </c>
      <c r="BB47">
        <v>11</v>
      </c>
      <c r="BC47">
        <v>16803.599999999999</v>
      </c>
      <c r="BD47">
        <v>19</v>
      </c>
      <c r="BE47">
        <v>29024.399999999998</v>
      </c>
      <c r="BF47">
        <v>12</v>
      </c>
      <c r="BG47">
        <v>18331.199999999997</v>
      </c>
      <c r="BH47">
        <v>10</v>
      </c>
      <c r="BI47">
        <v>15276</v>
      </c>
      <c r="BJ47">
        <v>11</v>
      </c>
      <c r="BK47">
        <v>16803.599999999999</v>
      </c>
      <c r="BL47">
        <v>12</v>
      </c>
      <c r="BM47">
        <v>18331.199999999997</v>
      </c>
      <c r="BN47">
        <v>17</v>
      </c>
      <c r="BO47">
        <v>25969.199999999997</v>
      </c>
      <c r="BP47">
        <v>10</v>
      </c>
      <c r="BQ47">
        <v>15276</v>
      </c>
      <c r="BR47">
        <v>17</v>
      </c>
      <c r="BS47">
        <v>25969.199999999997</v>
      </c>
      <c r="BT47">
        <v>11</v>
      </c>
      <c r="BU47">
        <v>16803.599999999999</v>
      </c>
      <c r="BV47">
        <v>16</v>
      </c>
      <c r="BW47">
        <v>24441.599999999999</v>
      </c>
      <c r="BX47">
        <v>13</v>
      </c>
      <c r="BY47">
        <v>19858.8</v>
      </c>
      <c r="BZ47">
        <v>13</v>
      </c>
      <c r="CA47">
        <v>19858.8</v>
      </c>
      <c r="CB47">
        <v>9</v>
      </c>
      <c r="CC47">
        <v>13748.4</v>
      </c>
      <c r="CD47">
        <v>15</v>
      </c>
      <c r="CE47">
        <v>22914</v>
      </c>
      <c r="CF47">
        <v>15</v>
      </c>
      <c r="CG47">
        <v>22914</v>
      </c>
      <c r="CH47">
        <v>14</v>
      </c>
      <c r="CI47">
        <v>21386.399999999998</v>
      </c>
      <c r="CJ47">
        <v>19</v>
      </c>
      <c r="CK47">
        <v>29024.399999999998</v>
      </c>
      <c r="CL47">
        <v>18</v>
      </c>
      <c r="CM47">
        <v>27496.799999999999</v>
      </c>
      <c r="CN47">
        <v>11</v>
      </c>
      <c r="CO47">
        <v>16803.599999999999</v>
      </c>
      <c r="CP47">
        <v>19</v>
      </c>
      <c r="CQ47">
        <v>29024.399999999998</v>
      </c>
      <c r="CR47">
        <v>13</v>
      </c>
      <c r="CS47">
        <v>19858.8</v>
      </c>
      <c r="CT47">
        <v>13</v>
      </c>
      <c r="CU47">
        <v>19858.8</v>
      </c>
    </row>
    <row r="48" spans="2:99" x14ac:dyDescent="0.2">
      <c r="C48" s="118" t="s">
        <v>214</v>
      </c>
      <c r="D48">
        <v>10</v>
      </c>
      <c r="E48">
        <v>8676</v>
      </c>
      <c r="F48">
        <v>12</v>
      </c>
      <c r="G48">
        <v>10411.200000000001</v>
      </c>
      <c r="H48">
        <v>14</v>
      </c>
      <c r="I48">
        <v>12146.4</v>
      </c>
      <c r="J48">
        <v>13</v>
      </c>
      <c r="K48">
        <v>11278.800000000001</v>
      </c>
      <c r="L48">
        <v>17</v>
      </c>
      <c r="M48">
        <v>14749.2</v>
      </c>
      <c r="N48">
        <v>13</v>
      </c>
      <c r="O48">
        <v>11278.800000000001</v>
      </c>
      <c r="P48">
        <v>10</v>
      </c>
      <c r="Q48">
        <v>8676</v>
      </c>
      <c r="R48">
        <v>18</v>
      </c>
      <c r="S48">
        <v>15616.800000000001</v>
      </c>
      <c r="T48">
        <v>17</v>
      </c>
      <c r="U48">
        <v>14749.2</v>
      </c>
      <c r="V48">
        <v>10</v>
      </c>
      <c r="W48">
        <v>8676</v>
      </c>
      <c r="X48">
        <v>18</v>
      </c>
      <c r="Y48">
        <v>15616.800000000001</v>
      </c>
      <c r="Z48">
        <v>20</v>
      </c>
      <c r="AA48">
        <v>17352</v>
      </c>
      <c r="AB48">
        <v>10</v>
      </c>
      <c r="AC48">
        <v>8676</v>
      </c>
      <c r="AD48">
        <v>11</v>
      </c>
      <c r="AE48">
        <v>9543.6</v>
      </c>
      <c r="AF48">
        <v>12</v>
      </c>
      <c r="AG48">
        <v>10411.200000000001</v>
      </c>
      <c r="AH48">
        <v>12</v>
      </c>
      <c r="AI48">
        <v>10411.200000000001</v>
      </c>
      <c r="AJ48">
        <v>19</v>
      </c>
      <c r="AK48">
        <v>16484.400000000001</v>
      </c>
      <c r="AL48">
        <v>16</v>
      </c>
      <c r="AM48">
        <v>13881.6</v>
      </c>
      <c r="AN48">
        <v>10</v>
      </c>
      <c r="AO48">
        <v>8676</v>
      </c>
      <c r="AP48">
        <v>14</v>
      </c>
      <c r="AQ48">
        <v>12146.4</v>
      </c>
      <c r="AR48">
        <v>17</v>
      </c>
      <c r="AS48">
        <v>14749.2</v>
      </c>
      <c r="AT48">
        <v>17</v>
      </c>
      <c r="AU48">
        <v>14749.2</v>
      </c>
      <c r="AV48">
        <v>17</v>
      </c>
      <c r="AW48">
        <v>14749.2</v>
      </c>
      <c r="AX48">
        <v>18</v>
      </c>
      <c r="AY48">
        <v>15616.800000000001</v>
      </c>
      <c r="AZ48">
        <v>20</v>
      </c>
      <c r="BA48">
        <v>17352</v>
      </c>
      <c r="BB48">
        <v>12</v>
      </c>
      <c r="BC48">
        <v>10411.200000000001</v>
      </c>
      <c r="BD48">
        <v>19</v>
      </c>
      <c r="BE48">
        <v>16484.400000000001</v>
      </c>
      <c r="BF48">
        <v>12</v>
      </c>
      <c r="BG48">
        <v>10411.200000000001</v>
      </c>
      <c r="BH48">
        <v>10</v>
      </c>
      <c r="BI48">
        <v>8676</v>
      </c>
      <c r="BJ48">
        <v>13</v>
      </c>
      <c r="BK48">
        <v>11278.800000000001</v>
      </c>
      <c r="BL48">
        <v>12</v>
      </c>
      <c r="BM48">
        <v>10411.200000000001</v>
      </c>
      <c r="BN48">
        <v>18</v>
      </c>
      <c r="BO48">
        <v>15616.800000000001</v>
      </c>
      <c r="BP48">
        <v>11</v>
      </c>
      <c r="BQ48">
        <v>9543.6</v>
      </c>
      <c r="BR48">
        <v>18</v>
      </c>
      <c r="BS48">
        <v>15616.800000000001</v>
      </c>
      <c r="BT48">
        <v>10</v>
      </c>
      <c r="BU48">
        <v>8676</v>
      </c>
      <c r="BV48">
        <v>17</v>
      </c>
      <c r="BW48">
        <v>14749.2</v>
      </c>
      <c r="BX48">
        <v>13</v>
      </c>
      <c r="BY48">
        <v>11278.800000000001</v>
      </c>
      <c r="BZ48">
        <v>14</v>
      </c>
      <c r="CA48">
        <v>12146.4</v>
      </c>
      <c r="CB48">
        <v>12</v>
      </c>
      <c r="CC48">
        <v>10411.200000000001</v>
      </c>
      <c r="CD48">
        <v>18</v>
      </c>
      <c r="CE48">
        <v>15616.800000000001</v>
      </c>
      <c r="CF48">
        <v>17</v>
      </c>
      <c r="CG48">
        <v>14749.2</v>
      </c>
      <c r="CH48">
        <v>14</v>
      </c>
      <c r="CI48">
        <v>12146.4</v>
      </c>
      <c r="CJ48">
        <v>17</v>
      </c>
      <c r="CK48">
        <v>14749.2</v>
      </c>
      <c r="CL48">
        <v>21</v>
      </c>
      <c r="CM48">
        <v>18219.600000000002</v>
      </c>
      <c r="CN48">
        <v>12</v>
      </c>
      <c r="CO48">
        <v>10411.200000000001</v>
      </c>
      <c r="CP48">
        <v>18</v>
      </c>
      <c r="CQ48">
        <v>15616.800000000001</v>
      </c>
      <c r="CR48">
        <v>13</v>
      </c>
      <c r="CS48">
        <v>11278.800000000001</v>
      </c>
      <c r="CT48">
        <v>14</v>
      </c>
      <c r="CU48">
        <v>12146.4</v>
      </c>
    </row>
    <row r="49" spans="2:99" x14ac:dyDescent="0.2">
      <c r="B49" s="118" t="s">
        <v>129</v>
      </c>
      <c r="C49" s="118" t="s">
        <v>215</v>
      </c>
      <c r="D49">
        <v>9.6557544118165648</v>
      </c>
      <c r="E49">
        <v>9512.8492465216787</v>
      </c>
      <c r="F49">
        <v>5.2835336515778186</v>
      </c>
      <c r="G49">
        <v>5205.3373535344663</v>
      </c>
      <c r="H49">
        <v>7.5394020130009203</v>
      </c>
      <c r="I49">
        <v>7427.8188632085057</v>
      </c>
      <c r="J49">
        <v>10.582173438060009</v>
      </c>
      <c r="K49">
        <v>10425.55727117672</v>
      </c>
      <c r="L49">
        <v>9.4499923477521524</v>
      </c>
      <c r="M49">
        <v>9310.1324610054198</v>
      </c>
      <c r="N49">
        <v>13</v>
      </c>
      <c r="O49">
        <v>12807.599999999999</v>
      </c>
      <c r="P49">
        <v>7.2965471507685944</v>
      </c>
      <c r="Q49">
        <v>7188.5582529372186</v>
      </c>
      <c r="R49">
        <v>11.388425975130195</v>
      </c>
      <c r="S49">
        <v>11219.877270698267</v>
      </c>
      <c r="T49">
        <v>9.4424265887509122</v>
      </c>
      <c r="U49">
        <v>9302.6786752373973</v>
      </c>
      <c r="V49">
        <v>13</v>
      </c>
      <c r="W49">
        <v>12807.599999999999</v>
      </c>
      <c r="X49">
        <v>7</v>
      </c>
      <c r="Y49">
        <v>6896.4</v>
      </c>
      <c r="Z49">
        <v>8</v>
      </c>
      <c r="AA49">
        <v>7881.5999999999995</v>
      </c>
      <c r="AB49">
        <v>9.3999981178330607</v>
      </c>
      <c r="AC49">
        <v>9260.8781456891302</v>
      </c>
      <c r="AD49">
        <v>10.576607570286827</v>
      </c>
      <c r="AE49">
        <v>10420.07377824658</v>
      </c>
      <c r="AF49">
        <v>11.36424341876597</v>
      </c>
      <c r="AG49">
        <v>11196.052616168232</v>
      </c>
      <c r="AH49">
        <v>11.586831275720165</v>
      </c>
      <c r="AI49">
        <v>11415.346172839505</v>
      </c>
      <c r="AJ49">
        <v>8</v>
      </c>
      <c r="AK49">
        <v>7881.5999999999995</v>
      </c>
      <c r="AL49">
        <v>12.263555841887047</v>
      </c>
      <c r="AM49">
        <v>12082.055215427119</v>
      </c>
      <c r="AN49">
        <v>7.474018595041322</v>
      </c>
      <c r="AO49">
        <v>7363.4031198347102</v>
      </c>
      <c r="AP49">
        <v>10.545841209829868</v>
      </c>
      <c r="AQ49">
        <v>10389.762759924386</v>
      </c>
      <c r="AR49">
        <v>10.736762245809011</v>
      </c>
      <c r="AS49">
        <v>10577.858164571036</v>
      </c>
      <c r="AT49">
        <v>12</v>
      </c>
      <c r="AU49">
        <v>11822.4</v>
      </c>
      <c r="AV49">
        <v>14.699926515049718</v>
      </c>
      <c r="AW49">
        <v>14482.36760262698</v>
      </c>
      <c r="AX49">
        <v>11.336536507475685</v>
      </c>
      <c r="AY49">
        <v>11168.755767165045</v>
      </c>
      <c r="AZ49">
        <v>14.694599159970782</v>
      </c>
      <c r="BA49">
        <v>14477.119092403213</v>
      </c>
      <c r="BB49">
        <v>7</v>
      </c>
      <c r="BC49">
        <v>6896.4</v>
      </c>
      <c r="BD49">
        <v>11.3</v>
      </c>
      <c r="BE49">
        <v>11132.76</v>
      </c>
      <c r="BF49">
        <v>10.548667966085931</v>
      </c>
      <c r="BG49">
        <v>10392.547680187859</v>
      </c>
      <c r="BH49">
        <v>9.3650171029149316</v>
      </c>
      <c r="BI49">
        <v>9226.4148497917904</v>
      </c>
      <c r="BJ49">
        <v>11.052281285050473</v>
      </c>
      <c r="BK49">
        <v>10888.707522031726</v>
      </c>
      <c r="BL49">
        <v>12.15263667582663</v>
      </c>
      <c r="BM49">
        <v>11972.777653024395</v>
      </c>
      <c r="BN49">
        <v>14.042879971590908</v>
      </c>
      <c r="BO49">
        <v>13835.045348011361</v>
      </c>
      <c r="BP49">
        <v>8.6475661625708895</v>
      </c>
      <c r="BQ49">
        <v>8519.5821833648406</v>
      </c>
      <c r="BR49">
        <v>11.583158859869323</v>
      </c>
      <c r="BS49">
        <v>11411.728108743257</v>
      </c>
      <c r="BT49">
        <v>13.526308294766821</v>
      </c>
      <c r="BU49">
        <v>13326.11893200427</v>
      </c>
      <c r="BV49">
        <v>14.442057347485406</v>
      </c>
      <c r="BW49">
        <v>14228.314898742621</v>
      </c>
      <c r="BX49">
        <v>12.514954284098406</v>
      </c>
      <c r="BY49">
        <v>12329.732960693749</v>
      </c>
      <c r="BZ49">
        <v>12</v>
      </c>
      <c r="CA49">
        <v>11822.4</v>
      </c>
      <c r="CB49">
        <v>10.109993516086369</v>
      </c>
      <c r="CC49">
        <v>9960.3656120482901</v>
      </c>
      <c r="CD49">
        <v>11.737982695080916</v>
      </c>
      <c r="CE49">
        <v>11564.260551193718</v>
      </c>
      <c r="CF49">
        <v>9.5395167353530859</v>
      </c>
      <c r="CG49">
        <v>9398.3318876698595</v>
      </c>
      <c r="CH49">
        <v>12.659489587041652</v>
      </c>
      <c r="CI49">
        <v>12472.129141153435</v>
      </c>
      <c r="CJ49">
        <v>12.597603681541163</v>
      </c>
      <c r="CK49">
        <v>12411.159147054352</v>
      </c>
      <c r="CL49">
        <v>11.560041623309052</v>
      </c>
      <c r="CM49">
        <v>11388.953007284077</v>
      </c>
      <c r="CN49">
        <v>12.735704639117843</v>
      </c>
      <c r="CO49">
        <v>12547.216210458899</v>
      </c>
      <c r="CP49">
        <v>10.732186289454393</v>
      </c>
      <c r="CQ49">
        <v>10573.349932370467</v>
      </c>
      <c r="CR49">
        <v>8.0441972973193039</v>
      </c>
      <c r="CS49">
        <v>7925.1431773189779</v>
      </c>
      <c r="CT49">
        <v>10.770414201183431</v>
      </c>
      <c r="CU49">
        <v>10611.012071005916</v>
      </c>
    </row>
    <row r="50" spans="2:99" x14ac:dyDescent="0.2">
      <c r="C50" s="118" t="s">
        <v>216</v>
      </c>
      <c r="D50">
        <v>12</v>
      </c>
      <c r="E50">
        <v>3384</v>
      </c>
      <c r="F50">
        <v>10</v>
      </c>
      <c r="G50">
        <v>2820</v>
      </c>
      <c r="H50">
        <v>8</v>
      </c>
      <c r="I50">
        <v>2256</v>
      </c>
      <c r="J50">
        <v>11</v>
      </c>
      <c r="K50">
        <v>3102</v>
      </c>
      <c r="L50">
        <v>9</v>
      </c>
      <c r="M50">
        <v>2538</v>
      </c>
      <c r="N50">
        <v>15</v>
      </c>
      <c r="O50">
        <v>4230</v>
      </c>
      <c r="P50">
        <v>8</v>
      </c>
      <c r="Q50">
        <v>2256</v>
      </c>
      <c r="R50">
        <v>13</v>
      </c>
      <c r="S50">
        <v>3666</v>
      </c>
      <c r="T50">
        <v>9</v>
      </c>
      <c r="U50">
        <v>2538</v>
      </c>
      <c r="V50">
        <v>13</v>
      </c>
      <c r="W50">
        <v>3666</v>
      </c>
      <c r="X50">
        <v>7</v>
      </c>
      <c r="Y50">
        <v>1974</v>
      </c>
      <c r="Z50">
        <v>8</v>
      </c>
      <c r="AA50">
        <v>2256</v>
      </c>
      <c r="AB50">
        <v>11</v>
      </c>
      <c r="AC50">
        <v>3102</v>
      </c>
      <c r="AD50">
        <v>13</v>
      </c>
      <c r="AE50">
        <v>3666</v>
      </c>
      <c r="AF50">
        <v>11</v>
      </c>
      <c r="AG50">
        <v>3102</v>
      </c>
      <c r="AH50">
        <v>12</v>
      </c>
      <c r="AI50">
        <v>3384</v>
      </c>
      <c r="AJ50">
        <v>8</v>
      </c>
      <c r="AK50">
        <v>2256</v>
      </c>
      <c r="AL50">
        <v>14</v>
      </c>
      <c r="AM50">
        <v>3948</v>
      </c>
      <c r="AN50">
        <v>8</v>
      </c>
      <c r="AO50">
        <v>2256</v>
      </c>
      <c r="AP50">
        <v>10</v>
      </c>
      <c r="AQ50">
        <v>2820</v>
      </c>
      <c r="AR50">
        <v>12</v>
      </c>
      <c r="AS50">
        <v>3384</v>
      </c>
      <c r="AT50">
        <v>11</v>
      </c>
      <c r="AU50">
        <v>3102</v>
      </c>
      <c r="AV50">
        <v>14</v>
      </c>
      <c r="AW50">
        <v>3948</v>
      </c>
      <c r="AX50">
        <v>12</v>
      </c>
      <c r="AY50">
        <v>3384</v>
      </c>
      <c r="AZ50">
        <v>14</v>
      </c>
      <c r="BA50">
        <v>3948</v>
      </c>
      <c r="BB50">
        <v>7</v>
      </c>
      <c r="BC50">
        <v>1974</v>
      </c>
      <c r="BD50">
        <v>13</v>
      </c>
      <c r="BE50">
        <v>3666</v>
      </c>
      <c r="BF50">
        <v>9</v>
      </c>
      <c r="BG50">
        <v>2538</v>
      </c>
      <c r="BH50">
        <v>10</v>
      </c>
      <c r="BI50">
        <v>2820</v>
      </c>
      <c r="BJ50">
        <v>11</v>
      </c>
      <c r="BK50">
        <v>3102</v>
      </c>
      <c r="BL50">
        <v>12</v>
      </c>
      <c r="BM50">
        <v>3384</v>
      </c>
      <c r="BN50">
        <v>13</v>
      </c>
      <c r="BO50">
        <v>3666</v>
      </c>
      <c r="BP50">
        <v>9</v>
      </c>
      <c r="BQ50">
        <v>2538</v>
      </c>
      <c r="BR50">
        <v>12</v>
      </c>
      <c r="BS50">
        <v>3384</v>
      </c>
      <c r="BT50">
        <v>13</v>
      </c>
      <c r="BU50">
        <v>3666</v>
      </c>
      <c r="BV50">
        <v>15</v>
      </c>
      <c r="BW50">
        <v>4230</v>
      </c>
      <c r="BX50">
        <v>13</v>
      </c>
      <c r="BY50">
        <v>3666</v>
      </c>
      <c r="BZ50">
        <v>10</v>
      </c>
      <c r="CA50">
        <v>2820</v>
      </c>
      <c r="CB50">
        <v>12</v>
      </c>
      <c r="CC50">
        <v>3384</v>
      </c>
      <c r="CD50">
        <v>11</v>
      </c>
      <c r="CE50">
        <v>3102</v>
      </c>
      <c r="CF50">
        <v>9</v>
      </c>
      <c r="CG50">
        <v>2538</v>
      </c>
      <c r="CH50">
        <v>13</v>
      </c>
      <c r="CI50">
        <v>3666</v>
      </c>
      <c r="CJ50">
        <v>14</v>
      </c>
      <c r="CK50">
        <v>3948</v>
      </c>
      <c r="CL50">
        <v>10</v>
      </c>
      <c r="CM50">
        <v>2820</v>
      </c>
      <c r="CN50">
        <v>14</v>
      </c>
      <c r="CO50">
        <v>3948</v>
      </c>
      <c r="CP50">
        <v>10</v>
      </c>
      <c r="CQ50">
        <v>2820</v>
      </c>
      <c r="CR50">
        <v>8</v>
      </c>
      <c r="CS50">
        <v>2256</v>
      </c>
      <c r="CT50">
        <v>10</v>
      </c>
      <c r="CU50">
        <v>2820</v>
      </c>
    </row>
    <row r="51" spans="2:99" x14ac:dyDescent="0.2">
      <c r="C51" s="118" t="s">
        <v>217</v>
      </c>
      <c r="D51">
        <v>12</v>
      </c>
      <c r="E51">
        <v>10252.799999999999</v>
      </c>
      <c r="F51">
        <v>10</v>
      </c>
      <c r="G51">
        <v>8544</v>
      </c>
      <c r="H51">
        <v>10</v>
      </c>
      <c r="I51">
        <v>8544</v>
      </c>
      <c r="J51">
        <v>11</v>
      </c>
      <c r="K51">
        <v>9398.4</v>
      </c>
      <c r="L51">
        <v>10</v>
      </c>
      <c r="M51">
        <v>8544</v>
      </c>
      <c r="N51">
        <v>13</v>
      </c>
      <c r="O51">
        <v>11107.199999999999</v>
      </c>
      <c r="P51">
        <v>8</v>
      </c>
      <c r="Q51">
        <v>6835.2</v>
      </c>
      <c r="R51">
        <v>12</v>
      </c>
      <c r="S51">
        <v>10252.799999999999</v>
      </c>
      <c r="T51">
        <v>9</v>
      </c>
      <c r="U51">
        <v>7689.5999999999995</v>
      </c>
      <c r="V51">
        <v>12</v>
      </c>
      <c r="W51">
        <v>10252.799999999999</v>
      </c>
      <c r="X51">
        <v>7</v>
      </c>
      <c r="Y51">
        <v>5980.8</v>
      </c>
      <c r="Z51">
        <v>7</v>
      </c>
      <c r="AA51">
        <v>5980.8</v>
      </c>
      <c r="AB51">
        <v>9</v>
      </c>
      <c r="AC51">
        <v>7689.5999999999995</v>
      </c>
      <c r="AD51">
        <v>11</v>
      </c>
      <c r="AE51">
        <v>9398.4</v>
      </c>
      <c r="AF51">
        <v>10</v>
      </c>
      <c r="AG51">
        <v>8544</v>
      </c>
      <c r="AH51">
        <v>12</v>
      </c>
      <c r="AI51">
        <v>10252.799999999999</v>
      </c>
      <c r="AJ51">
        <v>8</v>
      </c>
      <c r="AK51">
        <v>6835.2</v>
      </c>
      <c r="AL51">
        <v>12</v>
      </c>
      <c r="AM51">
        <v>10252.799999999999</v>
      </c>
      <c r="AN51">
        <v>7</v>
      </c>
      <c r="AO51">
        <v>5980.8</v>
      </c>
      <c r="AP51">
        <v>10</v>
      </c>
      <c r="AQ51">
        <v>8544</v>
      </c>
      <c r="AR51">
        <v>11</v>
      </c>
      <c r="AS51">
        <v>9398.4</v>
      </c>
      <c r="AT51">
        <v>11</v>
      </c>
      <c r="AU51">
        <v>9398.4</v>
      </c>
      <c r="AV51">
        <v>13</v>
      </c>
      <c r="AW51">
        <v>11107.199999999999</v>
      </c>
      <c r="AX51">
        <v>11</v>
      </c>
      <c r="AY51">
        <v>9398.4</v>
      </c>
      <c r="AZ51">
        <v>12</v>
      </c>
      <c r="BA51">
        <v>10252.799999999999</v>
      </c>
      <c r="BB51">
        <v>7</v>
      </c>
      <c r="BC51">
        <v>5980.8</v>
      </c>
      <c r="BD51">
        <v>12</v>
      </c>
      <c r="BE51">
        <v>10252.799999999999</v>
      </c>
      <c r="BF51">
        <v>9</v>
      </c>
      <c r="BG51">
        <v>7689.5999999999995</v>
      </c>
      <c r="BH51">
        <v>10</v>
      </c>
      <c r="BI51">
        <v>8544</v>
      </c>
      <c r="BJ51">
        <v>11</v>
      </c>
      <c r="BK51">
        <v>9398.4</v>
      </c>
      <c r="BL51">
        <v>12</v>
      </c>
      <c r="BM51">
        <v>10252.799999999999</v>
      </c>
      <c r="BN51">
        <v>13</v>
      </c>
      <c r="BO51">
        <v>11107.199999999999</v>
      </c>
      <c r="BP51">
        <v>9</v>
      </c>
      <c r="BQ51">
        <v>7689.5999999999995</v>
      </c>
      <c r="BR51">
        <v>13</v>
      </c>
      <c r="BS51">
        <v>11107.199999999999</v>
      </c>
      <c r="BT51">
        <v>13</v>
      </c>
      <c r="BU51">
        <v>11107.199999999999</v>
      </c>
      <c r="BV51">
        <v>13</v>
      </c>
      <c r="BW51">
        <v>11107.199999999999</v>
      </c>
      <c r="BX51">
        <v>11</v>
      </c>
      <c r="BY51">
        <v>9398.4</v>
      </c>
      <c r="BZ51">
        <v>11</v>
      </c>
      <c r="CA51">
        <v>9398.4</v>
      </c>
      <c r="CB51">
        <v>10</v>
      </c>
      <c r="CC51">
        <v>8544</v>
      </c>
      <c r="CD51">
        <v>11</v>
      </c>
      <c r="CE51">
        <v>9398.4</v>
      </c>
      <c r="CF51">
        <v>9</v>
      </c>
      <c r="CG51">
        <v>7689.5999999999995</v>
      </c>
      <c r="CH51">
        <v>14</v>
      </c>
      <c r="CI51">
        <v>11961.6</v>
      </c>
      <c r="CJ51">
        <v>12</v>
      </c>
      <c r="CK51">
        <v>10252.799999999999</v>
      </c>
      <c r="CL51">
        <v>11</v>
      </c>
      <c r="CM51">
        <v>9398.4</v>
      </c>
      <c r="CN51">
        <v>13</v>
      </c>
      <c r="CO51">
        <v>11107.199999999999</v>
      </c>
      <c r="CP51">
        <v>9</v>
      </c>
      <c r="CQ51">
        <v>7689.5999999999995</v>
      </c>
      <c r="CR51">
        <v>9</v>
      </c>
      <c r="CS51">
        <v>7689.5999999999995</v>
      </c>
      <c r="CT51">
        <v>10</v>
      </c>
      <c r="CU51">
        <v>8544</v>
      </c>
    </row>
    <row r="52" spans="2:99" x14ac:dyDescent="0.2">
      <c r="C52" s="118" t="s">
        <v>218</v>
      </c>
      <c r="D52">
        <v>12</v>
      </c>
      <c r="E52">
        <v>6480</v>
      </c>
      <c r="F52">
        <v>9</v>
      </c>
      <c r="G52">
        <v>4860</v>
      </c>
      <c r="H52">
        <v>9</v>
      </c>
      <c r="I52">
        <v>4860</v>
      </c>
      <c r="J52">
        <v>12</v>
      </c>
      <c r="K52">
        <v>6480</v>
      </c>
      <c r="L52">
        <v>9</v>
      </c>
      <c r="M52">
        <v>4860</v>
      </c>
      <c r="N52">
        <v>15</v>
      </c>
      <c r="O52">
        <v>8100</v>
      </c>
      <c r="P52">
        <v>8</v>
      </c>
      <c r="Q52">
        <v>4320</v>
      </c>
      <c r="R52">
        <v>12</v>
      </c>
      <c r="S52">
        <v>6480</v>
      </c>
      <c r="T52">
        <v>9</v>
      </c>
      <c r="U52">
        <v>4860</v>
      </c>
      <c r="V52">
        <v>13</v>
      </c>
      <c r="W52">
        <v>7020</v>
      </c>
      <c r="X52">
        <v>8</v>
      </c>
      <c r="Y52">
        <v>4320</v>
      </c>
      <c r="Z52">
        <v>8</v>
      </c>
      <c r="AA52">
        <v>4320</v>
      </c>
      <c r="AB52">
        <v>10</v>
      </c>
      <c r="AC52">
        <v>5400</v>
      </c>
      <c r="AD52">
        <v>11</v>
      </c>
      <c r="AE52">
        <v>5940</v>
      </c>
      <c r="AF52">
        <v>11</v>
      </c>
      <c r="AG52">
        <v>5940</v>
      </c>
      <c r="AH52">
        <v>11</v>
      </c>
      <c r="AI52">
        <v>5940</v>
      </c>
      <c r="AJ52">
        <v>8</v>
      </c>
      <c r="AK52">
        <v>4320</v>
      </c>
      <c r="AL52">
        <v>12</v>
      </c>
      <c r="AM52">
        <v>6480</v>
      </c>
      <c r="AN52">
        <v>8</v>
      </c>
      <c r="AO52">
        <v>4320</v>
      </c>
      <c r="AP52">
        <v>9</v>
      </c>
      <c r="AQ52">
        <v>4860</v>
      </c>
      <c r="AR52">
        <v>12</v>
      </c>
      <c r="AS52">
        <v>6480</v>
      </c>
      <c r="AT52">
        <v>12</v>
      </c>
      <c r="AU52">
        <v>6480</v>
      </c>
      <c r="AV52">
        <v>13</v>
      </c>
      <c r="AW52">
        <v>7020</v>
      </c>
      <c r="AX52">
        <v>10</v>
      </c>
      <c r="AY52">
        <v>5400</v>
      </c>
      <c r="AZ52">
        <v>15</v>
      </c>
      <c r="BA52">
        <v>8100</v>
      </c>
      <c r="BB52">
        <v>7</v>
      </c>
      <c r="BC52">
        <v>3780</v>
      </c>
      <c r="BD52">
        <v>12</v>
      </c>
      <c r="BE52">
        <v>6480</v>
      </c>
      <c r="BF52">
        <v>9</v>
      </c>
      <c r="BG52">
        <v>4860</v>
      </c>
      <c r="BH52">
        <v>11</v>
      </c>
      <c r="BI52">
        <v>5940</v>
      </c>
      <c r="BJ52">
        <v>12</v>
      </c>
      <c r="BK52">
        <v>6480</v>
      </c>
      <c r="BL52">
        <v>11</v>
      </c>
      <c r="BM52">
        <v>5940</v>
      </c>
      <c r="BN52">
        <v>15</v>
      </c>
      <c r="BO52">
        <v>8100</v>
      </c>
      <c r="BP52">
        <v>9</v>
      </c>
      <c r="BQ52">
        <v>4860</v>
      </c>
      <c r="BR52">
        <v>13</v>
      </c>
      <c r="BS52">
        <v>7020</v>
      </c>
      <c r="BT52">
        <v>14</v>
      </c>
      <c r="BU52">
        <v>7560</v>
      </c>
      <c r="BV52">
        <v>15</v>
      </c>
      <c r="BW52">
        <v>8100</v>
      </c>
      <c r="BX52">
        <v>12</v>
      </c>
      <c r="BY52">
        <v>6480</v>
      </c>
      <c r="BZ52">
        <v>11</v>
      </c>
      <c r="CA52">
        <v>5940</v>
      </c>
      <c r="CB52">
        <v>11</v>
      </c>
      <c r="CC52">
        <v>5940</v>
      </c>
      <c r="CD52">
        <v>11</v>
      </c>
      <c r="CE52">
        <v>5940</v>
      </c>
      <c r="CF52">
        <v>9</v>
      </c>
      <c r="CG52">
        <v>4860</v>
      </c>
      <c r="CH52">
        <v>14</v>
      </c>
      <c r="CI52">
        <v>7560</v>
      </c>
      <c r="CJ52">
        <v>11</v>
      </c>
      <c r="CK52">
        <v>5940</v>
      </c>
      <c r="CL52">
        <v>10</v>
      </c>
      <c r="CM52">
        <v>5400</v>
      </c>
      <c r="CN52">
        <v>11</v>
      </c>
      <c r="CO52">
        <v>5940</v>
      </c>
      <c r="CP52">
        <v>10</v>
      </c>
      <c r="CQ52">
        <v>5400</v>
      </c>
      <c r="CR52">
        <v>8</v>
      </c>
      <c r="CS52">
        <v>4320</v>
      </c>
      <c r="CT52">
        <v>11</v>
      </c>
      <c r="CU52">
        <v>5940</v>
      </c>
    </row>
    <row r="53" spans="2:99" x14ac:dyDescent="0.2">
      <c r="C53" s="118" t="s">
        <v>219</v>
      </c>
      <c r="D53">
        <v>13</v>
      </c>
      <c r="E53">
        <v>5288.4000000000005</v>
      </c>
      <c r="F53">
        <v>11</v>
      </c>
      <c r="G53">
        <v>4474.8</v>
      </c>
      <c r="H53">
        <v>10</v>
      </c>
      <c r="I53">
        <v>4068</v>
      </c>
      <c r="J53">
        <v>11</v>
      </c>
      <c r="K53">
        <v>4474.8</v>
      </c>
      <c r="L53">
        <v>9</v>
      </c>
      <c r="M53">
        <v>3661.2000000000003</v>
      </c>
      <c r="N53">
        <v>15</v>
      </c>
      <c r="O53">
        <v>6102</v>
      </c>
      <c r="P53">
        <v>8</v>
      </c>
      <c r="Q53">
        <v>3254.4</v>
      </c>
      <c r="R53">
        <v>11</v>
      </c>
      <c r="S53">
        <v>4474.8</v>
      </c>
      <c r="T53">
        <v>10</v>
      </c>
      <c r="U53">
        <v>4068</v>
      </c>
      <c r="V53">
        <v>14</v>
      </c>
      <c r="W53">
        <v>5695.2</v>
      </c>
      <c r="X53">
        <v>7</v>
      </c>
      <c r="Y53">
        <v>2847.6</v>
      </c>
      <c r="Z53">
        <v>8</v>
      </c>
      <c r="AA53">
        <v>3254.4</v>
      </c>
      <c r="AB53">
        <v>9</v>
      </c>
      <c r="AC53">
        <v>3661.2000000000003</v>
      </c>
      <c r="AD53">
        <v>11</v>
      </c>
      <c r="AE53">
        <v>4474.8</v>
      </c>
      <c r="AF53">
        <v>10</v>
      </c>
      <c r="AG53">
        <v>4068</v>
      </c>
      <c r="AH53">
        <v>11</v>
      </c>
      <c r="AI53">
        <v>4474.8</v>
      </c>
      <c r="AJ53">
        <v>8</v>
      </c>
      <c r="AK53">
        <v>3254.4</v>
      </c>
      <c r="AL53">
        <v>13</v>
      </c>
      <c r="AM53">
        <v>5288.4000000000005</v>
      </c>
      <c r="AN53">
        <v>8</v>
      </c>
      <c r="AO53">
        <v>3254.4</v>
      </c>
      <c r="AP53">
        <v>10</v>
      </c>
      <c r="AQ53">
        <v>4068</v>
      </c>
      <c r="AR53">
        <v>13</v>
      </c>
      <c r="AS53">
        <v>5288.4000000000005</v>
      </c>
      <c r="AT53">
        <v>12</v>
      </c>
      <c r="AU53">
        <v>4881.6000000000004</v>
      </c>
      <c r="AV53">
        <v>14</v>
      </c>
      <c r="AW53">
        <v>5695.2</v>
      </c>
      <c r="AX53">
        <v>12</v>
      </c>
      <c r="AY53">
        <v>4881.6000000000004</v>
      </c>
      <c r="AZ53">
        <v>13</v>
      </c>
      <c r="BA53">
        <v>5288.4000000000005</v>
      </c>
      <c r="BB53">
        <v>7</v>
      </c>
      <c r="BC53">
        <v>2847.6</v>
      </c>
      <c r="BD53">
        <v>12</v>
      </c>
      <c r="BE53">
        <v>4881.6000000000004</v>
      </c>
      <c r="BF53">
        <v>9</v>
      </c>
      <c r="BG53">
        <v>3661.2000000000003</v>
      </c>
      <c r="BH53">
        <v>11</v>
      </c>
      <c r="BI53">
        <v>4474.8</v>
      </c>
      <c r="BJ53">
        <v>11</v>
      </c>
      <c r="BK53">
        <v>4474.8</v>
      </c>
      <c r="BL53">
        <v>12</v>
      </c>
      <c r="BM53">
        <v>4881.6000000000004</v>
      </c>
      <c r="BN53">
        <v>14</v>
      </c>
      <c r="BO53">
        <v>5695.2</v>
      </c>
      <c r="BP53">
        <v>9</v>
      </c>
      <c r="BQ53">
        <v>3661.2000000000003</v>
      </c>
      <c r="BR53">
        <v>14</v>
      </c>
      <c r="BS53">
        <v>5695.2</v>
      </c>
      <c r="BT53">
        <v>12</v>
      </c>
      <c r="BU53">
        <v>4881.6000000000004</v>
      </c>
      <c r="BV53">
        <v>15</v>
      </c>
      <c r="BW53">
        <v>6102</v>
      </c>
      <c r="BX53">
        <v>13</v>
      </c>
      <c r="BY53">
        <v>5288.4000000000005</v>
      </c>
      <c r="BZ53">
        <v>11</v>
      </c>
      <c r="CA53">
        <v>4474.8</v>
      </c>
      <c r="CB53">
        <v>13</v>
      </c>
      <c r="CC53">
        <v>5288.4000000000005</v>
      </c>
      <c r="CD53">
        <v>12</v>
      </c>
      <c r="CE53">
        <v>4881.6000000000004</v>
      </c>
      <c r="CF53">
        <v>8</v>
      </c>
      <c r="CG53">
        <v>3254.4</v>
      </c>
      <c r="CH53">
        <v>14</v>
      </c>
      <c r="CI53">
        <v>5695.2</v>
      </c>
      <c r="CJ53">
        <v>14</v>
      </c>
      <c r="CK53">
        <v>5695.2</v>
      </c>
      <c r="CL53">
        <v>10</v>
      </c>
      <c r="CM53">
        <v>4068</v>
      </c>
      <c r="CN53">
        <v>12</v>
      </c>
      <c r="CO53">
        <v>4881.6000000000004</v>
      </c>
      <c r="CP53">
        <v>10</v>
      </c>
      <c r="CQ53">
        <v>4068</v>
      </c>
      <c r="CR53">
        <v>9</v>
      </c>
      <c r="CS53">
        <v>3661.2000000000003</v>
      </c>
      <c r="CT53">
        <v>11</v>
      </c>
      <c r="CU53">
        <v>4474.8</v>
      </c>
    </row>
    <row r="54" spans="2:99" x14ac:dyDescent="0.2">
      <c r="C54" s="118" t="s">
        <v>220</v>
      </c>
      <c r="D54">
        <v>14</v>
      </c>
      <c r="E54">
        <v>4687.2</v>
      </c>
      <c r="F54">
        <v>11</v>
      </c>
      <c r="G54">
        <v>3682.8</v>
      </c>
      <c r="H54">
        <v>9</v>
      </c>
      <c r="I54">
        <v>3013.2000000000003</v>
      </c>
      <c r="J54">
        <v>11</v>
      </c>
      <c r="K54">
        <v>3682.8</v>
      </c>
      <c r="L54">
        <v>10</v>
      </c>
      <c r="M54">
        <v>3348</v>
      </c>
      <c r="N54">
        <v>14</v>
      </c>
      <c r="O54">
        <v>4687.2</v>
      </c>
      <c r="P54">
        <v>8</v>
      </c>
      <c r="Q54">
        <v>2678.4</v>
      </c>
      <c r="R54">
        <v>13</v>
      </c>
      <c r="S54">
        <v>4352.4000000000005</v>
      </c>
      <c r="T54">
        <v>10</v>
      </c>
      <c r="U54">
        <v>3348</v>
      </c>
      <c r="V54">
        <v>13</v>
      </c>
      <c r="W54">
        <v>4352.4000000000005</v>
      </c>
      <c r="X54">
        <v>8</v>
      </c>
      <c r="Y54">
        <v>2678.4</v>
      </c>
      <c r="Z54">
        <v>8</v>
      </c>
      <c r="AA54">
        <v>2678.4</v>
      </c>
      <c r="AB54">
        <v>11</v>
      </c>
      <c r="AC54">
        <v>3682.8</v>
      </c>
      <c r="AD54">
        <v>13</v>
      </c>
      <c r="AE54">
        <v>4352.4000000000005</v>
      </c>
      <c r="AF54">
        <v>10</v>
      </c>
      <c r="AG54">
        <v>3348</v>
      </c>
      <c r="AH54">
        <v>12</v>
      </c>
      <c r="AI54">
        <v>4017.6000000000004</v>
      </c>
      <c r="AJ54">
        <v>8</v>
      </c>
      <c r="AK54">
        <v>2678.4</v>
      </c>
      <c r="AL54">
        <v>14</v>
      </c>
      <c r="AM54">
        <v>4687.2</v>
      </c>
      <c r="AN54">
        <v>7</v>
      </c>
      <c r="AO54">
        <v>2343.6</v>
      </c>
      <c r="AP54">
        <v>10</v>
      </c>
      <c r="AQ54">
        <v>3348</v>
      </c>
      <c r="AR54">
        <v>11</v>
      </c>
      <c r="AS54">
        <v>3682.8</v>
      </c>
      <c r="AT54">
        <v>12</v>
      </c>
      <c r="AU54">
        <v>4017.6000000000004</v>
      </c>
      <c r="AV54">
        <v>13</v>
      </c>
      <c r="AW54">
        <v>4352.4000000000005</v>
      </c>
      <c r="AX54">
        <v>11</v>
      </c>
      <c r="AY54">
        <v>3682.8</v>
      </c>
      <c r="AZ54">
        <v>13</v>
      </c>
      <c r="BA54">
        <v>4352.4000000000005</v>
      </c>
      <c r="BB54">
        <v>8</v>
      </c>
      <c r="BC54">
        <v>2678.4</v>
      </c>
      <c r="BD54">
        <v>13</v>
      </c>
      <c r="BE54">
        <v>4352.4000000000005</v>
      </c>
      <c r="BF54">
        <v>9</v>
      </c>
      <c r="BG54">
        <v>3013.2000000000003</v>
      </c>
      <c r="BH54">
        <v>11</v>
      </c>
      <c r="BI54">
        <v>3682.8</v>
      </c>
      <c r="BJ54">
        <v>12</v>
      </c>
      <c r="BK54">
        <v>4017.6000000000004</v>
      </c>
      <c r="BL54">
        <v>11</v>
      </c>
      <c r="BM54">
        <v>3682.8</v>
      </c>
      <c r="BN54">
        <v>14</v>
      </c>
      <c r="BO54">
        <v>4687.2</v>
      </c>
      <c r="BP54">
        <v>8</v>
      </c>
      <c r="BQ54">
        <v>2678.4</v>
      </c>
      <c r="BR54">
        <v>13</v>
      </c>
      <c r="BS54">
        <v>4352.4000000000005</v>
      </c>
      <c r="BT54">
        <v>14</v>
      </c>
      <c r="BU54">
        <v>4687.2</v>
      </c>
      <c r="BV54">
        <v>15</v>
      </c>
      <c r="BW54">
        <v>5022</v>
      </c>
      <c r="BX54">
        <v>13</v>
      </c>
      <c r="BY54">
        <v>4352.4000000000005</v>
      </c>
      <c r="BZ54">
        <v>12</v>
      </c>
      <c r="CA54">
        <v>4017.6000000000004</v>
      </c>
      <c r="CB54">
        <v>11</v>
      </c>
      <c r="CC54">
        <v>3682.8</v>
      </c>
      <c r="CD54">
        <v>11</v>
      </c>
      <c r="CE54">
        <v>3682.8</v>
      </c>
      <c r="CF54">
        <v>9</v>
      </c>
      <c r="CG54">
        <v>3013.2000000000003</v>
      </c>
      <c r="CH54">
        <v>14</v>
      </c>
      <c r="CI54">
        <v>4687.2</v>
      </c>
      <c r="CJ54">
        <v>14</v>
      </c>
      <c r="CK54">
        <v>4687.2</v>
      </c>
      <c r="CL54">
        <v>12</v>
      </c>
      <c r="CM54">
        <v>4017.6000000000004</v>
      </c>
      <c r="CN54">
        <v>12</v>
      </c>
      <c r="CO54">
        <v>4017.6000000000004</v>
      </c>
      <c r="CP54">
        <v>10</v>
      </c>
      <c r="CQ54">
        <v>3348</v>
      </c>
      <c r="CR54">
        <v>9</v>
      </c>
      <c r="CS54">
        <v>3013.2000000000003</v>
      </c>
      <c r="CT54">
        <v>11</v>
      </c>
      <c r="CU54">
        <v>3682.8</v>
      </c>
    </row>
    <row r="55" spans="2:99" x14ac:dyDescent="0.2">
      <c r="C55" s="118" t="s">
        <v>221</v>
      </c>
      <c r="D55">
        <v>13</v>
      </c>
      <c r="E55">
        <v>8626.8000000000011</v>
      </c>
      <c r="F55">
        <v>10</v>
      </c>
      <c r="G55">
        <v>6636</v>
      </c>
      <c r="H55">
        <v>9</v>
      </c>
      <c r="I55">
        <v>5972.4000000000005</v>
      </c>
      <c r="J55">
        <v>12</v>
      </c>
      <c r="K55">
        <v>7963.2000000000007</v>
      </c>
      <c r="L55">
        <v>10</v>
      </c>
      <c r="M55">
        <v>6636</v>
      </c>
      <c r="N55">
        <v>15</v>
      </c>
      <c r="O55">
        <v>9954</v>
      </c>
      <c r="P55">
        <v>8</v>
      </c>
      <c r="Q55">
        <v>5308.8</v>
      </c>
      <c r="R55">
        <v>11</v>
      </c>
      <c r="S55">
        <v>7299.6</v>
      </c>
      <c r="T55">
        <v>9</v>
      </c>
      <c r="U55">
        <v>5972.4000000000005</v>
      </c>
      <c r="V55">
        <v>14</v>
      </c>
      <c r="W55">
        <v>9290.4</v>
      </c>
      <c r="X55">
        <v>6</v>
      </c>
      <c r="Y55">
        <v>3981.6000000000004</v>
      </c>
      <c r="Z55">
        <v>8</v>
      </c>
      <c r="AA55">
        <v>5308.8</v>
      </c>
      <c r="AB55">
        <v>10</v>
      </c>
      <c r="AC55">
        <v>6636</v>
      </c>
      <c r="AD55">
        <v>13</v>
      </c>
      <c r="AE55">
        <v>8626.8000000000011</v>
      </c>
      <c r="AF55">
        <v>11</v>
      </c>
      <c r="AG55">
        <v>7299.6</v>
      </c>
      <c r="AH55">
        <v>11</v>
      </c>
      <c r="AI55">
        <v>7299.6</v>
      </c>
      <c r="AJ55">
        <v>9</v>
      </c>
      <c r="AK55">
        <v>5972.4000000000005</v>
      </c>
      <c r="AL55">
        <v>12</v>
      </c>
      <c r="AM55">
        <v>7963.2000000000007</v>
      </c>
      <c r="AN55">
        <v>7</v>
      </c>
      <c r="AO55">
        <v>4645.2</v>
      </c>
      <c r="AP55">
        <v>9</v>
      </c>
      <c r="AQ55">
        <v>5972.4000000000005</v>
      </c>
      <c r="AR55">
        <v>11</v>
      </c>
      <c r="AS55">
        <v>7299.6</v>
      </c>
      <c r="AT55">
        <v>12</v>
      </c>
      <c r="AU55">
        <v>7963.2000000000007</v>
      </c>
      <c r="AV55">
        <v>13</v>
      </c>
      <c r="AW55">
        <v>8626.8000000000011</v>
      </c>
      <c r="AX55">
        <v>12</v>
      </c>
      <c r="AY55">
        <v>7963.2000000000007</v>
      </c>
      <c r="AZ55">
        <v>13</v>
      </c>
      <c r="BA55">
        <v>8626.8000000000011</v>
      </c>
      <c r="BB55">
        <v>8</v>
      </c>
      <c r="BC55">
        <v>5308.8</v>
      </c>
      <c r="BD55">
        <v>13</v>
      </c>
      <c r="BE55">
        <v>8626.8000000000011</v>
      </c>
      <c r="BF55">
        <v>10</v>
      </c>
      <c r="BG55">
        <v>6636</v>
      </c>
      <c r="BH55">
        <v>11</v>
      </c>
      <c r="BI55">
        <v>7299.6</v>
      </c>
      <c r="BJ55">
        <v>12</v>
      </c>
      <c r="BK55">
        <v>7963.2000000000007</v>
      </c>
      <c r="BL55">
        <v>10</v>
      </c>
      <c r="BM55">
        <v>6636</v>
      </c>
      <c r="BN55">
        <v>14</v>
      </c>
      <c r="BO55">
        <v>9290.4</v>
      </c>
      <c r="BP55">
        <v>8</v>
      </c>
      <c r="BQ55">
        <v>5308.8</v>
      </c>
      <c r="BR55">
        <v>13</v>
      </c>
      <c r="BS55">
        <v>8626.8000000000011</v>
      </c>
      <c r="BT55">
        <v>13</v>
      </c>
      <c r="BU55">
        <v>8626.8000000000011</v>
      </c>
      <c r="BV55">
        <v>15</v>
      </c>
      <c r="BW55">
        <v>9954</v>
      </c>
      <c r="BX55">
        <v>13</v>
      </c>
      <c r="BY55">
        <v>8626.8000000000011</v>
      </c>
      <c r="BZ55">
        <v>10</v>
      </c>
      <c r="CA55">
        <v>6636</v>
      </c>
      <c r="CB55">
        <v>12</v>
      </c>
      <c r="CC55">
        <v>7963.2000000000007</v>
      </c>
      <c r="CD55">
        <v>11</v>
      </c>
      <c r="CE55">
        <v>7299.6</v>
      </c>
      <c r="CF55">
        <v>9</v>
      </c>
      <c r="CG55">
        <v>5972.4000000000005</v>
      </c>
      <c r="CH55">
        <v>12</v>
      </c>
      <c r="CI55">
        <v>7963.2000000000007</v>
      </c>
      <c r="CJ55">
        <v>11</v>
      </c>
      <c r="CK55">
        <v>7299.6</v>
      </c>
      <c r="CL55">
        <v>10</v>
      </c>
      <c r="CM55">
        <v>6636</v>
      </c>
      <c r="CN55">
        <v>11</v>
      </c>
      <c r="CO55">
        <v>7299.6</v>
      </c>
      <c r="CP55">
        <v>9</v>
      </c>
      <c r="CQ55">
        <v>5972.4000000000005</v>
      </c>
      <c r="CR55">
        <v>8</v>
      </c>
      <c r="CS55">
        <v>5308.8</v>
      </c>
      <c r="CT55">
        <v>10</v>
      </c>
      <c r="CU55">
        <v>6636</v>
      </c>
    </row>
    <row r="56" spans="2:99" x14ac:dyDescent="0.2">
      <c r="C56" s="118" t="s">
        <v>222</v>
      </c>
      <c r="D56">
        <v>8.9075226121947075</v>
      </c>
      <c r="E56">
        <v>10250.777022113669</v>
      </c>
      <c r="F56">
        <v>5.2835336515778186</v>
      </c>
      <c r="G56">
        <v>6080.2905262357535</v>
      </c>
      <c r="H56">
        <v>6.7016906782230397</v>
      </c>
      <c r="I56">
        <v>7712.3056324990739</v>
      </c>
      <c r="J56">
        <v>11.582173438060009</v>
      </c>
      <c r="K56">
        <v>13328.765192519457</v>
      </c>
      <c r="L56">
        <v>9.4499923477521524</v>
      </c>
      <c r="M56">
        <v>10875.051193793177</v>
      </c>
      <c r="N56">
        <v>13</v>
      </c>
      <c r="O56">
        <v>14960.4</v>
      </c>
      <c r="P56">
        <v>7.2965471507685944</v>
      </c>
      <c r="Q56">
        <v>8396.8664611044987</v>
      </c>
      <c r="R56">
        <v>11.388425975130195</v>
      </c>
      <c r="S56">
        <v>13105.800612179828</v>
      </c>
      <c r="T56">
        <v>10.442426588750912</v>
      </c>
      <c r="U56">
        <v>12017.14451833455</v>
      </c>
      <c r="V56">
        <v>12</v>
      </c>
      <c r="W56">
        <v>13809.599999999999</v>
      </c>
      <c r="X56">
        <v>6</v>
      </c>
      <c r="Y56">
        <v>6904.7999999999993</v>
      </c>
      <c r="Z56">
        <v>7</v>
      </c>
      <c r="AA56">
        <v>8055.5999999999995</v>
      </c>
      <c r="AB56">
        <v>9.3499983531039277</v>
      </c>
      <c r="AC56">
        <v>10759.978104751999</v>
      </c>
      <c r="AD56">
        <v>12.672708832001298</v>
      </c>
      <c r="AE56">
        <v>14583.753323867093</v>
      </c>
      <c r="AF56">
        <v>10.36424341876597</v>
      </c>
      <c r="AG56">
        <v>11927.171326315878</v>
      </c>
      <c r="AH56">
        <v>12.537928669410151</v>
      </c>
      <c r="AI56">
        <v>14428.648312757201</v>
      </c>
      <c r="AJ56">
        <v>8</v>
      </c>
      <c r="AK56">
        <v>9206.4</v>
      </c>
      <c r="AL56">
        <v>12.239596219897315</v>
      </c>
      <c r="AM56">
        <v>14085.32732985783</v>
      </c>
      <c r="AN56">
        <v>7.4063016528925623</v>
      </c>
      <c r="AO56">
        <v>8523.1719421487596</v>
      </c>
      <c r="AP56">
        <v>8.5954631379962194</v>
      </c>
      <c r="AQ56">
        <v>9891.6589792060495</v>
      </c>
      <c r="AR56">
        <v>11.785879728862945</v>
      </c>
      <c r="AS56">
        <v>13563.190391975477</v>
      </c>
      <c r="AT56">
        <v>10</v>
      </c>
      <c r="AU56">
        <v>11508</v>
      </c>
      <c r="AV56">
        <v>13.649931763974738</v>
      </c>
      <c r="AW56">
        <v>15708.341473982127</v>
      </c>
      <c r="AX56">
        <v>10.364581216431993</v>
      </c>
      <c r="AY56">
        <v>11927.560063869938</v>
      </c>
      <c r="AZ56">
        <v>12.644984934258582</v>
      </c>
      <c r="BA56">
        <v>14551.848662344777</v>
      </c>
      <c r="BB56">
        <v>7</v>
      </c>
      <c r="BC56">
        <v>8055.5999999999995</v>
      </c>
      <c r="BD56">
        <v>12.3</v>
      </c>
      <c r="BE56">
        <v>14154.84</v>
      </c>
      <c r="BF56">
        <v>9.4987890600781206</v>
      </c>
      <c r="BG56">
        <v>10931.206450337901</v>
      </c>
      <c r="BH56">
        <v>9.4106442407792983</v>
      </c>
      <c r="BI56">
        <v>10829.769392288816</v>
      </c>
      <c r="BJ56">
        <v>12.049013704734818</v>
      </c>
      <c r="BK56">
        <v>13866.004971408829</v>
      </c>
      <c r="BL56">
        <v>12.133557091348301</v>
      </c>
      <c r="BM56">
        <v>13963.297500723624</v>
      </c>
      <c r="BN56">
        <v>13.046778150826446</v>
      </c>
      <c r="BO56">
        <v>15014.232295971075</v>
      </c>
      <c r="BP56">
        <v>8.6043950850661624</v>
      </c>
      <c r="BQ56">
        <v>9901.9378638941398</v>
      </c>
      <c r="BR56">
        <v>13.583158859869323</v>
      </c>
      <c r="BS56">
        <v>15631.499215937616</v>
      </c>
      <c r="BT56">
        <v>11.478462086151655</v>
      </c>
      <c r="BU56">
        <v>13209.414168743324</v>
      </c>
      <c r="BV56">
        <v>13.392939864431472</v>
      </c>
      <c r="BW56">
        <v>15412.595195987738</v>
      </c>
      <c r="BX56">
        <v>12.514954284098406</v>
      </c>
      <c r="BY56">
        <v>14402.209390140446</v>
      </c>
      <c r="BZ56">
        <v>11</v>
      </c>
      <c r="CA56">
        <v>12658.8</v>
      </c>
      <c r="CB56">
        <v>11.109993516086369</v>
      </c>
      <c r="CC56">
        <v>12785.380538312193</v>
      </c>
      <c r="CD56">
        <v>10.639585002403461</v>
      </c>
      <c r="CE56">
        <v>12244.034420765902</v>
      </c>
      <c r="CF56">
        <v>9.4904697594118961</v>
      </c>
      <c r="CG56">
        <v>10921.63259913121</v>
      </c>
      <c r="CH56">
        <v>13.565276788892845</v>
      </c>
      <c r="CI56">
        <v>15610.920528657885</v>
      </c>
      <c r="CJ56">
        <v>11.597603681541163</v>
      </c>
      <c r="CK56">
        <v>13346.52231671757</v>
      </c>
      <c r="CL56">
        <v>11.513371488033298</v>
      </c>
      <c r="CM56">
        <v>13249.587908428719</v>
      </c>
      <c r="CN56">
        <v>12.637610687235465</v>
      </c>
      <c r="CO56">
        <v>14543.362378870574</v>
      </c>
      <c r="CP56">
        <v>9.6833738701574337</v>
      </c>
      <c r="CQ56">
        <v>11143.626649777174</v>
      </c>
      <c r="CR56">
        <v>8.0441972973193039</v>
      </c>
      <c r="CS56">
        <v>9257.2622497550547</v>
      </c>
      <c r="CT56">
        <v>10.770414201183431</v>
      </c>
      <c r="CU56">
        <v>12394.592662721892</v>
      </c>
    </row>
    <row r="57" spans="2:99" x14ac:dyDescent="0.2">
      <c r="C57" s="118" t="s">
        <v>223</v>
      </c>
      <c r="D57">
        <v>11</v>
      </c>
      <c r="E57">
        <v>15523.2</v>
      </c>
      <c r="F57">
        <v>8</v>
      </c>
      <c r="G57">
        <v>11289.6</v>
      </c>
      <c r="H57">
        <v>8</v>
      </c>
      <c r="I57">
        <v>11289.6</v>
      </c>
      <c r="J57">
        <v>11</v>
      </c>
      <c r="K57">
        <v>15523.2</v>
      </c>
      <c r="L57">
        <v>8</v>
      </c>
      <c r="M57">
        <v>11289.6</v>
      </c>
      <c r="N57">
        <v>13</v>
      </c>
      <c r="O57">
        <v>18345.600000000002</v>
      </c>
      <c r="P57">
        <v>8</v>
      </c>
      <c r="Q57">
        <v>11289.6</v>
      </c>
      <c r="R57">
        <v>11</v>
      </c>
      <c r="S57">
        <v>15523.2</v>
      </c>
      <c r="T57">
        <v>9</v>
      </c>
      <c r="U57">
        <v>12700.800000000001</v>
      </c>
      <c r="V57">
        <v>12</v>
      </c>
      <c r="W57">
        <v>16934.400000000001</v>
      </c>
      <c r="X57">
        <v>6</v>
      </c>
      <c r="Y57">
        <v>8467.2000000000007</v>
      </c>
      <c r="Z57">
        <v>6</v>
      </c>
      <c r="AA57">
        <v>8467.2000000000007</v>
      </c>
      <c r="AB57">
        <v>8</v>
      </c>
      <c r="AC57">
        <v>11289.6</v>
      </c>
      <c r="AD57">
        <v>11</v>
      </c>
      <c r="AE57">
        <v>15523.2</v>
      </c>
      <c r="AF57">
        <v>10</v>
      </c>
      <c r="AG57">
        <v>14112</v>
      </c>
      <c r="AH57">
        <v>11</v>
      </c>
      <c r="AI57">
        <v>15523.2</v>
      </c>
      <c r="AJ57">
        <v>8</v>
      </c>
      <c r="AK57">
        <v>11289.6</v>
      </c>
      <c r="AL57">
        <v>11</v>
      </c>
      <c r="AM57">
        <v>15523.2</v>
      </c>
      <c r="AN57">
        <v>6</v>
      </c>
      <c r="AO57">
        <v>8467.2000000000007</v>
      </c>
      <c r="AP57">
        <v>8</v>
      </c>
      <c r="AQ57">
        <v>11289.6</v>
      </c>
      <c r="AR57">
        <v>10</v>
      </c>
      <c r="AS57">
        <v>14112</v>
      </c>
      <c r="AT57">
        <v>12</v>
      </c>
      <c r="AU57">
        <v>16934.400000000001</v>
      </c>
      <c r="AV57">
        <v>13</v>
      </c>
      <c r="AW57">
        <v>18345.600000000002</v>
      </c>
      <c r="AX57">
        <v>9</v>
      </c>
      <c r="AY57">
        <v>12700.800000000001</v>
      </c>
      <c r="AZ57">
        <v>13</v>
      </c>
      <c r="BA57">
        <v>18345.600000000002</v>
      </c>
      <c r="BB57">
        <v>7</v>
      </c>
      <c r="BC57">
        <v>9878.4</v>
      </c>
      <c r="BD57">
        <v>12</v>
      </c>
      <c r="BE57">
        <v>16934.400000000001</v>
      </c>
      <c r="BF57">
        <v>9</v>
      </c>
      <c r="BG57">
        <v>12700.800000000001</v>
      </c>
      <c r="BH57">
        <v>9</v>
      </c>
      <c r="BI57">
        <v>12700.800000000001</v>
      </c>
      <c r="BJ57">
        <v>10</v>
      </c>
      <c r="BK57">
        <v>14112</v>
      </c>
      <c r="BL57">
        <v>10</v>
      </c>
      <c r="BM57">
        <v>14112</v>
      </c>
      <c r="BN57">
        <v>13</v>
      </c>
      <c r="BO57">
        <v>18345.600000000002</v>
      </c>
      <c r="BP57">
        <v>8</v>
      </c>
      <c r="BQ57">
        <v>11289.6</v>
      </c>
      <c r="BR57">
        <v>11</v>
      </c>
      <c r="BS57">
        <v>15523.2</v>
      </c>
      <c r="BT57">
        <v>12</v>
      </c>
      <c r="BU57">
        <v>16934.400000000001</v>
      </c>
      <c r="BV57">
        <v>12</v>
      </c>
      <c r="BW57">
        <v>16934.400000000001</v>
      </c>
      <c r="BX57">
        <v>12</v>
      </c>
      <c r="BY57">
        <v>16934.400000000001</v>
      </c>
      <c r="BZ57">
        <v>9</v>
      </c>
      <c r="CA57">
        <v>12700.800000000001</v>
      </c>
      <c r="CB57">
        <v>11</v>
      </c>
      <c r="CC57">
        <v>15523.2</v>
      </c>
      <c r="CD57">
        <v>9</v>
      </c>
      <c r="CE57">
        <v>12700.800000000001</v>
      </c>
      <c r="CF57">
        <v>8</v>
      </c>
      <c r="CG57">
        <v>11289.6</v>
      </c>
      <c r="CH57">
        <v>11</v>
      </c>
      <c r="CI57">
        <v>15523.2</v>
      </c>
      <c r="CJ57">
        <v>10</v>
      </c>
      <c r="CK57">
        <v>14112</v>
      </c>
      <c r="CL57">
        <v>11</v>
      </c>
      <c r="CM57">
        <v>15523.2</v>
      </c>
      <c r="CN57">
        <v>11</v>
      </c>
      <c r="CO57">
        <v>15523.2</v>
      </c>
      <c r="CP57">
        <v>9</v>
      </c>
      <c r="CQ57">
        <v>12700.800000000001</v>
      </c>
      <c r="CR57">
        <v>7</v>
      </c>
      <c r="CS57">
        <v>9878.4</v>
      </c>
      <c r="CT57">
        <v>10</v>
      </c>
      <c r="CU57">
        <v>14112</v>
      </c>
    </row>
    <row r="58" spans="2:99" x14ac:dyDescent="0.2">
      <c r="C58" s="118" t="s">
        <v>224</v>
      </c>
      <c r="D58">
        <v>8.1949203042066419</v>
      </c>
      <c r="E58">
        <v>9647.0601821120599</v>
      </c>
      <c r="F58">
        <v>4.6964743569580607</v>
      </c>
      <c r="G58">
        <v>5528.689613011029</v>
      </c>
      <c r="H58">
        <v>7.5394020130009203</v>
      </c>
      <c r="I58">
        <v>8875.384049704684</v>
      </c>
      <c r="J58">
        <v>11.582173438060009</v>
      </c>
      <c r="K58">
        <v>13634.534571284243</v>
      </c>
      <c r="L58">
        <v>10.449992347752152</v>
      </c>
      <c r="M58">
        <v>12301.730991773835</v>
      </c>
      <c r="N58">
        <v>12</v>
      </c>
      <c r="O58">
        <v>14126.400000000001</v>
      </c>
      <c r="P58">
        <v>7.2737358314787022</v>
      </c>
      <c r="Q58">
        <v>8562.6418208167288</v>
      </c>
      <c r="R58">
        <v>12.388425975130195</v>
      </c>
      <c r="S58">
        <v>14583.655057923266</v>
      </c>
      <c r="T58">
        <v>9.4424265887509122</v>
      </c>
      <c r="U58">
        <v>11115.624580277574</v>
      </c>
      <c r="V58">
        <v>13</v>
      </c>
      <c r="W58">
        <v>15303.6</v>
      </c>
      <c r="X58">
        <v>6</v>
      </c>
      <c r="Y58">
        <v>7063.2000000000007</v>
      </c>
      <c r="Z58">
        <v>7</v>
      </c>
      <c r="AA58">
        <v>8240.4</v>
      </c>
      <c r="AB58">
        <v>10.399998117833061</v>
      </c>
      <c r="AC58">
        <v>12242.877784313079</v>
      </c>
      <c r="AD58">
        <v>12.672708832001298</v>
      </c>
      <c r="AE58">
        <v>14918.312837031928</v>
      </c>
      <c r="AF58">
        <v>11.36424341876597</v>
      </c>
      <c r="AG58">
        <v>13377.987352571299</v>
      </c>
      <c r="AH58">
        <v>12.537928669410151</v>
      </c>
      <c r="AI58">
        <v>14759.64962962963</v>
      </c>
      <c r="AJ58">
        <v>8</v>
      </c>
      <c r="AK58">
        <v>9417.6</v>
      </c>
      <c r="AL58">
        <v>12.263555841887047</v>
      </c>
      <c r="AM58">
        <v>14436.657937069433</v>
      </c>
      <c r="AN58">
        <v>6.5078770661157028</v>
      </c>
      <c r="AO58">
        <v>7661.0728822314059</v>
      </c>
      <c r="AP58">
        <v>10.545841209829868</v>
      </c>
      <c r="AQ58">
        <v>12414.564272211721</v>
      </c>
      <c r="AR58">
        <v>12.638527279701144</v>
      </c>
      <c r="AS58">
        <v>14878.074313664187</v>
      </c>
      <c r="AT58">
        <v>11</v>
      </c>
      <c r="AU58">
        <v>12949.2</v>
      </c>
      <c r="AV58">
        <v>13.699926515049718</v>
      </c>
      <c r="AW58">
        <v>16127.553493516529</v>
      </c>
      <c r="AX58">
        <v>11.308491798519379</v>
      </c>
      <c r="AY58">
        <v>13312.356545217013</v>
      </c>
      <c r="AZ58">
        <v>12.694599159970782</v>
      </c>
      <c r="BA58">
        <v>14944.082131117604</v>
      </c>
      <c r="BB58">
        <v>8</v>
      </c>
      <c r="BC58">
        <v>9417.6</v>
      </c>
      <c r="BD58">
        <v>11.3</v>
      </c>
      <c r="BE58">
        <v>13302.36</v>
      </c>
      <c r="BF58">
        <v>9.5486679660859313</v>
      </c>
      <c r="BG58">
        <v>11240.691929676359</v>
      </c>
      <c r="BH58">
        <v>10.410644240779298</v>
      </c>
      <c r="BI58">
        <v>12255.41040024539</v>
      </c>
      <c r="BJ58">
        <v>11.049013704734818</v>
      </c>
      <c r="BK58">
        <v>13006.898933213828</v>
      </c>
      <c r="BL58">
        <v>11.17171626030496</v>
      </c>
      <c r="BM58">
        <v>13151.344381630999</v>
      </c>
      <c r="BN58">
        <v>12.046778150826446</v>
      </c>
      <c r="BO58">
        <v>14181.467239152893</v>
      </c>
      <c r="BP58">
        <v>8.6043950850661624</v>
      </c>
      <c r="BQ58">
        <v>10129.093894139887</v>
      </c>
      <c r="BR58">
        <v>13.493442112197119</v>
      </c>
      <c r="BS58">
        <v>15884.480054478448</v>
      </c>
      <c r="BT58">
        <v>12.574154503381987</v>
      </c>
      <c r="BU58">
        <v>14802.294681381276</v>
      </c>
      <c r="BV58">
        <v>13.392939864431472</v>
      </c>
      <c r="BW58">
        <v>15766.168808408729</v>
      </c>
      <c r="BX58">
        <v>11.514954284098406</v>
      </c>
      <c r="BY58">
        <v>13555.404183240644</v>
      </c>
      <c r="BZ58">
        <v>11</v>
      </c>
      <c r="CA58">
        <v>12949.2</v>
      </c>
      <c r="CB58">
        <v>11.099994105533062</v>
      </c>
      <c r="CC58">
        <v>13066.913061033521</v>
      </c>
      <c r="CD58">
        <v>10.787181541419644</v>
      </c>
      <c r="CE58">
        <v>12698.670110559206</v>
      </c>
      <c r="CF58">
        <v>9.4904697594118961</v>
      </c>
      <c r="CG58">
        <v>11172.181000779685</v>
      </c>
      <c r="CH58">
        <v>12.612383187967248</v>
      </c>
      <c r="CI58">
        <v>14847.297488875045</v>
      </c>
      <c r="CJ58">
        <v>11.498003067950968</v>
      </c>
      <c r="CK58">
        <v>13535.44921159188</v>
      </c>
      <c r="CL58">
        <v>10.560041623309052</v>
      </c>
      <c r="CM58">
        <v>12431.280998959417</v>
      </c>
      <c r="CN58">
        <v>12.637610687235465</v>
      </c>
      <c r="CO58">
        <v>14876.995301013591</v>
      </c>
      <c r="CP58">
        <v>9.634561450860474</v>
      </c>
      <c r="CQ58">
        <v>11341.80573995295</v>
      </c>
      <c r="CR58">
        <v>8.0407975052178191</v>
      </c>
      <c r="CS58">
        <v>9465.6268231424165</v>
      </c>
      <c r="CT58">
        <v>10.674112426035503</v>
      </c>
      <c r="CU58">
        <v>12565.565147928995</v>
      </c>
    </row>
    <row r="59" spans="2:99" x14ac:dyDescent="0.2">
      <c r="C59" s="118" t="s">
        <v>225</v>
      </c>
      <c r="D59">
        <v>13</v>
      </c>
      <c r="E59">
        <v>3946.7999999999997</v>
      </c>
      <c r="F59">
        <v>10</v>
      </c>
      <c r="G59">
        <v>3035.9999999999995</v>
      </c>
      <c r="H59">
        <v>9</v>
      </c>
      <c r="I59">
        <v>2732.3999999999996</v>
      </c>
      <c r="J59">
        <v>13</v>
      </c>
      <c r="K59">
        <v>3946.7999999999997</v>
      </c>
      <c r="L59">
        <v>10</v>
      </c>
      <c r="M59">
        <v>3035.9999999999995</v>
      </c>
      <c r="N59">
        <v>14</v>
      </c>
      <c r="O59">
        <v>4250.3999999999996</v>
      </c>
      <c r="P59">
        <v>8</v>
      </c>
      <c r="Q59">
        <v>2428.7999999999997</v>
      </c>
      <c r="R59">
        <v>13</v>
      </c>
      <c r="S59">
        <v>3946.7999999999997</v>
      </c>
      <c r="T59">
        <v>9</v>
      </c>
      <c r="U59">
        <v>2732.3999999999996</v>
      </c>
      <c r="V59">
        <v>14</v>
      </c>
      <c r="W59">
        <v>4250.3999999999996</v>
      </c>
      <c r="X59">
        <v>8</v>
      </c>
      <c r="Y59">
        <v>2428.7999999999997</v>
      </c>
      <c r="Z59">
        <v>7</v>
      </c>
      <c r="AA59">
        <v>2125.1999999999998</v>
      </c>
      <c r="AB59">
        <v>10</v>
      </c>
      <c r="AC59">
        <v>3035.9999999999995</v>
      </c>
      <c r="AD59">
        <v>13</v>
      </c>
      <c r="AE59">
        <v>3946.7999999999997</v>
      </c>
      <c r="AF59">
        <v>11</v>
      </c>
      <c r="AG59">
        <v>3339.5999999999995</v>
      </c>
      <c r="AH59">
        <v>11</v>
      </c>
      <c r="AI59">
        <v>3339.5999999999995</v>
      </c>
      <c r="AJ59">
        <v>9</v>
      </c>
      <c r="AK59">
        <v>2732.3999999999996</v>
      </c>
      <c r="AL59">
        <v>13</v>
      </c>
      <c r="AM59">
        <v>3946.7999999999997</v>
      </c>
      <c r="AN59">
        <v>7</v>
      </c>
      <c r="AO59">
        <v>2125.1999999999998</v>
      </c>
      <c r="AP59">
        <v>11</v>
      </c>
      <c r="AQ59">
        <v>3339.5999999999995</v>
      </c>
      <c r="AR59">
        <v>13</v>
      </c>
      <c r="AS59">
        <v>3946.7999999999997</v>
      </c>
      <c r="AT59">
        <v>12</v>
      </c>
      <c r="AU59">
        <v>3643.2</v>
      </c>
      <c r="AV59">
        <v>14</v>
      </c>
      <c r="AW59">
        <v>4250.3999999999996</v>
      </c>
      <c r="AX59">
        <v>12</v>
      </c>
      <c r="AY59">
        <v>3643.2</v>
      </c>
      <c r="AZ59">
        <v>13</v>
      </c>
      <c r="BA59">
        <v>3946.7999999999997</v>
      </c>
      <c r="BB59">
        <v>7</v>
      </c>
      <c r="BC59">
        <v>2125.1999999999998</v>
      </c>
      <c r="BD59">
        <v>11</v>
      </c>
      <c r="BE59">
        <v>3339.5999999999995</v>
      </c>
      <c r="BF59">
        <v>9</v>
      </c>
      <c r="BG59">
        <v>2732.3999999999996</v>
      </c>
      <c r="BH59">
        <v>10</v>
      </c>
      <c r="BI59">
        <v>3035.9999999999995</v>
      </c>
      <c r="BJ59">
        <v>12</v>
      </c>
      <c r="BK59">
        <v>3643.2</v>
      </c>
      <c r="BL59">
        <v>11</v>
      </c>
      <c r="BM59">
        <v>3339.5999999999995</v>
      </c>
      <c r="BN59">
        <v>14</v>
      </c>
      <c r="BO59">
        <v>4250.3999999999996</v>
      </c>
      <c r="BP59">
        <v>9</v>
      </c>
      <c r="BQ59">
        <v>2732.3999999999996</v>
      </c>
      <c r="BR59">
        <v>14</v>
      </c>
      <c r="BS59">
        <v>4250.3999999999996</v>
      </c>
      <c r="BT59">
        <v>12</v>
      </c>
      <c r="BU59">
        <v>3643.2</v>
      </c>
      <c r="BV59">
        <v>13</v>
      </c>
      <c r="BW59">
        <v>3946.7999999999997</v>
      </c>
      <c r="BX59">
        <v>13</v>
      </c>
      <c r="BY59">
        <v>3946.7999999999997</v>
      </c>
      <c r="BZ59">
        <v>12</v>
      </c>
      <c r="CA59">
        <v>3643.2</v>
      </c>
      <c r="CB59">
        <v>12</v>
      </c>
      <c r="CC59">
        <v>3643.2</v>
      </c>
      <c r="CD59">
        <v>11</v>
      </c>
      <c r="CE59">
        <v>3339.5999999999995</v>
      </c>
      <c r="CF59">
        <v>9</v>
      </c>
      <c r="CG59">
        <v>2732.3999999999996</v>
      </c>
      <c r="CH59">
        <v>15</v>
      </c>
      <c r="CI59">
        <v>4553.9999999999991</v>
      </c>
      <c r="CJ59">
        <v>12</v>
      </c>
      <c r="CK59">
        <v>3643.2</v>
      </c>
      <c r="CL59">
        <v>12</v>
      </c>
      <c r="CM59">
        <v>3643.2</v>
      </c>
      <c r="CN59">
        <v>13</v>
      </c>
      <c r="CO59">
        <v>3946.7999999999997</v>
      </c>
      <c r="CP59">
        <v>10</v>
      </c>
      <c r="CQ59">
        <v>3035.9999999999995</v>
      </c>
      <c r="CR59">
        <v>9</v>
      </c>
      <c r="CS59">
        <v>2732.3999999999996</v>
      </c>
      <c r="CT59">
        <v>10</v>
      </c>
      <c r="CU59">
        <v>3035.9999999999995</v>
      </c>
    </row>
    <row r="60" spans="2:99" x14ac:dyDescent="0.2">
      <c r="C60" s="118" t="s">
        <v>226</v>
      </c>
      <c r="D60">
        <v>11</v>
      </c>
      <c r="E60">
        <v>7167.6</v>
      </c>
      <c r="F60">
        <v>10</v>
      </c>
      <c r="G60">
        <v>6516</v>
      </c>
      <c r="H60">
        <v>9</v>
      </c>
      <c r="I60">
        <v>5864.4000000000005</v>
      </c>
      <c r="J60">
        <v>10</v>
      </c>
      <c r="K60">
        <v>6516</v>
      </c>
      <c r="L60">
        <v>11</v>
      </c>
      <c r="M60">
        <v>7167.6</v>
      </c>
      <c r="N60">
        <v>14</v>
      </c>
      <c r="O60">
        <v>9122.4</v>
      </c>
      <c r="P60">
        <v>8</v>
      </c>
      <c r="Q60">
        <v>5212.8</v>
      </c>
      <c r="R60">
        <v>12</v>
      </c>
      <c r="S60">
        <v>7819.2000000000007</v>
      </c>
      <c r="T60">
        <v>10</v>
      </c>
      <c r="U60">
        <v>6516</v>
      </c>
      <c r="V60">
        <v>14</v>
      </c>
      <c r="W60">
        <v>9122.4</v>
      </c>
      <c r="X60">
        <v>8</v>
      </c>
      <c r="Y60">
        <v>5212.8</v>
      </c>
      <c r="Z60">
        <v>7</v>
      </c>
      <c r="AA60">
        <v>4561.2</v>
      </c>
      <c r="AB60">
        <v>9</v>
      </c>
      <c r="AC60">
        <v>5864.4000000000005</v>
      </c>
      <c r="AD60">
        <v>13</v>
      </c>
      <c r="AE60">
        <v>8470.8000000000011</v>
      </c>
      <c r="AF60">
        <v>10</v>
      </c>
      <c r="AG60">
        <v>6516</v>
      </c>
      <c r="AH60">
        <v>12</v>
      </c>
      <c r="AI60">
        <v>7819.2000000000007</v>
      </c>
      <c r="AJ60">
        <v>8</v>
      </c>
      <c r="AK60">
        <v>5212.8</v>
      </c>
      <c r="AL60">
        <v>12</v>
      </c>
      <c r="AM60">
        <v>7819.2000000000007</v>
      </c>
      <c r="AN60">
        <v>7</v>
      </c>
      <c r="AO60">
        <v>4561.2</v>
      </c>
      <c r="AP60">
        <v>9</v>
      </c>
      <c r="AQ60">
        <v>5864.4000000000005</v>
      </c>
      <c r="AR60">
        <v>11</v>
      </c>
      <c r="AS60">
        <v>7167.6</v>
      </c>
      <c r="AT60">
        <v>11</v>
      </c>
      <c r="AU60">
        <v>7167.6</v>
      </c>
      <c r="AV60">
        <v>13</v>
      </c>
      <c r="AW60">
        <v>8470.8000000000011</v>
      </c>
      <c r="AX60">
        <v>11</v>
      </c>
      <c r="AY60">
        <v>7167.6</v>
      </c>
      <c r="AZ60">
        <v>13</v>
      </c>
      <c r="BA60">
        <v>8470.8000000000011</v>
      </c>
      <c r="BB60">
        <v>7</v>
      </c>
      <c r="BC60">
        <v>4561.2</v>
      </c>
      <c r="BD60">
        <v>12</v>
      </c>
      <c r="BE60">
        <v>7819.2000000000007</v>
      </c>
      <c r="BF60">
        <v>10</v>
      </c>
      <c r="BG60">
        <v>6516</v>
      </c>
      <c r="BH60">
        <v>10</v>
      </c>
      <c r="BI60">
        <v>6516</v>
      </c>
      <c r="BJ60">
        <v>11</v>
      </c>
      <c r="BK60">
        <v>7167.6</v>
      </c>
      <c r="BL60">
        <v>12</v>
      </c>
      <c r="BM60">
        <v>7819.2000000000007</v>
      </c>
      <c r="BN60">
        <v>14</v>
      </c>
      <c r="BO60">
        <v>9122.4</v>
      </c>
      <c r="BP60">
        <v>8</v>
      </c>
      <c r="BQ60">
        <v>5212.8</v>
      </c>
      <c r="BR60">
        <v>13</v>
      </c>
      <c r="BS60">
        <v>8470.8000000000011</v>
      </c>
      <c r="BT60">
        <v>13</v>
      </c>
      <c r="BU60">
        <v>8470.8000000000011</v>
      </c>
      <c r="BV60">
        <v>13</v>
      </c>
      <c r="BW60">
        <v>8470.8000000000011</v>
      </c>
      <c r="BX60">
        <v>12</v>
      </c>
      <c r="BY60">
        <v>7819.2000000000007</v>
      </c>
      <c r="BZ60">
        <v>12</v>
      </c>
      <c r="CA60">
        <v>7819.2000000000007</v>
      </c>
      <c r="CB60">
        <v>12</v>
      </c>
      <c r="CC60">
        <v>7819.2000000000007</v>
      </c>
      <c r="CD60">
        <v>11</v>
      </c>
      <c r="CE60">
        <v>7167.6</v>
      </c>
      <c r="CF60">
        <v>9</v>
      </c>
      <c r="CG60">
        <v>5864.4000000000005</v>
      </c>
      <c r="CH60">
        <v>14</v>
      </c>
      <c r="CI60">
        <v>9122.4</v>
      </c>
      <c r="CJ60">
        <v>13</v>
      </c>
      <c r="CK60">
        <v>8470.8000000000011</v>
      </c>
      <c r="CL60">
        <v>10</v>
      </c>
      <c r="CM60">
        <v>6516</v>
      </c>
      <c r="CN60">
        <v>12</v>
      </c>
      <c r="CO60">
        <v>7819.2000000000007</v>
      </c>
      <c r="CP60">
        <v>9</v>
      </c>
      <c r="CQ60">
        <v>5864.4000000000005</v>
      </c>
      <c r="CR60">
        <v>9</v>
      </c>
      <c r="CS60">
        <v>5864.4000000000005</v>
      </c>
      <c r="CT60">
        <v>10</v>
      </c>
      <c r="CU60">
        <v>6516</v>
      </c>
    </row>
    <row r="61" spans="2:99" x14ac:dyDescent="0.2">
      <c r="C61" s="118" t="s">
        <v>227</v>
      </c>
      <c r="D61">
        <v>11</v>
      </c>
      <c r="E61">
        <v>10467.599999999999</v>
      </c>
      <c r="F61">
        <v>10</v>
      </c>
      <c r="G61">
        <v>9516</v>
      </c>
      <c r="H61">
        <v>9</v>
      </c>
      <c r="I61">
        <v>8564.4</v>
      </c>
      <c r="J61">
        <v>10</v>
      </c>
      <c r="K61">
        <v>9516</v>
      </c>
      <c r="L61">
        <v>11</v>
      </c>
      <c r="M61">
        <v>10467.599999999999</v>
      </c>
      <c r="N61">
        <v>14</v>
      </c>
      <c r="O61">
        <v>13322.399999999998</v>
      </c>
      <c r="P61">
        <v>7</v>
      </c>
      <c r="Q61">
        <v>6661.1999999999989</v>
      </c>
      <c r="R61">
        <v>11</v>
      </c>
      <c r="S61">
        <v>10467.599999999999</v>
      </c>
      <c r="T61">
        <v>9</v>
      </c>
      <c r="U61">
        <v>8564.4</v>
      </c>
      <c r="V61">
        <v>14</v>
      </c>
      <c r="W61">
        <v>13322.399999999998</v>
      </c>
      <c r="X61">
        <v>7</v>
      </c>
      <c r="Y61">
        <v>6661.1999999999989</v>
      </c>
      <c r="Z61">
        <v>7</v>
      </c>
      <c r="AA61">
        <v>6661.1999999999989</v>
      </c>
      <c r="AB61">
        <v>9</v>
      </c>
      <c r="AC61">
        <v>8564.4</v>
      </c>
      <c r="AD61">
        <v>12</v>
      </c>
      <c r="AE61">
        <v>11419.199999999999</v>
      </c>
      <c r="AF61">
        <v>10</v>
      </c>
      <c r="AG61">
        <v>9516</v>
      </c>
      <c r="AH61">
        <v>11</v>
      </c>
      <c r="AI61">
        <v>10467.599999999999</v>
      </c>
      <c r="AJ61">
        <v>7</v>
      </c>
      <c r="AK61">
        <v>6661.1999999999989</v>
      </c>
      <c r="AL61">
        <v>13</v>
      </c>
      <c r="AM61">
        <v>12370.8</v>
      </c>
      <c r="AN61">
        <v>7</v>
      </c>
      <c r="AO61">
        <v>6661.1999999999989</v>
      </c>
      <c r="AP61">
        <v>9</v>
      </c>
      <c r="AQ61">
        <v>8564.4</v>
      </c>
      <c r="AR61">
        <v>12</v>
      </c>
      <c r="AS61">
        <v>11419.199999999999</v>
      </c>
      <c r="AT61">
        <v>11</v>
      </c>
      <c r="AU61">
        <v>10467.599999999999</v>
      </c>
      <c r="AV61">
        <v>13</v>
      </c>
      <c r="AW61">
        <v>12370.8</v>
      </c>
      <c r="AX61">
        <v>12</v>
      </c>
      <c r="AY61">
        <v>11419.199999999999</v>
      </c>
      <c r="AZ61">
        <v>12</v>
      </c>
      <c r="BA61">
        <v>11419.199999999999</v>
      </c>
      <c r="BB61">
        <v>7</v>
      </c>
      <c r="BC61">
        <v>6661.1999999999989</v>
      </c>
      <c r="BD61">
        <v>13</v>
      </c>
      <c r="BE61">
        <v>12370.8</v>
      </c>
      <c r="BF61">
        <v>9</v>
      </c>
      <c r="BG61">
        <v>8564.4</v>
      </c>
      <c r="BH61">
        <v>9</v>
      </c>
      <c r="BI61">
        <v>8564.4</v>
      </c>
      <c r="BJ61">
        <v>12</v>
      </c>
      <c r="BK61">
        <v>11419.199999999999</v>
      </c>
      <c r="BL61">
        <v>12</v>
      </c>
      <c r="BM61">
        <v>11419.199999999999</v>
      </c>
      <c r="BN61">
        <v>13</v>
      </c>
      <c r="BO61">
        <v>12370.8</v>
      </c>
      <c r="BP61">
        <v>9</v>
      </c>
      <c r="BQ61">
        <v>8564.4</v>
      </c>
      <c r="BR61">
        <v>13</v>
      </c>
      <c r="BS61">
        <v>12370.8</v>
      </c>
      <c r="BT61">
        <v>12</v>
      </c>
      <c r="BU61">
        <v>11419.199999999999</v>
      </c>
      <c r="BV61">
        <v>15</v>
      </c>
      <c r="BW61">
        <v>14273.999999999998</v>
      </c>
      <c r="BX61">
        <v>12</v>
      </c>
      <c r="BY61">
        <v>11419.199999999999</v>
      </c>
      <c r="BZ61">
        <v>11</v>
      </c>
      <c r="CA61">
        <v>10467.599999999999</v>
      </c>
      <c r="CB61">
        <v>12</v>
      </c>
      <c r="CC61">
        <v>11419.199999999999</v>
      </c>
      <c r="CD61">
        <v>10</v>
      </c>
      <c r="CE61">
        <v>9516</v>
      </c>
      <c r="CF61">
        <v>9</v>
      </c>
      <c r="CG61">
        <v>8564.4</v>
      </c>
      <c r="CH61">
        <v>12</v>
      </c>
      <c r="CI61">
        <v>11419.199999999999</v>
      </c>
      <c r="CJ61">
        <v>13</v>
      </c>
      <c r="CK61">
        <v>12370.8</v>
      </c>
      <c r="CL61">
        <v>9</v>
      </c>
      <c r="CM61">
        <v>8564.4</v>
      </c>
      <c r="CN61">
        <v>11</v>
      </c>
      <c r="CO61">
        <v>10467.599999999999</v>
      </c>
      <c r="CP61">
        <v>8</v>
      </c>
      <c r="CQ61">
        <v>7612.7999999999993</v>
      </c>
      <c r="CR61">
        <v>8</v>
      </c>
      <c r="CS61">
        <v>7612.7999999999993</v>
      </c>
      <c r="CT61">
        <v>10</v>
      </c>
      <c r="CU61">
        <v>9516</v>
      </c>
    </row>
    <row r="62" spans="2:99" x14ac:dyDescent="0.2">
      <c r="C62" s="118" t="s">
        <v>228</v>
      </c>
      <c r="D62">
        <v>12</v>
      </c>
      <c r="E62">
        <v>20462.400000000001</v>
      </c>
      <c r="F62">
        <v>9</v>
      </c>
      <c r="G62">
        <v>15346.800000000001</v>
      </c>
      <c r="H62">
        <v>8</v>
      </c>
      <c r="I62">
        <v>13641.6</v>
      </c>
      <c r="J62">
        <v>10</v>
      </c>
      <c r="K62">
        <v>17052</v>
      </c>
      <c r="L62">
        <v>10</v>
      </c>
      <c r="M62">
        <v>17052</v>
      </c>
      <c r="N62">
        <v>12</v>
      </c>
      <c r="O62">
        <v>20462.400000000001</v>
      </c>
      <c r="P62">
        <v>7</v>
      </c>
      <c r="Q62">
        <v>11936.4</v>
      </c>
      <c r="R62">
        <v>12</v>
      </c>
      <c r="S62">
        <v>20462.400000000001</v>
      </c>
      <c r="T62">
        <v>9</v>
      </c>
      <c r="U62">
        <v>15346.800000000001</v>
      </c>
      <c r="V62">
        <v>13</v>
      </c>
      <c r="W62">
        <v>22167.600000000002</v>
      </c>
      <c r="X62">
        <v>6</v>
      </c>
      <c r="Y62">
        <v>10231.200000000001</v>
      </c>
      <c r="Z62">
        <v>7</v>
      </c>
      <c r="AA62">
        <v>11936.4</v>
      </c>
      <c r="AB62">
        <v>10</v>
      </c>
      <c r="AC62">
        <v>17052</v>
      </c>
      <c r="AD62">
        <v>10</v>
      </c>
      <c r="AE62">
        <v>17052</v>
      </c>
      <c r="AF62">
        <v>9</v>
      </c>
      <c r="AG62">
        <v>15346.800000000001</v>
      </c>
      <c r="AH62">
        <v>9</v>
      </c>
      <c r="AI62">
        <v>15346.800000000001</v>
      </c>
      <c r="AJ62">
        <v>7</v>
      </c>
      <c r="AK62">
        <v>11936.4</v>
      </c>
      <c r="AL62">
        <v>10</v>
      </c>
      <c r="AM62">
        <v>17052</v>
      </c>
      <c r="AN62">
        <v>7</v>
      </c>
      <c r="AO62">
        <v>11936.4</v>
      </c>
      <c r="AP62">
        <v>9</v>
      </c>
      <c r="AQ62">
        <v>15346.800000000001</v>
      </c>
      <c r="AR62">
        <v>11</v>
      </c>
      <c r="AS62">
        <v>18757.2</v>
      </c>
      <c r="AT62">
        <v>10</v>
      </c>
      <c r="AU62">
        <v>17052</v>
      </c>
      <c r="AV62">
        <v>13</v>
      </c>
      <c r="AW62">
        <v>22167.600000000002</v>
      </c>
      <c r="AX62">
        <v>9</v>
      </c>
      <c r="AY62">
        <v>15346.800000000001</v>
      </c>
      <c r="AZ62">
        <v>11</v>
      </c>
      <c r="BA62">
        <v>18757.2</v>
      </c>
      <c r="BB62">
        <v>6</v>
      </c>
      <c r="BC62">
        <v>10231.200000000001</v>
      </c>
      <c r="BD62">
        <v>11</v>
      </c>
      <c r="BE62">
        <v>18757.2</v>
      </c>
      <c r="BF62">
        <v>9</v>
      </c>
      <c r="BG62">
        <v>15346.800000000001</v>
      </c>
      <c r="BH62">
        <v>10</v>
      </c>
      <c r="BI62">
        <v>17052</v>
      </c>
      <c r="BJ62">
        <v>10</v>
      </c>
      <c r="BK62">
        <v>17052</v>
      </c>
      <c r="BL62">
        <v>10</v>
      </c>
      <c r="BM62">
        <v>17052</v>
      </c>
      <c r="BN62">
        <v>12</v>
      </c>
      <c r="BO62">
        <v>20462.400000000001</v>
      </c>
      <c r="BP62">
        <v>7</v>
      </c>
      <c r="BQ62">
        <v>11936.4</v>
      </c>
      <c r="BR62">
        <v>11</v>
      </c>
      <c r="BS62">
        <v>18757.2</v>
      </c>
      <c r="BT62">
        <v>11</v>
      </c>
      <c r="BU62">
        <v>18757.2</v>
      </c>
      <c r="BV62">
        <v>11</v>
      </c>
      <c r="BW62">
        <v>18757.2</v>
      </c>
      <c r="BX62">
        <v>10</v>
      </c>
      <c r="BY62">
        <v>17052</v>
      </c>
      <c r="BZ62">
        <v>9</v>
      </c>
      <c r="CA62">
        <v>15346.800000000001</v>
      </c>
      <c r="CB62">
        <v>9</v>
      </c>
      <c r="CC62">
        <v>15346.800000000001</v>
      </c>
      <c r="CD62">
        <v>9</v>
      </c>
      <c r="CE62">
        <v>15346.800000000001</v>
      </c>
      <c r="CF62">
        <v>9</v>
      </c>
      <c r="CG62">
        <v>15346.800000000001</v>
      </c>
      <c r="CH62">
        <v>13</v>
      </c>
      <c r="CI62">
        <v>22167.600000000002</v>
      </c>
      <c r="CJ62">
        <v>11</v>
      </c>
      <c r="CK62">
        <v>18757.2</v>
      </c>
      <c r="CL62">
        <v>10</v>
      </c>
      <c r="CM62">
        <v>17052</v>
      </c>
      <c r="CN62">
        <v>12</v>
      </c>
      <c r="CO62">
        <v>20462.400000000001</v>
      </c>
      <c r="CP62">
        <v>9</v>
      </c>
      <c r="CQ62">
        <v>15346.800000000001</v>
      </c>
      <c r="CR62">
        <v>7</v>
      </c>
      <c r="CS62">
        <v>11936.4</v>
      </c>
      <c r="CT62">
        <v>10</v>
      </c>
      <c r="CU62">
        <v>17052</v>
      </c>
    </row>
    <row r="63" spans="2:99" x14ac:dyDescent="0.2">
      <c r="C63" s="118" t="s">
        <v>229</v>
      </c>
      <c r="D63">
        <v>12</v>
      </c>
      <c r="E63">
        <v>9547.2000000000007</v>
      </c>
      <c r="F63">
        <v>9</v>
      </c>
      <c r="G63">
        <v>7160.4000000000005</v>
      </c>
      <c r="H63">
        <v>9</v>
      </c>
      <c r="I63">
        <v>7160.4000000000005</v>
      </c>
      <c r="J63">
        <v>11</v>
      </c>
      <c r="K63">
        <v>8751.6</v>
      </c>
      <c r="L63">
        <v>9</v>
      </c>
      <c r="M63">
        <v>7160.4000000000005</v>
      </c>
      <c r="N63">
        <v>13</v>
      </c>
      <c r="O63">
        <v>10342.800000000001</v>
      </c>
      <c r="P63">
        <v>8</v>
      </c>
      <c r="Q63">
        <v>6364.8</v>
      </c>
      <c r="R63">
        <v>12</v>
      </c>
      <c r="S63">
        <v>9547.2000000000007</v>
      </c>
      <c r="T63">
        <v>10</v>
      </c>
      <c r="U63">
        <v>7956</v>
      </c>
      <c r="V63">
        <v>14</v>
      </c>
      <c r="W63">
        <v>11138.4</v>
      </c>
      <c r="X63">
        <v>7</v>
      </c>
      <c r="Y63">
        <v>5569.2</v>
      </c>
      <c r="Z63">
        <v>7</v>
      </c>
      <c r="AA63">
        <v>5569.2</v>
      </c>
      <c r="AB63">
        <v>10</v>
      </c>
      <c r="AC63">
        <v>7956</v>
      </c>
      <c r="AD63">
        <v>11</v>
      </c>
      <c r="AE63">
        <v>8751.6</v>
      </c>
      <c r="AF63">
        <v>10</v>
      </c>
      <c r="AG63">
        <v>7956</v>
      </c>
      <c r="AH63">
        <v>11</v>
      </c>
      <c r="AI63">
        <v>8751.6</v>
      </c>
      <c r="AJ63">
        <v>9</v>
      </c>
      <c r="AK63">
        <v>7160.4000000000005</v>
      </c>
      <c r="AL63">
        <v>12</v>
      </c>
      <c r="AM63">
        <v>9547.2000000000007</v>
      </c>
      <c r="AN63">
        <v>8</v>
      </c>
      <c r="AO63">
        <v>6364.8</v>
      </c>
      <c r="AP63">
        <v>9</v>
      </c>
      <c r="AQ63">
        <v>7160.4000000000005</v>
      </c>
      <c r="AR63">
        <v>11</v>
      </c>
      <c r="AS63">
        <v>8751.6</v>
      </c>
      <c r="AT63">
        <v>12</v>
      </c>
      <c r="AU63">
        <v>9547.2000000000007</v>
      </c>
      <c r="AV63">
        <v>13</v>
      </c>
      <c r="AW63">
        <v>10342.800000000001</v>
      </c>
      <c r="AX63">
        <v>11</v>
      </c>
      <c r="AY63">
        <v>8751.6</v>
      </c>
      <c r="AZ63">
        <v>14</v>
      </c>
      <c r="BA63">
        <v>11138.4</v>
      </c>
      <c r="BB63">
        <v>7</v>
      </c>
      <c r="BC63">
        <v>5569.2</v>
      </c>
      <c r="BD63">
        <v>13</v>
      </c>
      <c r="BE63">
        <v>10342.800000000001</v>
      </c>
      <c r="BF63">
        <v>10</v>
      </c>
      <c r="BG63">
        <v>7956</v>
      </c>
      <c r="BH63">
        <v>10</v>
      </c>
      <c r="BI63">
        <v>7956</v>
      </c>
      <c r="BJ63">
        <v>12</v>
      </c>
      <c r="BK63">
        <v>9547.2000000000007</v>
      </c>
      <c r="BL63">
        <v>11</v>
      </c>
      <c r="BM63">
        <v>8751.6</v>
      </c>
      <c r="BN63">
        <v>12</v>
      </c>
      <c r="BO63">
        <v>9547.2000000000007</v>
      </c>
      <c r="BP63">
        <v>8</v>
      </c>
      <c r="BQ63">
        <v>6364.8</v>
      </c>
      <c r="BR63">
        <v>13</v>
      </c>
      <c r="BS63">
        <v>10342.800000000001</v>
      </c>
      <c r="BT63">
        <v>11</v>
      </c>
      <c r="BU63">
        <v>8751.6</v>
      </c>
      <c r="BV63">
        <v>14</v>
      </c>
      <c r="BW63">
        <v>11138.4</v>
      </c>
      <c r="BX63">
        <v>12</v>
      </c>
      <c r="BY63">
        <v>9547.2000000000007</v>
      </c>
      <c r="BZ63">
        <v>12</v>
      </c>
      <c r="CA63">
        <v>9547.2000000000007</v>
      </c>
      <c r="CB63">
        <v>12</v>
      </c>
      <c r="CC63">
        <v>9547.2000000000007</v>
      </c>
      <c r="CD63">
        <v>11</v>
      </c>
      <c r="CE63">
        <v>8751.6</v>
      </c>
      <c r="CF63">
        <v>9</v>
      </c>
      <c r="CG63">
        <v>7160.4000000000005</v>
      </c>
      <c r="CH63">
        <v>14</v>
      </c>
      <c r="CI63">
        <v>11138.4</v>
      </c>
      <c r="CJ63">
        <v>12</v>
      </c>
      <c r="CK63">
        <v>9547.2000000000007</v>
      </c>
      <c r="CL63">
        <v>10</v>
      </c>
      <c r="CM63">
        <v>7956</v>
      </c>
      <c r="CN63">
        <v>12</v>
      </c>
      <c r="CO63">
        <v>9547.2000000000007</v>
      </c>
      <c r="CP63">
        <v>9</v>
      </c>
      <c r="CQ63">
        <v>7160.4000000000005</v>
      </c>
      <c r="CR63">
        <v>8</v>
      </c>
      <c r="CS63">
        <v>6364.8</v>
      </c>
      <c r="CT63">
        <v>11</v>
      </c>
      <c r="CU63">
        <v>8751.6</v>
      </c>
    </row>
    <row r="64" spans="2:99" x14ac:dyDescent="0.2">
      <c r="C64" s="118" t="s">
        <v>230</v>
      </c>
      <c r="D64">
        <v>11</v>
      </c>
      <c r="E64">
        <v>11101.199999999997</v>
      </c>
      <c r="F64">
        <v>10</v>
      </c>
      <c r="G64">
        <v>10091.999999999998</v>
      </c>
      <c r="H64">
        <v>9</v>
      </c>
      <c r="I64">
        <v>9082.7999999999993</v>
      </c>
      <c r="J64">
        <v>11</v>
      </c>
      <c r="K64">
        <v>11101.199999999997</v>
      </c>
      <c r="L64">
        <v>10</v>
      </c>
      <c r="M64">
        <v>10091.999999999998</v>
      </c>
      <c r="N64">
        <v>13</v>
      </c>
      <c r="O64">
        <v>13119.599999999999</v>
      </c>
      <c r="P64">
        <v>8</v>
      </c>
      <c r="Q64">
        <v>8073.5999999999985</v>
      </c>
      <c r="R64">
        <v>11</v>
      </c>
      <c r="S64">
        <v>11101.199999999997</v>
      </c>
      <c r="T64">
        <v>9</v>
      </c>
      <c r="U64">
        <v>9082.7999999999993</v>
      </c>
      <c r="V64">
        <v>13</v>
      </c>
      <c r="W64">
        <v>13119.599999999999</v>
      </c>
      <c r="X64">
        <v>6</v>
      </c>
      <c r="Y64">
        <v>6055.1999999999989</v>
      </c>
      <c r="Z64">
        <v>8</v>
      </c>
      <c r="AA64">
        <v>8073.5999999999985</v>
      </c>
      <c r="AB64">
        <v>10</v>
      </c>
      <c r="AC64">
        <v>10091.999999999998</v>
      </c>
      <c r="AD64">
        <v>11</v>
      </c>
      <c r="AE64">
        <v>11101.199999999997</v>
      </c>
      <c r="AF64">
        <v>11</v>
      </c>
      <c r="AG64">
        <v>11101.199999999997</v>
      </c>
      <c r="AH64">
        <v>11</v>
      </c>
      <c r="AI64">
        <v>11101.199999999997</v>
      </c>
      <c r="AJ64">
        <v>7</v>
      </c>
      <c r="AK64">
        <v>7064.3999999999987</v>
      </c>
      <c r="AL64">
        <v>13</v>
      </c>
      <c r="AM64">
        <v>13119.599999999999</v>
      </c>
      <c r="AN64">
        <v>7</v>
      </c>
      <c r="AO64">
        <v>7064.3999999999987</v>
      </c>
      <c r="AP64">
        <v>10</v>
      </c>
      <c r="AQ64">
        <v>10091.999999999998</v>
      </c>
      <c r="AR64">
        <v>11</v>
      </c>
      <c r="AS64">
        <v>11101.199999999997</v>
      </c>
      <c r="AT64">
        <v>12</v>
      </c>
      <c r="AU64">
        <v>12110.399999999998</v>
      </c>
      <c r="AV64">
        <v>13</v>
      </c>
      <c r="AW64">
        <v>13119.599999999999</v>
      </c>
      <c r="AX64">
        <v>12</v>
      </c>
      <c r="AY64">
        <v>12110.399999999998</v>
      </c>
      <c r="AZ64">
        <v>12</v>
      </c>
      <c r="BA64">
        <v>12110.399999999998</v>
      </c>
      <c r="BB64">
        <v>7</v>
      </c>
      <c r="BC64">
        <v>7064.3999999999987</v>
      </c>
      <c r="BD64">
        <v>11</v>
      </c>
      <c r="BE64">
        <v>11101.199999999997</v>
      </c>
      <c r="BF64">
        <v>8</v>
      </c>
      <c r="BG64">
        <v>8073.5999999999985</v>
      </c>
      <c r="BH64">
        <v>10</v>
      </c>
      <c r="BI64">
        <v>10091.999999999998</v>
      </c>
      <c r="BJ64">
        <v>11</v>
      </c>
      <c r="BK64">
        <v>11101.199999999997</v>
      </c>
      <c r="BL64">
        <v>11</v>
      </c>
      <c r="BM64">
        <v>11101.199999999997</v>
      </c>
      <c r="BN64">
        <v>13</v>
      </c>
      <c r="BO64">
        <v>13119.599999999999</v>
      </c>
      <c r="BP64">
        <v>8</v>
      </c>
      <c r="BQ64">
        <v>8073.5999999999985</v>
      </c>
      <c r="BR64">
        <v>13</v>
      </c>
      <c r="BS64">
        <v>13119.599999999999</v>
      </c>
      <c r="BT64">
        <v>11</v>
      </c>
      <c r="BU64">
        <v>11101.199999999997</v>
      </c>
      <c r="BV64">
        <v>13</v>
      </c>
      <c r="BW64">
        <v>13119.599999999999</v>
      </c>
      <c r="BX64">
        <v>13</v>
      </c>
      <c r="BY64">
        <v>13119.599999999999</v>
      </c>
      <c r="BZ64">
        <v>11</v>
      </c>
      <c r="CA64">
        <v>11101.199999999997</v>
      </c>
      <c r="CB64">
        <v>11</v>
      </c>
      <c r="CC64">
        <v>11101.199999999997</v>
      </c>
      <c r="CD64">
        <v>11</v>
      </c>
      <c r="CE64">
        <v>11101.199999999997</v>
      </c>
      <c r="CF64">
        <v>9</v>
      </c>
      <c r="CG64">
        <v>9082.7999999999993</v>
      </c>
      <c r="CH64">
        <v>12</v>
      </c>
      <c r="CI64">
        <v>12110.399999999998</v>
      </c>
      <c r="CJ64">
        <v>11</v>
      </c>
      <c r="CK64">
        <v>11101.199999999997</v>
      </c>
      <c r="CL64">
        <v>10</v>
      </c>
      <c r="CM64">
        <v>10091.999999999998</v>
      </c>
      <c r="CN64">
        <v>11</v>
      </c>
      <c r="CO64">
        <v>11101.199999999997</v>
      </c>
      <c r="CP64">
        <v>9</v>
      </c>
      <c r="CQ64">
        <v>9082.7999999999993</v>
      </c>
      <c r="CR64">
        <v>9</v>
      </c>
      <c r="CS64">
        <v>9082.7999999999993</v>
      </c>
      <c r="CT64">
        <v>10</v>
      </c>
      <c r="CU64">
        <v>10091.999999999998</v>
      </c>
    </row>
    <row r="65" spans="2:99" x14ac:dyDescent="0.2">
      <c r="C65" s="118" t="s">
        <v>231</v>
      </c>
      <c r="D65">
        <v>11</v>
      </c>
      <c r="E65">
        <v>11286</v>
      </c>
      <c r="F65">
        <v>9</v>
      </c>
      <c r="G65">
        <v>9234</v>
      </c>
      <c r="H65">
        <v>9</v>
      </c>
      <c r="I65">
        <v>9234</v>
      </c>
      <c r="J65">
        <v>11</v>
      </c>
      <c r="K65">
        <v>11286</v>
      </c>
      <c r="L65">
        <v>10</v>
      </c>
      <c r="M65">
        <v>10260</v>
      </c>
      <c r="N65">
        <v>13</v>
      </c>
      <c r="O65">
        <v>13338</v>
      </c>
      <c r="P65">
        <v>7</v>
      </c>
      <c r="Q65">
        <v>7182</v>
      </c>
      <c r="R65">
        <v>13</v>
      </c>
      <c r="S65">
        <v>13338</v>
      </c>
      <c r="T65">
        <v>10</v>
      </c>
      <c r="U65">
        <v>10260</v>
      </c>
      <c r="V65">
        <v>14</v>
      </c>
      <c r="W65">
        <v>14364</v>
      </c>
      <c r="X65">
        <v>7</v>
      </c>
      <c r="Y65">
        <v>7182</v>
      </c>
      <c r="Z65">
        <v>7</v>
      </c>
      <c r="AA65">
        <v>7182</v>
      </c>
      <c r="AB65">
        <v>9</v>
      </c>
      <c r="AC65">
        <v>9234</v>
      </c>
      <c r="AD65">
        <v>12</v>
      </c>
      <c r="AE65">
        <v>12312</v>
      </c>
      <c r="AF65">
        <v>11</v>
      </c>
      <c r="AG65">
        <v>11286</v>
      </c>
      <c r="AH65">
        <v>10</v>
      </c>
      <c r="AI65">
        <v>10260</v>
      </c>
      <c r="AJ65">
        <v>8</v>
      </c>
      <c r="AK65">
        <v>8208</v>
      </c>
      <c r="AL65">
        <v>12</v>
      </c>
      <c r="AM65">
        <v>12312</v>
      </c>
      <c r="AN65">
        <v>7</v>
      </c>
      <c r="AO65">
        <v>7182</v>
      </c>
      <c r="AP65">
        <v>10</v>
      </c>
      <c r="AQ65">
        <v>10260</v>
      </c>
      <c r="AR65">
        <v>10</v>
      </c>
      <c r="AS65">
        <v>10260</v>
      </c>
      <c r="AT65">
        <v>11</v>
      </c>
      <c r="AU65">
        <v>11286</v>
      </c>
      <c r="AV65">
        <v>13</v>
      </c>
      <c r="AW65">
        <v>13338</v>
      </c>
      <c r="AX65">
        <v>11</v>
      </c>
      <c r="AY65">
        <v>11286</v>
      </c>
      <c r="AZ65">
        <v>13</v>
      </c>
      <c r="BA65">
        <v>13338</v>
      </c>
      <c r="BB65">
        <v>7</v>
      </c>
      <c r="BC65">
        <v>7182</v>
      </c>
      <c r="BD65">
        <v>11</v>
      </c>
      <c r="BE65">
        <v>11286</v>
      </c>
      <c r="BF65">
        <v>8</v>
      </c>
      <c r="BG65">
        <v>8208</v>
      </c>
      <c r="BH65">
        <v>11</v>
      </c>
      <c r="BI65">
        <v>11286</v>
      </c>
      <c r="BJ65">
        <v>10</v>
      </c>
      <c r="BK65">
        <v>10260</v>
      </c>
      <c r="BL65">
        <v>11</v>
      </c>
      <c r="BM65">
        <v>11286</v>
      </c>
      <c r="BN65">
        <v>13</v>
      </c>
      <c r="BO65">
        <v>13338</v>
      </c>
      <c r="BP65">
        <v>9</v>
      </c>
      <c r="BQ65">
        <v>9234</v>
      </c>
      <c r="BR65">
        <v>14</v>
      </c>
      <c r="BS65">
        <v>14364</v>
      </c>
      <c r="BT65">
        <v>11</v>
      </c>
      <c r="BU65">
        <v>11286</v>
      </c>
      <c r="BV65">
        <v>14</v>
      </c>
      <c r="BW65">
        <v>14364</v>
      </c>
      <c r="BX65">
        <v>11</v>
      </c>
      <c r="BY65">
        <v>11286</v>
      </c>
      <c r="BZ65">
        <v>10</v>
      </c>
      <c r="CA65">
        <v>10260</v>
      </c>
      <c r="CB65">
        <v>10</v>
      </c>
      <c r="CC65">
        <v>10260</v>
      </c>
      <c r="CD65">
        <v>10</v>
      </c>
      <c r="CE65">
        <v>10260</v>
      </c>
      <c r="CF65">
        <v>9</v>
      </c>
      <c r="CG65">
        <v>9234</v>
      </c>
      <c r="CH65">
        <v>13</v>
      </c>
      <c r="CI65">
        <v>13338</v>
      </c>
      <c r="CJ65">
        <v>12</v>
      </c>
      <c r="CK65">
        <v>12312</v>
      </c>
      <c r="CL65">
        <v>11</v>
      </c>
      <c r="CM65">
        <v>11286</v>
      </c>
      <c r="CN65">
        <v>13</v>
      </c>
      <c r="CO65">
        <v>13338</v>
      </c>
      <c r="CP65">
        <v>10</v>
      </c>
      <c r="CQ65">
        <v>10260</v>
      </c>
      <c r="CR65">
        <v>8</v>
      </c>
      <c r="CS65">
        <v>8208</v>
      </c>
      <c r="CT65">
        <v>11</v>
      </c>
      <c r="CU65">
        <v>11286</v>
      </c>
    </row>
    <row r="66" spans="2:99" x14ac:dyDescent="0.2">
      <c r="C66" s="118" t="s">
        <v>232</v>
      </c>
      <c r="D66">
        <v>11</v>
      </c>
      <c r="E66">
        <v>13094.399999999998</v>
      </c>
      <c r="F66">
        <v>10</v>
      </c>
      <c r="G66">
        <v>11903.999999999998</v>
      </c>
      <c r="H66">
        <v>8</v>
      </c>
      <c r="I66">
        <v>9523.1999999999989</v>
      </c>
      <c r="J66">
        <v>11</v>
      </c>
      <c r="K66">
        <v>13094.399999999998</v>
      </c>
      <c r="L66">
        <v>9</v>
      </c>
      <c r="M66">
        <v>10713.599999999999</v>
      </c>
      <c r="N66">
        <v>13</v>
      </c>
      <c r="O66">
        <v>15475.199999999999</v>
      </c>
      <c r="P66">
        <v>8</v>
      </c>
      <c r="Q66">
        <v>9523.1999999999989</v>
      </c>
      <c r="R66">
        <v>12</v>
      </c>
      <c r="S66">
        <v>14284.8</v>
      </c>
      <c r="T66">
        <v>9</v>
      </c>
      <c r="U66">
        <v>10713.599999999999</v>
      </c>
      <c r="V66">
        <v>13</v>
      </c>
      <c r="W66">
        <v>15475.199999999999</v>
      </c>
      <c r="X66">
        <v>7</v>
      </c>
      <c r="Y66">
        <v>8332.7999999999993</v>
      </c>
      <c r="Z66">
        <v>7</v>
      </c>
      <c r="AA66">
        <v>8332.7999999999993</v>
      </c>
      <c r="AB66">
        <v>9</v>
      </c>
      <c r="AC66">
        <v>10713.599999999999</v>
      </c>
      <c r="AD66">
        <v>10</v>
      </c>
      <c r="AE66">
        <v>11903.999999999998</v>
      </c>
      <c r="AF66">
        <v>10</v>
      </c>
      <c r="AG66">
        <v>11903.999999999998</v>
      </c>
      <c r="AH66">
        <v>10</v>
      </c>
      <c r="AI66">
        <v>11903.999999999998</v>
      </c>
      <c r="AJ66">
        <v>8</v>
      </c>
      <c r="AK66">
        <v>9523.1999999999989</v>
      </c>
      <c r="AL66">
        <v>11</v>
      </c>
      <c r="AM66">
        <v>13094.399999999998</v>
      </c>
      <c r="AN66">
        <v>7</v>
      </c>
      <c r="AO66">
        <v>8332.7999999999993</v>
      </c>
      <c r="AP66">
        <v>9</v>
      </c>
      <c r="AQ66">
        <v>10713.599999999999</v>
      </c>
      <c r="AR66">
        <v>12</v>
      </c>
      <c r="AS66">
        <v>14284.8</v>
      </c>
      <c r="AT66">
        <v>12</v>
      </c>
      <c r="AU66">
        <v>14284.8</v>
      </c>
      <c r="AV66">
        <v>13</v>
      </c>
      <c r="AW66">
        <v>15475.199999999999</v>
      </c>
      <c r="AX66">
        <v>11</v>
      </c>
      <c r="AY66">
        <v>13094.399999999998</v>
      </c>
      <c r="AZ66">
        <v>13</v>
      </c>
      <c r="BA66">
        <v>15475.199999999999</v>
      </c>
      <c r="BB66">
        <v>7</v>
      </c>
      <c r="BC66">
        <v>8332.7999999999993</v>
      </c>
      <c r="BD66">
        <v>11</v>
      </c>
      <c r="BE66">
        <v>13094.399999999998</v>
      </c>
      <c r="BF66">
        <v>10</v>
      </c>
      <c r="BG66">
        <v>11903.999999999998</v>
      </c>
      <c r="BH66">
        <v>9</v>
      </c>
      <c r="BI66">
        <v>10713.599999999999</v>
      </c>
      <c r="BJ66">
        <v>12</v>
      </c>
      <c r="BK66">
        <v>14284.8</v>
      </c>
      <c r="BL66">
        <v>11</v>
      </c>
      <c r="BM66">
        <v>13094.399999999998</v>
      </c>
      <c r="BN66">
        <v>12</v>
      </c>
      <c r="BO66">
        <v>14284.8</v>
      </c>
      <c r="BP66">
        <v>8</v>
      </c>
      <c r="BQ66">
        <v>9523.1999999999989</v>
      </c>
      <c r="BR66">
        <v>12</v>
      </c>
      <c r="BS66">
        <v>14284.8</v>
      </c>
      <c r="BT66">
        <v>11</v>
      </c>
      <c r="BU66">
        <v>13094.399999999998</v>
      </c>
      <c r="BV66">
        <v>12</v>
      </c>
      <c r="BW66">
        <v>14284.8</v>
      </c>
      <c r="BX66">
        <v>11</v>
      </c>
      <c r="BY66">
        <v>13094.399999999998</v>
      </c>
      <c r="BZ66">
        <v>10</v>
      </c>
      <c r="CA66">
        <v>11903.999999999998</v>
      </c>
      <c r="CB66">
        <v>11</v>
      </c>
      <c r="CC66">
        <v>13094.399999999998</v>
      </c>
      <c r="CD66">
        <v>11</v>
      </c>
      <c r="CE66">
        <v>13094.399999999998</v>
      </c>
      <c r="CF66">
        <v>9</v>
      </c>
      <c r="CG66">
        <v>10713.599999999999</v>
      </c>
      <c r="CH66">
        <v>12</v>
      </c>
      <c r="CI66">
        <v>14284.8</v>
      </c>
      <c r="CJ66">
        <v>11</v>
      </c>
      <c r="CK66">
        <v>13094.399999999998</v>
      </c>
      <c r="CL66">
        <v>10</v>
      </c>
      <c r="CM66">
        <v>11903.999999999998</v>
      </c>
      <c r="CN66">
        <v>11</v>
      </c>
      <c r="CO66">
        <v>13094.399999999998</v>
      </c>
      <c r="CP66">
        <v>8</v>
      </c>
      <c r="CQ66">
        <v>9523.1999999999989</v>
      </c>
      <c r="CR66">
        <v>9</v>
      </c>
      <c r="CS66">
        <v>10713.599999999999</v>
      </c>
      <c r="CT66">
        <v>9</v>
      </c>
      <c r="CU66">
        <v>10713.599999999999</v>
      </c>
    </row>
    <row r="67" spans="2:99" x14ac:dyDescent="0.2">
      <c r="C67" s="118" t="s">
        <v>233</v>
      </c>
      <c r="D67">
        <v>11</v>
      </c>
      <c r="E67">
        <v>12355.2</v>
      </c>
      <c r="F67">
        <v>10</v>
      </c>
      <c r="G67">
        <v>11232</v>
      </c>
      <c r="H67">
        <v>8</v>
      </c>
      <c r="I67">
        <v>8985.6</v>
      </c>
      <c r="J67">
        <v>11</v>
      </c>
      <c r="K67">
        <v>12355.2</v>
      </c>
      <c r="L67">
        <v>9</v>
      </c>
      <c r="M67">
        <v>10108.800000000001</v>
      </c>
      <c r="N67">
        <v>15</v>
      </c>
      <c r="O67">
        <v>16848</v>
      </c>
      <c r="P67">
        <v>7</v>
      </c>
      <c r="Q67">
        <v>7862.4000000000005</v>
      </c>
      <c r="R67">
        <v>10</v>
      </c>
      <c r="S67">
        <v>11232</v>
      </c>
      <c r="T67">
        <v>8</v>
      </c>
      <c r="U67">
        <v>8985.6</v>
      </c>
      <c r="V67">
        <v>13</v>
      </c>
      <c r="W67">
        <v>14601.6</v>
      </c>
      <c r="X67">
        <v>7</v>
      </c>
      <c r="Y67">
        <v>7862.4000000000005</v>
      </c>
      <c r="Z67">
        <v>8</v>
      </c>
      <c r="AA67">
        <v>8985.6</v>
      </c>
      <c r="AB67">
        <v>10</v>
      </c>
      <c r="AC67">
        <v>11232</v>
      </c>
      <c r="AD67">
        <v>11</v>
      </c>
      <c r="AE67">
        <v>12355.2</v>
      </c>
      <c r="AF67">
        <v>10</v>
      </c>
      <c r="AG67">
        <v>11232</v>
      </c>
      <c r="AH67">
        <v>10</v>
      </c>
      <c r="AI67">
        <v>11232</v>
      </c>
      <c r="AJ67">
        <v>7</v>
      </c>
      <c r="AK67">
        <v>7862.4000000000005</v>
      </c>
      <c r="AL67">
        <v>11</v>
      </c>
      <c r="AM67">
        <v>12355.2</v>
      </c>
      <c r="AN67">
        <v>7</v>
      </c>
      <c r="AO67">
        <v>7862.4000000000005</v>
      </c>
      <c r="AP67">
        <v>9</v>
      </c>
      <c r="AQ67">
        <v>10108.800000000001</v>
      </c>
      <c r="AR67">
        <v>12</v>
      </c>
      <c r="AS67">
        <v>13478.400000000001</v>
      </c>
      <c r="AT67">
        <v>10</v>
      </c>
      <c r="AU67">
        <v>11232</v>
      </c>
      <c r="AV67">
        <v>12</v>
      </c>
      <c r="AW67">
        <v>13478.400000000001</v>
      </c>
      <c r="AX67">
        <v>12</v>
      </c>
      <c r="AY67">
        <v>13478.400000000001</v>
      </c>
      <c r="AZ67">
        <v>13</v>
      </c>
      <c r="BA67">
        <v>14601.6</v>
      </c>
      <c r="BB67">
        <v>7</v>
      </c>
      <c r="BC67">
        <v>7862.4000000000005</v>
      </c>
      <c r="BD67">
        <v>12</v>
      </c>
      <c r="BE67">
        <v>13478.400000000001</v>
      </c>
      <c r="BF67">
        <v>10</v>
      </c>
      <c r="BG67">
        <v>11232</v>
      </c>
      <c r="BH67">
        <v>9</v>
      </c>
      <c r="BI67">
        <v>10108.800000000001</v>
      </c>
      <c r="BJ67">
        <v>11</v>
      </c>
      <c r="BK67">
        <v>12355.2</v>
      </c>
      <c r="BL67">
        <v>11</v>
      </c>
      <c r="BM67">
        <v>12355.2</v>
      </c>
      <c r="BN67">
        <v>13</v>
      </c>
      <c r="BO67">
        <v>14601.6</v>
      </c>
      <c r="BP67">
        <v>8</v>
      </c>
      <c r="BQ67">
        <v>8985.6</v>
      </c>
      <c r="BR67">
        <v>12</v>
      </c>
      <c r="BS67">
        <v>13478.400000000001</v>
      </c>
      <c r="BT67">
        <v>12</v>
      </c>
      <c r="BU67">
        <v>13478.400000000001</v>
      </c>
      <c r="BV67">
        <v>12</v>
      </c>
      <c r="BW67">
        <v>13478.400000000001</v>
      </c>
      <c r="BX67">
        <v>12</v>
      </c>
      <c r="BY67">
        <v>13478.400000000001</v>
      </c>
      <c r="BZ67">
        <v>11</v>
      </c>
      <c r="CA67">
        <v>12355.2</v>
      </c>
      <c r="CB67">
        <v>11</v>
      </c>
      <c r="CC67">
        <v>12355.2</v>
      </c>
      <c r="CD67">
        <v>9</v>
      </c>
      <c r="CE67">
        <v>10108.800000000001</v>
      </c>
      <c r="CF67">
        <v>9</v>
      </c>
      <c r="CG67">
        <v>10108.800000000001</v>
      </c>
      <c r="CH67">
        <v>13</v>
      </c>
      <c r="CI67">
        <v>14601.6</v>
      </c>
      <c r="CJ67">
        <v>12</v>
      </c>
      <c r="CK67">
        <v>13478.400000000001</v>
      </c>
      <c r="CL67">
        <v>10</v>
      </c>
      <c r="CM67">
        <v>11232</v>
      </c>
      <c r="CN67">
        <v>12</v>
      </c>
      <c r="CO67">
        <v>13478.400000000001</v>
      </c>
      <c r="CP67">
        <v>9</v>
      </c>
      <c r="CQ67">
        <v>10108.800000000001</v>
      </c>
      <c r="CR67">
        <v>8</v>
      </c>
      <c r="CS67">
        <v>8985.6</v>
      </c>
      <c r="CT67">
        <v>9</v>
      </c>
      <c r="CU67">
        <v>10108.800000000001</v>
      </c>
    </row>
    <row r="68" spans="2:99" x14ac:dyDescent="0.2">
      <c r="C68" s="118" t="s">
        <v>234</v>
      </c>
      <c r="D68">
        <v>12</v>
      </c>
      <c r="E68">
        <v>12398.400000000001</v>
      </c>
      <c r="F68">
        <v>10</v>
      </c>
      <c r="G68">
        <v>10332</v>
      </c>
      <c r="H68">
        <v>9</v>
      </c>
      <c r="I68">
        <v>9298.8000000000011</v>
      </c>
      <c r="J68">
        <v>10</v>
      </c>
      <c r="K68">
        <v>10332</v>
      </c>
      <c r="L68">
        <v>10</v>
      </c>
      <c r="M68">
        <v>10332</v>
      </c>
      <c r="N68">
        <v>14</v>
      </c>
      <c r="O68">
        <v>14464.800000000001</v>
      </c>
      <c r="P68">
        <v>8</v>
      </c>
      <c r="Q68">
        <v>8265.6</v>
      </c>
      <c r="R68">
        <v>12</v>
      </c>
      <c r="S68">
        <v>12398.400000000001</v>
      </c>
      <c r="T68">
        <v>9</v>
      </c>
      <c r="U68">
        <v>9298.8000000000011</v>
      </c>
      <c r="V68">
        <v>13</v>
      </c>
      <c r="W68">
        <v>13431.6</v>
      </c>
      <c r="X68">
        <v>6</v>
      </c>
      <c r="Y68">
        <v>6199.2000000000007</v>
      </c>
      <c r="Z68">
        <v>7</v>
      </c>
      <c r="AA68">
        <v>7232.4000000000005</v>
      </c>
      <c r="AB68">
        <v>10</v>
      </c>
      <c r="AC68">
        <v>10332</v>
      </c>
      <c r="AD68">
        <v>10</v>
      </c>
      <c r="AE68">
        <v>10332</v>
      </c>
      <c r="AF68">
        <v>11</v>
      </c>
      <c r="AG68">
        <v>11365.2</v>
      </c>
      <c r="AH68">
        <v>10</v>
      </c>
      <c r="AI68">
        <v>10332</v>
      </c>
      <c r="AJ68">
        <v>8</v>
      </c>
      <c r="AK68">
        <v>8265.6</v>
      </c>
      <c r="AL68">
        <v>13</v>
      </c>
      <c r="AM68">
        <v>13431.6</v>
      </c>
      <c r="AN68">
        <v>7</v>
      </c>
      <c r="AO68">
        <v>7232.4000000000005</v>
      </c>
      <c r="AP68">
        <v>9</v>
      </c>
      <c r="AQ68">
        <v>9298.8000000000011</v>
      </c>
      <c r="AR68">
        <v>11</v>
      </c>
      <c r="AS68">
        <v>11365.2</v>
      </c>
      <c r="AT68">
        <v>11</v>
      </c>
      <c r="AU68">
        <v>11365.2</v>
      </c>
      <c r="AV68">
        <v>12</v>
      </c>
      <c r="AW68">
        <v>12398.400000000001</v>
      </c>
      <c r="AX68">
        <v>11</v>
      </c>
      <c r="AY68">
        <v>11365.2</v>
      </c>
      <c r="AZ68">
        <v>13</v>
      </c>
      <c r="BA68">
        <v>13431.6</v>
      </c>
      <c r="BB68">
        <v>7</v>
      </c>
      <c r="BC68">
        <v>7232.4000000000005</v>
      </c>
      <c r="BD68">
        <v>13</v>
      </c>
      <c r="BE68">
        <v>13431.6</v>
      </c>
      <c r="BF68">
        <v>10</v>
      </c>
      <c r="BG68">
        <v>10332</v>
      </c>
      <c r="BH68">
        <v>9</v>
      </c>
      <c r="BI68">
        <v>9298.8000000000011</v>
      </c>
      <c r="BJ68">
        <v>12</v>
      </c>
      <c r="BK68">
        <v>12398.400000000001</v>
      </c>
      <c r="BL68">
        <v>11</v>
      </c>
      <c r="BM68">
        <v>11365.2</v>
      </c>
      <c r="BN68">
        <v>12</v>
      </c>
      <c r="BO68">
        <v>12398.400000000001</v>
      </c>
      <c r="BP68">
        <v>9</v>
      </c>
      <c r="BQ68">
        <v>9298.8000000000011</v>
      </c>
      <c r="BR68">
        <v>12</v>
      </c>
      <c r="BS68">
        <v>12398.400000000001</v>
      </c>
      <c r="BT68">
        <v>11</v>
      </c>
      <c r="BU68">
        <v>11365.2</v>
      </c>
      <c r="BV68">
        <v>13</v>
      </c>
      <c r="BW68">
        <v>13431.6</v>
      </c>
      <c r="BX68">
        <v>12</v>
      </c>
      <c r="BY68">
        <v>12398.400000000001</v>
      </c>
      <c r="BZ68">
        <v>11</v>
      </c>
      <c r="CA68">
        <v>11365.2</v>
      </c>
      <c r="CB68">
        <v>11</v>
      </c>
      <c r="CC68">
        <v>11365.2</v>
      </c>
      <c r="CD68">
        <v>11</v>
      </c>
      <c r="CE68">
        <v>11365.2</v>
      </c>
      <c r="CF68">
        <v>8</v>
      </c>
      <c r="CG68">
        <v>8265.6</v>
      </c>
      <c r="CH68">
        <v>12</v>
      </c>
      <c r="CI68">
        <v>12398.400000000001</v>
      </c>
      <c r="CJ68">
        <v>13</v>
      </c>
      <c r="CK68">
        <v>13431.6</v>
      </c>
      <c r="CL68">
        <v>10</v>
      </c>
      <c r="CM68">
        <v>10332</v>
      </c>
      <c r="CN68">
        <v>11</v>
      </c>
      <c r="CO68">
        <v>11365.2</v>
      </c>
      <c r="CP68">
        <v>8</v>
      </c>
      <c r="CQ68">
        <v>8265.6</v>
      </c>
      <c r="CR68">
        <v>9</v>
      </c>
      <c r="CS68">
        <v>9298.8000000000011</v>
      </c>
      <c r="CT68">
        <v>10</v>
      </c>
      <c r="CU68">
        <v>10332</v>
      </c>
    </row>
    <row r="69" spans="2:99" x14ac:dyDescent="0.2">
      <c r="C69" s="118" t="s">
        <v>235</v>
      </c>
      <c r="D69">
        <v>11</v>
      </c>
      <c r="E69">
        <v>8342.4</v>
      </c>
      <c r="F69">
        <v>9</v>
      </c>
      <c r="G69">
        <v>6825.5999999999995</v>
      </c>
      <c r="H69">
        <v>8</v>
      </c>
      <c r="I69">
        <v>6067.2</v>
      </c>
      <c r="J69">
        <v>10</v>
      </c>
      <c r="K69">
        <v>7584</v>
      </c>
      <c r="L69">
        <v>11</v>
      </c>
      <c r="M69">
        <v>8342.4</v>
      </c>
      <c r="N69">
        <v>13</v>
      </c>
      <c r="O69">
        <v>9859.1999999999989</v>
      </c>
      <c r="P69">
        <v>7</v>
      </c>
      <c r="Q69">
        <v>5308.8</v>
      </c>
      <c r="R69">
        <v>12</v>
      </c>
      <c r="S69">
        <v>9100.7999999999993</v>
      </c>
      <c r="T69">
        <v>10</v>
      </c>
      <c r="U69">
        <v>7584</v>
      </c>
      <c r="V69">
        <v>13</v>
      </c>
      <c r="W69">
        <v>9859.1999999999989</v>
      </c>
      <c r="X69">
        <v>6</v>
      </c>
      <c r="Y69">
        <v>4550.3999999999996</v>
      </c>
      <c r="Z69">
        <v>7</v>
      </c>
      <c r="AA69">
        <v>5308.8</v>
      </c>
      <c r="AB69">
        <v>10</v>
      </c>
      <c r="AC69">
        <v>7584</v>
      </c>
      <c r="AD69">
        <v>11</v>
      </c>
      <c r="AE69">
        <v>8342.4</v>
      </c>
      <c r="AF69">
        <v>11</v>
      </c>
      <c r="AG69">
        <v>8342.4</v>
      </c>
      <c r="AH69">
        <v>10</v>
      </c>
      <c r="AI69">
        <v>7584</v>
      </c>
      <c r="AJ69">
        <v>8</v>
      </c>
      <c r="AK69">
        <v>6067.2</v>
      </c>
      <c r="AL69">
        <v>12</v>
      </c>
      <c r="AM69">
        <v>9100.7999999999993</v>
      </c>
      <c r="AN69">
        <v>7</v>
      </c>
      <c r="AO69">
        <v>5308.8</v>
      </c>
      <c r="AP69">
        <v>10</v>
      </c>
      <c r="AQ69">
        <v>7584</v>
      </c>
      <c r="AR69">
        <v>12</v>
      </c>
      <c r="AS69">
        <v>9100.7999999999993</v>
      </c>
      <c r="AT69">
        <v>10</v>
      </c>
      <c r="AU69">
        <v>7584</v>
      </c>
      <c r="AV69">
        <v>13</v>
      </c>
      <c r="AW69">
        <v>9859.1999999999989</v>
      </c>
      <c r="AX69">
        <v>11</v>
      </c>
      <c r="AY69">
        <v>8342.4</v>
      </c>
      <c r="AZ69">
        <v>14</v>
      </c>
      <c r="BA69">
        <v>10617.6</v>
      </c>
      <c r="BB69">
        <v>7</v>
      </c>
      <c r="BC69">
        <v>5308.8</v>
      </c>
      <c r="BD69">
        <v>13</v>
      </c>
      <c r="BE69">
        <v>9859.1999999999989</v>
      </c>
      <c r="BF69">
        <v>9</v>
      </c>
      <c r="BG69">
        <v>6825.5999999999995</v>
      </c>
      <c r="BH69">
        <v>10</v>
      </c>
      <c r="BI69">
        <v>7584</v>
      </c>
      <c r="BJ69">
        <v>12</v>
      </c>
      <c r="BK69">
        <v>9100.7999999999993</v>
      </c>
      <c r="BL69">
        <v>11</v>
      </c>
      <c r="BM69">
        <v>8342.4</v>
      </c>
      <c r="BN69">
        <v>13</v>
      </c>
      <c r="BO69">
        <v>9859.1999999999989</v>
      </c>
      <c r="BP69">
        <v>9</v>
      </c>
      <c r="BQ69">
        <v>6825.5999999999995</v>
      </c>
      <c r="BR69">
        <v>13</v>
      </c>
      <c r="BS69">
        <v>9859.1999999999989</v>
      </c>
      <c r="BT69">
        <v>13</v>
      </c>
      <c r="BU69">
        <v>9859.1999999999989</v>
      </c>
      <c r="BV69">
        <v>15</v>
      </c>
      <c r="BW69">
        <v>11376</v>
      </c>
      <c r="BX69">
        <v>13</v>
      </c>
      <c r="BY69">
        <v>9859.1999999999989</v>
      </c>
      <c r="BZ69">
        <v>12</v>
      </c>
      <c r="CA69">
        <v>9100.7999999999993</v>
      </c>
      <c r="CB69">
        <v>11</v>
      </c>
      <c r="CC69">
        <v>8342.4</v>
      </c>
      <c r="CD69">
        <v>11</v>
      </c>
      <c r="CE69">
        <v>8342.4</v>
      </c>
      <c r="CF69">
        <v>9</v>
      </c>
      <c r="CG69">
        <v>6825.5999999999995</v>
      </c>
      <c r="CH69">
        <v>14</v>
      </c>
      <c r="CI69">
        <v>10617.6</v>
      </c>
      <c r="CJ69">
        <v>11</v>
      </c>
      <c r="CK69">
        <v>8342.4</v>
      </c>
      <c r="CL69">
        <v>11</v>
      </c>
      <c r="CM69">
        <v>8342.4</v>
      </c>
      <c r="CN69">
        <v>12</v>
      </c>
      <c r="CO69">
        <v>9100.7999999999993</v>
      </c>
      <c r="CP69">
        <v>10</v>
      </c>
      <c r="CQ69">
        <v>7584</v>
      </c>
      <c r="CR69">
        <v>9</v>
      </c>
      <c r="CS69">
        <v>6825.5999999999995</v>
      </c>
      <c r="CT69">
        <v>9</v>
      </c>
      <c r="CU69">
        <v>6825.5999999999995</v>
      </c>
    </row>
    <row r="70" spans="2:99" x14ac:dyDescent="0.2">
      <c r="C70" s="118" t="s">
        <v>236</v>
      </c>
      <c r="D70">
        <v>13</v>
      </c>
      <c r="E70">
        <v>6957.5999999999995</v>
      </c>
      <c r="F70">
        <v>10</v>
      </c>
      <c r="G70">
        <v>5351.9999999999991</v>
      </c>
      <c r="H70">
        <v>8</v>
      </c>
      <c r="I70">
        <v>4281.5999999999995</v>
      </c>
      <c r="J70">
        <v>10</v>
      </c>
      <c r="K70">
        <v>5351.9999999999991</v>
      </c>
      <c r="L70">
        <v>11</v>
      </c>
      <c r="M70">
        <v>5887.1999999999989</v>
      </c>
      <c r="N70">
        <v>13</v>
      </c>
      <c r="O70">
        <v>6957.5999999999995</v>
      </c>
      <c r="P70">
        <v>8</v>
      </c>
      <c r="Q70">
        <v>4281.5999999999995</v>
      </c>
      <c r="R70">
        <v>13</v>
      </c>
      <c r="S70">
        <v>6957.5999999999995</v>
      </c>
      <c r="T70">
        <v>9</v>
      </c>
      <c r="U70">
        <v>4816.7999999999993</v>
      </c>
      <c r="V70">
        <v>13</v>
      </c>
      <c r="W70">
        <v>6957.5999999999995</v>
      </c>
      <c r="X70">
        <v>6</v>
      </c>
      <c r="Y70">
        <v>3211.2</v>
      </c>
      <c r="Z70">
        <v>8</v>
      </c>
      <c r="AA70">
        <v>4281.5999999999995</v>
      </c>
      <c r="AB70">
        <v>10</v>
      </c>
      <c r="AC70">
        <v>5351.9999999999991</v>
      </c>
      <c r="AD70">
        <v>12</v>
      </c>
      <c r="AE70">
        <v>6422.4</v>
      </c>
      <c r="AF70">
        <v>11</v>
      </c>
      <c r="AG70">
        <v>5887.1999999999989</v>
      </c>
      <c r="AH70">
        <v>10</v>
      </c>
      <c r="AI70">
        <v>5351.9999999999991</v>
      </c>
      <c r="AJ70">
        <v>9</v>
      </c>
      <c r="AK70">
        <v>4816.7999999999993</v>
      </c>
      <c r="AL70">
        <v>13</v>
      </c>
      <c r="AM70">
        <v>6957.5999999999995</v>
      </c>
      <c r="AN70">
        <v>7</v>
      </c>
      <c r="AO70">
        <v>3746.3999999999996</v>
      </c>
      <c r="AP70">
        <v>10</v>
      </c>
      <c r="AQ70">
        <v>5351.9999999999991</v>
      </c>
      <c r="AR70">
        <v>11</v>
      </c>
      <c r="AS70">
        <v>5887.1999999999989</v>
      </c>
      <c r="AT70">
        <v>11</v>
      </c>
      <c r="AU70">
        <v>5887.1999999999989</v>
      </c>
      <c r="AV70">
        <v>13</v>
      </c>
      <c r="AW70">
        <v>6957.5999999999995</v>
      </c>
      <c r="AX70">
        <v>11</v>
      </c>
      <c r="AY70">
        <v>5887.1999999999989</v>
      </c>
      <c r="AZ70">
        <v>13</v>
      </c>
      <c r="BA70">
        <v>6957.5999999999995</v>
      </c>
      <c r="BB70">
        <v>7</v>
      </c>
      <c r="BC70">
        <v>3746.3999999999996</v>
      </c>
      <c r="BD70">
        <v>12</v>
      </c>
      <c r="BE70">
        <v>6422.4</v>
      </c>
      <c r="BF70">
        <v>9</v>
      </c>
      <c r="BG70">
        <v>4816.7999999999993</v>
      </c>
      <c r="BH70">
        <v>10</v>
      </c>
      <c r="BI70">
        <v>5351.9999999999991</v>
      </c>
      <c r="BJ70">
        <v>12</v>
      </c>
      <c r="BK70">
        <v>6422.4</v>
      </c>
      <c r="BL70">
        <v>12</v>
      </c>
      <c r="BM70">
        <v>6422.4</v>
      </c>
      <c r="BN70">
        <v>14</v>
      </c>
      <c r="BO70">
        <v>7492.7999999999993</v>
      </c>
      <c r="BP70">
        <v>9</v>
      </c>
      <c r="BQ70">
        <v>4816.7999999999993</v>
      </c>
      <c r="BR70">
        <v>12</v>
      </c>
      <c r="BS70">
        <v>6422.4</v>
      </c>
      <c r="BT70">
        <v>12</v>
      </c>
      <c r="BU70">
        <v>6422.4</v>
      </c>
      <c r="BV70">
        <v>13</v>
      </c>
      <c r="BW70">
        <v>6957.5999999999995</v>
      </c>
      <c r="BX70">
        <v>11</v>
      </c>
      <c r="BY70">
        <v>5887.1999999999989</v>
      </c>
      <c r="BZ70">
        <v>12</v>
      </c>
      <c r="CA70">
        <v>6422.4</v>
      </c>
      <c r="CB70">
        <v>11</v>
      </c>
      <c r="CC70">
        <v>5887.1999999999989</v>
      </c>
      <c r="CD70">
        <v>10</v>
      </c>
      <c r="CE70">
        <v>5351.9999999999991</v>
      </c>
      <c r="CF70">
        <v>9</v>
      </c>
      <c r="CG70">
        <v>4816.7999999999993</v>
      </c>
      <c r="CH70">
        <v>13</v>
      </c>
      <c r="CI70">
        <v>6957.5999999999995</v>
      </c>
      <c r="CJ70">
        <v>11</v>
      </c>
      <c r="CK70">
        <v>5887.1999999999989</v>
      </c>
      <c r="CL70">
        <v>10</v>
      </c>
      <c r="CM70">
        <v>5351.9999999999991</v>
      </c>
      <c r="CN70">
        <v>12</v>
      </c>
      <c r="CO70">
        <v>6422.4</v>
      </c>
      <c r="CP70">
        <v>9</v>
      </c>
      <c r="CQ70">
        <v>4816.7999999999993</v>
      </c>
      <c r="CR70">
        <v>9</v>
      </c>
      <c r="CS70">
        <v>4816.7999999999993</v>
      </c>
      <c r="CT70">
        <v>11</v>
      </c>
      <c r="CU70">
        <v>5887.1999999999989</v>
      </c>
    </row>
    <row r="71" spans="2:99" x14ac:dyDescent="0.2">
      <c r="B71" s="118" t="s">
        <v>130</v>
      </c>
      <c r="C71" s="118" t="s">
        <v>237</v>
      </c>
      <c r="D71">
        <v>6.3065198216790037</v>
      </c>
      <c r="E71">
        <v>3556.8771794269583</v>
      </c>
      <c r="F71">
        <v>3.5223557677185453</v>
      </c>
      <c r="G71">
        <v>1986.6086529932595</v>
      </c>
      <c r="H71">
        <v>6.7016906782230397</v>
      </c>
      <c r="I71">
        <v>3779.7535425177944</v>
      </c>
      <c r="J71">
        <v>10.679202344403343</v>
      </c>
      <c r="K71">
        <v>6023.0701222434855</v>
      </c>
      <c r="L71">
        <v>7.8499855457540653</v>
      </c>
      <c r="M71">
        <v>4427.3918478052929</v>
      </c>
      <c r="N71">
        <v>10</v>
      </c>
      <c r="O71">
        <v>5640</v>
      </c>
      <c r="P71">
        <v>6</v>
      </c>
      <c r="Q71">
        <v>3384</v>
      </c>
      <c r="R71">
        <v>9.0681714316080342</v>
      </c>
      <c r="S71">
        <v>5114.4486874269314</v>
      </c>
      <c r="T71">
        <v>6.8848531775018262</v>
      </c>
      <c r="U71">
        <v>3883.05719211103</v>
      </c>
      <c r="V71">
        <v>11</v>
      </c>
      <c r="W71">
        <v>6204</v>
      </c>
      <c r="X71">
        <v>7</v>
      </c>
      <c r="Y71">
        <v>3948</v>
      </c>
      <c r="Z71">
        <v>11</v>
      </c>
      <c r="AA71">
        <v>6204</v>
      </c>
      <c r="AB71">
        <v>11</v>
      </c>
      <c r="AC71">
        <v>6204</v>
      </c>
      <c r="AD71">
        <v>11.105164509716419</v>
      </c>
      <c r="AE71">
        <v>6263.3127834800598</v>
      </c>
      <c r="AF71">
        <v>12.274851965680895</v>
      </c>
      <c r="AG71">
        <v>6923.0165086440247</v>
      </c>
      <c r="AH71">
        <v>9.0758573388203008</v>
      </c>
      <c r="AI71">
        <v>5118.7835390946493</v>
      </c>
      <c r="AJ71">
        <v>12</v>
      </c>
      <c r="AK71">
        <v>6768</v>
      </c>
      <c r="AL71">
        <v>9.383353951835705</v>
      </c>
      <c r="AM71">
        <v>5292.2116288353373</v>
      </c>
      <c r="AN71">
        <v>10</v>
      </c>
      <c r="AO71">
        <v>5640</v>
      </c>
      <c r="AP71">
        <v>10.843572778827976</v>
      </c>
      <c r="AQ71">
        <v>6115.7750472589787</v>
      </c>
      <c r="AR71">
        <v>9.9823496610786826</v>
      </c>
      <c r="AS71">
        <v>5630.0452088483771</v>
      </c>
      <c r="AT71">
        <v>8</v>
      </c>
      <c r="AU71">
        <v>4512</v>
      </c>
      <c r="AV71">
        <v>8</v>
      </c>
      <c r="AW71">
        <v>4512</v>
      </c>
      <c r="AX71">
        <v>7</v>
      </c>
      <c r="AY71">
        <v>3948</v>
      </c>
      <c r="AZ71">
        <v>13.744213385682981</v>
      </c>
      <c r="BA71">
        <v>7751.7363495252011</v>
      </c>
      <c r="BB71">
        <v>10</v>
      </c>
      <c r="BC71">
        <v>5640</v>
      </c>
      <c r="BD71">
        <v>10</v>
      </c>
      <c r="BE71">
        <v>5640</v>
      </c>
      <c r="BF71">
        <v>9.7481835901171792</v>
      </c>
      <c r="BG71">
        <v>5497.9755448260894</v>
      </c>
      <c r="BH71">
        <v>8.1863055844735282</v>
      </c>
      <c r="BI71">
        <v>4617.07634964307</v>
      </c>
      <c r="BJ71">
        <v>12.075154347260055</v>
      </c>
      <c r="BK71">
        <v>6810.387051854671</v>
      </c>
      <c r="BL71">
        <v>7</v>
      </c>
      <c r="BM71">
        <v>3948</v>
      </c>
      <c r="BN71">
        <v>9.0584726885330582</v>
      </c>
      <c r="BO71">
        <v>5108.9785963326449</v>
      </c>
      <c r="BP71">
        <v>12</v>
      </c>
      <c r="BQ71">
        <v>6768</v>
      </c>
      <c r="BR71">
        <v>10.166317719738645</v>
      </c>
      <c r="BS71">
        <v>5733.8031939325956</v>
      </c>
      <c r="BT71">
        <v>12</v>
      </c>
      <c r="BU71">
        <v>6768</v>
      </c>
      <c r="BV71">
        <v>14.08058462718655</v>
      </c>
      <c r="BW71">
        <v>7941.4497297332136</v>
      </c>
      <c r="BX71">
        <v>9.9830945423696864</v>
      </c>
      <c r="BY71">
        <v>5630.4653218965032</v>
      </c>
      <c r="BZ71">
        <v>11</v>
      </c>
      <c r="CA71">
        <v>6204</v>
      </c>
      <c r="CB71">
        <v>9</v>
      </c>
      <c r="CC71">
        <v>5076</v>
      </c>
      <c r="CD71">
        <v>12.885579234097101</v>
      </c>
      <c r="CE71">
        <v>7267.466688030765</v>
      </c>
      <c r="CF71">
        <v>11.735704639117843</v>
      </c>
      <c r="CG71">
        <v>6618.9374164624633</v>
      </c>
      <c r="CH71">
        <v>13.177659976860092</v>
      </c>
      <c r="CI71">
        <v>7432.2002269490913</v>
      </c>
      <c r="CJ71">
        <v>13.896405522311742</v>
      </c>
      <c r="CK71">
        <v>7837.5727145838227</v>
      </c>
      <c r="CL71">
        <v>10.353433922996878</v>
      </c>
      <c r="CM71">
        <v>5839.3367325702393</v>
      </c>
      <c r="CN71">
        <v>7.8828455669414126</v>
      </c>
      <c r="CO71">
        <v>4445.9248997549566</v>
      </c>
      <c r="CP71">
        <v>11.073873224533111</v>
      </c>
      <c r="CQ71">
        <v>6245.6644986366746</v>
      </c>
      <c r="CR71">
        <v>11.074795426232667</v>
      </c>
      <c r="CS71">
        <v>6246.1846203952246</v>
      </c>
      <c r="CT71">
        <v>11.914866863905326</v>
      </c>
      <c r="CU71">
        <v>6719.9849112426036</v>
      </c>
    </row>
    <row r="72" spans="2:99" x14ac:dyDescent="0.2">
      <c r="C72" s="118" t="s">
        <v>238</v>
      </c>
      <c r="D72">
        <v>6.3065198216790037</v>
      </c>
      <c r="E72">
        <v>469.20507473291781</v>
      </c>
      <c r="F72">
        <v>3.5223557677185453</v>
      </c>
      <c r="G72">
        <v>262.06326911825977</v>
      </c>
      <c r="H72">
        <v>6.7016906782230397</v>
      </c>
      <c r="I72">
        <v>498.6057864597941</v>
      </c>
      <c r="J72">
        <v>10</v>
      </c>
      <c r="K72">
        <v>743.99999999999989</v>
      </c>
      <c r="L72">
        <v>7</v>
      </c>
      <c r="M72">
        <v>520.79999999999995</v>
      </c>
      <c r="N72">
        <v>11</v>
      </c>
      <c r="O72">
        <v>818.39999999999986</v>
      </c>
      <c r="P72">
        <v>7</v>
      </c>
      <c r="Q72">
        <v>520.79999999999995</v>
      </c>
      <c r="R72">
        <v>10.068171431608034</v>
      </c>
      <c r="S72">
        <v>749.07195451163761</v>
      </c>
      <c r="T72">
        <v>8.0814872169466767</v>
      </c>
      <c r="U72">
        <v>601.26264894083272</v>
      </c>
      <c r="V72">
        <v>12</v>
      </c>
      <c r="W72">
        <v>892.8</v>
      </c>
      <c r="X72">
        <v>8</v>
      </c>
      <c r="Y72">
        <v>595.19999999999993</v>
      </c>
      <c r="Z72">
        <v>10</v>
      </c>
      <c r="AA72">
        <v>743.99999999999989</v>
      </c>
      <c r="AB72">
        <v>12</v>
      </c>
      <c r="AC72">
        <v>892.8</v>
      </c>
      <c r="AD72">
        <v>11.20126577143089</v>
      </c>
      <c r="AE72">
        <v>833.37417339445813</v>
      </c>
      <c r="AF72">
        <v>15.229321538335148</v>
      </c>
      <c r="AG72">
        <v>1133.0615224521348</v>
      </c>
      <c r="AH72">
        <v>8.0758573388203008</v>
      </c>
      <c r="AI72">
        <v>600.84378600823027</v>
      </c>
      <c r="AJ72">
        <v>13</v>
      </c>
      <c r="AK72">
        <v>967.19999999999993</v>
      </c>
      <c r="AL72">
        <v>10.383353951835705</v>
      </c>
      <c r="AM72">
        <v>772.52153401657631</v>
      </c>
      <c r="AN72">
        <v>11</v>
      </c>
      <c r="AO72">
        <v>818.39999999999986</v>
      </c>
      <c r="AP72">
        <v>10.843572778827976</v>
      </c>
      <c r="AQ72">
        <v>806.76181474480131</v>
      </c>
      <c r="AR72">
        <v>10.982349661078683</v>
      </c>
      <c r="AS72">
        <v>817.08681478425387</v>
      </c>
      <c r="AT72">
        <v>9</v>
      </c>
      <c r="AU72">
        <v>669.59999999999991</v>
      </c>
      <c r="AV72">
        <v>9.7999160171996778</v>
      </c>
      <c r="AW72">
        <v>729.11375167965593</v>
      </c>
      <c r="AX72">
        <v>7</v>
      </c>
      <c r="AY72">
        <v>520.79999999999995</v>
      </c>
      <c r="AZ72">
        <v>12.644984934258582</v>
      </c>
      <c r="BA72">
        <v>940.78687910883843</v>
      </c>
      <c r="BB72">
        <v>9</v>
      </c>
      <c r="BC72">
        <v>669.59999999999991</v>
      </c>
      <c r="BD72">
        <v>11</v>
      </c>
      <c r="BE72">
        <v>818.39999999999986</v>
      </c>
      <c r="BF72">
        <v>9.847941402132804</v>
      </c>
      <c r="BG72">
        <v>732.68684031868054</v>
      </c>
      <c r="BH72">
        <v>8.0950513087447948</v>
      </c>
      <c r="BI72">
        <v>602.27181737061267</v>
      </c>
      <c r="BJ72">
        <v>11.094759829153983</v>
      </c>
      <c r="BK72">
        <v>825.45013128905623</v>
      </c>
      <c r="BL72">
        <v>7</v>
      </c>
      <c r="BM72">
        <v>520.79999999999995</v>
      </c>
      <c r="BN72">
        <v>9.0584726885330582</v>
      </c>
      <c r="BO72">
        <v>673.95036802685945</v>
      </c>
      <c r="BP72">
        <v>12</v>
      </c>
      <c r="BQ72">
        <v>892.8</v>
      </c>
      <c r="BR72">
        <v>10.166317719738645</v>
      </c>
      <c r="BS72">
        <v>756.37403834855513</v>
      </c>
      <c r="BT72">
        <v>14.291847632609469</v>
      </c>
      <c r="BU72">
        <v>1063.3134638661445</v>
      </c>
      <c r="BV72">
        <v>15.031467144132616</v>
      </c>
      <c r="BW72">
        <v>1118.3411555234666</v>
      </c>
      <c r="BX72">
        <v>11.076722594023941</v>
      </c>
      <c r="BY72">
        <v>824.10816099538113</v>
      </c>
      <c r="BZ72">
        <v>11</v>
      </c>
      <c r="CA72">
        <v>818.39999999999986</v>
      </c>
      <c r="CB72">
        <v>10</v>
      </c>
      <c r="CC72">
        <v>743.99999999999989</v>
      </c>
      <c r="CD72">
        <v>12.983976926774556</v>
      </c>
      <c r="CE72">
        <v>966.00788335202685</v>
      </c>
      <c r="CF72">
        <v>9.8828455669414126</v>
      </c>
      <c r="CG72">
        <v>735.28371018044106</v>
      </c>
      <c r="CH72">
        <v>14.366085573157708</v>
      </c>
      <c r="CI72">
        <v>1068.8367666429333</v>
      </c>
      <c r="CJ72">
        <v>14.095606749492129</v>
      </c>
      <c r="CK72">
        <v>1048.7131421622144</v>
      </c>
      <c r="CL72">
        <v>10.26009365244537</v>
      </c>
      <c r="CM72">
        <v>763.35096774193539</v>
      </c>
      <c r="CN72">
        <v>7.8337985910002228</v>
      </c>
      <c r="CO72">
        <v>582.83461517041655</v>
      </c>
      <c r="CP72">
        <v>11.122685643830071</v>
      </c>
      <c r="CQ72">
        <v>827.5278119009572</v>
      </c>
      <c r="CR72">
        <v>13.081595010435636</v>
      </c>
      <c r="CS72">
        <v>973.27066877641118</v>
      </c>
      <c r="CT72">
        <v>11.011168639053254</v>
      </c>
      <c r="CU72">
        <v>819.23094674556205</v>
      </c>
    </row>
    <row r="73" spans="2:99" x14ac:dyDescent="0.2">
      <c r="C73" s="118" t="s">
        <v>239</v>
      </c>
      <c r="D73">
        <v>6.2352608384114161</v>
      </c>
      <c r="E73">
        <v>3486.7578608396634</v>
      </c>
      <c r="F73">
        <v>3.5223557677185453</v>
      </c>
      <c r="G73">
        <v>1969.7013453082102</v>
      </c>
      <c r="H73">
        <v>6.7016906782230397</v>
      </c>
      <c r="I73">
        <v>3747.5854272623233</v>
      </c>
      <c r="J73">
        <v>11.679202344403343</v>
      </c>
      <c r="K73">
        <v>6531.0099509903484</v>
      </c>
      <c r="L73">
        <v>6.8999846955043047</v>
      </c>
      <c r="M73">
        <v>3858.4714417260066</v>
      </c>
      <c r="N73">
        <v>11</v>
      </c>
      <c r="O73">
        <v>6151.1999999999989</v>
      </c>
      <c r="P73">
        <v>6</v>
      </c>
      <c r="Q73">
        <v>3355.2</v>
      </c>
      <c r="R73">
        <v>9.9710649378254868</v>
      </c>
      <c r="S73">
        <v>5575.8195132320116</v>
      </c>
      <c r="T73">
        <v>7.9831701972242515</v>
      </c>
      <c r="U73">
        <v>4464.1887742878007</v>
      </c>
      <c r="V73">
        <v>11</v>
      </c>
      <c r="W73">
        <v>6151.1999999999989</v>
      </c>
      <c r="X73">
        <v>8</v>
      </c>
      <c r="Y73">
        <v>4473.5999999999995</v>
      </c>
      <c r="Z73">
        <v>10</v>
      </c>
      <c r="AA73">
        <v>5591.9999999999991</v>
      </c>
      <c r="AB73">
        <v>11</v>
      </c>
      <c r="AC73">
        <v>6151.1999999999989</v>
      </c>
      <c r="AD73">
        <v>10.105164509716419</v>
      </c>
      <c r="AE73">
        <v>5650.8079938334204</v>
      </c>
      <c r="AF73">
        <v>13.229321538335148</v>
      </c>
      <c r="AG73">
        <v>7397.8366042370135</v>
      </c>
      <c r="AH73">
        <v>9.026954732510287</v>
      </c>
      <c r="AI73">
        <v>5047.8730864197523</v>
      </c>
      <c r="AJ73">
        <v>12</v>
      </c>
      <c r="AK73">
        <v>6710.4</v>
      </c>
      <c r="AL73">
        <v>9.4073135738254372</v>
      </c>
      <c r="AM73">
        <v>5260.5697504831842</v>
      </c>
      <c r="AN73">
        <v>10</v>
      </c>
      <c r="AO73">
        <v>5591.9999999999991</v>
      </c>
      <c r="AP73">
        <v>11.843572778827976</v>
      </c>
      <c r="AQ73">
        <v>6622.9258979206033</v>
      </c>
      <c r="AR73">
        <v>9.9823496610786826</v>
      </c>
      <c r="AS73">
        <v>5582.1299304751983</v>
      </c>
      <c r="AT73">
        <v>8</v>
      </c>
      <c r="AU73">
        <v>4473.5999999999995</v>
      </c>
      <c r="AV73">
        <v>8</v>
      </c>
      <c r="AW73">
        <v>4473.5999999999995</v>
      </c>
      <c r="AX73">
        <v>8</v>
      </c>
      <c r="AY73">
        <v>4473.5999999999995</v>
      </c>
      <c r="AZ73">
        <v>13.644984934258582</v>
      </c>
      <c r="BA73">
        <v>7630.2755752373987</v>
      </c>
      <c r="BB73">
        <v>9</v>
      </c>
      <c r="BC73">
        <v>5032.7999999999993</v>
      </c>
      <c r="BD73">
        <v>10</v>
      </c>
      <c r="BE73">
        <v>5591.9999999999991</v>
      </c>
      <c r="BF73">
        <v>10.798062496124992</v>
      </c>
      <c r="BG73">
        <v>6038.2765478330948</v>
      </c>
      <c r="BH73">
        <v>7.1406784466091615</v>
      </c>
      <c r="BI73">
        <v>3993.0673873438427</v>
      </c>
      <c r="BJ73">
        <v>12.088224668522672</v>
      </c>
      <c r="BK73">
        <v>6759.7352346378775</v>
      </c>
      <c r="BL73">
        <v>7</v>
      </c>
      <c r="BM73">
        <v>3914.3999999999996</v>
      </c>
      <c r="BN73">
        <v>8.0506763300619841</v>
      </c>
      <c r="BO73">
        <v>4501.9382037706609</v>
      </c>
      <c r="BP73">
        <v>12</v>
      </c>
      <c r="BQ73">
        <v>6710.4</v>
      </c>
      <c r="BR73">
        <v>10.076600972066442</v>
      </c>
      <c r="BS73">
        <v>5634.8352635795536</v>
      </c>
      <c r="BT73">
        <v>14.148309006763974</v>
      </c>
      <c r="BU73">
        <v>7911.734396582413</v>
      </c>
      <c r="BV73">
        <v>13.982349661078683</v>
      </c>
      <c r="BW73">
        <v>7818.9299304751985</v>
      </c>
      <c r="BX73">
        <v>9.9362805165425581</v>
      </c>
      <c r="BY73">
        <v>5556.3680648505979</v>
      </c>
      <c r="BZ73">
        <v>9</v>
      </c>
      <c r="CA73">
        <v>5032.7999999999993</v>
      </c>
      <c r="CB73">
        <v>9</v>
      </c>
      <c r="CC73">
        <v>5032.7999999999993</v>
      </c>
      <c r="CD73">
        <v>11.836380387758371</v>
      </c>
      <c r="CE73">
        <v>6618.9039128344803</v>
      </c>
      <c r="CF73">
        <v>10.833798591000223</v>
      </c>
      <c r="CG73">
        <v>6058.2601720873236</v>
      </c>
      <c r="CH73">
        <v>13.2718727750089</v>
      </c>
      <c r="CI73">
        <v>7421.631255784976</v>
      </c>
      <c r="CJ73">
        <v>12.946205829106839</v>
      </c>
      <c r="CK73">
        <v>7239.5182996365438</v>
      </c>
      <c r="CL73">
        <v>10.120083246618107</v>
      </c>
      <c r="CM73">
        <v>5659.1505515088447</v>
      </c>
      <c r="CN73">
        <v>8.8337985910002228</v>
      </c>
      <c r="CO73">
        <v>4939.8601720873239</v>
      </c>
      <c r="CP73">
        <v>12.976248385939192</v>
      </c>
      <c r="CQ73">
        <v>7256.3180974171955</v>
      </c>
      <c r="CR73">
        <v>12.071395634131182</v>
      </c>
      <c r="CS73">
        <v>6750.324438606156</v>
      </c>
      <c r="CT73">
        <v>11.011168639053254</v>
      </c>
      <c r="CU73">
        <v>6157.4455029585788</v>
      </c>
    </row>
    <row r="74" spans="2:99" x14ac:dyDescent="0.2">
      <c r="C74" s="118" t="s">
        <v>240</v>
      </c>
      <c r="D74">
        <v>7.0191221296670676</v>
      </c>
      <c r="E74">
        <v>2830.1100426817616</v>
      </c>
      <c r="F74">
        <v>3.5223557677185453</v>
      </c>
      <c r="G74">
        <v>1420.2138455441175</v>
      </c>
      <c r="H74">
        <v>6.7016906782230397</v>
      </c>
      <c r="I74">
        <v>2702.1216814595296</v>
      </c>
      <c r="J74">
        <v>11.679202344403343</v>
      </c>
      <c r="K74">
        <v>4709.0543852634282</v>
      </c>
      <c r="L74">
        <v>7.9499838452545433</v>
      </c>
      <c r="M74">
        <v>3205.4334864066318</v>
      </c>
      <c r="N74">
        <v>10</v>
      </c>
      <c r="O74">
        <v>4032</v>
      </c>
      <c r="P74">
        <v>7</v>
      </c>
      <c r="Q74">
        <v>2822.4</v>
      </c>
      <c r="R74">
        <v>9.9710649378254868</v>
      </c>
      <c r="S74">
        <v>4020.333382931236</v>
      </c>
      <c r="T74">
        <v>7.9831701972242515</v>
      </c>
      <c r="U74">
        <v>3218.8142235208179</v>
      </c>
      <c r="V74">
        <v>11</v>
      </c>
      <c r="W74">
        <v>4435.2</v>
      </c>
      <c r="X74">
        <v>7</v>
      </c>
      <c r="Y74">
        <v>2822.4</v>
      </c>
      <c r="Z74">
        <v>10</v>
      </c>
      <c r="AA74">
        <v>4032</v>
      </c>
      <c r="AB74">
        <v>13</v>
      </c>
      <c r="AC74">
        <v>5241.5999999999995</v>
      </c>
      <c r="AD74">
        <v>10.153215140573653</v>
      </c>
      <c r="AE74">
        <v>4093.7763446792969</v>
      </c>
      <c r="AF74">
        <v>13.138260683643656</v>
      </c>
      <c r="AG74">
        <v>5297.3467076451216</v>
      </c>
      <c r="AH74">
        <v>9.1736625514403283</v>
      </c>
      <c r="AI74">
        <v>3698.8207407407403</v>
      </c>
      <c r="AJ74">
        <v>14</v>
      </c>
      <c r="AK74">
        <v>5644.8</v>
      </c>
      <c r="AL74">
        <v>10.359394329845973</v>
      </c>
      <c r="AM74">
        <v>4176.9077937938964</v>
      </c>
      <c r="AN74">
        <v>11</v>
      </c>
      <c r="AO74">
        <v>4435.2</v>
      </c>
      <c r="AP74">
        <v>11.793950850661625</v>
      </c>
      <c r="AQ74">
        <v>4755.3209829867674</v>
      </c>
      <c r="AR74">
        <v>9.9823496610786826</v>
      </c>
      <c r="AS74">
        <v>4024.8833833469248</v>
      </c>
      <c r="AT74">
        <v>7</v>
      </c>
      <c r="AU74">
        <v>2822.4</v>
      </c>
      <c r="AV74">
        <v>9.699926515049718</v>
      </c>
      <c r="AW74">
        <v>3911.0103708680463</v>
      </c>
      <c r="AX74">
        <v>8</v>
      </c>
      <c r="AY74">
        <v>3225.6</v>
      </c>
      <c r="AZ74">
        <v>12.644984934258582</v>
      </c>
      <c r="BA74">
        <v>5098.4579254930604</v>
      </c>
      <c r="BB74">
        <v>9</v>
      </c>
      <c r="BC74">
        <v>3628.7999999999997</v>
      </c>
      <c r="BD74">
        <v>10</v>
      </c>
      <c r="BE74">
        <v>4032</v>
      </c>
      <c r="BF74">
        <v>9.7980624961249916</v>
      </c>
      <c r="BG74">
        <v>3950.5787984375966</v>
      </c>
      <c r="BH74">
        <v>8.0950513087447948</v>
      </c>
      <c r="BI74">
        <v>3263.9246876859011</v>
      </c>
      <c r="BJ74">
        <v>11.078421927575709</v>
      </c>
      <c r="BK74">
        <v>4466.8197211985262</v>
      </c>
      <c r="BL74">
        <v>7</v>
      </c>
      <c r="BM74">
        <v>2822.4</v>
      </c>
      <c r="BN74">
        <v>8.0545745092975203</v>
      </c>
      <c r="BO74">
        <v>3247.60444214876</v>
      </c>
      <c r="BP74">
        <v>12</v>
      </c>
      <c r="BQ74">
        <v>4838.3999999999996</v>
      </c>
      <c r="BR74">
        <v>10.076600972066442</v>
      </c>
      <c r="BS74">
        <v>4062.8855119371897</v>
      </c>
      <c r="BT74">
        <v>15.148309006763974</v>
      </c>
      <c r="BU74">
        <v>6107.7981915272339</v>
      </c>
      <c r="BV74">
        <v>12.982349661078683</v>
      </c>
      <c r="BW74">
        <v>5234.4833833469247</v>
      </c>
      <c r="BX74">
        <v>9.9362805165425581</v>
      </c>
      <c r="BY74">
        <v>4006.3083042699591</v>
      </c>
      <c r="BZ74">
        <v>9</v>
      </c>
      <c r="CA74">
        <v>3628.7999999999997</v>
      </c>
      <c r="CB74">
        <v>9</v>
      </c>
      <c r="CC74">
        <v>3628.7999999999997</v>
      </c>
      <c r="CD74">
        <v>11.836380387758371</v>
      </c>
      <c r="CE74">
        <v>4772.4285723441753</v>
      </c>
      <c r="CF74">
        <v>9.7357046391178432</v>
      </c>
      <c r="CG74">
        <v>3925.4361104923141</v>
      </c>
      <c r="CH74">
        <v>12</v>
      </c>
      <c r="CI74">
        <v>4838.3999999999996</v>
      </c>
      <c r="CJ74">
        <v>14.095606749492129</v>
      </c>
      <c r="CK74">
        <v>5683.348641395226</v>
      </c>
      <c r="CL74">
        <v>12.16675338189386</v>
      </c>
      <c r="CM74">
        <v>4905.6349635796041</v>
      </c>
      <c r="CN74">
        <v>7.7357046391178432</v>
      </c>
      <c r="CO74">
        <v>3119.0361104923145</v>
      </c>
      <c r="CP74">
        <v>13.073873224533111</v>
      </c>
      <c r="CQ74">
        <v>5271.3856841317502</v>
      </c>
      <c r="CR74">
        <v>12.084994802537121</v>
      </c>
      <c r="CS74">
        <v>4872.6699043829667</v>
      </c>
      <c r="CT74">
        <v>12.011168639053254</v>
      </c>
      <c r="CU74">
        <v>4842.9031952662717</v>
      </c>
    </row>
    <row r="75" spans="2:99" x14ac:dyDescent="0.2">
      <c r="C75" s="118" t="s">
        <v>241</v>
      </c>
      <c r="D75">
        <v>6.2708903300452103</v>
      </c>
      <c r="E75">
        <v>4033.4366602850787</v>
      </c>
      <c r="F75">
        <v>3.5223557677185453</v>
      </c>
      <c r="G75">
        <v>2265.5792297965681</v>
      </c>
      <c r="H75">
        <v>5.8639793434451599</v>
      </c>
      <c r="I75">
        <v>3771.7115137039264</v>
      </c>
      <c r="J75">
        <v>9.6792023444033433</v>
      </c>
      <c r="K75">
        <v>6225.6629479202293</v>
      </c>
      <c r="L75">
        <v>7.9499838452545433</v>
      </c>
      <c r="M75">
        <v>5113.4296092677214</v>
      </c>
      <c r="N75">
        <v>11</v>
      </c>
      <c r="O75">
        <v>7075.1999999999989</v>
      </c>
      <c r="P75">
        <v>7</v>
      </c>
      <c r="Q75">
        <v>4502.3999999999996</v>
      </c>
      <c r="R75">
        <v>8.1167246784993097</v>
      </c>
      <c r="S75">
        <v>5220.6773132107555</v>
      </c>
      <c r="T75">
        <v>7.9831701972242515</v>
      </c>
      <c r="U75">
        <v>5134.7750708546382</v>
      </c>
      <c r="V75">
        <v>12</v>
      </c>
      <c r="W75">
        <v>7718.4</v>
      </c>
      <c r="X75">
        <v>8</v>
      </c>
      <c r="Y75">
        <v>5145.5999999999995</v>
      </c>
      <c r="Z75">
        <v>10</v>
      </c>
      <c r="AA75">
        <v>6431.9999999999991</v>
      </c>
      <c r="AB75">
        <v>12.799996235666123</v>
      </c>
      <c r="AC75">
        <v>8232.9575787804497</v>
      </c>
      <c r="AD75">
        <v>10.20126577143089</v>
      </c>
      <c r="AE75">
        <v>6561.4541441843476</v>
      </c>
      <c r="AF75">
        <v>14.274851965680895</v>
      </c>
      <c r="AG75">
        <v>9181.5847843259507</v>
      </c>
      <c r="AH75">
        <v>9.1247599451303145</v>
      </c>
      <c r="AI75">
        <v>5869.0455967078178</v>
      </c>
      <c r="AJ75">
        <v>13</v>
      </c>
      <c r="AK75">
        <v>8361.5999999999985</v>
      </c>
      <c r="AL75">
        <v>9.4073135738254372</v>
      </c>
      <c r="AM75">
        <v>6050.7840906845204</v>
      </c>
      <c r="AN75">
        <v>9</v>
      </c>
      <c r="AO75">
        <v>5788.7999999999993</v>
      </c>
      <c r="AP75">
        <v>11.843572778827976</v>
      </c>
      <c r="AQ75">
        <v>7617.7860113421539</v>
      </c>
      <c r="AR75">
        <v>9.9823496610786826</v>
      </c>
      <c r="AS75">
        <v>6420.6473020058083</v>
      </c>
      <c r="AT75">
        <v>7</v>
      </c>
      <c r="AU75">
        <v>4502.3999999999996</v>
      </c>
      <c r="AV75">
        <v>9</v>
      </c>
      <c r="AW75">
        <v>5788.7999999999993</v>
      </c>
      <c r="AX75">
        <v>7</v>
      </c>
      <c r="AY75">
        <v>4502.3999999999996</v>
      </c>
      <c r="AZ75">
        <v>13.694599159970782</v>
      </c>
      <c r="BA75">
        <v>8808.3661796932065</v>
      </c>
      <c r="BB75">
        <v>10</v>
      </c>
      <c r="BC75">
        <v>6431.9999999999991</v>
      </c>
      <c r="BD75">
        <v>10</v>
      </c>
      <c r="BE75">
        <v>6431.9999999999991</v>
      </c>
      <c r="BF75">
        <v>10.748183590117179</v>
      </c>
      <c r="BG75">
        <v>6913.2316851633686</v>
      </c>
      <c r="BH75">
        <v>7.2775598602022606</v>
      </c>
      <c r="BI75">
        <v>4680.926502082094</v>
      </c>
      <c r="BJ75">
        <v>11.081689507891364</v>
      </c>
      <c r="BK75">
        <v>7127.7426914757243</v>
      </c>
      <c r="BL75">
        <v>6</v>
      </c>
      <c r="BM75">
        <v>3859.2</v>
      </c>
      <c r="BN75">
        <v>8.0506763300619841</v>
      </c>
      <c r="BO75">
        <v>5178.1950154958677</v>
      </c>
      <c r="BP75">
        <v>12</v>
      </c>
      <c r="BQ75">
        <v>7718.4</v>
      </c>
      <c r="BR75">
        <v>10.031742598230341</v>
      </c>
      <c r="BS75">
        <v>6452.4168391817548</v>
      </c>
      <c r="BT75">
        <v>14.004770380918476</v>
      </c>
      <c r="BU75">
        <v>9007.8683090067625</v>
      </c>
      <c r="BV75">
        <v>13.08058462718655</v>
      </c>
      <c r="BW75">
        <v>8413.4320322063886</v>
      </c>
      <c r="BX75">
        <v>9.9830945423696864</v>
      </c>
      <c r="BY75">
        <v>6421.1264096521818</v>
      </c>
      <c r="BZ75">
        <v>10</v>
      </c>
      <c r="CA75">
        <v>6431.9999999999991</v>
      </c>
      <c r="CB75">
        <v>9</v>
      </c>
      <c r="CC75">
        <v>5788.7999999999993</v>
      </c>
      <c r="CD75">
        <v>12.885579234097101</v>
      </c>
      <c r="CE75">
        <v>8288.0045633712543</v>
      </c>
      <c r="CF75">
        <v>9.784751615059033</v>
      </c>
      <c r="CG75">
        <v>6293.552238805969</v>
      </c>
      <c r="CH75">
        <v>13.177659976860092</v>
      </c>
      <c r="CI75">
        <v>8475.8708971164106</v>
      </c>
      <c r="CJ75">
        <v>13.946205829106839</v>
      </c>
      <c r="CK75">
        <v>8970.1995892815175</v>
      </c>
      <c r="CL75">
        <v>11.16675338189386</v>
      </c>
      <c r="CM75">
        <v>7182.4557752341307</v>
      </c>
      <c r="CN75">
        <v>8.8337985910002228</v>
      </c>
      <c r="CO75">
        <v>5681.8992537313425</v>
      </c>
      <c r="CP75">
        <v>11.025060805236151</v>
      </c>
      <c r="CQ75">
        <v>7091.319109927892</v>
      </c>
      <c r="CR75">
        <v>10.071395634131182</v>
      </c>
      <c r="CS75">
        <v>6477.9216718731759</v>
      </c>
      <c r="CT75">
        <v>10.96301775147929</v>
      </c>
      <c r="CU75">
        <v>7051.4130177514789</v>
      </c>
    </row>
    <row r="76" spans="2:99" x14ac:dyDescent="0.2">
      <c r="C76" s="118" t="s">
        <v>242</v>
      </c>
      <c r="D76">
        <v>6.2708903300452103</v>
      </c>
      <c r="E76">
        <v>4883.7693890392093</v>
      </c>
      <c r="F76">
        <v>3.5223557677185453</v>
      </c>
      <c r="G76">
        <v>2743.2106718992031</v>
      </c>
      <c r="H76">
        <v>5.8639793434451599</v>
      </c>
      <c r="I76">
        <v>4566.8671126750905</v>
      </c>
      <c r="J76">
        <v>10</v>
      </c>
      <c r="K76">
        <v>7788</v>
      </c>
      <c r="L76">
        <v>6.8499855457540653</v>
      </c>
      <c r="M76">
        <v>5334.7687430332653</v>
      </c>
      <c r="N76">
        <v>10</v>
      </c>
      <c r="O76">
        <v>7788</v>
      </c>
      <c r="P76">
        <v>6</v>
      </c>
      <c r="Q76">
        <v>4672.7999999999993</v>
      </c>
      <c r="R76">
        <v>8.1167246784993097</v>
      </c>
      <c r="S76">
        <v>6321.3051796152622</v>
      </c>
      <c r="T76">
        <v>8.0323287070854636</v>
      </c>
      <c r="U76">
        <v>6255.5775970781588</v>
      </c>
      <c r="V76">
        <v>11</v>
      </c>
      <c r="W76">
        <v>8566.7999999999993</v>
      </c>
      <c r="X76">
        <v>7</v>
      </c>
      <c r="Y76">
        <v>5451.5999999999995</v>
      </c>
      <c r="Z76">
        <v>11</v>
      </c>
      <c r="AA76">
        <v>8566.7999999999993</v>
      </c>
      <c r="AB76">
        <v>11</v>
      </c>
      <c r="AC76">
        <v>8566.7999999999993</v>
      </c>
      <c r="AD76">
        <v>9.1532151405736535</v>
      </c>
      <c r="AE76">
        <v>7128.5239514787609</v>
      </c>
      <c r="AF76">
        <v>13.229321538335148</v>
      </c>
      <c r="AG76">
        <v>10302.995614055413</v>
      </c>
      <c r="AH76">
        <v>9.1247599451303145</v>
      </c>
      <c r="AI76">
        <v>7106.3630452674888</v>
      </c>
      <c r="AJ76">
        <v>11</v>
      </c>
      <c r="AK76">
        <v>8566.7999999999993</v>
      </c>
      <c r="AL76">
        <v>9.383353951835705</v>
      </c>
      <c r="AM76">
        <v>7307.7560576896467</v>
      </c>
      <c r="AN76">
        <v>10</v>
      </c>
      <c r="AO76">
        <v>7788</v>
      </c>
      <c r="AP76">
        <v>10.744328922495274</v>
      </c>
      <c r="AQ76">
        <v>8367.6833648393185</v>
      </c>
      <c r="AR76">
        <v>10.933232178024747</v>
      </c>
      <c r="AS76">
        <v>8514.8012202456721</v>
      </c>
      <c r="AT76">
        <v>8</v>
      </c>
      <c r="AU76">
        <v>6230.4</v>
      </c>
      <c r="AV76">
        <v>9.6499317639747382</v>
      </c>
      <c r="AW76">
        <v>7515.366857783526</v>
      </c>
      <c r="AX76">
        <v>8</v>
      </c>
      <c r="AY76">
        <v>6230.4</v>
      </c>
      <c r="AZ76">
        <v>12.694599159970782</v>
      </c>
      <c r="BA76">
        <v>9886.553825785244</v>
      </c>
      <c r="BB76">
        <v>9</v>
      </c>
      <c r="BC76">
        <v>7009.2</v>
      </c>
      <c r="BD76">
        <v>10</v>
      </c>
      <c r="BE76">
        <v>7788</v>
      </c>
      <c r="BF76">
        <v>9.7481835901171792</v>
      </c>
      <c r="BG76">
        <v>7591.8853799832586</v>
      </c>
      <c r="BH76">
        <v>7.1406784466091615</v>
      </c>
      <c r="BI76">
        <v>5561.1603742192146</v>
      </c>
      <c r="BJ76">
        <v>10.078421927575709</v>
      </c>
      <c r="BK76">
        <v>7849.0749971959622</v>
      </c>
      <c r="BL76">
        <v>7</v>
      </c>
      <c r="BM76">
        <v>5451.5999999999995</v>
      </c>
      <c r="BN76">
        <v>8.0506763300619841</v>
      </c>
      <c r="BO76">
        <v>6269.8667258522728</v>
      </c>
      <c r="BP76">
        <v>11</v>
      </c>
      <c r="BQ76">
        <v>8566.7999999999993</v>
      </c>
      <c r="BR76">
        <v>10.121459345902544</v>
      </c>
      <c r="BS76">
        <v>7882.5925385889004</v>
      </c>
      <c r="BT76">
        <v>15.004770380918476</v>
      </c>
      <c r="BU76">
        <v>11685.715172659309</v>
      </c>
      <c r="BV76">
        <v>11.982349661078683</v>
      </c>
      <c r="BW76">
        <v>9331.8539160480777</v>
      </c>
      <c r="BX76">
        <v>9.9830945423696864</v>
      </c>
      <c r="BY76">
        <v>7774.8340295975113</v>
      </c>
      <c r="BZ76">
        <v>9</v>
      </c>
      <c r="CA76">
        <v>7009.2</v>
      </c>
      <c r="CB76">
        <v>10</v>
      </c>
      <c r="CC76">
        <v>7788</v>
      </c>
      <c r="CD76">
        <v>11.885579234097101</v>
      </c>
      <c r="CE76">
        <v>9256.4891075148207</v>
      </c>
      <c r="CF76">
        <v>9.7357046391178432</v>
      </c>
      <c r="CG76">
        <v>7582.1667729449755</v>
      </c>
      <c r="CH76">
        <v>12.318979174083303</v>
      </c>
      <c r="CI76">
        <v>9594.0209807760766</v>
      </c>
      <c r="CJ76">
        <v>12.946205829106839</v>
      </c>
      <c r="CK76">
        <v>10082.505099708405</v>
      </c>
      <c r="CL76">
        <v>11.120083246618107</v>
      </c>
      <c r="CM76">
        <v>8660.3208324661809</v>
      </c>
      <c r="CN76">
        <v>8.7357046391178432</v>
      </c>
      <c r="CO76">
        <v>6803.3667729449762</v>
      </c>
      <c r="CP76">
        <v>11.976248385939192</v>
      </c>
      <c r="CQ76">
        <v>9327.1022429694422</v>
      </c>
      <c r="CR76">
        <v>12.071395634131182</v>
      </c>
      <c r="CS76">
        <v>9401.2029198613636</v>
      </c>
      <c r="CT76">
        <v>10.818565088757396</v>
      </c>
      <c r="CU76">
        <v>8425.4984911242591</v>
      </c>
    </row>
    <row r="77" spans="2:99" x14ac:dyDescent="0.2">
      <c r="C77" s="118" t="s">
        <v>243</v>
      </c>
      <c r="D77">
        <v>6.3421493133127971</v>
      </c>
      <c r="E77">
        <v>1765.6543688262825</v>
      </c>
      <c r="F77">
        <v>3.5223557677185453</v>
      </c>
      <c r="G77">
        <v>980.62384573284294</v>
      </c>
      <c r="H77">
        <v>6.7016906782230397</v>
      </c>
      <c r="I77">
        <v>1865.7506848172941</v>
      </c>
      <c r="J77">
        <v>10</v>
      </c>
      <c r="K77">
        <v>2784</v>
      </c>
      <c r="L77">
        <v>6.9499838452545433</v>
      </c>
      <c r="M77">
        <v>1934.8755025188648</v>
      </c>
      <c r="N77">
        <v>10</v>
      </c>
      <c r="O77">
        <v>2784</v>
      </c>
      <c r="P77">
        <v>6</v>
      </c>
      <c r="Q77">
        <v>1670.3999999999999</v>
      </c>
      <c r="R77">
        <v>9.2138311722818571</v>
      </c>
      <c r="S77">
        <v>2565.1305983632687</v>
      </c>
      <c r="T77">
        <v>7.9340116873630384</v>
      </c>
      <c r="U77">
        <v>2208.8288537618696</v>
      </c>
      <c r="V77">
        <v>12</v>
      </c>
      <c r="W77">
        <v>3340.7999999999997</v>
      </c>
      <c r="X77">
        <v>8</v>
      </c>
      <c r="Y77">
        <v>2227.1999999999998</v>
      </c>
      <c r="Z77">
        <v>11</v>
      </c>
      <c r="AA77">
        <v>3062.3999999999996</v>
      </c>
      <c r="AB77">
        <v>11</v>
      </c>
      <c r="AC77">
        <v>3062.3999999999996</v>
      </c>
      <c r="AD77">
        <v>11.249316402288125</v>
      </c>
      <c r="AE77">
        <v>3131.8096863970136</v>
      </c>
      <c r="AF77">
        <v>14.320382393026641</v>
      </c>
      <c r="AG77">
        <v>3986.7944582186165</v>
      </c>
      <c r="AH77">
        <v>9.1247599451303145</v>
      </c>
      <c r="AI77">
        <v>2540.3331687242794</v>
      </c>
      <c r="AJ77">
        <v>13</v>
      </c>
      <c r="AK77">
        <v>3619.2</v>
      </c>
      <c r="AL77">
        <v>9.3593943298459727</v>
      </c>
      <c r="AM77">
        <v>2605.6553814291187</v>
      </c>
      <c r="AN77">
        <v>10</v>
      </c>
      <c r="AO77">
        <v>2784</v>
      </c>
      <c r="AP77">
        <v>10.893194706994329</v>
      </c>
      <c r="AQ77">
        <v>3032.6654064272211</v>
      </c>
      <c r="AR77">
        <v>10.933232178024747</v>
      </c>
      <c r="AS77">
        <v>3043.8118383620895</v>
      </c>
      <c r="AT77">
        <v>8</v>
      </c>
      <c r="AU77">
        <v>2227.1999999999998</v>
      </c>
      <c r="AV77">
        <v>10.699926515049718</v>
      </c>
      <c r="AW77">
        <v>2978.8595417898414</v>
      </c>
      <c r="AX77">
        <v>9</v>
      </c>
      <c r="AY77">
        <v>2505.6</v>
      </c>
      <c r="AZ77">
        <v>13.644984934258582</v>
      </c>
      <c r="BA77">
        <v>3798.7638056975889</v>
      </c>
      <c r="BB77">
        <v>9</v>
      </c>
      <c r="BC77">
        <v>2505.6</v>
      </c>
      <c r="BD77">
        <v>10</v>
      </c>
      <c r="BE77">
        <v>2784</v>
      </c>
      <c r="BF77">
        <v>9.847941402132804</v>
      </c>
      <c r="BG77">
        <v>2741.6668863537725</v>
      </c>
      <c r="BH77">
        <v>8.1406784466091615</v>
      </c>
      <c r="BI77">
        <v>2266.3648795359904</v>
      </c>
      <c r="BJ77">
        <v>12.084957088207018</v>
      </c>
      <c r="BK77">
        <v>3364.4520533568334</v>
      </c>
      <c r="BL77">
        <v>6</v>
      </c>
      <c r="BM77">
        <v>1670.3999999999999</v>
      </c>
      <c r="BN77">
        <v>8.0506763300619841</v>
      </c>
      <c r="BO77">
        <v>2241.3082902892561</v>
      </c>
      <c r="BP77">
        <v>13</v>
      </c>
      <c r="BQ77">
        <v>3619.2</v>
      </c>
      <c r="BR77">
        <v>11.166317719738645</v>
      </c>
      <c r="BS77">
        <v>3108.7028531752385</v>
      </c>
      <c r="BT77">
        <v>13.244001423994304</v>
      </c>
      <c r="BU77">
        <v>3687.1299964400137</v>
      </c>
      <c r="BV77">
        <v>14.129702110240483</v>
      </c>
      <c r="BW77">
        <v>3933.7090674909505</v>
      </c>
      <c r="BX77">
        <v>10.12353661985107</v>
      </c>
      <c r="BY77">
        <v>2818.3925949665377</v>
      </c>
      <c r="BZ77">
        <v>11</v>
      </c>
      <c r="CA77">
        <v>3062.3999999999996</v>
      </c>
      <c r="CB77">
        <v>9</v>
      </c>
      <c r="CC77">
        <v>2505.6</v>
      </c>
      <c r="CD77">
        <v>11.885579234097101</v>
      </c>
      <c r="CE77">
        <v>3308.9452587726328</v>
      </c>
      <c r="CF77">
        <v>9.8337985910002228</v>
      </c>
      <c r="CG77">
        <v>2737.729527734462</v>
      </c>
      <c r="CH77">
        <v>13.224766375934497</v>
      </c>
      <c r="CI77">
        <v>3681.7749590601634</v>
      </c>
      <c r="CJ77">
        <v>14.045806442697033</v>
      </c>
      <c r="CK77">
        <v>3910.3525136468538</v>
      </c>
      <c r="CL77">
        <v>11.213423517169614</v>
      </c>
      <c r="CM77">
        <v>3121.8171071800202</v>
      </c>
      <c r="CN77">
        <v>8.7357046391178432</v>
      </c>
      <c r="CO77">
        <v>2432.0201715304074</v>
      </c>
      <c r="CP77">
        <v>11.122685643830071</v>
      </c>
      <c r="CQ77">
        <v>3096.5556832422913</v>
      </c>
      <c r="CR77">
        <v>11.084994802537121</v>
      </c>
      <c r="CS77">
        <v>3086.0625530263342</v>
      </c>
      <c r="CT77">
        <v>11.96301775147929</v>
      </c>
      <c r="CU77">
        <v>3330.5041420118341</v>
      </c>
    </row>
    <row r="78" spans="2:99" x14ac:dyDescent="0.2">
      <c r="C78" s="118" t="s">
        <v>244</v>
      </c>
      <c r="D78">
        <v>6.3065198216790037</v>
      </c>
      <c r="E78">
        <v>3481.1989415668099</v>
      </c>
      <c r="F78">
        <v>3.5223557677185453</v>
      </c>
      <c r="G78">
        <v>1944.340383780637</v>
      </c>
      <c r="H78">
        <v>5.8639793434451599</v>
      </c>
      <c r="I78">
        <v>3236.9165975817282</v>
      </c>
      <c r="J78">
        <v>11</v>
      </c>
      <c r="K78">
        <v>6072</v>
      </c>
      <c r="L78">
        <v>6.9499838452545433</v>
      </c>
      <c r="M78">
        <v>3836.3910825805078</v>
      </c>
      <c r="N78">
        <v>11</v>
      </c>
      <c r="O78">
        <v>6072</v>
      </c>
      <c r="P78">
        <v>6</v>
      </c>
      <c r="Q78">
        <v>3312</v>
      </c>
      <c r="R78">
        <v>10.11672467849931</v>
      </c>
      <c r="S78">
        <v>5584.4320225316187</v>
      </c>
      <c r="T78">
        <v>6.9340116873630384</v>
      </c>
      <c r="U78">
        <v>3827.574451424397</v>
      </c>
      <c r="V78">
        <v>11</v>
      </c>
      <c r="W78">
        <v>6072</v>
      </c>
      <c r="X78">
        <v>7</v>
      </c>
      <c r="Y78">
        <v>3864</v>
      </c>
      <c r="Z78">
        <v>11</v>
      </c>
      <c r="AA78">
        <v>6072</v>
      </c>
      <c r="AB78">
        <v>10</v>
      </c>
      <c r="AC78">
        <v>5520</v>
      </c>
      <c r="AD78">
        <v>10.20126577143089</v>
      </c>
      <c r="AE78">
        <v>5631.0987058298515</v>
      </c>
      <c r="AF78">
        <v>13.092730256297909</v>
      </c>
      <c r="AG78">
        <v>7227.1871014764456</v>
      </c>
      <c r="AH78">
        <v>8.026954732510287</v>
      </c>
      <c r="AI78">
        <v>4430.8790123456783</v>
      </c>
      <c r="AJ78">
        <v>12</v>
      </c>
      <c r="AK78">
        <v>6624</v>
      </c>
      <c r="AL78">
        <v>10.359394329845973</v>
      </c>
      <c r="AM78">
        <v>5718.3856700749766</v>
      </c>
      <c r="AN78">
        <v>10</v>
      </c>
      <c r="AO78">
        <v>5520</v>
      </c>
      <c r="AP78">
        <v>10.793950850661625</v>
      </c>
      <c r="AQ78">
        <v>5958.260869565217</v>
      </c>
      <c r="AR78">
        <v>9.8841146949708136</v>
      </c>
      <c r="AS78">
        <v>5456.0313116238895</v>
      </c>
      <c r="AT78">
        <v>7</v>
      </c>
      <c r="AU78">
        <v>3864</v>
      </c>
      <c r="AV78">
        <v>9.699926515049718</v>
      </c>
      <c r="AW78">
        <v>5354.3594363074444</v>
      </c>
      <c r="AX78">
        <v>8</v>
      </c>
      <c r="AY78">
        <v>4416</v>
      </c>
      <c r="AZ78">
        <v>11.644984934258582</v>
      </c>
      <c r="BA78">
        <v>6428.0316837107375</v>
      </c>
      <c r="BB78">
        <v>9</v>
      </c>
      <c r="BC78">
        <v>4968</v>
      </c>
      <c r="BD78">
        <v>11</v>
      </c>
      <c r="BE78">
        <v>6072</v>
      </c>
      <c r="BF78">
        <v>10.748183590117179</v>
      </c>
      <c r="BG78">
        <v>5932.9973417446827</v>
      </c>
      <c r="BH78">
        <v>8.0950513087447948</v>
      </c>
      <c r="BI78">
        <v>4468.4683224271266</v>
      </c>
      <c r="BJ78">
        <v>12.078421927575709</v>
      </c>
      <c r="BK78">
        <v>6667.2889040217915</v>
      </c>
      <c r="BL78">
        <v>7</v>
      </c>
      <c r="BM78">
        <v>3864</v>
      </c>
      <c r="BN78">
        <v>8.0545745092975203</v>
      </c>
      <c r="BO78">
        <v>4446.1251291322315</v>
      </c>
      <c r="BP78">
        <v>12</v>
      </c>
      <c r="BQ78">
        <v>6624</v>
      </c>
      <c r="BR78">
        <v>10.121459345902544</v>
      </c>
      <c r="BS78">
        <v>5587.0455589382045</v>
      </c>
      <c r="BT78">
        <v>13.100462798148808</v>
      </c>
      <c r="BU78">
        <v>7231.4554645781418</v>
      </c>
      <c r="BV78">
        <v>13.031467144132616</v>
      </c>
      <c r="BW78">
        <v>7193.3698635612045</v>
      </c>
      <c r="BX78">
        <v>9.9830945423696864</v>
      </c>
      <c r="BY78">
        <v>5510.6681873880671</v>
      </c>
      <c r="BZ78">
        <v>10</v>
      </c>
      <c r="CA78">
        <v>5520</v>
      </c>
      <c r="CB78">
        <v>8</v>
      </c>
      <c r="CC78">
        <v>4416</v>
      </c>
      <c r="CD78">
        <v>11.885579234097101</v>
      </c>
      <c r="CE78">
        <v>6560.8397372215995</v>
      </c>
      <c r="CF78">
        <v>11.882845566941413</v>
      </c>
      <c r="CG78">
        <v>6559.3307529516596</v>
      </c>
      <c r="CH78">
        <v>12.2718727750089</v>
      </c>
      <c r="CI78">
        <v>6774.0737718049131</v>
      </c>
      <c r="CJ78">
        <v>15.045806442697033</v>
      </c>
      <c r="CK78">
        <v>8305.2851563687618</v>
      </c>
      <c r="CL78">
        <v>10.16675338189386</v>
      </c>
      <c r="CM78">
        <v>5612.0478668054111</v>
      </c>
      <c r="CN78">
        <v>8.8337985910002228</v>
      </c>
      <c r="CO78">
        <v>4876.2568222321233</v>
      </c>
      <c r="CP78">
        <v>12.17149806312703</v>
      </c>
      <c r="CQ78">
        <v>6718.6669308461205</v>
      </c>
      <c r="CR78">
        <v>12.071395634131182</v>
      </c>
      <c r="CS78">
        <v>6663.4103900404125</v>
      </c>
      <c r="CT78">
        <v>10.914866863905326</v>
      </c>
      <c r="CU78">
        <v>6025.0065088757401</v>
      </c>
    </row>
    <row r="79" spans="2:99" x14ac:dyDescent="0.2">
      <c r="C79" s="118" t="s">
        <v>245</v>
      </c>
      <c r="D79">
        <v>5.4870290387895579</v>
      </c>
      <c r="E79">
        <v>4154.7783881714531</v>
      </c>
      <c r="F79">
        <v>3.5223557677185453</v>
      </c>
      <c r="G79">
        <v>2667.1277873164822</v>
      </c>
      <c r="H79">
        <v>5.8639793434451599</v>
      </c>
      <c r="I79">
        <v>4440.2051588566746</v>
      </c>
      <c r="J79">
        <v>9</v>
      </c>
      <c r="K79">
        <v>6814.7999999999993</v>
      </c>
      <c r="L79">
        <v>6.8499855457540653</v>
      </c>
      <c r="M79">
        <v>5186.8090552449776</v>
      </c>
      <c r="N79">
        <v>10</v>
      </c>
      <c r="O79">
        <v>7571.9999999999991</v>
      </c>
      <c r="P79">
        <v>6</v>
      </c>
      <c r="Q79">
        <v>4543.2</v>
      </c>
      <c r="R79">
        <v>8.0196181847167605</v>
      </c>
      <c r="S79">
        <v>6072.4548894675308</v>
      </c>
      <c r="T79">
        <v>7.8848531775018262</v>
      </c>
      <c r="U79">
        <v>5970.4108260043822</v>
      </c>
      <c r="V79">
        <v>11</v>
      </c>
      <c r="W79">
        <v>8329.1999999999989</v>
      </c>
      <c r="X79">
        <v>8</v>
      </c>
      <c r="Y79">
        <v>6057.5999999999995</v>
      </c>
      <c r="Z79">
        <v>9</v>
      </c>
      <c r="AA79">
        <v>6814.7999999999993</v>
      </c>
      <c r="AB79">
        <v>11</v>
      </c>
      <c r="AC79">
        <v>8329.1999999999989</v>
      </c>
      <c r="AD79">
        <v>10.057113878859182</v>
      </c>
      <c r="AE79">
        <v>7615.2466290721723</v>
      </c>
      <c r="AF79">
        <v>12.229321538335148</v>
      </c>
      <c r="AG79">
        <v>9260.0422688273738</v>
      </c>
      <c r="AH79">
        <v>9.0758573388203008</v>
      </c>
      <c r="AI79">
        <v>6872.2391769547312</v>
      </c>
      <c r="AJ79">
        <v>13</v>
      </c>
      <c r="AK79">
        <v>9843.5999999999985</v>
      </c>
      <c r="AL79">
        <v>9.3593943298459727</v>
      </c>
      <c r="AM79">
        <v>7086.9333865593699</v>
      </c>
      <c r="AN79">
        <v>10</v>
      </c>
      <c r="AO79">
        <v>7571.9999999999991</v>
      </c>
      <c r="AP79">
        <v>10.793950850661625</v>
      </c>
      <c r="AQ79">
        <v>8173.1795841209823</v>
      </c>
      <c r="AR79">
        <v>9.9332321780247472</v>
      </c>
      <c r="AS79">
        <v>7521.443405200338</v>
      </c>
      <c r="AT79">
        <v>7</v>
      </c>
      <c r="AU79">
        <v>5300.4</v>
      </c>
      <c r="AV79">
        <v>9.699926515049718</v>
      </c>
      <c r="AW79">
        <v>7344.7843571956455</v>
      </c>
      <c r="AX79">
        <v>7</v>
      </c>
      <c r="AY79">
        <v>5300.4</v>
      </c>
      <c r="AZ79">
        <v>13.595370708546385</v>
      </c>
      <c r="BA79">
        <v>10294.414700511323</v>
      </c>
      <c r="BB79">
        <v>9</v>
      </c>
      <c r="BC79">
        <v>6814.7999999999993</v>
      </c>
      <c r="BD79">
        <v>9</v>
      </c>
      <c r="BE79">
        <v>6814.7999999999993</v>
      </c>
      <c r="BF79">
        <v>10.748183590117179</v>
      </c>
      <c r="BG79">
        <v>8138.5246144367275</v>
      </c>
      <c r="BH79">
        <v>8.1863055844735282</v>
      </c>
      <c r="BI79">
        <v>6198.6705885633546</v>
      </c>
      <c r="BJ79">
        <v>11.078421927575709</v>
      </c>
      <c r="BK79">
        <v>8388.5810835603261</v>
      </c>
      <c r="BL79">
        <v>7</v>
      </c>
      <c r="BM79">
        <v>5300.4</v>
      </c>
      <c r="BN79">
        <v>8.0506763300619841</v>
      </c>
      <c r="BO79">
        <v>6095.9721171229339</v>
      </c>
      <c r="BP79">
        <v>12</v>
      </c>
      <c r="BQ79">
        <v>9086.4</v>
      </c>
      <c r="BR79">
        <v>10.211176093574748</v>
      </c>
      <c r="BS79">
        <v>7731.9025380547982</v>
      </c>
      <c r="BT79">
        <v>13.196155215379138</v>
      </c>
      <c r="BU79">
        <v>9992.1287290850814</v>
      </c>
      <c r="BV79">
        <v>14.031467144132616</v>
      </c>
      <c r="BW79">
        <v>10624.626921537216</v>
      </c>
      <c r="BX79">
        <v>10.029908568196813</v>
      </c>
      <c r="BY79">
        <v>7594.6467678386261</v>
      </c>
      <c r="BZ79">
        <v>10</v>
      </c>
      <c r="CA79">
        <v>7571.9999999999991</v>
      </c>
      <c r="CB79">
        <v>9</v>
      </c>
      <c r="CC79">
        <v>6814.7999999999993</v>
      </c>
      <c r="CD79">
        <v>11.934778080435827</v>
      </c>
      <c r="CE79">
        <v>9037.0139625060074</v>
      </c>
      <c r="CF79">
        <v>9.784751615059033</v>
      </c>
      <c r="CG79">
        <v>7409.0139229226988</v>
      </c>
      <c r="CH79">
        <v>14.224766375934497</v>
      </c>
      <c r="CI79">
        <v>10770.9930998576</v>
      </c>
      <c r="CJ79">
        <v>12.946205829106839</v>
      </c>
      <c r="CK79">
        <v>9802.8670537996986</v>
      </c>
      <c r="CL79">
        <v>12.306763787721124</v>
      </c>
      <c r="CM79">
        <v>9318.6815400624346</v>
      </c>
      <c r="CN79">
        <v>8.8337985910002228</v>
      </c>
      <c r="CO79">
        <v>6688.952293105368</v>
      </c>
      <c r="CP79">
        <v>12.025060805236151</v>
      </c>
      <c r="CQ79">
        <v>9105.3760417248122</v>
      </c>
      <c r="CR79">
        <v>10.071395634131182</v>
      </c>
      <c r="CS79">
        <v>7626.0607741641306</v>
      </c>
      <c r="CT79">
        <v>10.866715976331362</v>
      </c>
      <c r="CU79">
        <v>8228.2773372781066</v>
      </c>
    </row>
    <row r="80" spans="2:99" x14ac:dyDescent="0.2">
      <c r="C80" s="118" t="s">
        <v>246</v>
      </c>
      <c r="D80">
        <v>6.1996313467776227</v>
      </c>
      <c r="E80">
        <v>4991.9431604253414</v>
      </c>
      <c r="F80">
        <v>2.9352964730987878</v>
      </c>
      <c r="G80">
        <v>2363.5007201391436</v>
      </c>
      <c r="H80">
        <v>5.8639793434451599</v>
      </c>
      <c r="I80">
        <v>4721.6761673420424</v>
      </c>
      <c r="J80">
        <v>9.6306878912316769</v>
      </c>
      <c r="K80">
        <v>7754.6298900197453</v>
      </c>
      <c r="L80">
        <v>6.7999863960038258</v>
      </c>
      <c r="M80">
        <v>5475.3490460622797</v>
      </c>
      <c r="N80">
        <v>9</v>
      </c>
      <c r="O80">
        <v>7246.7999999999993</v>
      </c>
      <c r="P80">
        <v>6</v>
      </c>
      <c r="Q80">
        <v>4831.2</v>
      </c>
      <c r="R80">
        <v>9.9710649378254868</v>
      </c>
      <c r="S80">
        <v>8028.7014879370809</v>
      </c>
      <c r="T80">
        <v>6.9831701972242515</v>
      </c>
      <c r="U80">
        <v>5622.8486428049664</v>
      </c>
      <c r="V80">
        <v>11</v>
      </c>
      <c r="W80">
        <v>8857.1999999999989</v>
      </c>
      <c r="X80">
        <v>8</v>
      </c>
      <c r="Y80">
        <v>6441.5999999999995</v>
      </c>
      <c r="Z80">
        <v>9</v>
      </c>
      <c r="AA80">
        <v>7246.7999999999993</v>
      </c>
      <c r="AB80">
        <v>12</v>
      </c>
      <c r="AC80">
        <v>9662.4</v>
      </c>
      <c r="AD80">
        <v>11.153215140573653</v>
      </c>
      <c r="AE80">
        <v>8980.5688311899048</v>
      </c>
      <c r="AF80">
        <v>14.183791110989402</v>
      </c>
      <c r="AG80">
        <v>11420.788602568666</v>
      </c>
      <c r="AH80">
        <v>9.026954732510287</v>
      </c>
      <c r="AI80">
        <v>7268.5039506172825</v>
      </c>
      <c r="AJ80">
        <v>12</v>
      </c>
      <c r="AK80">
        <v>9662.4</v>
      </c>
      <c r="AL80">
        <v>9.4073135738254372</v>
      </c>
      <c r="AM80">
        <v>7574.7688896442414</v>
      </c>
      <c r="AN80">
        <v>11</v>
      </c>
      <c r="AO80">
        <v>8857.1999999999989</v>
      </c>
      <c r="AP80">
        <v>10.744328922495274</v>
      </c>
      <c r="AQ80">
        <v>8651.3336483931944</v>
      </c>
      <c r="AR80">
        <v>9.83499721191688</v>
      </c>
      <c r="AS80">
        <v>7919.1397550354714</v>
      </c>
      <c r="AT80">
        <v>7</v>
      </c>
      <c r="AU80">
        <v>5636.4</v>
      </c>
      <c r="AV80">
        <v>8.699926515049718</v>
      </c>
      <c r="AW80">
        <v>7005.180829918032</v>
      </c>
      <c r="AX80">
        <v>7</v>
      </c>
      <c r="AY80">
        <v>5636.4</v>
      </c>
      <c r="AZ80">
        <v>11.694599159970782</v>
      </c>
      <c r="BA80">
        <v>9416.4912436084724</v>
      </c>
      <c r="BB80">
        <v>9</v>
      </c>
      <c r="BC80">
        <v>7246.7999999999993</v>
      </c>
      <c r="BD80">
        <v>11</v>
      </c>
      <c r="BE80">
        <v>8857.1999999999989</v>
      </c>
      <c r="BF80">
        <v>9.6983046841093685</v>
      </c>
      <c r="BG80">
        <v>7809.0749316448628</v>
      </c>
      <c r="BH80">
        <v>8.1863055844735282</v>
      </c>
      <c r="BI80">
        <v>6591.6132566180841</v>
      </c>
      <c r="BJ80">
        <v>11.091492248838327</v>
      </c>
      <c r="BK80">
        <v>8930.8695587646198</v>
      </c>
      <c r="BL80">
        <v>6</v>
      </c>
      <c r="BM80">
        <v>4831.2</v>
      </c>
      <c r="BN80">
        <v>8.0467781508264462</v>
      </c>
      <c r="BO80">
        <v>6479.2657670454537</v>
      </c>
      <c r="BP80">
        <v>12</v>
      </c>
      <c r="BQ80">
        <v>9662.4</v>
      </c>
      <c r="BR80">
        <v>9.9868842243942382</v>
      </c>
      <c r="BS80">
        <v>8041.4391774822398</v>
      </c>
      <c r="BT80">
        <v>13.148309006763974</v>
      </c>
      <c r="BU80">
        <v>10587.018412246351</v>
      </c>
      <c r="BV80">
        <v>13.031467144132616</v>
      </c>
      <c r="BW80">
        <v>10492.937344455582</v>
      </c>
      <c r="BX80">
        <v>8.9830945423696864</v>
      </c>
      <c r="BY80">
        <v>7233.1877255160707</v>
      </c>
      <c r="BZ80">
        <v>10</v>
      </c>
      <c r="CA80">
        <v>8051.9999999999991</v>
      </c>
      <c r="CB80">
        <v>10</v>
      </c>
      <c r="CC80">
        <v>8051.9999999999991</v>
      </c>
      <c r="CD80">
        <v>11.787181541419644</v>
      </c>
      <c r="CE80">
        <v>9491.0385771510955</v>
      </c>
      <c r="CF80">
        <v>10.735704639117843</v>
      </c>
      <c r="CG80">
        <v>8644.3893754176861</v>
      </c>
      <c r="CH80">
        <v>13.318979174083303</v>
      </c>
      <c r="CI80">
        <v>10724.442030971875</v>
      </c>
      <c r="CJ80">
        <v>13.996006135901936</v>
      </c>
      <c r="CK80">
        <v>11269.584140628238</v>
      </c>
      <c r="CL80">
        <v>11.16675338189386</v>
      </c>
      <c r="CM80">
        <v>8991.4698231009352</v>
      </c>
      <c r="CN80">
        <v>7.7357046391178432</v>
      </c>
      <c r="CO80">
        <v>6228.7893754176866</v>
      </c>
      <c r="CP80">
        <v>11.025060805236151</v>
      </c>
      <c r="CQ80">
        <v>8877.3789603761488</v>
      </c>
      <c r="CR80">
        <v>12.078195218334152</v>
      </c>
      <c r="CS80">
        <v>9725.3627898026589</v>
      </c>
      <c r="CT80">
        <v>10.96301775147929</v>
      </c>
      <c r="CU80">
        <v>8827.4218934911241</v>
      </c>
    </row>
    <row r="81" spans="2:99" x14ac:dyDescent="0.2">
      <c r="C81" s="118" t="s">
        <v>247</v>
      </c>
      <c r="D81">
        <v>5.5582880220571456</v>
      </c>
      <c r="E81">
        <v>4188.7258534222647</v>
      </c>
      <c r="F81">
        <v>3.5223557677185453</v>
      </c>
      <c r="G81">
        <v>2654.4473065526959</v>
      </c>
      <c r="H81">
        <v>5.8639793434451599</v>
      </c>
      <c r="I81">
        <v>4419.0948332202724</v>
      </c>
      <c r="J81">
        <v>9.6792023444033433</v>
      </c>
      <c r="K81">
        <v>7294.2468867423595</v>
      </c>
      <c r="L81">
        <v>6.8999846955043047</v>
      </c>
      <c r="M81">
        <v>5199.8284665320443</v>
      </c>
      <c r="N81">
        <v>10</v>
      </c>
      <c r="O81">
        <v>7536</v>
      </c>
      <c r="P81">
        <v>6</v>
      </c>
      <c r="Q81">
        <v>4521.6000000000004</v>
      </c>
      <c r="R81">
        <v>9.9710649378254868</v>
      </c>
      <c r="S81">
        <v>7514.1945371452866</v>
      </c>
      <c r="T81">
        <v>7.9340116873630384</v>
      </c>
      <c r="U81">
        <v>5979.0712075967858</v>
      </c>
      <c r="V81">
        <v>10</v>
      </c>
      <c r="W81">
        <v>7536</v>
      </c>
      <c r="X81">
        <v>8</v>
      </c>
      <c r="Y81">
        <v>6028.8</v>
      </c>
      <c r="Z81">
        <v>11</v>
      </c>
      <c r="AA81">
        <v>8289.6</v>
      </c>
      <c r="AB81">
        <v>11</v>
      </c>
      <c r="AC81">
        <v>8289.6</v>
      </c>
      <c r="AD81">
        <v>10.153215140573653</v>
      </c>
      <c r="AE81">
        <v>7651.462929936305</v>
      </c>
      <c r="AF81">
        <v>13.092730256297909</v>
      </c>
      <c r="AG81">
        <v>9866.6815211461035</v>
      </c>
      <c r="AH81">
        <v>8.1247599451303145</v>
      </c>
      <c r="AI81">
        <v>6122.8190946502054</v>
      </c>
      <c r="AJ81">
        <v>11</v>
      </c>
      <c r="AK81">
        <v>8289.6</v>
      </c>
      <c r="AL81">
        <v>10.359394329845973</v>
      </c>
      <c r="AM81">
        <v>7806.8395669719257</v>
      </c>
      <c r="AN81">
        <v>9</v>
      </c>
      <c r="AO81">
        <v>6782.4000000000005</v>
      </c>
      <c r="AP81">
        <v>11.843572778827976</v>
      </c>
      <c r="AQ81">
        <v>8925.3164461247634</v>
      </c>
      <c r="AR81">
        <v>10.884114694970814</v>
      </c>
      <c r="AS81">
        <v>8202.2688341300054</v>
      </c>
      <c r="AT81">
        <v>8</v>
      </c>
      <c r="AU81">
        <v>6028.8</v>
      </c>
      <c r="AV81">
        <v>8.699926515049718</v>
      </c>
      <c r="AW81">
        <v>6556.2646217414676</v>
      </c>
      <c r="AX81">
        <v>8</v>
      </c>
      <c r="AY81">
        <v>6028.8</v>
      </c>
      <c r="AZ81">
        <v>13.694599159970782</v>
      </c>
      <c r="BA81">
        <v>10320.249926953982</v>
      </c>
      <c r="BB81">
        <v>8</v>
      </c>
      <c r="BC81">
        <v>6028.8</v>
      </c>
      <c r="BD81">
        <v>9</v>
      </c>
      <c r="BE81">
        <v>6782.4000000000005</v>
      </c>
      <c r="BF81">
        <v>10.698304684109369</v>
      </c>
      <c r="BG81">
        <v>8062.2424099448208</v>
      </c>
      <c r="BH81">
        <v>8.2319327223378949</v>
      </c>
      <c r="BI81">
        <v>6203.5844995538373</v>
      </c>
      <c r="BJ81">
        <v>10.078421927575709</v>
      </c>
      <c r="BK81">
        <v>7595.0987646210551</v>
      </c>
      <c r="BL81">
        <v>6</v>
      </c>
      <c r="BM81">
        <v>4521.6000000000004</v>
      </c>
      <c r="BN81">
        <v>8.0545745092975203</v>
      </c>
      <c r="BO81">
        <v>6069.9273502066117</v>
      </c>
      <c r="BP81">
        <v>12</v>
      </c>
      <c r="BQ81">
        <v>9043.2000000000007</v>
      </c>
      <c r="BR81">
        <v>9.9868842243942382</v>
      </c>
      <c r="BS81">
        <v>7526.1159515034979</v>
      </c>
      <c r="BT81">
        <v>15.004770380918476</v>
      </c>
      <c r="BU81">
        <v>11307.594959060163</v>
      </c>
      <c r="BV81">
        <v>12.982349661078683</v>
      </c>
      <c r="BW81">
        <v>9783.4987045888956</v>
      </c>
      <c r="BX81">
        <v>8.9830945423696864</v>
      </c>
      <c r="BY81">
        <v>6769.6600471297961</v>
      </c>
      <c r="BZ81">
        <v>9</v>
      </c>
      <c r="CA81">
        <v>6782.4000000000005</v>
      </c>
      <c r="CB81">
        <v>9</v>
      </c>
      <c r="CC81">
        <v>6782.4000000000005</v>
      </c>
      <c r="CD81">
        <v>11.885579234097101</v>
      </c>
      <c r="CE81">
        <v>8956.9725108155762</v>
      </c>
      <c r="CF81">
        <v>10.784751615059033</v>
      </c>
      <c r="CG81">
        <v>8127.3888171084873</v>
      </c>
      <c r="CH81">
        <v>13.224766375934497</v>
      </c>
      <c r="CI81">
        <v>9966.1839409042368</v>
      </c>
      <c r="CJ81">
        <v>14.946205829106839</v>
      </c>
      <c r="CK81">
        <v>11263.460712814915</v>
      </c>
      <c r="CL81">
        <v>10.16675338189386</v>
      </c>
      <c r="CM81">
        <v>7661.6653485952138</v>
      </c>
      <c r="CN81">
        <v>8.7357046391178432</v>
      </c>
      <c r="CO81">
        <v>6583.2270160392072</v>
      </c>
      <c r="CP81">
        <v>11.122685643830071</v>
      </c>
      <c r="CQ81">
        <v>8382.0559011903424</v>
      </c>
      <c r="CR81">
        <v>12.078195218334152</v>
      </c>
      <c r="CS81">
        <v>9102.1279165366177</v>
      </c>
      <c r="CT81">
        <v>10.914866863905326</v>
      </c>
      <c r="CU81">
        <v>8225.4436686390545</v>
      </c>
    </row>
    <row r="82" spans="2:99" x14ac:dyDescent="0.2">
      <c r="C82" s="118" t="s">
        <v>248</v>
      </c>
      <c r="D82">
        <v>7.0191221296670676</v>
      </c>
      <c r="E82">
        <v>3571.3293395746032</v>
      </c>
      <c r="F82">
        <v>4.1094150623383028</v>
      </c>
      <c r="G82">
        <v>2090.8703837177281</v>
      </c>
      <c r="H82">
        <v>6.7016906782230397</v>
      </c>
      <c r="I82">
        <v>3409.8202170798818</v>
      </c>
      <c r="J82">
        <v>10.727716797575011</v>
      </c>
      <c r="K82">
        <v>5458.2623066061651</v>
      </c>
      <c r="L82">
        <v>7.8999846955043047</v>
      </c>
      <c r="M82">
        <v>4019.5122130725895</v>
      </c>
      <c r="N82">
        <v>10</v>
      </c>
      <c r="O82">
        <v>5087.9999999999991</v>
      </c>
      <c r="P82">
        <v>6</v>
      </c>
      <c r="Q82">
        <v>3052.7999999999993</v>
      </c>
      <c r="R82">
        <v>10.165277925390583</v>
      </c>
      <c r="S82">
        <v>5172.0934084387281</v>
      </c>
      <c r="T82">
        <v>6.9340116873630384</v>
      </c>
      <c r="U82">
        <v>3528.0251465303131</v>
      </c>
      <c r="V82">
        <v>12</v>
      </c>
      <c r="W82">
        <v>6105.5999999999985</v>
      </c>
      <c r="X82">
        <v>8</v>
      </c>
      <c r="Y82">
        <v>4070.3999999999992</v>
      </c>
      <c r="Z82">
        <v>10</v>
      </c>
      <c r="AA82">
        <v>5087.9999999999991</v>
      </c>
      <c r="AB82">
        <v>10</v>
      </c>
      <c r="AC82">
        <v>5087.9999999999991</v>
      </c>
      <c r="AD82">
        <v>11.057113878859182</v>
      </c>
      <c r="AE82">
        <v>5625.8595415635509</v>
      </c>
      <c r="AF82">
        <v>12.229321538335148</v>
      </c>
      <c r="AG82">
        <v>6222.2787987049223</v>
      </c>
      <c r="AH82">
        <v>8.026954732510287</v>
      </c>
      <c r="AI82">
        <v>4084.1145679012334</v>
      </c>
      <c r="AJ82">
        <v>13</v>
      </c>
      <c r="AK82">
        <v>6614.3999999999987</v>
      </c>
      <c r="AL82">
        <v>9.4073135738254372</v>
      </c>
      <c r="AM82">
        <v>4786.4411463623819</v>
      </c>
      <c r="AN82">
        <v>10</v>
      </c>
      <c r="AO82">
        <v>5087.9999999999991</v>
      </c>
      <c r="AP82">
        <v>11.893194706994329</v>
      </c>
      <c r="AQ82">
        <v>6051.2574669187134</v>
      </c>
      <c r="AR82">
        <v>10.982349661078683</v>
      </c>
      <c r="AS82">
        <v>5587.8195075568328</v>
      </c>
      <c r="AT82">
        <v>8</v>
      </c>
      <c r="AU82">
        <v>4070.3999999999992</v>
      </c>
      <c r="AV82">
        <v>9.699926515049718</v>
      </c>
      <c r="AW82">
        <v>4935.3226108572953</v>
      </c>
      <c r="AX82">
        <v>8</v>
      </c>
      <c r="AY82">
        <v>4070.3999999999992</v>
      </c>
      <c r="AZ82">
        <v>13.644984934258582</v>
      </c>
      <c r="BA82">
        <v>6942.568334550765</v>
      </c>
      <c r="BB82">
        <v>9</v>
      </c>
      <c r="BC82">
        <v>4579.1999999999989</v>
      </c>
      <c r="BD82">
        <v>10</v>
      </c>
      <c r="BE82">
        <v>5087.9999999999991</v>
      </c>
      <c r="BF82">
        <v>10.748183590117179</v>
      </c>
      <c r="BG82">
        <v>5468.6758106516199</v>
      </c>
      <c r="BH82">
        <v>8.2775598602022598</v>
      </c>
      <c r="BI82">
        <v>4211.6224568709085</v>
      </c>
      <c r="BJ82">
        <v>12.088224668522672</v>
      </c>
      <c r="BK82">
        <v>6150.4887113443347</v>
      </c>
      <c r="BL82">
        <v>7</v>
      </c>
      <c r="BM82">
        <v>3561.5999999999995</v>
      </c>
      <c r="BN82">
        <v>8.0506763300619841</v>
      </c>
      <c r="BO82">
        <v>4096.1841167355369</v>
      </c>
      <c r="BP82">
        <v>11</v>
      </c>
      <c r="BQ82">
        <v>5596.7999999999993</v>
      </c>
      <c r="BR82">
        <v>11.211176093574748</v>
      </c>
      <c r="BS82">
        <v>5704.246396410831</v>
      </c>
      <c r="BT82">
        <v>14.244001423994304</v>
      </c>
      <c r="BU82">
        <v>7247.3479245283006</v>
      </c>
      <c r="BV82">
        <v>14.08058462718655</v>
      </c>
      <c r="BW82">
        <v>7164.2014583125147</v>
      </c>
      <c r="BX82">
        <v>10.983094542369686</v>
      </c>
      <c r="BY82">
        <v>5588.1985031576951</v>
      </c>
      <c r="BZ82">
        <v>9</v>
      </c>
      <c r="CA82">
        <v>4579.1999999999989</v>
      </c>
      <c r="CB82">
        <v>10</v>
      </c>
      <c r="CC82">
        <v>5087.9999999999991</v>
      </c>
      <c r="CD82">
        <v>10.934778080435827</v>
      </c>
      <c r="CE82">
        <v>5563.6150873257475</v>
      </c>
      <c r="CF82">
        <v>10.784751615059033</v>
      </c>
      <c r="CG82">
        <v>5487.281621742035</v>
      </c>
      <c r="CH82">
        <v>13.224766375934497</v>
      </c>
      <c r="CI82">
        <v>6728.7611320754704</v>
      </c>
      <c r="CJ82">
        <v>14.095606749492129</v>
      </c>
      <c r="CK82">
        <v>7171.8447141415936</v>
      </c>
      <c r="CL82">
        <v>11.26009365244537</v>
      </c>
      <c r="CM82">
        <v>5729.1356503642028</v>
      </c>
      <c r="CN82">
        <v>8.784751615059033</v>
      </c>
      <c r="CO82">
        <v>4469.6816217420355</v>
      </c>
      <c r="CP82">
        <v>11.976248385939192</v>
      </c>
      <c r="CQ82">
        <v>6093.5151787658597</v>
      </c>
      <c r="CR82">
        <v>12.074795426232667</v>
      </c>
      <c r="CS82">
        <v>6143.6559128671797</v>
      </c>
      <c r="CT82">
        <v>10.96301775147929</v>
      </c>
      <c r="CU82">
        <v>5577.9834319526617</v>
      </c>
    </row>
    <row r="83" spans="2:99" x14ac:dyDescent="0.2">
      <c r="C83" s="118" t="s">
        <v>249</v>
      </c>
      <c r="D83">
        <v>6.9122336547656866</v>
      </c>
      <c r="E83">
        <v>5947.285836560397</v>
      </c>
      <c r="F83">
        <v>2.9352964730987878</v>
      </c>
      <c r="G83">
        <v>2525.5290854541968</v>
      </c>
      <c r="H83">
        <v>5.8639793434451599</v>
      </c>
      <c r="I83">
        <v>5045.3678271002154</v>
      </c>
      <c r="J83">
        <v>9</v>
      </c>
      <c r="K83">
        <v>7743.5999999999995</v>
      </c>
      <c r="L83">
        <v>6.7999863960038258</v>
      </c>
      <c r="M83">
        <v>5850.7082951216917</v>
      </c>
      <c r="N83">
        <v>10</v>
      </c>
      <c r="O83">
        <v>8604</v>
      </c>
      <c r="P83">
        <v>7</v>
      </c>
      <c r="Q83">
        <v>6022.8</v>
      </c>
      <c r="R83">
        <v>8.9710649378254868</v>
      </c>
      <c r="S83">
        <v>7718.7042725050487</v>
      </c>
      <c r="T83">
        <v>8.0323287070854636</v>
      </c>
      <c r="U83">
        <v>6911.0156195763329</v>
      </c>
      <c r="V83">
        <v>12</v>
      </c>
      <c r="W83">
        <v>10324.799999999999</v>
      </c>
      <c r="X83">
        <v>8</v>
      </c>
      <c r="Y83">
        <v>6883.2</v>
      </c>
      <c r="Z83">
        <v>11</v>
      </c>
      <c r="AA83">
        <v>9464.4</v>
      </c>
      <c r="AB83">
        <v>11</v>
      </c>
      <c r="AC83">
        <v>9464.4</v>
      </c>
      <c r="AD83">
        <v>9.0571138788591821</v>
      </c>
      <c r="AE83">
        <v>7792.7407813704403</v>
      </c>
      <c r="AF83">
        <v>13.229321538335148</v>
      </c>
      <c r="AG83">
        <v>11382.50825158356</v>
      </c>
      <c r="AH83">
        <v>9.0758573388203008</v>
      </c>
      <c r="AI83">
        <v>7808.8676543209867</v>
      </c>
      <c r="AJ83">
        <v>13</v>
      </c>
      <c r="AK83">
        <v>11185.199999999999</v>
      </c>
      <c r="AL83">
        <v>10.407313573825437</v>
      </c>
      <c r="AM83">
        <v>8954.4525989194062</v>
      </c>
      <c r="AN83">
        <v>9</v>
      </c>
      <c r="AO83">
        <v>7743.5999999999995</v>
      </c>
      <c r="AP83">
        <v>10.744328922495274</v>
      </c>
      <c r="AQ83">
        <v>9244.4206049149343</v>
      </c>
      <c r="AR83">
        <v>9.9823496610786826</v>
      </c>
      <c r="AS83">
        <v>8588.8136483920989</v>
      </c>
      <c r="AT83">
        <v>9</v>
      </c>
      <c r="AU83">
        <v>7743.5999999999995</v>
      </c>
      <c r="AV83">
        <v>9.699926515049718</v>
      </c>
      <c r="AW83">
        <v>8345.8167735487768</v>
      </c>
      <c r="AX83">
        <v>7</v>
      </c>
      <c r="AY83">
        <v>6022.8</v>
      </c>
      <c r="AZ83">
        <v>13.644984934258582</v>
      </c>
      <c r="BA83">
        <v>11740.145037436085</v>
      </c>
      <c r="BB83">
        <v>9</v>
      </c>
      <c r="BC83">
        <v>7743.5999999999995</v>
      </c>
      <c r="BD83">
        <v>10</v>
      </c>
      <c r="BE83">
        <v>8604</v>
      </c>
      <c r="BF83">
        <v>8.7980624961249916</v>
      </c>
      <c r="BG83">
        <v>7569.8529716659423</v>
      </c>
      <c r="BH83">
        <v>8.2319327223378949</v>
      </c>
      <c r="BI83">
        <v>7082.7549142995249</v>
      </c>
      <c r="BJ83">
        <v>10.078421927575709</v>
      </c>
      <c r="BK83">
        <v>8671.4742264861397</v>
      </c>
      <c r="BL83">
        <v>6</v>
      </c>
      <c r="BM83">
        <v>5162.3999999999996</v>
      </c>
      <c r="BN83">
        <v>8.0506763300619841</v>
      </c>
      <c r="BO83">
        <v>6926.8019143853307</v>
      </c>
      <c r="BP83">
        <v>11</v>
      </c>
      <c r="BQ83">
        <v>9464.4</v>
      </c>
      <c r="BR83">
        <v>9.166317719738645</v>
      </c>
      <c r="BS83">
        <v>7886.6997660631296</v>
      </c>
      <c r="BT83">
        <v>13.052616589533642</v>
      </c>
      <c r="BU83">
        <v>11230.471313634745</v>
      </c>
      <c r="BV83">
        <v>14.08058462718655</v>
      </c>
      <c r="BW83">
        <v>12114.935013231307</v>
      </c>
      <c r="BX83">
        <v>10.029908568196813</v>
      </c>
      <c r="BY83">
        <v>8629.7333320765374</v>
      </c>
      <c r="BZ83">
        <v>9</v>
      </c>
      <c r="CA83">
        <v>7743.5999999999995</v>
      </c>
      <c r="CB83">
        <v>9</v>
      </c>
      <c r="CC83">
        <v>7743.5999999999995</v>
      </c>
      <c r="CD83">
        <v>11.836380387758371</v>
      </c>
      <c r="CE83">
        <v>10184.021685627302</v>
      </c>
      <c r="CF83">
        <v>10.784751615059033</v>
      </c>
      <c r="CG83">
        <v>9279.2002895967926</v>
      </c>
      <c r="CH83">
        <v>12.224766375934497</v>
      </c>
      <c r="CI83">
        <v>10518.188989854041</v>
      </c>
      <c r="CJ83">
        <v>13.896405522311742</v>
      </c>
      <c r="CK83">
        <v>11956.467311397022</v>
      </c>
      <c r="CL83">
        <v>12.213423517169614</v>
      </c>
      <c r="CM83">
        <v>10508.429594172736</v>
      </c>
      <c r="CN83">
        <v>7.784751615059033</v>
      </c>
      <c r="CO83">
        <v>6698.0002895967918</v>
      </c>
      <c r="CP83">
        <v>11.025060805236151</v>
      </c>
      <c r="CQ83">
        <v>9485.9623168251837</v>
      </c>
      <c r="CR83">
        <v>11.081595010435636</v>
      </c>
      <c r="CS83">
        <v>9534.6043469788219</v>
      </c>
      <c r="CT83">
        <v>9.9630177514792901</v>
      </c>
      <c r="CU83">
        <v>8572.1804733727804</v>
      </c>
    </row>
    <row r="84" spans="2:99" x14ac:dyDescent="0.2">
      <c r="C84" s="118" t="s">
        <v>250</v>
      </c>
      <c r="D84">
        <v>6.2352608384114161</v>
      </c>
      <c r="E84">
        <v>4870.9857669669982</v>
      </c>
      <c r="F84">
        <v>3.5223557677185453</v>
      </c>
      <c r="G84">
        <v>2751.6643257417272</v>
      </c>
      <c r="H84">
        <v>5.8639793434451599</v>
      </c>
      <c r="I84">
        <v>4580.940663099359</v>
      </c>
      <c r="J84">
        <v>10</v>
      </c>
      <c r="K84">
        <v>7811.9999999999991</v>
      </c>
      <c r="L84">
        <v>7.8999846955043047</v>
      </c>
      <c r="M84">
        <v>6171.4680441279625</v>
      </c>
      <c r="N84">
        <v>10</v>
      </c>
      <c r="O84">
        <v>7811.9999999999991</v>
      </c>
      <c r="P84">
        <v>6</v>
      </c>
      <c r="Q84">
        <v>4687.2</v>
      </c>
      <c r="R84">
        <v>9.0681714316080342</v>
      </c>
      <c r="S84">
        <v>7084.0555223721958</v>
      </c>
      <c r="T84">
        <v>6.9831701972242515</v>
      </c>
      <c r="U84">
        <v>5455.2525580715846</v>
      </c>
      <c r="V84">
        <v>11</v>
      </c>
      <c r="W84">
        <v>8593.1999999999989</v>
      </c>
      <c r="X84">
        <v>8</v>
      </c>
      <c r="Y84">
        <v>6249.5999999999995</v>
      </c>
      <c r="Z84">
        <v>10</v>
      </c>
      <c r="AA84">
        <v>7811.9999999999991</v>
      </c>
      <c r="AB84">
        <v>11</v>
      </c>
      <c r="AC84">
        <v>8593.1999999999989</v>
      </c>
      <c r="AD84">
        <v>9.0571138788591821</v>
      </c>
      <c r="AE84">
        <v>7075.4173621647924</v>
      </c>
      <c r="AF84">
        <v>13.138260683643656</v>
      </c>
      <c r="AG84">
        <v>10263.609246062424</v>
      </c>
      <c r="AH84">
        <v>8.1247599451303145</v>
      </c>
      <c r="AI84">
        <v>6347.0624691358007</v>
      </c>
      <c r="AJ84">
        <v>12</v>
      </c>
      <c r="AK84">
        <v>9374.4</v>
      </c>
      <c r="AL84">
        <v>9.383353951835705</v>
      </c>
      <c r="AM84">
        <v>7330.2761071740524</v>
      </c>
      <c r="AN84">
        <v>11</v>
      </c>
      <c r="AO84">
        <v>8593.1999999999989</v>
      </c>
      <c r="AP84">
        <v>10.893194706994329</v>
      </c>
      <c r="AQ84">
        <v>8509.7637051039692</v>
      </c>
      <c r="AR84">
        <v>8.8841146949708136</v>
      </c>
      <c r="AS84">
        <v>6940.2703997111994</v>
      </c>
      <c r="AT84">
        <v>8</v>
      </c>
      <c r="AU84">
        <v>6249.5999999999995</v>
      </c>
      <c r="AV84">
        <v>8.6499317639747382</v>
      </c>
      <c r="AW84">
        <v>6757.3266940170652</v>
      </c>
      <c r="AX84">
        <v>7</v>
      </c>
      <c r="AY84">
        <v>5468.4</v>
      </c>
      <c r="AZ84">
        <v>12.694599159970782</v>
      </c>
      <c r="BA84">
        <v>9917.020863769174</v>
      </c>
      <c r="BB84">
        <v>9</v>
      </c>
      <c r="BC84">
        <v>7030.7999999999993</v>
      </c>
      <c r="BD84">
        <v>11</v>
      </c>
      <c r="BE84">
        <v>8593.1999999999989</v>
      </c>
      <c r="BF84">
        <v>10.698304684109369</v>
      </c>
      <c r="BG84">
        <v>8357.5156192262384</v>
      </c>
      <c r="BH84">
        <v>7.2775598602022606</v>
      </c>
      <c r="BI84">
        <v>5685.2297627900052</v>
      </c>
      <c r="BJ84">
        <v>11.075154347260055</v>
      </c>
      <c r="BK84">
        <v>8651.9105760795537</v>
      </c>
      <c r="BL84">
        <v>7</v>
      </c>
      <c r="BM84">
        <v>5468.4</v>
      </c>
      <c r="BN84">
        <v>8.0506763300619841</v>
      </c>
      <c r="BO84">
        <v>6289.1883490444216</v>
      </c>
      <c r="BP84">
        <v>12</v>
      </c>
      <c r="BQ84">
        <v>9374.4</v>
      </c>
      <c r="BR84">
        <v>10.076600972066442</v>
      </c>
      <c r="BS84">
        <v>7871.8406793783042</v>
      </c>
      <c r="BT84">
        <v>14.100462798148808</v>
      </c>
      <c r="BU84">
        <v>11015.281537913848</v>
      </c>
      <c r="BV84">
        <v>13.982349661078683</v>
      </c>
      <c r="BW84">
        <v>10923.011555234665</v>
      </c>
      <c r="BX84">
        <v>9.8894664907154297</v>
      </c>
      <c r="BY84">
        <v>7725.6512225468932</v>
      </c>
      <c r="BZ84">
        <v>10</v>
      </c>
      <c r="CA84">
        <v>7811.9999999999991</v>
      </c>
      <c r="CB84">
        <v>10</v>
      </c>
      <c r="CC84">
        <v>7811.9999999999991</v>
      </c>
      <c r="CD84">
        <v>11.885579234097101</v>
      </c>
      <c r="CE84">
        <v>9285.0144976766551</v>
      </c>
      <c r="CF84">
        <v>9.8337985910002228</v>
      </c>
      <c r="CG84">
        <v>7682.1634592893733</v>
      </c>
      <c r="CH84">
        <v>14.224766375934497</v>
      </c>
      <c r="CI84">
        <v>11112.387492880029</v>
      </c>
      <c r="CJ84">
        <v>15.045806442697033</v>
      </c>
      <c r="CK84">
        <v>11753.783993034922</v>
      </c>
      <c r="CL84">
        <v>11.16675338189386</v>
      </c>
      <c r="CM84">
        <v>8723.467741935483</v>
      </c>
      <c r="CN84">
        <v>7.8337985910002228</v>
      </c>
      <c r="CO84">
        <v>6119.7634592893737</v>
      </c>
      <c r="CP84">
        <v>10.976248385939192</v>
      </c>
      <c r="CQ84">
        <v>8574.6452390956965</v>
      </c>
      <c r="CR84">
        <v>11.084994802537121</v>
      </c>
      <c r="CS84">
        <v>8659.5979397419978</v>
      </c>
      <c r="CT84">
        <v>9.8667159763313617</v>
      </c>
      <c r="CU84">
        <v>7707.8785207100591</v>
      </c>
    </row>
    <row r="85" spans="2:99" x14ac:dyDescent="0.2">
      <c r="C85" s="118" t="s">
        <v>251</v>
      </c>
      <c r="D85">
        <v>6.2708903300452103</v>
      </c>
      <c r="E85">
        <v>940.63354950678161</v>
      </c>
      <c r="F85">
        <v>4.1094150623383028</v>
      </c>
      <c r="G85">
        <v>616.41225935074544</v>
      </c>
      <c r="H85">
        <v>6.7016906782230397</v>
      </c>
      <c r="I85">
        <v>1005.253601733456</v>
      </c>
      <c r="J85">
        <v>11</v>
      </c>
      <c r="K85">
        <v>1650</v>
      </c>
      <c r="L85">
        <v>7.8999846955043047</v>
      </c>
      <c r="M85">
        <v>1184.9977043256456</v>
      </c>
      <c r="N85">
        <v>10</v>
      </c>
      <c r="O85">
        <v>1500</v>
      </c>
      <c r="P85">
        <v>6</v>
      </c>
      <c r="Q85">
        <v>900</v>
      </c>
      <c r="R85">
        <v>9.0196181847167605</v>
      </c>
      <c r="S85">
        <v>1352.942727707514</v>
      </c>
      <c r="T85">
        <v>6.9831701972242515</v>
      </c>
      <c r="U85">
        <v>1047.4755295836378</v>
      </c>
      <c r="V85">
        <v>13</v>
      </c>
      <c r="W85">
        <v>1950</v>
      </c>
      <c r="X85">
        <v>8</v>
      </c>
      <c r="Y85">
        <v>1200</v>
      </c>
      <c r="Z85">
        <v>12</v>
      </c>
      <c r="AA85">
        <v>1800</v>
      </c>
      <c r="AB85">
        <v>11</v>
      </c>
      <c r="AC85">
        <v>1650</v>
      </c>
      <c r="AD85">
        <v>10.20126577143089</v>
      </c>
      <c r="AE85">
        <v>1530.1898657146335</v>
      </c>
      <c r="AF85">
        <v>14.138260683643656</v>
      </c>
      <c r="AG85">
        <v>2120.7391025465486</v>
      </c>
      <c r="AH85">
        <v>10.222565157750342</v>
      </c>
      <c r="AI85">
        <v>1533.3847736625512</v>
      </c>
      <c r="AJ85">
        <v>14</v>
      </c>
      <c r="AK85">
        <v>2100</v>
      </c>
      <c r="AL85">
        <v>9.4073135738254372</v>
      </c>
      <c r="AM85">
        <v>1411.0970360738156</v>
      </c>
      <c r="AN85">
        <v>10</v>
      </c>
      <c r="AO85">
        <v>1500</v>
      </c>
      <c r="AP85">
        <v>12.893194706994329</v>
      </c>
      <c r="AQ85">
        <v>1933.9792060491493</v>
      </c>
      <c r="AR85">
        <v>10.933232178024747</v>
      </c>
      <c r="AS85">
        <v>1639.9848267037121</v>
      </c>
      <c r="AT85">
        <v>8</v>
      </c>
      <c r="AU85">
        <v>1200</v>
      </c>
      <c r="AV85">
        <v>9.699926515049718</v>
      </c>
      <c r="AW85">
        <v>1454.9889772574577</v>
      </c>
      <c r="AX85">
        <v>8</v>
      </c>
      <c r="AY85">
        <v>1200</v>
      </c>
      <c r="AZ85">
        <v>12.744213385682981</v>
      </c>
      <c r="BA85">
        <v>1911.632007852447</v>
      </c>
      <c r="BB85">
        <v>10</v>
      </c>
      <c r="BC85">
        <v>1500</v>
      </c>
      <c r="BD85">
        <v>11</v>
      </c>
      <c r="BE85">
        <v>1650</v>
      </c>
      <c r="BF85">
        <v>9.7481835901171792</v>
      </c>
      <c r="BG85">
        <v>1462.2275385175769</v>
      </c>
      <c r="BH85">
        <v>9.2775598602022598</v>
      </c>
      <c r="BI85">
        <v>1391.6339790303389</v>
      </c>
      <c r="BJ85">
        <v>12.091492248838327</v>
      </c>
      <c r="BK85">
        <v>1813.7238373257489</v>
      </c>
      <c r="BL85">
        <v>6</v>
      </c>
      <c r="BM85">
        <v>900</v>
      </c>
      <c r="BN85">
        <v>9.0584726885330582</v>
      </c>
      <c r="BO85">
        <v>1358.7709032799587</v>
      </c>
      <c r="BP85">
        <v>11</v>
      </c>
      <c r="BQ85">
        <v>1650</v>
      </c>
      <c r="BR85">
        <v>10.256034467410849</v>
      </c>
      <c r="BS85">
        <v>1538.4051701116273</v>
      </c>
      <c r="BT85">
        <v>14.100462798148808</v>
      </c>
      <c r="BU85">
        <v>2115.0694197223211</v>
      </c>
      <c r="BV85">
        <v>14.129702110240483</v>
      </c>
      <c r="BW85">
        <v>2119.4553165360726</v>
      </c>
      <c r="BX85">
        <v>10.076722594023941</v>
      </c>
      <c r="BY85">
        <v>1511.5083891035913</v>
      </c>
      <c r="BZ85">
        <v>10</v>
      </c>
      <c r="CA85">
        <v>1500</v>
      </c>
      <c r="CB85">
        <v>10</v>
      </c>
      <c r="CC85">
        <v>1500</v>
      </c>
      <c r="CD85">
        <v>12.983976926774556</v>
      </c>
      <c r="CE85">
        <v>1947.5965390161834</v>
      </c>
      <c r="CF85">
        <v>10.784751615059033</v>
      </c>
      <c r="CG85">
        <v>1617.7127422588549</v>
      </c>
      <c r="CH85">
        <v>13.318979174083303</v>
      </c>
      <c r="CI85">
        <v>1997.8468761124955</v>
      </c>
      <c r="CJ85">
        <v>13.996006135901936</v>
      </c>
      <c r="CK85">
        <v>2099.4009203852906</v>
      </c>
      <c r="CL85">
        <v>12.306763787721124</v>
      </c>
      <c r="CM85">
        <v>1846.0145681581687</v>
      </c>
      <c r="CN85">
        <v>8.8337985910002228</v>
      </c>
      <c r="CO85">
        <v>1325.0697886500334</v>
      </c>
      <c r="CP85">
        <v>13.122685643830071</v>
      </c>
      <c r="CQ85">
        <v>1968.4028465745107</v>
      </c>
      <c r="CR85">
        <v>11.081595010435636</v>
      </c>
      <c r="CS85">
        <v>1662.2392515653455</v>
      </c>
      <c r="CT85">
        <v>9.9148668639053259</v>
      </c>
      <c r="CU85">
        <v>1487.2300295857988</v>
      </c>
    </row>
    <row r="86" spans="2:99" x14ac:dyDescent="0.2">
      <c r="C86" s="118" t="s">
        <v>252</v>
      </c>
      <c r="D86">
        <v>6.2708903300452103</v>
      </c>
      <c r="E86">
        <v>3386.2807782244136</v>
      </c>
      <c r="F86">
        <v>3.5223557677185453</v>
      </c>
      <c r="G86">
        <v>1902.0721145680145</v>
      </c>
      <c r="H86">
        <v>5.8639793434451599</v>
      </c>
      <c r="I86">
        <v>3166.5488454603865</v>
      </c>
      <c r="J86">
        <v>11.727716797575011</v>
      </c>
      <c r="K86">
        <v>6332.9670706905063</v>
      </c>
      <c r="L86">
        <v>6.8999846955043047</v>
      </c>
      <c r="M86">
        <v>3725.9917355723246</v>
      </c>
      <c r="N86">
        <v>10</v>
      </c>
      <c r="O86">
        <v>5400</v>
      </c>
      <c r="P86">
        <v>7</v>
      </c>
      <c r="Q86">
        <v>3780</v>
      </c>
      <c r="R86">
        <v>10.165277925390583</v>
      </c>
      <c r="S86">
        <v>5489.2500797109151</v>
      </c>
      <c r="T86">
        <v>6.9831701972242515</v>
      </c>
      <c r="U86">
        <v>3770.9119065010959</v>
      </c>
      <c r="V86">
        <v>10</v>
      </c>
      <c r="W86">
        <v>5400</v>
      </c>
      <c r="X86">
        <v>8</v>
      </c>
      <c r="Y86">
        <v>4320</v>
      </c>
      <c r="Z86">
        <v>10</v>
      </c>
      <c r="AA86">
        <v>5400</v>
      </c>
      <c r="AB86">
        <v>10</v>
      </c>
      <c r="AC86">
        <v>5400</v>
      </c>
      <c r="AD86">
        <v>9.1532151405736535</v>
      </c>
      <c r="AE86">
        <v>4942.736175909773</v>
      </c>
      <c r="AF86">
        <v>14.183791110989402</v>
      </c>
      <c r="AG86">
        <v>7659.247199934277</v>
      </c>
      <c r="AH86">
        <v>9.222565157750342</v>
      </c>
      <c r="AI86">
        <v>4980.1851851851843</v>
      </c>
      <c r="AJ86">
        <v>13</v>
      </c>
      <c r="AK86">
        <v>7020</v>
      </c>
      <c r="AL86">
        <v>9.383353951835705</v>
      </c>
      <c r="AM86">
        <v>5067.011133991281</v>
      </c>
      <c r="AN86">
        <v>9</v>
      </c>
      <c r="AO86">
        <v>4860</v>
      </c>
      <c r="AP86">
        <v>11.843572778827976</v>
      </c>
      <c r="AQ86">
        <v>6395.5293005671074</v>
      </c>
      <c r="AR86">
        <v>10.83499721191688</v>
      </c>
      <c r="AS86">
        <v>5850.898494435115</v>
      </c>
      <c r="AT86">
        <v>7</v>
      </c>
      <c r="AU86">
        <v>3780</v>
      </c>
      <c r="AV86">
        <v>9.699926515049718</v>
      </c>
      <c r="AW86">
        <v>5237.9603181268476</v>
      </c>
      <c r="AX86">
        <v>8</v>
      </c>
      <c r="AY86">
        <v>4320</v>
      </c>
      <c r="AZ86">
        <v>11.694599159970782</v>
      </c>
      <c r="BA86">
        <v>6315.0835463842222</v>
      </c>
      <c r="BB86">
        <v>9</v>
      </c>
      <c r="BC86">
        <v>4860</v>
      </c>
      <c r="BD86">
        <v>10</v>
      </c>
      <c r="BE86">
        <v>5400</v>
      </c>
      <c r="BF86">
        <v>9.6983046841093685</v>
      </c>
      <c r="BG86">
        <v>5237.0845294190594</v>
      </c>
      <c r="BH86">
        <v>8.2775598602022598</v>
      </c>
      <c r="BI86">
        <v>4469.8823245092199</v>
      </c>
      <c r="BJ86">
        <v>12.078421927575709</v>
      </c>
      <c r="BK86">
        <v>6522.3478408908832</v>
      </c>
      <c r="BL86">
        <v>6</v>
      </c>
      <c r="BM86">
        <v>3240</v>
      </c>
      <c r="BN86">
        <v>8.0506763300619841</v>
      </c>
      <c r="BO86">
        <v>4347.3652182334718</v>
      </c>
      <c r="BP86">
        <v>12</v>
      </c>
      <c r="BQ86">
        <v>6480</v>
      </c>
      <c r="BR86">
        <v>10.166317719738645</v>
      </c>
      <c r="BS86">
        <v>5489.8115686588681</v>
      </c>
      <c r="BT86">
        <v>15.244001423994304</v>
      </c>
      <c r="BU86">
        <v>8231.7607689569231</v>
      </c>
      <c r="BV86">
        <v>15.031467144132616</v>
      </c>
      <c r="BW86">
        <v>8116.9922578316127</v>
      </c>
      <c r="BX86">
        <v>9.8894664907154297</v>
      </c>
      <c r="BY86">
        <v>5340.3119049863317</v>
      </c>
      <c r="BZ86">
        <v>10</v>
      </c>
      <c r="CA86">
        <v>5400</v>
      </c>
      <c r="CB86">
        <v>9</v>
      </c>
      <c r="CC86">
        <v>4860</v>
      </c>
      <c r="CD86">
        <v>12.934778080435827</v>
      </c>
      <c r="CE86">
        <v>6984.7801634353464</v>
      </c>
      <c r="CF86">
        <v>9.784751615059033</v>
      </c>
      <c r="CG86">
        <v>5283.7658721318776</v>
      </c>
      <c r="CH86">
        <v>13.224766375934497</v>
      </c>
      <c r="CI86">
        <v>7141.3738430046278</v>
      </c>
      <c r="CJ86">
        <v>12.996006135901936</v>
      </c>
      <c r="CK86">
        <v>7017.8433133870458</v>
      </c>
      <c r="CL86">
        <v>10.353433922996878</v>
      </c>
      <c r="CM86">
        <v>5590.8543184183145</v>
      </c>
      <c r="CN86">
        <v>8.784751615059033</v>
      </c>
      <c r="CO86">
        <v>4743.7658721318776</v>
      </c>
      <c r="CP86">
        <v>12.976248385939192</v>
      </c>
      <c r="CQ86">
        <v>7007.1741284071632</v>
      </c>
      <c r="CR86">
        <v>11.074795426232667</v>
      </c>
      <c r="CS86">
        <v>5980.3895301656403</v>
      </c>
      <c r="CT86">
        <v>10.914866863905326</v>
      </c>
      <c r="CU86">
        <v>5894.0281065088757</v>
      </c>
    </row>
    <row r="87" spans="2:99" x14ac:dyDescent="0.2">
      <c r="B87" s="118" t="s">
        <v>131</v>
      </c>
      <c r="C87" s="118" t="s">
        <v>253</v>
      </c>
      <c r="D87">
        <v>5.3801405638881787</v>
      </c>
      <c r="E87">
        <v>10517.098774288612</v>
      </c>
      <c r="F87">
        <v>3.5223557677185453</v>
      </c>
      <c r="G87">
        <v>6885.5010547362126</v>
      </c>
      <c r="H87">
        <v>6.7016906782230397</v>
      </c>
      <c r="I87">
        <v>13100.464937790397</v>
      </c>
      <c r="J87">
        <v>7.4851445317166743</v>
      </c>
      <c r="K87">
        <v>14631.960530599754</v>
      </c>
      <c r="L87">
        <v>8.3999931980019138</v>
      </c>
      <c r="M87">
        <v>16420.306703454142</v>
      </c>
      <c r="N87">
        <v>7</v>
      </c>
      <c r="O87">
        <v>13683.6</v>
      </c>
      <c r="P87">
        <v>6.2053018736090264</v>
      </c>
      <c r="Q87">
        <v>12130.124102530925</v>
      </c>
      <c r="R87">
        <v>8.7768519502603883</v>
      </c>
      <c r="S87">
        <v>17156.990192369005</v>
      </c>
      <c r="T87">
        <v>7.7373776479181888</v>
      </c>
      <c r="U87">
        <v>15125.025826150475</v>
      </c>
      <c r="V87">
        <v>7</v>
      </c>
      <c r="W87">
        <v>13683.6</v>
      </c>
      <c r="X87">
        <v>8.0378475665748397</v>
      </c>
      <c r="Y87">
        <v>15712.384423140496</v>
      </c>
      <c r="Z87">
        <v>9</v>
      </c>
      <c r="AA87">
        <v>17593.2</v>
      </c>
      <c r="AB87">
        <v>7.4999976472913268</v>
      </c>
      <c r="AC87">
        <v>14660.995400925085</v>
      </c>
      <c r="AD87">
        <v>4.5766075702868267</v>
      </c>
      <c r="AE87">
        <v>8946.3524783966895</v>
      </c>
      <c r="AF87">
        <v>7.6374259828404476</v>
      </c>
      <c r="AG87">
        <v>14929.640311256506</v>
      </c>
      <c r="AH87">
        <v>4.4890260631001375</v>
      </c>
      <c r="AI87">
        <v>8775.1481481481478</v>
      </c>
      <c r="AJ87">
        <v>9</v>
      </c>
      <c r="AK87">
        <v>17593.2</v>
      </c>
      <c r="AL87">
        <v>8.1916769759178525</v>
      </c>
      <c r="AM87">
        <v>16013.090152524217</v>
      </c>
      <c r="AN87">
        <v>5.4401601239669422</v>
      </c>
      <c r="AO87">
        <v>10634.425010330579</v>
      </c>
      <c r="AP87">
        <v>6.5458412098298675</v>
      </c>
      <c r="AQ87">
        <v>12795.810396975425</v>
      </c>
      <c r="AR87">
        <v>6.4420573474854068</v>
      </c>
      <c r="AS87">
        <v>12592.933702864473</v>
      </c>
      <c r="AT87">
        <v>6</v>
      </c>
      <c r="AU87">
        <v>11728.8</v>
      </c>
      <c r="AV87">
        <v>5.6499317639747382</v>
      </c>
      <c r="AW87">
        <v>11044.486612217817</v>
      </c>
      <c r="AX87">
        <v>7.3084917985193787</v>
      </c>
      <c r="AY87">
        <v>14286.639767745681</v>
      </c>
      <c r="AZ87">
        <v>5.4465280314097884</v>
      </c>
      <c r="BA87">
        <v>10646.872995799855</v>
      </c>
      <c r="BB87">
        <v>8</v>
      </c>
      <c r="BC87">
        <v>15638.4</v>
      </c>
      <c r="BD87">
        <v>6</v>
      </c>
      <c r="BE87">
        <v>11728.8</v>
      </c>
      <c r="BF87">
        <v>5.7481835901171801</v>
      </c>
      <c r="BG87">
        <v>11236.549281961063</v>
      </c>
      <c r="BH87">
        <v>8.5931527922367632</v>
      </c>
      <c r="BI87">
        <v>16797.895078264424</v>
      </c>
      <c r="BJ87">
        <v>8.0326758031565451</v>
      </c>
      <c r="BK87">
        <v>15702.274660010415</v>
      </c>
      <c r="BL87">
        <v>7.2289550137399452</v>
      </c>
      <c r="BM87">
        <v>14131.161260858844</v>
      </c>
      <c r="BN87">
        <v>8.0662690470041323</v>
      </c>
      <c r="BO87">
        <v>15767.942733083677</v>
      </c>
      <c r="BP87">
        <v>10.474881852551984</v>
      </c>
      <c r="BQ87">
        <v>20476.299045368618</v>
      </c>
      <c r="BR87">
        <v>5.7625923552137301</v>
      </c>
      <c r="BS87">
        <v>11264.7155359718</v>
      </c>
      <c r="BT87">
        <v>9.7655393378426485</v>
      </c>
      <c r="BU87">
        <v>19089.676297614809</v>
      </c>
      <c r="BV87">
        <v>9.6876447627550775</v>
      </c>
      <c r="BW87">
        <v>18937.407982233624</v>
      </c>
      <c r="BX87">
        <v>5.5149542840984065</v>
      </c>
      <c r="BY87">
        <v>10780.632634555564</v>
      </c>
      <c r="BZ87">
        <v>6</v>
      </c>
      <c r="CA87">
        <v>11728.8</v>
      </c>
      <c r="CB87">
        <v>5.0899946949797563</v>
      </c>
      <c r="CC87">
        <v>9949.9216297464282</v>
      </c>
      <c r="CD87">
        <v>7.7379826950809161</v>
      </c>
      <c r="CE87">
        <v>15126.208572344174</v>
      </c>
      <c r="CF87">
        <v>8.784751615059033</v>
      </c>
      <c r="CG87">
        <v>17172.432457117397</v>
      </c>
      <c r="CH87">
        <v>8.471063990744037</v>
      </c>
      <c r="CI87">
        <v>16559.235889106443</v>
      </c>
      <c r="CJ87">
        <v>5.448202761155871</v>
      </c>
      <c r="CK87">
        <v>10650.146757507497</v>
      </c>
      <c r="CL87">
        <v>9.4667013527575445</v>
      </c>
      <c r="CM87">
        <v>18505.507804370449</v>
      </c>
      <c r="CN87">
        <v>8.5395167353530859</v>
      </c>
      <c r="CO87">
        <v>16693.047314268213</v>
      </c>
      <c r="CP87">
        <v>9.4393117736726353</v>
      </c>
      <c r="CQ87">
        <v>18451.966655175267</v>
      </c>
      <c r="CR87">
        <v>8.030598128913363</v>
      </c>
      <c r="CS87">
        <v>15698.213222399841</v>
      </c>
      <c r="CT87">
        <v>7.4333579881656808</v>
      </c>
      <c r="CU87">
        <v>14530.728195266272</v>
      </c>
    </row>
    <row r="88" spans="2:99" x14ac:dyDescent="0.2">
      <c r="C88" s="118" t="s">
        <v>254</v>
      </c>
      <c r="D88">
        <v>5.4157700555219721</v>
      </c>
      <c r="E88">
        <v>10248.80325306978</v>
      </c>
      <c r="F88">
        <v>4.1094150623383028</v>
      </c>
      <c r="G88">
        <v>7776.6570639690035</v>
      </c>
      <c r="H88">
        <v>6.7016906782230397</v>
      </c>
      <c r="I88">
        <v>12682.279439469279</v>
      </c>
      <c r="J88">
        <v>8.5336589848883406</v>
      </c>
      <c r="K88">
        <v>16149.096263002695</v>
      </c>
      <c r="L88">
        <v>9.4999914975023909</v>
      </c>
      <c r="M88">
        <v>17977.783909873524</v>
      </c>
      <c r="N88">
        <v>7</v>
      </c>
      <c r="O88">
        <v>13246.8</v>
      </c>
      <c r="P88">
        <v>6</v>
      </c>
      <c r="Q88">
        <v>11354.4</v>
      </c>
      <c r="R88">
        <v>7.6797454564778409</v>
      </c>
      <c r="S88">
        <v>14533.150301838665</v>
      </c>
      <c r="T88">
        <v>7.7373776479181888</v>
      </c>
      <c r="U88">
        <v>14642.21346092038</v>
      </c>
      <c r="V88">
        <v>9</v>
      </c>
      <c r="W88">
        <v>17031.599999999999</v>
      </c>
      <c r="X88">
        <v>9.0425785123966946</v>
      </c>
      <c r="Y88">
        <v>17112.175576859503</v>
      </c>
      <c r="Z88">
        <v>8</v>
      </c>
      <c r="AA88">
        <v>15139.199999999999</v>
      </c>
      <c r="AB88">
        <v>7.4999976472913268</v>
      </c>
      <c r="AC88">
        <v>14192.995547734106</v>
      </c>
      <c r="AD88">
        <v>5.528556939429591</v>
      </c>
      <c r="AE88">
        <v>10462.241152176557</v>
      </c>
      <c r="AF88">
        <v>7.6374259828404476</v>
      </c>
      <c r="AG88">
        <v>14453.064929927263</v>
      </c>
      <c r="AH88">
        <v>5.5379286694101504</v>
      </c>
      <c r="AI88">
        <v>10479.976213991768</v>
      </c>
      <c r="AJ88">
        <v>8</v>
      </c>
      <c r="AK88">
        <v>15139.199999999999</v>
      </c>
      <c r="AL88">
        <v>6.2156365979075838</v>
      </c>
      <c r="AM88">
        <v>11762.470697880311</v>
      </c>
      <c r="AN88">
        <v>5.5078770661157028</v>
      </c>
      <c r="AO88">
        <v>10423.106559917354</v>
      </c>
      <c r="AP88">
        <v>7.4962192816635156</v>
      </c>
      <c r="AQ88">
        <v>14185.845368620036</v>
      </c>
      <c r="AR88">
        <v>6.4420573474854068</v>
      </c>
      <c r="AS88">
        <v>12190.949324381383</v>
      </c>
      <c r="AT88">
        <v>6</v>
      </c>
      <c r="AU88">
        <v>11354.4</v>
      </c>
      <c r="AV88">
        <v>5.699926515049718</v>
      </c>
      <c r="AW88">
        <v>10786.540937080086</v>
      </c>
      <c r="AX88">
        <v>7.3365365074756861</v>
      </c>
      <c r="AY88">
        <v>13883.661686746987</v>
      </c>
      <c r="AZ88">
        <v>5.5457564828341859</v>
      </c>
      <c r="BA88">
        <v>10494.789568115413</v>
      </c>
      <c r="BB88">
        <v>8</v>
      </c>
      <c r="BC88">
        <v>15139.199999999999</v>
      </c>
      <c r="BD88">
        <v>6</v>
      </c>
      <c r="BE88">
        <v>11354.4</v>
      </c>
      <c r="BF88">
        <v>5.847941402132804</v>
      </c>
      <c r="BG88">
        <v>11066.644309396117</v>
      </c>
      <c r="BH88">
        <v>9.6387799301011299</v>
      </c>
      <c r="BI88">
        <v>18240.427139723375</v>
      </c>
      <c r="BJ88">
        <v>8.0294082228408907</v>
      </c>
      <c r="BK88">
        <v>15194.852120904101</v>
      </c>
      <c r="BL88">
        <v>7.2289550137399452</v>
      </c>
      <c r="BM88">
        <v>13680.07446800147</v>
      </c>
      <c r="BN88">
        <v>7.0662690470041323</v>
      </c>
      <c r="BO88">
        <v>13372.20754455062</v>
      </c>
      <c r="BP88">
        <v>10.518052930056712</v>
      </c>
      <c r="BQ88">
        <v>19904.363364839319</v>
      </c>
      <c r="BR88">
        <v>6.7625923552137301</v>
      </c>
      <c r="BS88">
        <v>12797.529773006461</v>
      </c>
      <c r="BT88">
        <v>9.6698469206123168</v>
      </c>
      <c r="BU88">
        <v>18299.218312566747</v>
      </c>
      <c r="BV88">
        <v>9.6876447627550775</v>
      </c>
      <c r="BW88">
        <v>18332.898949037706</v>
      </c>
      <c r="BX88">
        <v>5.5617683099255348</v>
      </c>
      <c r="BY88">
        <v>10525.090349703081</v>
      </c>
      <c r="BZ88">
        <v>7</v>
      </c>
      <c r="CA88">
        <v>13246.8</v>
      </c>
      <c r="CB88">
        <v>5.0999941055330629</v>
      </c>
      <c r="CC88">
        <v>9651.2288453107667</v>
      </c>
      <c r="CD88">
        <v>7.7379826950809161</v>
      </c>
      <c r="CE88">
        <v>14643.358452171124</v>
      </c>
      <c r="CF88">
        <v>8.7357046391178432</v>
      </c>
      <c r="CG88">
        <v>16531.447459066607</v>
      </c>
      <c r="CH88">
        <v>9.5181703898184402</v>
      </c>
      <c r="CI88">
        <v>18012.185645692414</v>
      </c>
      <c r="CJ88">
        <v>6.448202761155871</v>
      </c>
      <c r="CK88">
        <v>12202.578905211369</v>
      </c>
      <c r="CL88">
        <v>11.466701352757545</v>
      </c>
      <c r="CM88">
        <v>21699.585639958375</v>
      </c>
      <c r="CN88">
        <v>9.5885637112942756</v>
      </c>
      <c r="CO88">
        <v>18145.397967253284</v>
      </c>
      <c r="CP88">
        <v>9.488124192969595</v>
      </c>
      <c r="CQ88">
        <v>17955.32622277566</v>
      </c>
      <c r="CR88">
        <v>7.0339979210148487</v>
      </c>
      <c r="CS88">
        <v>13311.137665728498</v>
      </c>
      <c r="CT88">
        <v>8.4815088757396442</v>
      </c>
      <c r="CU88">
        <v>16050.407396449702</v>
      </c>
    </row>
    <row r="89" spans="2:99" x14ac:dyDescent="0.2">
      <c r="C89" s="118" t="s">
        <v>255</v>
      </c>
      <c r="D89">
        <v>4.6675382559001148</v>
      </c>
      <c r="E89">
        <v>11190.889722346115</v>
      </c>
      <c r="F89">
        <v>4.1094150623383028</v>
      </c>
      <c r="G89">
        <v>9852.7335534623144</v>
      </c>
      <c r="H89">
        <v>6.7016906782230397</v>
      </c>
      <c r="I89">
        <v>16067.973570107559</v>
      </c>
      <c r="J89">
        <v>8.4851445317166743</v>
      </c>
      <c r="K89">
        <v>20343.982529243898</v>
      </c>
      <c r="L89">
        <v>9.4999914975023909</v>
      </c>
      <c r="M89">
        <v>22777.179614411732</v>
      </c>
      <c r="N89">
        <v>6</v>
      </c>
      <c r="O89">
        <v>14385.599999999999</v>
      </c>
      <c r="P89">
        <v>6.1824905543191351</v>
      </c>
      <c r="Q89">
        <v>14823.139353035558</v>
      </c>
      <c r="R89">
        <v>7.7768519502603892</v>
      </c>
      <c r="S89">
        <v>18645.780235944309</v>
      </c>
      <c r="T89">
        <v>6.6882191380569758</v>
      </c>
      <c r="U89">
        <v>16035.674205405405</v>
      </c>
      <c r="V89">
        <v>8</v>
      </c>
      <c r="W89">
        <v>19180.8</v>
      </c>
      <c r="X89">
        <v>8.0378475665748397</v>
      </c>
      <c r="Y89">
        <v>19271.543325619834</v>
      </c>
      <c r="Z89">
        <v>8</v>
      </c>
      <c r="AA89">
        <v>19180.8</v>
      </c>
      <c r="AB89">
        <v>7.4499978825621938</v>
      </c>
      <c r="AC89">
        <v>17862.114923231115</v>
      </c>
      <c r="AD89">
        <v>5.528556939429591</v>
      </c>
      <c r="AE89">
        <v>13255.268117976388</v>
      </c>
      <c r="AF89">
        <v>8.5918955554947019</v>
      </c>
      <c r="AG89">
        <v>20599.928783854095</v>
      </c>
      <c r="AH89">
        <v>4.4401234567901238</v>
      </c>
      <c r="AI89">
        <v>10645.640000000001</v>
      </c>
      <c r="AJ89">
        <v>9</v>
      </c>
      <c r="AK89">
        <v>21578.399999999998</v>
      </c>
      <c r="AL89">
        <v>7.2156365979075838</v>
      </c>
      <c r="AM89">
        <v>17300.210307143221</v>
      </c>
      <c r="AN89">
        <v>5.474018595041322</v>
      </c>
      <c r="AO89">
        <v>13124.506983471074</v>
      </c>
      <c r="AP89">
        <v>7.4962192816635156</v>
      </c>
      <c r="AQ89">
        <v>17972.935349716445</v>
      </c>
      <c r="AR89">
        <v>6.4420573474854068</v>
      </c>
      <c r="AS89">
        <v>15445.47669633101</v>
      </c>
      <c r="AT89">
        <v>6</v>
      </c>
      <c r="AU89">
        <v>14385.599999999999</v>
      </c>
      <c r="AV89">
        <v>5.5999370128997583</v>
      </c>
      <c r="AW89">
        <v>13426.40898212846</v>
      </c>
      <c r="AX89">
        <v>7.3084917985193787</v>
      </c>
      <c r="AY89">
        <v>17522.839936130062</v>
      </c>
      <c r="AZ89">
        <v>4.4465280314097884</v>
      </c>
      <c r="BA89">
        <v>10660.995608108107</v>
      </c>
      <c r="BB89">
        <v>8</v>
      </c>
      <c r="BC89">
        <v>19180.8</v>
      </c>
      <c r="BD89">
        <v>6</v>
      </c>
      <c r="BE89">
        <v>14385.599999999999</v>
      </c>
      <c r="BF89">
        <v>5.7980624961249925</v>
      </c>
      <c r="BG89">
        <v>13901.434640709282</v>
      </c>
      <c r="BH89">
        <v>8.5475256543723965</v>
      </c>
      <c r="BI89">
        <v>20493.547508923257</v>
      </c>
      <c r="BJ89">
        <v>8.0261406425252364</v>
      </c>
      <c r="BK89">
        <v>19243.474804518508</v>
      </c>
      <c r="BL89">
        <v>7.2480345982182746</v>
      </c>
      <c r="BM89">
        <v>17377.887752688133</v>
      </c>
      <c r="BN89">
        <v>7.0623708677685952</v>
      </c>
      <c r="BO89">
        <v>16932.740392561984</v>
      </c>
      <c r="BP89">
        <v>9.4317107750472591</v>
      </c>
      <c r="BQ89">
        <v>22613.469754253307</v>
      </c>
      <c r="BR89">
        <v>5.6728756075415268</v>
      </c>
      <c r="BS89">
        <v>13601.286556641564</v>
      </c>
      <c r="BT89">
        <v>8.6220007119971527</v>
      </c>
      <c r="BU89">
        <v>20672.108907084374</v>
      </c>
      <c r="BV89">
        <v>8.5894097966472085</v>
      </c>
      <c r="BW89">
        <v>20593.968928441347</v>
      </c>
      <c r="BX89">
        <v>5.468140258271279</v>
      </c>
      <c r="BY89">
        <v>13110.413083231218</v>
      </c>
      <c r="BZ89">
        <v>6</v>
      </c>
      <c r="CA89">
        <v>14385.599999999999</v>
      </c>
      <c r="CB89">
        <v>5.0999941055330629</v>
      </c>
      <c r="CC89">
        <v>12227.745867426071</v>
      </c>
      <c r="CD89">
        <v>6.6887838487421885</v>
      </c>
      <c r="CE89">
        <v>16037.02815574427</v>
      </c>
      <c r="CF89">
        <v>8.784751615059033</v>
      </c>
      <c r="CG89">
        <v>21062.320472265535</v>
      </c>
      <c r="CH89">
        <v>8.5181703898184402</v>
      </c>
      <c r="CI89">
        <v>20423.165326628692</v>
      </c>
      <c r="CJ89">
        <v>6.4980030679509682</v>
      </c>
      <c r="CK89">
        <v>15579.61215571924</v>
      </c>
      <c r="CL89">
        <v>9.4200312174817888</v>
      </c>
      <c r="CM89">
        <v>22585.466847034335</v>
      </c>
      <c r="CN89">
        <v>8.4904697594118961</v>
      </c>
      <c r="CO89">
        <v>20356.750295165963</v>
      </c>
      <c r="CP89">
        <v>8.4393117736726353</v>
      </c>
      <c r="CQ89">
        <v>20234.093908557508</v>
      </c>
      <c r="CR89">
        <v>7.0339979210148487</v>
      </c>
      <c r="CS89">
        <v>16864.713415425202</v>
      </c>
      <c r="CT89">
        <v>8.4333579881656799</v>
      </c>
      <c r="CU89">
        <v>20219.819112426034</v>
      </c>
    </row>
    <row r="90" spans="2:99" x14ac:dyDescent="0.2">
      <c r="C90" s="118" t="s">
        <v>256</v>
      </c>
      <c r="D90">
        <v>5.4157700555219721</v>
      </c>
      <c r="E90">
        <v>11899.529965992877</v>
      </c>
      <c r="F90">
        <v>4.1094150623383028</v>
      </c>
      <c r="G90">
        <v>9029.206774969718</v>
      </c>
      <c r="H90">
        <v>6.7016906782230397</v>
      </c>
      <c r="I90">
        <v>14724.954758191661</v>
      </c>
      <c r="J90">
        <v>8.5336589848883406</v>
      </c>
      <c r="K90">
        <v>18750.155521596662</v>
      </c>
      <c r="L90">
        <v>8.4499923477521524</v>
      </c>
      <c r="M90">
        <v>18566.323186481026</v>
      </c>
      <c r="N90">
        <v>6</v>
      </c>
      <c r="O90">
        <v>13183.199999999999</v>
      </c>
      <c r="P90">
        <v>6</v>
      </c>
      <c r="Q90">
        <v>13183.199999999999</v>
      </c>
      <c r="R90">
        <v>8.6797454564778409</v>
      </c>
      <c r="S90">
        <v>19071.136716973109</v>
      </c>
      <c r="T90">
        <v>7.6882191380569758</v>
      </c>
      <c r="U90">
        <v>16892.555090138787</v>
      </c>
      <c r="V90">
        <v>7</v>
      </c>
      <c r="W90">
        <v>15380.399999999998</v>
      </c>
      <c r="X90">
        <v>8.0378475665748397</v>
      </c>
      <c r="Y90">
        <v>17660.758673278237</v>
      </c>
      <c r="Z90">
        <v>9</v>
      </c>
      <c r="AA90">
        <v>19774.8</v>
      </c>
      <c r="AB90">
        <v>7.4499978825621938</v>
      </c>
      <c r="AC90">
        <v>16369.135347565651</v>
      </c>
      <c r="AD90">
        <v>5.528556939429591</v>
      </c>
      <c r="AE90">
        <v>12147.345307314696</v>
      </c>
      <c r="AF90">
        <v>8.5918955554947019</v>
      </c>
      <c r="AG90">
        <v>18878.112914532958</v>
      </c>
      <c r="AH90">
        <v>5.4401234567901238</v>
      </c>
      <c r="AI90">
        <v>11953.03925925926</v>
      </c>
      <c r="AJ90">
        <v>9</v>
      </c>
      <c r="AK90">
        <v>19774.8</v>
      </c>
      <c r="AL90">
        <v>7.2156365979075838</v>
      </c>
      <c r="AM90">
        <v>15854.196732922543</v>
      </c>
      <c r="AN90">
        <v>5.4401601239669422</v>
      </c>
      <c r="AO90">
        <v>11953.119824380165</v>
      </c>
      <c r="AP90">
        <v>6.5458412098298675</v>
      </c>
      <c r="AQ90">
        <v>14382.522306238183</v>
      </c>
      <c r="AR90">
        <v>6.3929398644314723</v>
      </c>
      <c r="AS90">
        <v>14046.56747012883</v>
      </c>
      <c r="AT90">
        <v>5</v>
      </c>
      <c r="AU90">
        <v>10986</v>
      </c>
      <c r="AV90">
        <v>5.6499317639747382</v>
      </c>
      <c r="AW90">
        <v>12414.030071805293</v>
      </c>
      <c r="AX90">
        <v>7.3084917985193787</v>
      </c>
      <c r="AY90">
        <v>16058.218179706777</v>
      </c>
      <c r="AZ90">
        <v>4.4465280314097884</v>
      </c>
      <c r="BA90">
        <v>9769.9113906135863</v>
      </c>
      <c r="BB90">
        <v>8</v>
      </c>
      <c r="BC90">
        <v>17577.599999999999</v>
      </c>
      <c r="BD90">
        <v>5</v>
      </c>
      <c r="BE90">
        <v>10986</v>
      </c>
      <c r="BF90">
        <v>5.847941402132804</v>
      </c>
      <c r="BG90">
        <v>12849.096848766196</v>
      </c>
      <c r="BH90">
        <v>8.5475256543723965</v>
      </c>
      <c r="BI90">
        <v>18780.62336778703</v>
      </c>
      <c r="BJ90">
        <v>7.0294082228408907</v>
      </c>
      <c r="BK90">
        <v>15445.015747226003</v>
      </c>
      <c r="BL90">
        <v>7.2289550137399452</v>
      </c>
      <c r="BM90">
        <v>15883.459956189407</v>
      </c>
      <c r="BN90">
        <v>7.0584726885330582</v>
      </c>
      <c r="BO90">
        <v>15508.876191244834</v>
      </c>
      <c r="BP90">
        <v>10.431710775047259</v>
      </c>
      <c r="BQ90">
        <v>22920.554914933837</v>
      </c>
      <c r="BR90">
        <v>5.717733981377628</v>
      </c>
      <c r="BS90">
        <v>12563.005103882922</v>
      </c>
      <c r="BT90">
        <v>9.6220007119971527</v>
      </c>
      <c r="BU90">
        <v>21141.459964400143</v>
      </c>
      <c r="BV90">
        <v>9.6385272797011439</v>
      </c>
      <c r="BW90">
        <v>21177.77213895935</v>
      </c>
      <c r="BX90">
        <v>5.5149542840984065</v>
      </c>
      <c r="BY90">
        <v>12117.457553021019</v>
      </c>
      <c r="BZ90">
        <v>7</v>
      </c>
      <c r="CA90">
        <v>15380.399999999998</v>
      </c>
      <c r="CB90">
        <v>5.1099935160863685</v>
      </c>
      <c r="CC90">
        <v>11227.677753544967</v>
      </c>
      <c r="CD90">
        <v>7.6887838487421885</v>
      </c>
      <c r="CE90">
        <v>16893.795872456336</v>
      </c>
      <c r="CF90">
        <v>7.8337985910002228</v>
      </c>
      <c r="CG90">
        <v>17212.422264145687</v>
      </c>
      <c r="CH90">
        <v>9.5652767888928452</v>
      </c>
      <c r="CI90">
        <v>21016.826160555356</v>
      </c>
      <c r="CJ90">
        <v>6.4980030679509682</v>
      </c>
      <c r="CK90">
        <v>14277.412340901867</v>
      </c>
      <c r="CL90">
        <v>10.466701352757545</v>
      </c>
      <c r="CM90">
        <v>22997.436212278873</v>
      </c>
      <c r="CN90">
        <v>8.4904697594118961</v>
      </c>
      <c r="CO90">
        <v>18655.260155379816</v>
      </c>
      <c r="CP90">
        <v>8.4393117736726353</v>
      </c>
      <c r="CQ90">
        <v>18542.855829113512</v>
      </c>
      <c r="CR90">
        <v>7.0339979210148487</v>
      </c>
      <c r="CS90">
        <v>15455.100232053825</v>
      </c>
      <c r="CT90">
        <v>9.4333579881656799</v>
      </c>
      <c r="CU90">
        <v>20726.974171597631</v>
      </c>
    </row>
    <row r="91" spans="2:99" x14ac:dyDescent="0.2">
      <c r="C91" s="118" t="s">
        <v>257</v>
      </c>
      <c r="D91">
        <v>4.6675382559001148</v>
      </c>
      <c r="E91">
        <v>10720.401866151382</v>
      </c>
      <c r="F91">
        <v>4.1094150623383028</v>
      </c>
      <c r="G91">
        <v>9438.5045151786126</v>
      </c>
      <c r="H91">
        <v>6.7016906782230397</v>
      </c>
      <c r="I91">
        <v>15392.443149742676</v>
      </c>
      <c r="J91">
        <v>7.5336589848883415</v>
      </c>
      <c r="K91">
        <v>17303.307956491542</v>
      </c>
      <c r="L91">
        <v>7.4499923477521524</v>
      </c>
      <c r="M91">
        <v>17111.142424317142</v>
      </c>
      <c r="N91">
        <v>5</v>
      </c>
      <c r="O91">
        <v>11483.999999999998</v>
      </c>
      <c r="P91">
        <v>6</v>
      </c>
      <c r="Q91">
        <v>13780.8</v>
      </c>
      <c r="R91">
        <v>7.6797454564778409</v>
      </c>
      <c r="S91">
        <v>17638.839364438303</v>
      </c>
      <c r="T91">
        <v>7.6882191380569758</v>
      </c>
      <c r="U91">
        <v>17658.301716289261</v>
      </c>
      <c r="V91">
        <v>8</v>
      </c>
      <c r="W91">
        <v>18374.399999999998</v>
      </c>
      <c r="X91">
        <v>8</v>
      </c>
      <c r="Y91">
        <v>18374.399999999998</v>
      </c>
      <c r="Z91">
        <v>8</v>
      </c>
      <c r="AA91">
        <v>18374.399999999998</v>
      </c>
      <c r="AB91">
        <v>6.4999976472913268</v>
      </c>
      <c r="AC91">
        <v>14929.194596298717</v>
      </c>
      <c r="AD91">
        <v>5.5766075702868267</v>
      </c>
      <c r="AE91">
        <v>12808.352267434782</v>
      </c>
      <c r="AF91">
        <v>8.5918955554947019</v>
      </c>
      <c r="AG91">
        <v>19733.865711860228</v>
      </c>
      <c r="AH91">
        <v>4.4401234567901238</v>
      </c>
      <c r="AI91">
        <v>10198.075555555555</v>
      </c>
      <c r="AJ91">
        <v>8</v>
      </c>
      <c r="AK91">
        <v>18374.399999999998</v>
      </c>
      <c r="AL91">
        <v>6.1916769759178525</v>
      </c>
      <c r="AM91">
        <v>14221.043678288122</v>
      </c>
      <c r="AN91">
        <v>5.474018595041322</v>
      </c>
      <c r="AO91">
        <v>12572.725909090906</v>
      </c>
      <c r="AP91">
        <v>7.5458412098298675</v>
      </c>
      <c r="AQ91">
        <v>17331.288090737238</v>
      </c>
      <c r="AR91">
        <v>6.4420573474854068</v>
      </c>
      <c r="AS91">
        <v>14796.117315704481</v>
      </c>
      <c r="AT91">
        <v>6</v>
      </c>
      <c r="AU91">
        <v>13780.8</v>
      </c>
      <c r="AV91">
        <v>5.6499317639747382</v>
      </c>
      <c r="AW91">
        <v>12976.763275497176</v>
      </c>
      <c r="AX91">
        <v>7.3084917985193787</v>
      </c>
      <c r="AY91">
        <v>16786.143962839305</v>
      </c>
      <c r="AZ91">
        <v>5.4465280314097884</v>
      </c>
      <c r="BA91">
        <v>12509.585582542</v>
      </c>
      <c r="BB91">
        <v>8</v>
      </c>
      <c r="BC91">
        <v>18374.399999999998</v>
      </c>
      <c r="BD91">
        <v>6</v>
      </c>
      <c r="BE91">
        <v>13780.8</v>
      </c>
      <c r="BF91">
        <v>5.7980624961249925</v>
      </c>
      <c r="BG91">
        <v>13316.989941099881</v>
      </c>
      <c r="BH91">
        <v>8.5931527922367632</v>
      </c>
      <c r="BI91">
        <v>19736.753333209395</v>
      </c>
      <c r="BJ91">
        <v>8.0294082228408907</v>
      </c>
      <c r="BK91">
        <v>18441.944806220956</v>
      </c>
      <c r="BL91">
        <v>7.2098754292616167</v>
      </c>
      <c r="BM91">
        <v>16559.641885928078</v>
      </c>
      <c r="BN91">
        <v>8.0623708677685944</v>
      </c>
      <c r="BO91">
        <v>18517.653409090904</v>
      </c>
      <c r="BP91">
        <v>9.4748818525519845</v>
      </c>
      <c r="BQ91">
        <v>21761.908638941397</v>
      </c>
      <c r="BR91">
        <v>5.717733981377628</v>
      </c>
      <c r="BS91">
        <v>13132.491408428134</v>
      </c>
      <c r="BT91">
        <v>8.7176931292274826</v>
      </c>
      <c r="BU91">
        <v>20022.79757920968</v>
      </c>
      <c r="BV91">
        <v>9.6876447627550775</v>
      </c>
      <c r="BW91">
        <v>22250.582491095858</v>
      </c>
      <c r="BX91">
        <v>5.468140258271279</v>
      </c>
      <c r="BY91">
        <v>12559.224545197472</v>
      </c>
      <c r="BZ91">
        <v>6</v>
      </c>
      <c r="CA91">
        <v>13780.8</v>
      </c>
      <c r="CB91">
        <v>5.0999941055330629</v>
      </c>
      <c r="CC91">
        <v>11713.666461588338</v>
      </c>
      <c r="CD91">
        <v>7.6395850024034608</v>
      </c>
      <c r="CE91">
        <v>17546.598833520267</v>
      </c>
      <c r="CF91">
        <v>7.7357046391178432</v>
      </c>
      <c r="CG91">
        <v>17767.36641512586</v>
      </c>
      <c r="CH91">
        <v>8.5652767888928452</v>
      </c>
      <c r="CI91">
        <v>19672.727728729085</v>
      </c>
      <c r="CJ91">
        <v>5.4980030679509682</v>
      </c>
      <c r="CK91">
        <v>12627.813446469781</v>
      </c>
      <c r="CL91">
        <v>9.4200312174817888</v>
      </c>
      <c r="CM91">
        <v>21635.927700312172</v>
      </c>
      <c r="CN91">
        <v>7.5885637112942748</v>
      </c>
      <c r="CO91">
        <v>17429.41313210069</v>
      </c>
      <c r="CP91">
        <v>8.488124192969595</v>
      </c>
      <c r="CQ91">
        <v>19495.523646412563</v>
      </c>
      <c r="CR91">
        <v>7.0305981289133639</v>
      </c>
      <c r="CS91">
        <v>16147.877782488213</v>
      </c>
      <c r="CT91">
        <v>7.4333579881656808</v>
      </c>
      <c r="CU91">
        <v>17072.936627218933</v>
      </c>
    </row>
    <row r="92" spans="2:99" x14ac:dyDescent="0.2">
      <c r="C92" s="118" t="s">
        <v>258</v>
      </c>
      <c r="D92">
        <v>5.4157700555219721</v>
      </c>
      <c r="E92">
        <v>7694.7260948856174</v>
      </c>
      <c r="F92">
        <v>4.1094150623383028</v>
      </c>
      <c r="G92">
        <v>5838.6569205702608</v>
      </c>
      <c r="H92">
        <v>7.5394020130009203</v>
      </c>
      <c r="I92">
        <v>10711.982380071708</v>
      </c>
      <c r="J92">
        <v>7.4851445317166743</v>
      </c>
      <c r="K92">
        <v>10634.893350663051</v>
      </c>
      <c r="L92">
        <v>8.4999914975023909</v>
      </c>
      <c r="M92">
        <v>12076.787919651397</v>
      </c>
      <c r="N92">
        <v>6</v>
      </c>
      <c r="O92">
        <v>8524.7999999999993</v>
      </c>
      <c r="P92">
        <v>7.2053018736090264</v>
      </c>
      <c r="Q92">
        <v>10237.292902023704</v>
      </c>
      <c r="R92">
        <v>8.8254051971516638</v>
      </c>
      <c r="S92">
        <v>12539.135704113083</v>
      </c>
      <c r="T92">
        <v>6.8356946676406132</v>
      </c>
      <c r="U92">
        <v>9712.1549837837829</v>
      </c>
      <c r="V92">
        <v>9</v>
      </c>
      <c r="W92">
        <v>12787.199999999999</v>
      </c>
      <c r="X92">
        <v>8.0378475665748397</v>
      </c>
      <c r="Y92">
        <v>11420.173822589531</v>
      </c>
      <c r="Z92">
        <v>8</v>
      </c>
      <c r="AA92">
        <v>11366.4</v>
      </c>
      <c r="AB92">
        <v>7.5499974120204589</v>
      </c>
      <c r="AC92">
        <v>10727.036322998667</v>
      </c>
      <c r="AD92">
        <v>6.6246582011440625</v>
      </c>
      <c r="AE92">
        <v>9412.3143721854831</v>
      </c>
      <c r="AF92">
        <v>7.6374259828404476</v>
      </c>
      <c r="AG92">
        <v>10851.254836419708</v>
      </c>
      <c r="AH92">
        <v>5.5379286694101504</v>
      </c>
      <c r="AI92">
        <v>7868.2890534979415</v>
      </c>
      <c r="AJ92">
        <v>9</v>
      </c>
      <c r="AK92">
        <v>12787.199999999999</v>
      </c>
      <c r="AL92">
        <v>8.2395962198973152</v>
      </c>
      <c r="AM92">
        <v>11706.818309230104</v>
      </c>
      <c r="AN92">
        <v>5.474018595041322</v>
      </c>
      <c r="AO92">
        <v>7777.4856198347097</v>
      </c>
      <c r="AP92">
        <v>6.5954631379962194</v>
      </c>
      <c r="AQ92">
        <v>9370.8340264650287</v>
      </c>
      <c r="AR92">
        <v>6.4420573474854068</v>
      </c>
      <c r="AS92">
        <v>9152.875079307265</v>
      </c>
      <c r="AT92">
        <v>6</v>
      </c>
      <c r="AU92">
        <v>8524.7999999999993</v>
      </c>
      <c r="AV92">
        <v>5.7499212661246979</v>
      </c>
      <c r="AW92">
        <v>8169.4881349099705</v>
      </c>
      <c r="AX92">
        <v>7.3084917985193787</v>
      </c>
      <c r="AY92">
        <v>10383.905147336332</v>
      </c>
      <c r="AZ92">
        <v>5.4961422571219867</v>
      </c>
      <c r="BA92">
        <v>7808.9189189189183</v>
      </c>
      <c r="BB92">
        <v>8</v>
      </c>
      <c r="BC92">
        <v>11366.4</v>
      </c>
      <c r="BD92">
        <v>6</v>
      </c>
      <c r="BE92">
        <v>8524.7999999999993</v>
      </c>
      <c r="BF92">
        <v>5.9476992141484288</v>
      </c>
      <c r="BG92">
        <v>8450.491043462087</v>
      </c>
      <c r="BH92">
        <v>8.6387799301011299</v>
      </c>
      <c r="BI92">
        <v>12273.978524687685</v>
      </c>
      <c r="BJ92">
        <v>8.0326758031565451</v>
      </c>
      <c r="BK92">
        <v>11412.825781124819</v>
      </c>
      <c r="BL92">
        <v>7.2480345982182746</v>
      </c>
      <c r="BM92">
        <v>10298.007557148525</v>
      </c>
      <c r="BN92">
        <v>8.0623708677685944</v>
      </c>
      <c r="BO92">
        <v>11455.016528925618</v>
      </c>
      <c r="BP92">
        <v>10.561224007561437</v>
      </c>
      <c r="BQ92">
        <v>15005.38706994329</v>
      </c>
      <c r="BR92">
        <v>6.7625923552137301</v>
      </c>
      <c r="BS92">
        <v>9608.291218287668</v>
      </c>
      <c r="BT92">
        <v>9.7176931292274826</v>
      </c>
      <c r="BU92">
        <v>13806.898398006408</v>
      </c>
      <c r="BV92">
        <v>9.6876447627550775</v>
      </c>
      <c r="BW92">
        <v>13764.205678922413</v>
      </c>
      <c r="BX92">
        <v>5.5149542840984065</v>
      </c>
      <c r="BY92">
        <v>7835.6470468470161</v>
      </c>
      <c r="BZ92">
        <v>8</v>
      </c>
      <c r="CA92">
        <v>11366.4</v>
      </c>
      <c r="CB92">
        <v>5.1099935160863685</v>
      </c>
      <c r="CC92">
        <v>7260.2787876555121</v>
      </c>
      <c r="CD92">
        <v>7.7871815414196437</v>
      </c>
      <c r="CE92">
        <v>11064.02753404903</v>
      </c>
      <c r="CF92">
        <v>8.8828455669414126</v>
      </c>
      <c r="CG92">
        <v>12620.746981510358</v>
      </c>
      <c r="CH92">
        <v>9.5181703898184402</v>
      </c>
      <c r="CI92">
        <v>13523.41648985404</v>
      </c>
      <c r="CJ92">
        <v>5.4980030679509682</v>
      </c>
      <c r="CK92">
        <v>7811.5627589447349</v>
      </c>
      <c r="CL92">
        <v>11.466701352757545</v>
      </c>
      <c r="CM92">
        <v>16291.889281997919</v>
      </c>
      <c r="CN92">
        <v>8.6376106872354654</v>
      </c>
      <c r="CO92">
        <v>12272.317264424149</v>
      </c>
      <c r="CP92">
        <v>9.4393117736726353</v>
      </c>
      <c r="CQ92">
        <v>13411.374168034079</v>
      </c>
      <c r="CR92">
        <v>7.0339979210148487</v>
      </c>
      <c r="CS92">
        <v>9993.9042461778972</v>
      </c>
      <c r="CT92">
        <v>8.4333579881656799</v>
      </c>
      <c r="CU92">
        <v>11982.115029585797</v>
      </c>
    </row>
    <row r="93" spans="2:99" x14ac:dyDescent="0.2">
      <c r="C93" s="118" t="s">
        <v>259</v>
      </c>
      <c r="D93">
        <v>5.3801405638881787</v>
      </c>
      <c r="E93">
        <v>9535.7611354354067</v>
      </c>
      <c r="F93">
        <v>4.1094150623383028</v>
      </c>
      <c r="G93">
        <v>7283.5272564884071</v>
      </c>
      <c r="H93">
        <v>6.7016906782230397</v>
      </c>
      <c r="I93">
        <v>11878.076558082515</v>
      </c>
      <c r="J93">
        <v>7.5336589848883415</v>
      </c>
      <c r="K93">
        <v>13352.657184816095</v>
      </c>
      <c r="L93">
        <v>8.4999914975023909</v>
      </c>
      <c r="M93">
        <v>15065.384930173237</v>
      </c>
      <c r="N93">
        <v>6</v>
      </c>
      <c r="O93">
        <v>10634.4</v>
      </c>
      <c r="P93">
        <v>6</v>
      </c>
      <c r="Q93">
        <v>10634.4</v>
      </c>
      <c r="R93">
        <v>8.8254051971516638</v>
      </c>
      <c r="S93">
        <v>15642.148171431607</v>
      </c>
      <c r="T93">
        <v>6.786536157779401</v>
      </c>
      <c r="U93">
        <v>12028.45668604821</v>
      </c>
      <c r="V93">
        <v>8</v>
      </c>
      <c r="W93">
        <v>14179.199999999999</v>
      </c>
      <c r="X93">
        <v>8.0425785123966946</v>
      </c>
      <c r="Y93">
        <v>14254.6661553719</v>
      </c>
      <c r="Z93">
        <v>8</v>
      </c>
      <c r="AA93">
        <v>14179.199999999999</v>
      </c>
      <c r="AB93">
        <v>7.4999976472913268</v>
      </c>
      <c r="AC93">
        <v>13292.995830059146</v>
      </c>
      <c r="AD93">
        <v>5.5766075702868267</v>
      </c>
      <c r="AE93">
        <v>9883.9792575763713</v>
      </c>
      <c r="AF93">
        <v>8.5918955554947019</v>
      </c>
      <c r="AG93">
        <v>15228.275682558808</v>
      </c>
      <c r="AH93">
        <v>5.4890260631001375</v>
      </c>
      <c r="AI93">
        <v>9728.7497942386835</v>
      </c>
      <c r="AJ93">
        <v>8</v>
      </c>
      <c r="AK93">
        <v>14179.199999999999</v>
      </c>
      <c r="AL93">
        <v>7.2156365979075838</v>
      </c>
      <c r="AM93">
        <v>12788.994306131401</v>
      </c>
      <c r="AN93">
        <v>4.4401601239669422</v>
      </c>
      <c r="AO93">
        <v>7869.7398037190078</v>
      </c>
      <c r="AP93">
        <v>7.5458412098298675</v>
      </c>
      <c r="AQ93">
        <v>13374.248960302457</v>
      </c>
      <c r="AR93">
        <v>7.4420573474854068</v>
      </c>
      <c r="AS93">
        <v>13190.302442683134</v>
      </c>
      <c r="AT93">
        <v>6</v>
      </c>
      <c r="AU93">
        <v>10634.4</v>
      </c>
      <c r="AV93">
        <v>5.6499317639747382</v>
      </c>
      <c r="AW93">
        <v>10013.939058468824</v>
      </c>
      <c r="AX93">
        <v>7.2804470895630713</v>
      </c>
      <c r="AY93">
        <v>12903.864421541586</v>
      </c>
      <c r="AZ93">
        <v>5.4465280314097884</v>
      </c>
      <c r="BA93">
        <v>9653.4262828707087</v>
      </c>
      <c r="BB93">
        <v>8</v>
      </c>
      <c r="BC93">
        <v>14179.199999999999</v>
      </c>
      <c r="BD93">
        <v>6</v>
      </c>
      <c r="BE93">
        <v>10634.4</v>
      </c>
      <c r="BF93">
        <v>5.7481835901171801</v>
      </c>
      <c r="BG93">
        <v>10188.080595123689</v>
      </c>
      <c r="BH93">
        <v>9.5931527922367632</v>
      </c>
      <c r="BI93">
        <v>17002.904008960439</v>
      </c>
      <c r="BJ93">
        <v>8.0261406425252364</v>
      </c>
      <c r="BK93">
        <v>14225.531674811727</v>
      </c>
      <c r="BL93">
        <v>7.2480345982182746</v>
      </c>
      <c r="BM93">
        <v>12846.416521882069</v>
      </c>
      <c r="BN93">
        <v>8.0623708677685944</v>
      </c>
      <c r="BO93">
        <v>14289.746126033055</v>
      </c>
      <c r="BP93">
        <v>9.4317107750472591</v>
      </c>
      <c r="BQ93">
        <v>16716.76417769376</v>
      </c>
      <c r="BR93">
        <v>5.6728756075415268</v>
      </c>
      <c r="BS93">
        <v>10054.604726806601</v>
      </c>
      <c r="BT93">
        <v>9.7176931292274826</v>
      </c>
      <c r="BU93">
        <v>17223.639302242787</v>
      </c>
      <c r="BV93">
        <v>9.6385272797011439</v>
      </c>
      <c r="BW93">
        <v>17083.325750542306</v>
      </c>
      <c r="BX93">
        <v>6.5617683099255348</v>
      </c>
      <c r="BY93">
        <v>11630.078152512016</v>
      </c>
      <c r="BZ93">
        <v>8</v>
      </c>
      <c r="CA93">
        <v>14179.199999999999</v>
      </c>
      <c r="CB93">
        <v>5.0999941055330629</v>
      </c>
      <c r="CC93">
        <v>9039.2295526468006</v>
      </c>
      <c r="CD93">
        <v>8.6887838487421885</v>
      </c>
      <c r="CE93">
        <v>15400.000493510654</v>
      </c>
      <c r="CF93">
        <v>7.784751615059033</v>
      </c>
      <c r="CG93">
        <v>13797.693762530629</v>
      </c>
      <c r="CH93">
        <v>8.5181703898184402</v>
      </c>
      <c r="CI93">
        <v>15097.605198914202</v>
      </c>
      <c r="CJ93">
        <v>6.3984024543607747</v>
      </c>
      <c r="CK93">
        <v>11340.528510109036</v>
      </c>
      <c r="CL93">
        <v>10.466701352757545</v>
      </c>
      <c r="CM93">
        <v>18551.18147762747</v>
      </c>
      <c r="CN93">
        <v>8.5395167353530859</v>
      </c>
      <c r="CO93">
        <v>15135.439461739808</v>
      </c>
      <c r="CP93">
        <v>9.5369366122665546</v>
      </c>
      <c r="CQ93">
        <v>16903.266451581239</v>
      </c>
      <c r="CR93">
        <v>7.0305981289133639</v>
      </c>
      <c r="CS93">
        <v>12461.032123686045</v>
      </c>
      <c r="CT93">
        <v>8.4815088757396442</v>
      </c>
      <c r="CU93">
        <v>15032.626331360943</v>
      </c>
    </row>
    <row r="94" spans="2:99" x14ac:dyDescent="0.2">
      <c r="C94" s="118" t="s">
        <v>260</v>
      </c>
      <c r="D94">
        <v>4.6675382559001148</v>
      </c>
      <c r="E94">
        <v>11179.687630531955</v>
      </c>
      <c r="F94">
        <v>3.5223557677185453</v>
      </c>
      <c r="G94">
        <v>8436.7465348394599</v>
      </c>
      <c r="H94">
        <v>5.8639793434451599</v>
      </c>
      <c r="I94">
        <v>14045.403323419847</v>
      </c>
      <c r="J94">
        <v>7.4851445317166743</v>
      </c>
      <c r="K94">
        <v>17928.418182367775</v>
      </c>
      <c r="L94">
        <v>7.4499923477521524</v>
      </c>
      <c r="M94">
        <v>17844.221671335956</v>
      </c>
      <c r="N94">
        <v>6</v>
      </c>
      <c r="O94">
        <v>14371.199999999999</v>
      </c>
      <c r="P94">
        <v>5.1824905543191351</v>
      </c>
      <c r="Q94">
        <v>12413.101375705191</v>
      </c>
      <c r="R94">
        <v>7.7282987033691146</v>
      </c>
      <c r="S94">
        <v>18510.821054309701</v>
      </c>
      <c r="T94">
        <v>6.7373776479181888</v>
      </c>
      <c r="U94">
        <v>16137.366942293645</v>
      </c>
      <c r="V94">
        <v>7</v>
      </c>
      <c r="W94">
        <v>16766.399999999998</v>
      </c>
      <c r="X94">
        <v>8.0378475665748397</v>
      </c>
      <c r="Y94">
        <v>19252.252491460054</v>
      </c>
      <c r="Z94">
        <v>8</v>
      </c>
      <c r="AA94">
        <v>19161.599999999999</v>
      </c>
      <c r="AB94">
        <v>7.4499978825621938</v>
      </c>
      <c r="AC94">
        <v>17844.234928312966</v>
      </c>
      <c r="AD94">
        <v>5.5766075702868267</v>
      </c>
      <c r="AE94">
        <v>13357.090452351007</v>
      </c>
      <c r="AF94">
        <v>8.6374259828404476</v>
      </c>
      <c r="AG94">
        <v>20688.362714099439</v>
      </c>
      <c r="AH94">
        <v>5.4401234567901238</v>
      </c>
      <c r="AI94">
        <v>13030.183703703704</v>
      </c>
      <c r="AJ94">
        <v>8</v>
      </c>
      <c r="AK94">
        <v>19161.599999999999</v>
      </c>
      <c r="AL94">
        <v>7.2156365979075838</v>
      </c>
      <c r="AM94">
        <v>17282.892779308244</v>
      </c>
      <c r="AN94">
        <v>5.4063016528925623</v>
      </c>
      <c r="AO94">
        <v>12949.173719008264</v>
      </c>
      <c r="AP94">
        <v>6.5458412098298675</v>
      </c>
      <c r="AQ94">
        <v>15678.598865784497</v>
      </c>
      <c r="AR94">
        <v>6.3929398644314723</v>
      </c>
      <c r="AS94">
        <v>15312.369563286262</v>
      </c>
      <c r="AT94">
        <v>5</v>
      </c>
      <c r="AU94">
        <v>11976</v>
      </c>
      <c r="AV94">
        <v>5.6499317639747382</v>
      </c>
      <c r="AW94">
        <v>13532.716561072291</v>
      </c>
      <c r="AX94">
        <v>7.3365365074756861</v>
      </c>
      <c r="AY94">
        <v>17572.47224270576</v>
      </c>
      <c r="AZ94">
        <v>5.4961422571219867</v>
      </c>
      <c r="BA94">
        <v>13164.359934258582</v>
      </c>
      <c r="BB94">
        <v>7</v>
      </c>
      <c r="BC94">
        <v>16766.399999999998</v>
      </c>
      <c r="BD94">
        <v>6</v>
      </c>
      <c r="BE94">
        <v>14371.199999999999</v>
      </c>
      <c r="BF94">
        <v>5.7481835901171801</v>
      </c>
      <c r="BG94">
        <v>13768.049335048669</v>
      </c>
      <c r="BH94">
        <v>8.5931527922367632</v>
      </c>
      <c r="BI94">
        <v>20582.319567965493</v>
      </c>
      <c r="BJ94">
        <v>8.0294082228408907</v>
      </c>
      <c r="BK94">
        <v>19232.038575348499</v>
      </c>
      <c r="BL94">
        <v>7.2480345982182746</v>
      </c>
      <c r="BM94">
        <v>17360.49246965241</v>
      </c>
      <c r="BN94">
        <v>8.0623708677685944</v>
      </c>
      <c r="BO94">
        <v>19310.990702479336</v>
      </c>
      <c r="BP94">
        <v>9.4317107750472591</v>
      </c>
      <c r="BQ94">
        <v>22590.833648393193</v>
      </c>
      <c r="BR94">
        <v>5.6280172337054246</v>
      </c>
      <c r="BS94">
        <v>13480.226878171232</v>
      </c>
      <c r="BT94">
        <v>10.717693129227483</v>
      </c>
      <c r="BU94">
        <v>25671.018583125664</v>
      </c>
      <c r="BV94">
        <v>9.5894097966472085</v>
      </c>
      <c r="BW94">
        <v>22968.554344929391</v>
      </c>
      <c r="BX94">
        <v>5.5149542840984065</v>
      </c>
      <c r="BY94">
        <v>13209.418501272503</v>
      </c>
      <c r="BZ94">
        <v>7</v>
      </c>
      <c r="CA94">
        <v>16766.399999999998</v>
      </c>
      <c r="CB94">
        <v>5.0999941055330629</v>
      </c>
      <c r="CC94">
        <v>12215.505881572792</v>
      </c>
      <c r="CD94">
        <v>8.6395850024034608</v>
      </c>
      <c r="CE94">
        <v>20693.533997756767</v>
      </c>
      <c r="CF94">
        <v>8.784751615059033</v>
      </c>
      <c r="CG94">
        <v>21041.237068389393</v>
      </c>
      <c r="CH94">
        <v>9.5181703898184402</v>
      </c>
      <c r="CI94">
        <v>22797.921717693127</v>
      </c>
      <c r="CJ94">
        <v>6.448202761155871</v>
      </c>
      <c r="CK94">
        <v>15444.735253520541</v>
      </c>
      <c r="CL94">
        <v>9.4667013527575445</v>
      </c>
      <c r="CM94">
        <v>22674.643080124868</v>
      </c>
      <c r="CN94">
        <v>8.4904697594118961</v>
      </c>
      <c r="CO94">
        <v>20336.373167743372</v>
      </c>
      <c r="CP94">
        <v>7.4881241929695959</v>
      </c>
      <c r="CQ94">
        <v>17935.555067000776</v>
      </c>
      <c r="CR94">
        <v>8.030598128913363</v>
      </c>
      <c r="CS94">
        <v>19234.888638373286</v>
      </c>
      <c r="CT94">
        <v>8.4815088757396442</v>
      </c>
      <c r="CU94">
        <v>20314.910059171594</v>
      </c>
    </row>
    <row r="95" spans="2:99" x14ac:dyDescent="0.2">
      <c r="B95" s="118" t="s">
        <v>132</v>
      </c>
      <c r="C95" s="118" t="s">
        <v>261</v>
      </c>
      <c r="D95">
        <v>8.8718931205609159</v>
      </c>
      <c r="E95">
        <v>15373.216399307954</v>
      </c>
      <c r="F95">
        <v>8.2188301246766056</v>
      </c>
      <c r="G95">
        <v>14241.588840039622</v>
      </c>
      <c r="H95">
        <v>14.24109269122396</v>
      </c>
      <c r="I95">
        <v>24676.965415352875</v>
      </c>
      <c r="J95">
        <v>19.582173438060011</v>
      </c>
      <c r="K95">
        <v>33931.990133470383</v>
      </c>
      <c r="L95">
        <v>18.449992347752151</v>
      </c>
      <c r="M95">
        <v>31970.146740184926</v>
      </c>
      <c r="N95">
        <v>20</v>
      </c>
      <c r="O95">
        <v>34656</v>
      </c>
      <c r="P95">
        <v>15</v>
      </c>
      <c r="Q95">
        <v>25992</v>
      </c>
      <c r="R95">
        <v>23.388425975130193</v>
      </c>
      <c r="S95">
        <v>40527.464529705598</v>
      </c>
      <c r="T95">
        <v>15.442426588750912</v>
      </c>
      <c r="U95">
        <v>26758.636792987581</v>
      </c>
      <c r="V95">
        <v>22</v>
      </c>
      <c r="W95">
        <v>38121.599999999999</v>
      </c>
      <c r="X95">
        <v>15</v>
      </c>
      <c r="Y95">
        <v>25992</v>
      </c>
      <c r="Z95">
        <v>18</v>
      </c>
      <c r="AA95">
        <v>31190.399999999998</v>
      </c>
      <c r="AB95">
        <v>23.449997882562194</v>
      </c>
      <c r="AC95">
        <v>40634.156330903767</v>
      </c>
      <c r="AD95">
        <v>15.528556939429592</v>
      </c>
      <c r="AE95">
        <v>26907.883464643597</v>
      </c>
      <c r="AF95">
        <v>22.546365128148956</v>
      </c>
      <c r="AG95">
        <v>39068.341494056513</v>
      </c>
      <c r="AH95">
        <v>24.440123456790122</v>
      </c>
      <c r="AI95">
        <v>42349.845925925925</v>
      </c>
      <c r="AJ95">
        <v>22</v>
      </c>
      <c r="AK95">
        <v>38121.599999999999</v>
      </c>
      <c r="AL95">
        <v>20.359394329845973</v>
      </c>
      <c r="AM95">
        <v>35278.758494757101</v>
      </c>
      <c r="AN95">
        <v>20</v>
      </c>
      <c r="AO95">
        <v>34656</v>
      </c>
      <c r="AP95">
        <v>13.694706994328921</v>
      </c>
      <c r="AQ95">
        <v>23730.188279773156</v>
      </c>
      <c r="AR95">
        <v>21.58940979664721</v>
      </c>
      <c r="AS95">
        <v>37410.129295630286</v>
      </c>
      <c r="AT95">
        <v>23</v>
      </c>
      <c r="AU95">
        <v>39854.400000000001</v>
      </c>
      <c r="AV95">
        <v>18.549942261824778</v>
      </c>
      <c r="AW95">
        <v>32143.339951289974</v>
      </c>
      <c r="AX95">
        <v>20</v>
      </c>
      <c r="AY95">
        <v>34656</v>
      </c>
      <c r="AZ95">
        <v>13.545756482834186</v>
      </c>
      <c r="BA95">
        <v>23472.086833455076</v>
      </c>
      <c r="BB95">
        <v>22</v>
      </c>
      <c r="BC95">
        <v>38121.599999999999</v>
      </c>
      <c r="BD95">
        <v>17.3</v>
      </c>
      <c r="BE95">
        <v>29977.439999999999</v>
      </c>
      <c r="BF95">
        <v>17.498789060078121</v>
      </c>
      <c r="BG95">
        <v>30321.901683303367</v>
      </c>
      <c r="BH95">
        <v>23.456271378643663</v>
      </c>
      <c r="BI95">
        <v>40645.027044913739</v>
      </c>
      <c r="BJ95">
        <v>23.035943383472201</v>
      </c>
      <c r="BK95">
        <v>39916.682694880627</v>
      </c>
      <c r="BL95">
        <v>17</v>
      </c>
      <c r="BM95">
        <v>29457.599999999999</v>
      </c>
      <c r="BN95">
        <v>20.05457450929752</v>
      </c>
      <c r="BO95">
        <v>34750.566709710743</v>
      </c>
      <c r="BP95">
        <v>12.561224007561437</v>
      </c>
      <c r="BQ95">
        <v>21766.088960302459</v>
      </c>
      <c r="BR95">
        <v>22.583158859869322</v>
      </c>
      <c r="BS95">
        <v>39132.097672381562</v>
      </c>
      <c r="BT95">
        <v>16.478462086151655</v>
      </c>
      <c r="BU95">
        <v>28553.879102883588</v>
      </c>
      <c r="BV95">
        <v>13.392939864431472</v>
      </c>
      <c r="BW95">
        <v>23207.286197086854</v>
      </c>
      <c r="BX95">
        <v>19.702210387406918</v>
      </c>
      <c r="BY95">
        <v>34139.990159298708</v>
      </c>
      <c r="BZ95">
        <v>15</v>
      </c>
      <c r="CA95">
        <v>25992</v>
      </c>
      <c r="CB95">
        <v>17</v>
      </c>
      <c r="CC95">
        <v>29457.599999999999</v>
      </c>
      <c r="CD95">
        <v>23.491988463387276</v>
      </c>
      <c r="CE95">
        <v>40706.917609357472</v>
      </c>
      <c r="CF95">
        <v>19.539516735353086</v>
      </c>
      <c r="CG95">
        <v>33858.074599019827</v>
      </c>
      <c r="CH95">
        <v>19.329744793520828</v>
      </c>
      <c r="CI95">
        <v>33494.581778212887</v>
      </c>
      <c r="CJ95">
        <v>19.498003067950968</v>
      </c>
      <c r="CK95">
        <v>33786.139716145437</v>
      </c>
      <c r="CL95">
        <v>22.5133714880333</v>
      </c>
      <c r="CM95">
        <v>39011.170114464105</v>
      </c>
      <c r="CN95">
        <v>22</v>
      </c>
      <c r="CO95">
        <v>38121.599999999999</v>
      </c>
      <c r="CP95">
        <v>18.488124192969597</v>
      </c>
      <c r="CQ95">
        <v>32036.221601577716</v>
      </c>
      <c r="CR95">
        <v>22.044197297319304</v>
      </c>
      <c r="CS95">
        <v>38198.185076794885</v>
      </c>
      <c r="CT95">
        <v>18.577810650887574</v>
      </c>
      <c r="CU95">
        <v>32191.630295857987</v>
      </c>
    </row>
    <row r="96" spans="2:99" x14ac:dyDescent="0.2">
      <c r="C96" s="118" t="s">
        <v>262</v>
      </c>
      <c r="D96">
        <v>8.9075226121947075</v>
      </c>
      <c r="E96">
        <v>7332.6726143586829</v>
      </c>
      <c r="F96">
        <v>8.8058894192963635</v>
      </c>
      <c r="G96">
        <v>7249.0081699647662</v>
      </c>
      <c r="H96">
        <v>14.24109269122396</v>
      </c>
      <c r="I96">
        <v>11723.267503415564</v>
      </c>
      <c r="J96">
        <v>21.630687891231677</v>
      </c>
      <c r="K96">
        <v>17806.382272061914</v>
      </c>
      <c r="L96">
        <v>21.449992347752151</v>
      </c>
      <c r="M96">
        <v>17657.633700669568</v>
      </c>
      <c r="N96">
        <v>24</v>
      </c>
      <c r="O96">
        <v>19756.8</v>
      </c>
      <c r="P96">
        <v>18</v>
      </c>
      <c r="Q96">
        <v>14817.599999999999</v>
      </c>
      <c r="R96">
        <v>23.388425975130193</v>
      </c>
      <c r="S96">
        <v>19253.352262727174</v>
      </c>
      <c r="T96">
        <v>16.442426588750912</v>
      </c>
      <c r="U96">
        <v>13535.405567859751</v>
      </c>
      <c r="V96">
        <v>25</v>
      </c>
      <c r="W96">
        <v>20580</v>
      </c>
      <c r="X96">
        <v>17.03784756657484</v>
      </c>
      <c r="Y96">
        <v>14025.556116804406</v>
      </c>
      <c r="Z96">
        <v>18</v>
      </c>
      <c r="AA96">
        <v>14817.599999999999</v>
      </c>
      <c r="AB96">
        <v>23.449997882562194</v>
      </c>
      <c r="AC96">
        <v>19304.038256925196</v>
      </c>
      <c r="AD96">
        <v>19.528556939429592</v>
      </c>
      <c r="AE96">
        <v>16075.908072538439</v>
      </c>
      <c r="AF96">
        <v>25.591895555494702</v>
      </c>
      <c r="AG96">
        <v>21067.248421283235</v>
      </c>
      <c r="AH96">
        <v>22.489026063100138</v>
      </c>
      <c r="AI96">
        <v>18512.966255144031</v>
      </c>
      <c r="AJ96">
        <v>22</v>
      </c>
      <c r="AK96">
        <v>18110.399999999998</v>
      </c>
      <c r="AL96">
        <v>19.311475085866512</v>
      </c>
      <c r="AM96">
        <v>15897.206290685312</v>
      </c>
      <c r="AN96">
        <v>20</v>
      </c>
      <c r="AO96">
        <v>16464</v>
      </c>
      <c r="AP96">
        <v>14.694706994328921</v>
      </c>
      <c r="AQ96">
        <v>12096.682797731568</v>
      </c>
      <c r="AR96">
        <v>25.687644762755077</v>
      </c>
      <c r="AS96">
        <v>21146.069168699978</v>
      </c>
      <c r="AT96">
        <v>27</v>
      </c>
      <c r="AU96">
        <v>22226.399999999998</v>
      </c>
      <c r="AV96">
        <v>22.599937012899758</v>
      </c>
      <c r="AW96">
        <v>18604.268149019081</v>
      </c>
      <c r="AX96">
        <v>21</v>
      </c>
      <c r="AY96">
        <v>17287.199999999997</v>
      </c>
      <c r="AZ96">
        <v>13.595370708546385</v>
      </c>
      <c r="BA96">
        <v>11191.709167275383</v>
      </c>
      <c r="BB96">
        <v>23</v>
      </c>
      <c r="BC96">
        <v>18933.599999999999</v>
      </c>
      <c r="BD96">
        <v>19.3</v>
      </c>
      <c r="BE96">
        <v>15887.759999999998</v>
      </c>
      <c r="BF96">
        <v>17.548667966085933</v>
      </c>
      <c r="BG96">
        <v>14446.06346968194</v>
      </c>
      <c r="BH96">
        <v>27.456271378643663</v>
      </c>
      <c r="BI96">
        <v>22602.00259889946</v>
      </c>
      <c r="BJ96">
        <v>24.039210963787855</v>
      </c>
      <c r="BK96">
        <v>19789.078465390161</v>
      </c>
      <c r="BL96">
        <v>17</v>
      </c>
      <c r="BM96">
        <v>13994.4</v>
      </c>
      <c r="BN96">
        <v>19.058472688533058</v>
      </c>
      <c r="BO96">
        <v>15688.934717200413</v>
      </c>
      <c r="BP96">
        <v>15.518052930056712</v>
      </c>
      <c r="BQ96">
        <v>12774.461172022684</v>
      </c>
      <c r="BR96">
        <v>23.628017233705425</v>
      </c>
      <c r="BS96">
        <v>19450.583786786305</v>
      </c>
      <c r="BT96">
        <v>20.478462086151655</v>
      </c>
      <c r="BU96">
        <v>16857.869989320043</v>
      </c>
      <c r="BV96">
        <v>13.392939864431472</v>
      </c>
      <c r="BW96">
        <v>11025.068096399988</v>
      </c>
      <c r="BX96">
        <v>22.702210387406918</v>
      </c>
      <c r="BY96">
        <v>18688.459590913375</v>
      </c>
      <c r="BZ96">
        <v>19</v>
      </c>
      <c r="CA96">
        <v>15640.8</v>
      </c>
      <c r="CB96">
        <v>18</v>
      </c>
      <c r="CC96">
        <v>14817.599999999999</v>
      </c>
      <c r="CD96">
        <v>28.44278961704855</v>
      </c>
      <c r="CE96">
        <v>23414.104412754365</v>
      </c>
      <c r="CF96">
        <v>22.539516735353086</v>
      </c>
      <c r="CG96">
        <v>18554.530176542659</v>
      </c>
      <c r="CH96">
        <v>20.329744793520828</v>
      </c>
      <c r="CI96">
        <v>16735.445914026343</v>
      </c>
      <c r="CJ96">
        <v>21.498003067950968</v>
      </c>
      <c r="CK96">
        <v>17697.156125537236</v>
      </c>
      <c r="CL96">
        <v>24.560041623309054</v>
      </c>
      <c r="CM96">
        <v>20217.826264308012</v>
      </c>
      <c r="CN96">
        <v>24.686657663176653</v>
      </c>
      <c r="CO96">
        <v>20322.056588327021</v>
      </c>
      <c r="CP96">
        <v>21.488124192969597</v>
      </c>
      <c r="CQ96">
        <v>17689.02383565257</v>
      </c>
      <c r="CR96">
        <v>26.037397713116334</v>
      </c>
      <c r="CS96">
        <v>21433.985797437366</v>
      </c>
      <c r="CT96">
        <v>19.722263313609467</v>
      </c>
      <c r="CU96">
        <v>16235.367159763313</v>
      </c>
    </row>
    <row r="97" spans="2:99" x14ac:dyDescent="0.2">
      <c r="C97" s="118" t="s">
        <v>263</v>
      </c>
      <c r="D97">
        <v>8.9075226121947075</v>
      </c>
      <c r="E97">
        <v>16290.077353181681</v>
      </c>
      <c r="F97">
        <v>8.2188301246766056</v>
      </c>
      <c r="G97">
        <v>15030.596532008576</v>
      </c>
      <c r="H97">
        <v>12.5656700216682</v>
      </c>
      <c r="I97">
        <v>22980.097335626804</v>
      </c>
      <c r="J97">
        <v>16.582173438060011</v>
      </c>
      <c r="K97">
        <v>30325.478783524148</v>
      </c>
      <c r="L97">
        <v>18.399993198001912</v>
      </c>
      <c r="M97">
        <v>33649.907560505897</v>
      </c>
      <c r="N97">
        <v>22</v>
      </c>
      <c r="O97">
        <v>40233.599999999999</v>
      </c>
      <c r="P97">
        <v>16</v>
      </c>
      <c r="Q97">
        <v>29260.799999999999</v>
      </c>
      <c r="R97">
        <v>23.388425975130193</v>
      </c>
      <c r="S97">
        <v>42772.7534233181</v>
      </c>
      <c r="T97">
        <v>15.393268078889701</v>
      </c>
      <c r="U97">
        <v>28151.208662673485</v>
      </c>
      <c r="V97">
        <v>21</v>
      </c>
      <c r="W97">
        <v>38404.799999999996</v>
      </c>
      <c r="X97">
        <v>16</v>
      </c>
      <c r="Y97">
        <v>29260.799999999999</v>
      </c>
      <c r="Z97">
        <v>17</v>
      </c>
      <c r="AA97">
        <v>31089.599999999999</v>
      </c>
      <c r="AB97">
        <v>20.449997882562194</v>
      </c>
      <c r="AC97">
        <v>37398.956127629739</v>
      </c>
      <c r="AD97">
        <v>15.480506308572355</v>
      </c>
      <c r="AE97">
        <v>28310.749937117122</v>
      </c>
      <c r="AF97">
        <v>20.591895555494702</v>
      </c>
      <c r="AG97">
        <v>37658.45859188871</v>
      </c>
      <c r="AH97">
        <v>21.39122085048011</v>
      </c>
      <c r="AI97">
        <v>39120.264691358025</v>
      </c>
      <c r="AJ97">
        <v>24</v>
      </c>
      <c r="AK97">
        <v>43891.199999999997</v>
      </c>
      <c r="AL97">
        <v>19.311475085866512</v>
      </c>
      <c r="AM97">
        <v>35316.825637032678</v>
      </c>
      <c r="AN97">
        <v>18</v>
      </c>
      <c r="AO97">
        <v>32918.400000000001</v>
      </c>
      <c r="AP97">
        <v>13.595463137996219</v>
      </c>
      <c r="AQ97">
        <v>24863.382986767487</v>
      </c>
      <c r="AR97">
        <v>21.638527279701144</v>
      </c>
      <c r="AS97">
        <v>39572.538689117449</v>
      </c>
      <c r="AT97">
        <v>21</v>
      </c>
      <c r="AU97">
        <v>38404.799999999996</v>
      </c>
      <c r="AV97">
        <v>19.549942261824778</v>
      </c>
      <c r="AW97">
        <v>35752.934408425157</v>
      </c>
      <c r="AX97">
        <v>21</v>
      </c>
      <c r="AY97">
        <v>38404.799999999996</v>
      </c>
      <c r="AZ97">
        <v>12.446528031409787</v>
      </c>
      <c r="BA97">
        <v>22762.210463842217</v>
      </c>
      <c r="BB97">
        <v>19</v>
      </c>
      <c r="BC97">
        <v>34747.199999999997</v>
      </c>
      <c r="BD97">
        <v>17.262499999999999</v>
      </c>
      <c r="BE97">
        <v>31569.659999999996</v>
      </c>
      <c r="BF97">
        <v>16.448910154070308</v>
      </c>
      <c r="BG97">
        <v>30081.766889763778</v>
      </c>
      <c r="BH97">
        <v>23.501898516508032</v>
      </c>
      <c r="BI97">
        <v>42980.272006989886</v>
      </c>
      <c r="BJ97">
        <v>21.029408222840893</v>
      </c>
      <c r="BK97">
        <v>38458.581757931424</v>
      </c>
      <c r="BL97">
        <v>18</v>
      </c>
      <c r="BM97">
        <v>32918.400000000001</v>
      </c>
      <c r="BN97">
        <v>20.058472688533058</v>
      </c>
      <c r="BO97">
        <v>36682.934852789258</v>
      </c>
      <c r="BP97">
        <v>13.474881852551984</v>
      </c>
      <c r="BQ97">
        <v>24642.863931947068</v>
      </c>
      <c r="BR97">
        <v>24.583158859869322</v>
      </c>
      <c r="BS97">
        <v>44957.680922929016</v>
      </c>
      <c r="BT97">
        <v>15.478462086151655</v>
      </c>
      <c r="BU97">
        <v>28307.011463154147</v>
      </c>
      <c r="BV97">
        <v>13.442057347485406</v>
      </c>
      <c r="BW97">
        <v>24582.834477081309</v>
      </c>
      <c r="BX97">
        <v>19.608582335752661</v>
      </c>
      <c r="BY97">
        <v>35860.175375624465</v>
      </c>
      <c r="BZ97">
        <v>17</v>
      </c>
      <c r="CA97">
        <v>31089.599999999999</v>
      </c>
      <c r="CB97">
        <v>17</v>
      </c>
      <c r="CC97">
        <v>31089.599999999999</v>
      </c>
      <c r="CD97">
        <v>24.491988463387276</v>
      </c>
      <c r="CE97">
        <v>44790.948501842649</v>
      </c>
      <c r="CF97">
        <v>17.539516735353086</v>
      </c>
      <c r="CG97">
        <v>32076.268205613724</v>
      </c>
      <c r="CH97">
        <v>17.329744793520828</v>
      </c>
      <c r="CI97">
        <v>31692.637278390888</v>
      </c>
      <c r="CJ97">
        <v>20.498003067950968</v>
      </c>
      <c r="CK97">
        <v>37486.748010668729</v>
      </c>
      <c r="CL97">
        <v>23.5133714880333</v>
      </c>
      <c r="CM97">
        <v>43001.253777315302</v>
      </c>
      <c r="CN97">
        <v>21</v>
      </c>
      <c r="CO97">
        <v>38404.799999999996</v>
      </c>
      <c r="CP97">
        <v>16.488124192969597</v>
      </c>
      <c r="CQ97">
        <v>30153.481524102797</v>
      </c>
      <c r="CR97">
        <v>23.037397713116334</v>
      </c>
      <c r="CS97">
        <v>42130.792937747152</v>
      </c>
      <c r="CT97">
        <v>19</v>
      </c>
      <c r="CU97">
        <v>34747.199999999997</v>
      </c>
    </row>
    <row r="98" spans="2:99" x14ac:dyDescent="0.2">
      <c r="C98" s="118" t="s">
        <v>264</v>
      </c>
      <c r="D98">
        <v>9.6201249201827714</v>
      </c>
      <c r="E98">
        <v>12155.989849142949</v>
      </c>
      <c r="F98">
        <v>8.2188301246766056</v>
      </c>
      <c r="G98">
        <v>10385.313745541358</v>
      </c>
      <c r="H98">
        <v>13.403381356446079</v>
      </c>
      <c r="I98">
        <v>16936.512682005265</v>
      </c>
      <c r="J98">
        <v>20.630687891231677</v>
      </c>
      <c r="K98">
        <v>26068.937219360345</v>
      </c>
      <c r="L98">
        <v>21.449992347752151</v>
      </c>
      <c r="M98">
        <v>27104.210330619615</v>
      </c>
      <c r="N98">
        <v>21</v>
      </c>
      <c r="O98">
        <v>26535.599999999999</v>
      </c>
      <c r="P98">
        <v>18</v>
      </c>
      <c r="Q98">
        <v>22744.799999999999</v>
      </c>
      <c r="R98">
        <v>21.436979222021471</v>
      </c>
      <c r="S98">
        <v>27087.766944946328</v>
      </c>
      <c r="T98">
        <v>14.393268078889701</v>
      </c>
      <c r="U98">
        <v>18187.333544485024</v>
      </c>
      <c r="V98">
        <v>23</v>
      </c>
      <c r="W98">
        <v>29062.799999999999</v>
      </c>
      <c r="X98">
        <v>15.03784756657484</v>
      </c>
      <c r="Y98">
        <v>19001.824185123965</v>
      </c>
      <c r="Z98">
        <v>15</v>
      </c>
      <c r="AA98">
        <v>18954</v>
      </c>
      <c r="AB98">
        <v>20.449997882562194</v>
      </c>
      <c r="AC98">
        <v>25840.617324405586</v>
      </c>
      <c r="AD98">
        <v>16.528556939429592</v>
      </c>
      <c r="AE98">
        <v>20885.484548663229</v>
      </c>
      <c r="AF98">
        <v>24.546365128148956</v>
      </c>
      <c r="AG98">
        <v>31016.786975929019</v>
      </c>
      <c r="AH98">
        <v>25.440123456790122</v>
      </c>
      <c r="AI98">
        <v>32146.139999999996</v>
      </c>
      <c r="AJ98">
        <v>22</v>
      </c>
      <c r="AK98">
        <v>27799.199999999997</v>
      </c>
      <c r="AL98">
        <v>20.335434707856241</v>
      </c>
      <c r="AM98">
        <v>25695.855296847145</v>
      </c>
      <c r="AN98">
        <v>22</v>
      </c>
      <c r="AO98">
        <v>27799.199999999997</v>
      </c>
      <c r="AP98">
        <v>14.595463137996219</v>
      </c>
      <c r="AQ98">
        <v>18442.827221172021</v>
      </c>
      <c r="AR98">
        <v>22.687644762755077</v>
      </c>
      <c r="AS98">
        <v>28668.107922217314</v>
      </c>
      <c r="AT98">
        <v>24</v>
      </c>
      <c r="AU98">
        <v>30326.399999999998</v>
      </c>
      <c r="AV98">
        <v>22.549942261824778</v>
      </c>
      <c r="AW98">
        <v>28494.107042041789</v>
      </c>
      <c r="AX98">
        <v>21</v>
      </c>
      <c r="AY98">
        <v>26535.599999999999</v>
      </c>
      <c r="AZ98">
        <v>15.545756482834186</v>
      </c>
      <c r="BA98">
        <v>19643.617891709277</v>
      </c>
      <c r="BB98">
        <v>23</v>
      </c>
      <c r="BC98">
        <v>29062.799999999999</v>
      </c>
      <c r="BD98">
        <v>19.3</v>
      </c>
      <c r="BE98">
        <v>24387.48</v>
      </c>
      <c r="BF98">
        <v>17.498789060078121</v>
      </c>
      <c r="BG98">
        <v>22111.46985631471</v>
      </c>
      <c r="BH98">
        <v>23.501898516508032</v>
      </c>
      <c r="BI98">
        <v>29696.998965459548</v>
      </c>
      <c r="BJ98">
        <v>22.035943383472201</v>
      </c>
      <c r="BK98">
        <v>27844.618059355471</v>
      </c>
      <c r="BL98">
        <v>18</v>
      </c>
      <c r="BM98">
        <v>22744.799999999999</v>
      </c>
      <c r="BN98">
        <v>20.058472688533058</v>
      </c>
      <c r="BO98">
        <v>25345.886089230371</v>
      </c>
      <c r="BP98">
        <v>15.561224007561437</v>
      </c>
      <c r="BQ98">
        <v>19663.162655954631</v>
      </c>
      <c r="BR98">
        <v>22.628017233705425</v>
      </c>
      <c r="BS98">
        <v>28592.762576510173</v>
      </c>
      <c r="BT98">
        <v>19.526308294766821</v>
      </c>
      <c r="BU98">
        <v>24673.443161267354</v>
      </c>
      <c r="BV98">
        <v>13.392939864431472</v>
      </c>
      <c r="BW98">
        <v>16923.318812695608</v>
      </c>
      <c r="BX98">
        <v>22.65539636157979</v>
      </c>
      <c r="BY98">
        <v>28627.35884249222</v>
      </c>
      <c r="BZ98">
        <v>18</v>
      </c>
      <c r="CA98">
        <v>22744.799999999999</v>
      </c>
      <c r="CB98">
        <v>16</v>
      </c>
      <c r="CC98">
        <v>20217.599999999999</v>
      </c>
      <c r="CD98">
        <v>26.491988463387276</v>
      </c>
      <c r="CE98">
        <v>33475.276622336161</v>
      </c>
      <c r="CF98">
        <v>18.490469759411894</v>
      </c>
      <c r="CG98">
        <v>23364.557587992869</v>
      </c>
      <c r="CH98">
        <v>22.376851192595229</v>
      </c>
      <c r="CI98">
        <v>28275.38916696333</v>
      </c>
      <c r="CJ98">
        <v>20.547803374746064</v>
      </c>
      <c r="CK98">
        <v>25964.204344329122</v>
      </c>
      <c r="CL98">
        <v>25.5133714880333</v>
      </c>
      <c r="CM98">
        <v>32238.696212278875</v>
      </c>
      <c r="CN98">
        <v>27</v>
      </c>
      <c r="CO98">
        <v>34117.199999999997</v>
      </c>
      <c r="CP98">
        <v>19.585749031563516</v>
      </c>
      <c r="CQ98">
        <v>24748.552476283658</v>
      </c>
      <c r="CR98">
        <v>25.044197297319304</v>
      </c>
      <c r="CS98">
        <v>31645.847704892669</v>
      </c>
      <c r="CT98">
        <v>20.577810650887574</v>
      </c>
      <c r="CU98">
        <v>26002.121538461539</v>
      </c>
    </row>
    <row r="99" spans="2:99" x14ac:dyDescent="0.2">
      <c r="C99" s="118" t="s">
        <v>265</v>
      </c>
      <c r="D99">
        <v>5.9502249053410701</v>
      </c>
      <c r="E99">
        <v>32616.752841117606</v>
      </c>
      <c r="F99">
        <v>5.2835336515778186</v>
      </c>
      <c r="G99">
        <v>28962.218064488967</v>
      </c>
      <c r="H99">
        <v>10.05253601733456</v>
      </c>
      <c r="I99">
        <v>55103.98143262112</v>
      </c>
      <c r="J99">
        <v>12.436630078545006</v>
      </c>
      <c r="K99">
        <v>68172.6314385523</v>
      </c>
      <c r="L99">
        <v>14.349994048251673</v>
      </c>
      <c r="M99">
        <v>78660.927374896361</v>
      </c>
      <c r="N99">
        <v>14</v>
      </c>
      <c r="O99">
        <v>76742.399999999994</v>
      </c>
      <c r="P99">
        <v>12</v>
      </c>
      <c r="Q99">
        <v>65779.199999999997</v>
      </c>
      <c r="R99">
        <v>15.291319481347646</v>
      </c>
      <c r="S99">
        <v>83820.896868955242</v>
      </c>
      <c r="T99">
        <v>10.294951059167275</v>
      </c>
      <c r="U99">
        <v>56432.803725931328</v>
      </c>
      <c r="V99">
        <v>15</v>
      </c>
      <c r="W99">
        <v>82223.999999999985</v>
      </c>
      <c r="X99">
        <v>11</v>
      </c>
      <c r="Y99">
        <v>60297.599999999991</v>
      </c>
      <c r="Z99">
        <v>11</v>
      </c>
      <c r="AA99">
        <v>60297.599999999991</v>
      </c>
      <c r="AB99">
        <v>16.349998353103928</v>
      </c>
      <c r="AC99">
        <v>89624.150972374482</v>
      </c>
      <c r="AD99">
        <v>12.384405046857884</v>
      </c>
      <c r="AE99">
        <v>67886.354704856174</v>
      </c>
      <c r="AF99">
        <v>16.50083470080321</v>
      </c>
      <c r="AG99">
        <v>90450.975495922874</v>
      </c>
      <c r="AH99">
        <v>17.342318244170094</v>
      </c>
      <c r="AI99">
        <v>95063.651687242775</v>
      </c>
      <c r="AJ99">
        <v>15</v>
      </c>
      <c r="AK99">
        <v>82223.999999999985</v>
      </c>
      <c r="AL99">
        <v>14.239596219897315</v>
      </c>
      <c r="AM99">
        <v>78055.77063898911</v>
      </c>
      <c r="AN99">
        <v>14</v>
      </c>
      <c r="AO99">
        <v>76742.399999999994</v>
      </c>
      <c r="AP99">
        <v>10.496219281663516</v>
      </c>
      <c r="AQ99">
        <v>57536.075614366724</v>
      </c>
      <c r="AR99">
        <v>15.491174830539341</v>
      </c>
      <c r="AS99">
        <v>84916.423951084449</v>
      </c>
      <c r="AT99">
        <v>17</v>
      </c>
      <c r="AU99">
        <v>93187.199999999997</v>
      </c>
      <c r="AV99">
        <v>13.399958008599839</v>
      </c>
      <c r="AW99">
        <v>73453.209819940865</v>
      </c>
      <c r="AX99">
        <v>15</v>
      </c>
      <c r="AY99">
        <v>82223.999999999985</v>
      </c>
      <c r="AZ99">
        <v>9.3472995799853908</v>
      </c>
      <c r="BA99">
        <v>51238.157377647913</v>
      </c>
      <c r="BB99">
        <v>14</v>
      </c>
      <c r="BC99">
        <v>76742.399999999994</v>
      </c>
      <c r="BD99">
        <v>12.225</v>
      </c>
      <c r="BE99">
        <v>67012.56</v>
      </c>
      <c r="BF99">
        <v>11.349152342054683</v>
      </c>
      <c r="BG99">
        <v>62211.513478206944</v>
      </c>
      <c r="BH99">
        <v>17.319389965050565</v>
      </c>
      <c r="BI99">
        <v>94937.968032421166</v>
      </c>
      <c r="BJ99">
        <v>16.026140642525235</v>
      </c>
      <c r="BK99">
        <v>87848.892546066316</v>
      </c>
      <c r="BL99">
        <v>12</v>
      </c>
      <c r="BM99">
        <v>65779.199999999997</v>
      </c>
      <c r="BN99">
        <v>15.038981792355372</v>
      </c>
      <c r="BO99">
        <v>82437.682592975194</v>
      </c>
      <c r="BP99">
        <v>9.4317107750472591</v>
      </c>
      <c r="BQ99">
        <v>51700.865784499052</v>
      </c>
      <c r="BR99">
        <v>16.448583738361016</v>
      </c>
      <c r="BS99">
        <v>90164.556620199743</v>
      </c>
      <c r="BT99">
        <v>12.382769668921325</v>
      </c>
      <c r="BU99">
        <v>67877.390217159133</v>
      </c>
      <c r="BV99">
        <v>9.2947048983236051</v>
      </c>
      <c r="BW99">
        <v>50949.854370650668</v>
      </c>
      <c r="BX99">
        <v>14.561768309925535</v>
      </c>
      <c r="BY99">
        <v>79821.789167687806</v>
      </c>
      <c r="BZ99">
        <v>12</v>
      </c>
      <c r="CA99">
        <v>65779.199999999997</v>
      </c>
      <c r="CB99">
        <v>11</v>
      </c>
      <c r="CC99">
        <v>60297.599999999991</v>
      </c>
      <c r="CD99">
        <v>16.393590770709821</v>
      </c>
      <c r="CE99">
        <v>89863.107168722941</v>
      </c>
      <c r="CF99">
        <v>13.441422783470706</v>
      </c>
      <c r="CG99">
        <v>73680.503129873017</v>
      </c>
      <c r="CH99">
        <v>14.282638394446423</v>
      </c>
      <c r="CI99">
        <v>78291.710622997503</v>
      </c>
      <c r="CJ99">
        <v>13.398402454360774</v>
      </c>
      <c r="CK99">
        <v>73444.682893824007</v>
      </c>
      <c r="CL99">
        <v>17.420031217481789</v>
      </c>
      <c r="CM99">
        <v>95489.643121748159</v>
      </c>
      <c r="CN99">
        <v>18.490469759411894</v>
      </c>
      <c r="CO99">
        <v>101357.35903319223</v>
      </c>
      <c r="CP99">
        <v>13.341686935078718</v>
      </c>
      <c r="CQ99">
        <v>73133.791103327487</v>
      </c>
      <c r="CR99">
        <v>15.030598128913363</v>
      </c>
      <c r="CS99">
        <v>82391.726703451481</v>
      </c>
      <c r="CT99">
        <v>12.481508875739644</v>
      </c>
      <c r="CU99">
        <v>68418.639053254432</v>
      </c>
    </row>
    <row r="100" spans="2:99" x14ac:dyDescent="0.2">
      <c r="C100" s="118" t="s">
        <v>266</v>
      </c>
      <c r="D100">
        <v>9.5844954285489798</v>
      </c>
      <c r="E100">
        <v>15549.885383277864</v>
      </c>
      <c r="F100">
        <v>8.2188301246766056</v>
      </c>
      <c r="G100">
        <v>13334.229994275323</v>
      </c>
      <c r="H100">
        <v>12.5656700216682</v>
      </c>
      <c r="I100">
        <v>20386.543043154488</v>
      </c>
      <c r="J100">
        <v>17.533658984888341</v>
      </c>
      <c r="K100">
        <v>28446.608337082842</v>
      </c>
      <c r="L100">
        <v>19.499991497502393</v>
      </c>
      <c r="M100">
        <v>31636.78620554788</v>
      </c>
      <c r="N100">
        <v>20</v>
      </c>
      <c r="O100">
        <v>32447.999999999996</v>
      </c>
      <c r="P100">
        <v>16</v>
      </c>
      <c r="Q100">
        <v>25958.399999999998</v>
      </c>
      <c r="R100">
        <v>21.388425975130193</v>
      </c>
      <c r="S100">
        <v>34700.582302051225</v>
      </c>
      <c r="T100">
        <v>16.393268078889701</v>
      </c>
      <c r="U100">
        <v>26596.438131190647</v>
      </c>
      <c r="V100">
        <v>24</v>
      </c>
      <c r="W100">
        <v>38937.599999999999</v>
      </c>
      <c r="X100">
        <v>16</v>
      </c>
      <c r="Y100">
        <v>25958.399999999998</v>
      </c>
      <c r="Z100">
        <v>16</v>
      </c>
      <c r="AA100">
        <v>25958.399999999998</v>
      </c>
      <c r="AB100">
        <v>22.399998117833061</v>
      </c>
      <c r="AC100">
        <v>36341.756946372356</v>
      </c>
      <c r="AD100">
        <v>15.528556939429592</v>
      </c>
      <c r="AE100">
        <v>25193.530778530567</v>
      </c>
      <c r="AF100">
        <v>24.546365128148956</v>
      </c>
      <c r="AG100">
        <v>39824.022783908862</v>
      </c>
      <c r="AH100">
        <v>21.440123456790122</v>
      </c>
      <c r="AI100">
        <v>34784.456296296288</v>
      </c>
      <c r="AJ100">
        <v>20</v>
      </c>
      <c r="AK100">
        <v>32447.999999999996</v>
      </c>
      <c r="AL100">
        <v>17.335434707856241</v>
      </c>
      <c r="AM100">
        <v>28125.009270025963</v>
      </c>
      <c r="AN100">
        <v>18</v>
      </c>
      <c r="AO100">
        <v>29203.199999999997</v>
      </c>
      <c r="AP100">
        <v>13.694706994328921</v>
      </c>
      <c r="AQ100">
        <v>22218.292627599239</v>
      </c>
      <c r="AR100">
        <v>20.687644762755077</v>
      </c>
      <c r="AS100">
        <v>33563.634863093837</v>
      </c>
      <c r="AT100">
        <v>22</v>
      </c>
      <c r="AU100">
        <v>35692.799999999996</v>
      </c>
      <c r="AV100">
        <v>20.449952759674819</v>
      </c>
      <c r="AW100">
        <v>33178.003357296424</v>
      </c>
      <c r="AX100">
        <v>20</v>
      </c>
      <c r="AY100">
        <v>32447.999999999996</v>
      </c>
      <c r="AZ100">
        <v>14.545756482834186</v>
      </c>
      <c r="BA100">
        <v>23599.035317750182</v>
      </c>
      <c r="BB100">
        <v>20</v>
      </c>
      <c r="BC100">
        <v>32447.999999999996</v>
      </c>
      <c r="BD100">
        <v>19.262499999999999</v>
      </c>
      <c r="BE100">
        <v>31251.479999999996</v>
      </c>
      <c r="BF100">
        <v>16.448910154070308</v>
      </c>
      <c r="BG100">
        <v>26686.711833963665</v>
      </c>
      <c r="BH100">
        <v>23.410644240779298</v>
      </c>
      <c r="BI100">
        <v>37981.429216240329</v>
      </c>
      <c r="BJ100">
        <v>24.029408222840893</v>
      </c>
      <c r="BK100">
        <v>38985.311900737062</v>
      </c>
      <c r="BL100">
        <v>15</v>
      </c>
      <c r="BM100">
        <v>24335.999999999996</v>
      </c>
      <c r="BN100">
        <v>19.058472688533058</v>
      </c>
      <c r="BO100">
        <v>30920.46608987603</v>
      </c>
      <c r="BP100">
        <v>14</v>
      </c>
      <c r="BQ100">
        <v>22713.599999999999</v>
      </c>
      <c r="BR100">
        <v>22.583158859869322</v>
      </c>
      <c r="BS100">
        <v>36638.916934251982</v>
      </c>
      <c r="BT100">
        <v>17.430615877536489</v>
      </c>
      <c r="BU100">
        <v>28279.431199715196</v>
      </c>
      <c r="BV100">
        <v>13.392939864431472</v>
      </c>
      <c r="BW100">
        <v>21728.705636053619</v>
      </c>
      <c r="BX100">
        <v>20.749024413234046</v>
      </c>
      <c r="BY100">
        <v>33663.217208030917</v>
      </c>
      <c r="BZ100">
        <v>16</v>
      </c>
      <c r="CA100">
        <v>25958.399999999998</v>
      </c>
      <c r="CB100">
        <v>18</v>
      </c>
      <c r="CC100">
        <v>29203.199999999997</v>
      </c>
      <c r="CD100">
        <v>23.491988463387276</v>
      </c>
      <c r="CE100">
        <v>38113.402082999513</v>
      </c>
      <c r="CF100">
        <v>19.539516735353086</v>
      </c>
      <c r="CG100">
        <v>31700.911951436843</v>
      </c>
      <c r="CH100">
        <v>20.376851192595229</v>
      </c>
      <c r="CI100">
        <v>33059.403374866495</v>
      </c>
      <c r="CJ100">
        <v>19.547803374746064</v>
      </c>
      <c r="CK100">
        <v>31714.356195188011</v>
      </c>
      <c r="CL100">
        <v>23.560041623309054</v>
      </c>
      <c r="CM100">
        <v>38223.811529656603</v>
      </c>
      <c r="CN100">
        <v>23.686657663176653</v>
      </c>
      <c r="CO100">
        <v>38429.233392737799</v>
      </c>
      <c r="CP100">
        <v>18.536936612266555</v>
      </c>
      <c r="CQ100">
        <v>30074.325959741254</v>
      </c>
      <c r="CR100">
        <v>24.037397713116334</v>
      </c>
      <c r="CS100">
        <v>38998.274049759937</v>
      </c>
      <c r="CT100">
        <v>20.577810650887574</v>
      </c>
      <c r="CU100">
        <v>33385.439999999995</v>
      </c>
    </row>
    <row r="101" spans="2:99" x14ac:dyDescent="0.2">
      <c r="C101" s="118" t="s">
        <v>267</v>
      </c>
      <c r="D101">
        <v>8.9075226121947075</v>
      </c>
      <c r="E101">
        <v>10603.514917556578</v>
      </c>
      <c r="F101">
        <v>8.2188301246766056</v>
      </c>
      <c r="G101">
        <v>9783.6953804150307</v>
      </c>
      <c r="H101">
        <v>13.403381356446079</v>
      </c>
      <c r="I101">
        <v>15955.385166713411</v>
      </c>
      <c r="J101">
        <v>19.630687891231677</v>
      </c>
      <c r="K101">
        <v>23368.370865722187</v>
      </c>
      <c r="L101">
        <v>22.499991497502393</v>
      </c>
      <c r="M101">
        <v>26783.989878626846</v>
      </c>
      <c r="N101">
        <v>22</v>
      </c>
      <c r="O101">
        <v>26188.799999999996</v>
      </c>
      <c r="P101">
        <v>18</v>
      </c>
      <c r="Q101">
        <v>21427.199999999997</v>
      </c>
      <c r="R101">
        <v>23.388425975130193</v>
      </c>
      <c r="S101">
        <v>27841.582280794977</v>
      </c>
      <c r="T101">
        <v>14.491585098612125</v>
      </c>
      <c r="U101">
        <v>17250.782901387873</v>
      </c>
      <c r="V101">
        <v>23</v>
      </c>
      <c r="W101">
        <v>27379.199999999997</v>
      </c>
      <c r="X101">
        <v>16</v>
      </c>
      <c r="Y101">
        <v>19046.399999999998</v>
      </c>
      <c r="Z101">
        <v>17</v>
      </c>
      <c r="AA101">
        <v>20236.8</v>
      </c>
      <c r="AB101">
        <v>20.449997882562194</v>
      </c>
      <c r="AC101">
        <v>24343.677479402031</v>
      </c>
      <c r="AD101">
        <v>16.528556939429592</v>
      </c>
      <c r="AE101">
        <v>19675.594180696982</v>
      </c>
      <c r="AF101">
        <v>21.637425982840448</v>
      </c>
      <c r="AG101">
        <v>25757.191889973266</v>
      </c>
      <c r="AH101">
        <v>22.39122085048011</v>
      </c>
      <c r="AI101">
        <v>26654.509300411519</v>
      </c>
      <c r="AJ101">
        <v>24</v>
      </c>
      <c r="AK101">
        <v>28569.599999999999</v>
      </c>
      <c r="AL101">
        <v>20.335434707856241</v>
      </c>
      <c r="AM101">
        <v>24207.301476232067</v>
      </c>
      <c r="AN101">
        <v>20</v>
      </c>
      <c r="AO101">
        <v>23807.999999999996</v>
      </c>
      <c r="AP101">
        <v>15.744328922495274</v>
      </c>
      <c r="AQ101">
        <v>18742.049149338371</v>
      </c>
      <c r="AR101">
        <v>24.687644762755077</v>
      </c>
      <c r="AS101">
        <v>29388.17232558364</v>
      </c>
      <c r="AT101">
        <v>24</v>
      </c>
      <c r="AU101">
        <v>28569.599999999999</v>
      </c>
      <c r="AV101">
        <v>20.549942261824778</v>
      </c>
      <c r="AW101">
        <v>24462.651268476213</v>
      </c>
      <c r="AX101">
        <v>23.336536507475685</v>
      </c>
      <c r="AY101">
        <v>27779.813058499054</v>
      </c>
      <c r="AZ101">
        <v>13.545756482834186</v>
      </c>
      <c r="BA101">
        <v>16124.868517165813</v>
      </c>
      <c r="BB101">
        <v>23</v>
      </c>
      <c r="BC101">
        <v>27379.199999999997</v>
      </c>
      <c r="BD101">
        <v>19.3</v>
      </c>
      <c r="BE101">
        <v>22974.719999999998</v>
      </c>
      <c r="BF101">
        <v>16.448910154070308</v>
      </c>
      <c r="BG101">
        <v>19580.782647405293</v>
      </c>
      <c r="BH101">
        <v>22.456271378643663</v>
      </c>
      <c r="BI101">
        <v>26731.945449137413</v>
      </c>
      <c r="BJ101">
        <v>22.032675803156547</v>
      </c>
      <c r="BK101">
        <v>26227.69727607755</v>
      </c>
      <c r="BL101">
        <v>17</v>
      </c>
      <c r="BM101">
        <v>20236.8</v>
      </c>
      <c r="BN101">
        <v>22.050676330061982</v>
      </c>
      <c r="BO101">
        <v>26249.125103305782</v>
      </c>
      <c r="BP101">
        <v>16.561224007561435</v>
      </c>
      <c r="BQ101">
        <v>19714.48105860113</v>
      </c>
      <c r="BR101">
        <v>22.628017233705425</v>
      </c>
      <c r="BS101">
        <v>26936.391715002934</v>
      </c>
      <c r="BT101">
        <v>17.478462086151655</v>
      </c>
      <c r="BU101">
        <v>20806.361267354929</v>
      </c>
      <c r="BV101">
        <v>13.442057347485406</v>
      </c>
      <c r="BW101">
        <v>16001.425066446625</v>
      </c>
      <c r="BX101">
        <v>22.749024413234046</v>
      </c>
      <c r="BY101">
        <v>27080.438661513806</v>
      </c>
      <c r="BZ101">
        <v>18</v>
      </c>
      <c r="CA101">
        <v>21427.199999999997</v>
      </c>
      <c r="CB101">
        <v>17</v>
      </c>
      <c r="CC101">
        <v>20236.8</v>
      </c>
      <c r="CD101">
        <v>27.44278961704855</v>
      </c>
      <c r="CE101">
        <v>32667.89676013459</v>
      </c>
      <c r="CF101">
        <v>18.588563711294274</v>
      </c>
      <c r="CG101">
        <v>22127.8262419247</v>
      </c>
      <c r="CH101">
        <v>19.329744793520828</v>
      </c>
      <c r="CI101">
        <v>23010.12820220719</v>
      </c>
      <c r="CJ101">
        <v>21.547803374746064</v>
      </c>
      <c r="CK101">
        <v>25650.50513729771</v>
      </c>
      <c r="CL101">
        <v>24.5133714880333</v>
      </c>
      <c r="CM101">
        <v>29180.717419354838</v>
      </c>
      <c r="CN101">
        <v>23.686657663176653</v>
      </c>
      <c r="CO101">
        <v>28196.597282245486</v>
      </c>
      <c r="CP101">
        <v>19.536936612266555</v>
      </c>
      <c r="CQ101">
        <v>23256.769343242104</v>
      </c>
      <c r="CR101">
        <v>24.040797505217817</v>
      </c>
      <c r="CS101">
        <v>28618.165350211286</v>
      </c>
      <c r="CT101">
        <v>17.625961538461539</v>
      </c>
      <c r="CU101">
        <v>20981.944615384615</v>
      </c>
    </row>
    <row r="102" spans="2:99" x14ac:dyDescent="0.2">
      <c r="C102" s="118" t="s">
        <v>268</v>
      </c>
      <c r="D102">
        <v>8.1592908125728503</v>
      </c>
      <c r="E102">
        <v>15822.496743741271</v>
      </c>
      <c r="F102">
        <v>7.0447115354370906</v>
      </c>
      <c r="G102">
        <v>13661.104609519605</v>
      </c>
      <c r="H102">
        <v>11.72795868689032</v>
      </c>
      <c r="I102">
        <v>22742.857485617707</v>
      </c>
      <c r="J102">
        <v>17.533658984888341</v>
      </c>
      <c r="K102">
        <v>34001.271503495467</v>
      </c>
      <c r="L102">
        <v>18.449992347752151</v>
      </c>
      <c r="M102">
        <v>35778.225160760965</v>
      </c>
      <c r="N102">
        <v>18</v>
      </c>
      <c r="O102">
        <v>34905.599999999999</v>
      </c>
      <c r="P102">
        <v>16</v>
      </c>
      <c r="Q102">
        <v>31027.199999999997</v>
      </c>
      <c r="R102">
        <v>23.33987272823892</v>
      </c>
      <c r="S102">
        <v>45260.681194600911</v>
      </c>
      <c r="T102">
        <v>13.393268078889701</v>
      </c>
      <c r="U102">
        <v>25972.225458582907</v>
      </c>
      <c r="V102">
        <v>22</v>
      </c>
      <c r="W102">
        <v>42662.399999999994</v>
      </c>
      <c r="X102">
        <v>15</v>
      </c>
      <c r="Y102">
        <v>29087.999999999996</v>
      </c>
      <c r="Z102">
        <v>17</v>
      </c>
      <c r="AA102">
        <v>32966.399999999994</v>
      </c>
      <c r="AB102">
        <v>20.449997882562194</v>
      </c>
      <c r="AC102">
        <v>39656.635893864601</v>
      </c>
      <c r="AD102">
        <v>15.480506308572355</v>
      </c>
      <c r="AE102">
        <v>30019.797833583507</v>
      </c>
      <c r="AF102">
        <v>19.546365128148956</v>
      </c>
      <c r="AG102">
        <v>37904.311256506451</v>
      </c>
      <c r="AH102">
        <v>23.39122085048011</v>
      </c>
      <c r="AI102">
        <v>45360.255473251025</v>
      </c>
      <c r="AJ102">
        <v>19</v>
      </c>
      <c r="AK102">
        <v>36844.799999999996</v>
      </c>
      <c r="AL102">
        <v>18.28751546387678</v>
      </c>
      <c r="AM102">
        <v>35463.149987549848</v>
      </c>
      <c r="AN102">
        <v>18</v>
      </c>
      <c r="AO102">
        <v>34905.599999999999</v>
      </c>
      <c r="AP102">
        <v>12.595463137996219</v>
      </c>
      <c r="AQ102">
        <v>24425.122117202267</v>
      </c>
      <c r="AR102">
        <v>21</v>
      </c>
      <c r="AS102">
        <v>40723.199999999997</v>
      </c>
      <c r="AT102">
        <v>22</v>
      </c>
      <c r="AU102">
        <v>42662.399999999994</v>
      </c>
      <c r="AV102">
        <v>18.549942261824778</v>
      </c>
      <c r="AW102">
        <v>35972.04803413061</v>
      </c>
      <c r="AX102">
        <v>20</v>
      </c>
      <c r="AY102">
        <v>38784</v>
      </c>
      <c r="AZ102">
        <v>13.446528031409787</v>
      </c>
      <c r="BA102">
        <v>26075.507158509856</v>
      </c>
      <c r="BB102">
        <v>20</v>
      </c>
      <c r="BC102">
        <v>38784</v>
      </c>
      <c r="BD102">
        <v>18.262499999999999</v>
      </c>
      <c r="BE102">
        <v>35414.639999999992</v>
      </c>
      <c r="BF102">
        <v>17.498789060078121</v>
      </c>
      <c r="BG102">
        <v>33933.65174530349</v>
      </c>
      <c r="BH102">
        <v>23.456271378643663</v>
      </c>
      <c r="BI102">
        <v>45486.401457465785</v>
      </c>
      <c r="BJ102">
        <v>21.035943383472201</v>
      </c>
      <c r="BK102">
        <v>40792.901409229285</v>
      </c>
      <c r="BL102">
        <v>15</v>
      </c>
      <c r="BM102">
        <v>29087.999999999996</v>
      </c>
      <c r="BN102">
        <v>20.050676330061982</v>
      </c>
      <c r="BO102">
        <v>38882.271539256195</v>
      </c>
      <c r="BP102">
        <v>13.518052930056712</v>
      </c>
      <c r="BQ102">
        <v>26214.208241965971</v>
      </c>
      <c r="BR102">
        <v>24.628017233705425</v>
      </c>
      <c r="BS102">
        <v>47758.651019601552</v>
      </c>
      <c r="BT102">
        <v>17.430615877536489</v>
      </c>
      <c r="BU102">
        <v>33801.450309718755</v>
      </c>
      <c r="BV102">
        <v>13.442057347485406</v>
      </c>
      <c r="BW102">
        <v>26066.837608243695</v>
      </c>
      <c r="BX102">
        <v>18.65539636157979</v>
      </c>
      <c r="BY102">
        <v>36176.544624375521</v>
      </c>
      <c r="BZ102">
        <v>16</v>
      </c>
      <c r="CA102">
        <v>31027.199999999997</v>
      </c>
      <c r="CB102">
        <v>17</v>
      </c>
      <c r="CC102">
        <v>32966.399999999994</v>
      </c>
      <c r="CD102">
        <v>22.491988463387276</v>
      </c>
      <c r="CE102">
        <v>43616.4640282006</v>
      </c>
      <c r="CF102">
        <v>17.539516735353086</v>
      </c>
      <c r="CG102">
        <v>34012.630853196701</v>
      </c>
      <c r="CH102">
        <v>19.376851192595229</v>
      </c>
      <c r="CI102">
        <v>37575.589832680664</v>
      </c>
      <c r="CJ102">
        <v>21.498003067950968</v>
      </c>
      <c r="CK102">
        <v>41688.927549370514</v>
      </c>
      <c r="CL102">
        <v>22.5133714880333</v>
      </c>
      <c r="CM102">
        <v>43657.929989594173</v>
      </c>
      <c r="CN102">
        <v>22.686657663176653</v>
      </c>
      <c r="CO102">
        <v>43993.966540432164</v>
      </c>
      <c r="CP102">
        <v>16.439311773672635</v>
      </c>
      <c r="CQ102">
        <v>31879.113391505973</v>
      </c>
      <c r="CR102">
        <v>24.044197297319304</v>
      </c>
      <c r="CS102">
        <v>46626.507398961592</v>
      </c>
      <c r="CT102">
        <v>17.674112426035503</v>
      </c>
      <c r="CU102">
        <v>34273.638816568047</v>
      </c>
    </row>
    <row r="103" spans="2:99" x14ac:dyDescent="0.2">
      <c r="C103" s="118" t="s">
        <v>269</v>
      </c>
      <c r="D103">
        <v>8.1592908125728503</v>
      </c>
      <c r="E103">
        <v>16547.041767897739</v>
      </c>
      <c r="F103">
        <v>7.0447115354370906</v>
      </c>
      <c r="G103">
        <v>14286.67499386642</v>
      </c>
      <c r="H103">
        <v>13.403381356446079</v>
      </c>
      <c r="I103">
        <v>27182.057390872647</v>
      </c>
      <c r="J103">
        <v>17.582173438060011</v>
      </c>
      <c r="K103">
        <v>35656.647732385703</v>
      </c>
      <c r="L103">
        <v>18.399993198001912</v>
      </c>
      <c r="M103">
        <v>37315.186205547878</v>
      </c>
      <c r="N103">
        <v>21</v>
      </c>
      <c r="O103">
        <v>42588</v>
      </c>
      <c r="P103">
        <v>15</v>
      </c>
      <c r="Q103">
        <v>30420</v>
      </c>
      <c r="R103">
        <v>21.388425975130193</v>
      </c>
      <c r="S103">
        <v>43375.72787756403</v>
      </c>
      <c r="T103">
        <v>13.442426588750912</v>
      </c>
      <c r="U103">
        <v>27261.241121986852</v>
      </c>
      <c r="V103">
        <v>24</v>
      </c>
      <c r="W103">
        <v>48672</v>
      </c>
      <c r="X103">
        <v>13.033116620752985</v>
      </c>
      <c r="Y103">
        <v>26431.160506887052</v>
      </c>
      <c r="Z103">
        <v>14</v>
      </c>
      <c r="AA103">
        <v>28392</v>
      </c>
      <c r="AB103">
        <v>19.349998353103928</v>
      </c>
      <c r="AC103">
        <v>39241.796660094762</v>
      </c>
      <c r="AD103">
        <v>16.432455677715119</v>
      </c>
      <c r="AE103">
        <v>33325.020114406259</v>
      </c>
      <c r="AF103">
        <v>21.50083470080321</v>
      </c>
      <c r="AG103">
        <v>43603.692773228911</v>
      </c>
      <c r="AH103">
        <v>20.440123456790122</v>
      </c>
      <c r="AI103">
        <v>41452.570370370369</v>
      </c>
      <c r="AJ103">
        <v>19</v>
      </c>
      <c r="AK103">
        <v>38532</v>
      </c>
      <c r="AL103">
        <v>17.28751546387678</v>
      </c>
      <c r="AM103">
        <v>35059.081360742108</v>
      </c>
      <c r="AN103">
        <v>17</v>
      </c>
      <c r="AO103">
        <v>34476</v>
      </c>
      <c r="AP103">
        <v>13.595463137996219</v>
      </c>
      <c r="AQ103">
        <v>27571.599243856333</v>
      </c>
      <c r="AR103">
        <v>20.540292313593277</v>
      </c>
      <c r="AS103">
        <v>41655.712811967162</v>
      </c>
      <c r="AT103">
        <v>24</v>
      </c>
      <c r="AU103">
        <v>48672</v>
      </c>
      <c r="AV103">
        <v>21.499947510749799</v>
      </c>
      <c r="AW103">
        <v>43601.893551800589</v>
      </c>
      <c r="AX103">
        <v>20.336536507475685</v>
      </c>
      <c r="AY103">
        <v>41242.496037160687</v>
      </c>
      <c r="AZ103">
        <v>12.496142257121987</v>
      </c>
      <c r="BA103">
        <v>25342.17649744339</v>
      </c>
      <c r="BB103">
        <v>22</v>
      </c>
      <c r="BC103">
        <v>44616</v>
      </c>
      <c r="BD103">
        <v>17.3</v>
      </c>
      <c r="BE103">
        <v>35084.400000000001</v>
      </c>
      <c r="BF103">
        <v>16.448910154070308</v>
      </c>
      <c r="BG103">
        <v>33358.389792454582</v>
      </c>
      <c r="BH103">
        <v>22.456271378643663</v>
      </c>
      <c r="BI103">
        <v>45541.318355889351</v>
      </c>
      <c r="BJ103">
        <v>22.032675803156547</v>
      </c>
      <c r="BK103">
        <v>44682.266528801476</v>
      </c>
      <c r="BL103">
        <v>16</v>
      </c>
      <c r="BM103">
        <v>32448</v>
      </c>
      <c r="BN103">
        <v>20.046778150826448</v>
      </c>
      <c r="BO103">
        <v>40654.866089876035</v>
      </c>
      <c r="BP103">
        <v>13</v>
      </c>
      <c r="BQ103">
        <v>26364</v>
      </c>
      <c r="BR103">
        <v>23.583158859869322</v>
      </c>
      <c r="BS103">
        <v>47826.646167814986</v>
      </c>
      <c r="BT103">
        <v>16.478462086151655</v>
      </c>
      <c r="BU103">
        <v>33418.321110715558</v>
      </c>
      <c r="BV103">
        <v>12.392939864431472</v>
      </c>
      <c r="BW103">
        <v>25132.882045067025</v>
      </c>
      <c r="BX103">
        <v>20.702210387406918</v>
      </c>
      <c r="BY103">
        <v>41984.082665661233</v>
      </c>
      <c r="BZ103">
        <v>17</v>
      </c>
      <c r="CA103">
        <v>34476</v>
      </c>
      <c r="CB103">
        <v>16</v>
      </c>
      <c r="CC103">
        <v>32448</v>
      </c>
      <c r="CD103">
        <v>22.491988463387276</v>
      </c>
      <c r="CE103">
        <v>45613.752603749395</v>
      </c>
      <c r="CF103">
        <v>17.539516735353086</v>
      </c>
      <c r="CG103">
        <v>35570.139939296059</v>
      </c>
      <c r="CH103">
        <v>19.376851192595229</v>
      </c>
      <c r="CI103">
        <v>39296.254218583126</v>
      </c>
      <c r="CJ103">
        <v>20.448202761155873</v>
      </c>
      <c r="CK103">
        <v>41468.955199624113</v>
      </c>
      <c r="CL103">
        <v>20.466701352757543</v>
      </c>
      <c r="CM103">
        <v>41506.470343392299</v>
      </c>
      <c r="CN103">
        <v>23.588563711294274</v>
      </c>
      <c r="CO103">
        <v>47837.607206504785</v>
      </c>
      <c r="CP103">
        <v>19.439311773672635</v>
      </c>
      <c r="CQ103">
        <v>39422.924277008104</v>
      </c>
      <c r="CR103">
        <v>20.040797505217817</v>
      </c>
      <c r="CS103">
        <v>40642.737340581734</v>
      </c>
      <c r="CT103">
        <v>18</v>
      </c>
      <c r="CU103">
        <v>36504</v>
      </c>
    </row>
    <row r="104" spans="2:99" x14ac:dyDescent="0.2">
      <c r="C104" s="118" t="s">
        <v>270</v>
      </c>
      <c r="D104">
        <v>8.8718931205609159</v>
      </c>
      <c r="E104">
        <v>18386.111303050442</v>
      </c>
      <c r="F104">
        <v>7.6317708300568485</v>
      </c>
      <c r="G104">
        <v>15816.081868209814</v>
      </c>
      <c r="H104">
        <v>14.24109269122396</v>
      </c>
      <c r="I104">
        <v>29513.240493292535</v>
      </c>
      <c r="J104">
        <v>17.582173438060011</v>
      </c>
      <c r="K104">
        <v>36437.296233035566</v>
      </c>
      <c r="L104">
        <v>19.399993198001912</v>
      </c>
      <c r="M104">
        <v>40204.545903539161</v>
      </c>
      <c r="N104">
        <v>20</v>
      </c>
      <c r="O104">
        <v>41448</v>
      </c>
      <c r="P104">
        <v>14</v>
      </c>
      <c r="Q104">
        <v>29013.600000000002</v>
      </c>
      <c r="R104">
        <v>23.33987272823892</v>
      </c>
      <c r="S104">
        <v>48369.552242002341</v>
      </c>
      <c r="T104">
        <v>14.442426588750912</v>
      </c>
      <c r="U104">
        <v>29930.484862527392</v>
      </c>
      <c r="V104">
        <v>21</v>
      </c>
      <c r="W104">
        <v>43520.4</v>
      </c>
      <c r="X104">
        <v>14</v>
      </c>
      <c r="Y104">
        <v>29013.600000000002</v>
      </c>
      <c r="Z104">
        <v>16</v>
      </c>
      <c r="AA104">
        <v>33158.400000000001</v>
      </c>
      <c r="AB104">
        <v>18.349998353103928</v>
      </c>
      <c r="AC104">
        <v>38028.536586972579</v>
      </c>
      <c r="AD104">
        <v>15.528556939429592</v>
      </c>
      <c r="AE104">
        <v>32181.381401273888</v>
      </c>
      <c r="AF104">
        <v>22.591895555494702</v>
      </c>
      <c r="AG104">
        <v>46819.444349207224</v>
      </c>
      <c r="AH104">
        <v>21.39122085048011</v>
      </c>
      <c r="AI104">
        <v>44331.166090534985</v>
      </c>
      <c r="AJ104">
        <v>23</v>
      </c>
      <c r="AK104">
        <v>47665.200000000004</v>
      </c>
      <c r="AL104">
        <v>17.335434707856241</v>
      </c>
      <c r="AM104">
        <v>35925.954888561275</v>
      </c>
      <c r="AN104">
        <v>18</v>
      </c>
      <c r="AO104">
        <v>37303.200000000004</v>
      </c>
      <c r="AP104">
        <v>13.64508506616257</v>
      </c>
      <c r="AQ104">
        <v>28278.074291115314</v>
      </c>
      <c r="AR104">
        <v>20</v>
      </c>
      <c r="AS104">
        <v>41448</v>
      </c>
      <c r="AT104">
        <v>21</v>
      </c>
      <c r="AU104">
        <v>43520.4</v>
      </c>
      <c r="AV104">
        <v>18.499947510749799</v>
      </c>
      <c r="AW104">
        <v>38339.291221277883</v>
      </c>
      <c r="AX104">
        <v>21.30849179851938</v>
      </c>
      <c r="AY104">
        <v>44159.718403251565</v>
      </c>
      <c r="AZ104">
        <v>14.496142257121987</v>
      </c>
      <c r="BA104">
        <v>30041.805213659605</v>
      </c>
      <c r="BB104">
        <v>21</v>
      </c>
      <c r="BC104">
        <v>43520.4</v>
      </c>
      <c r="BD104">
        <v>18.262499999999999</v>
      </c>
      <c r="BE104">
        <v>37847.205000000002</v>
      </c>
      <c r="BF104">
        <v>17.448910154070308</v>
      </c>
      <c r="BG104">
        <v>36161.121403295307</v>
      </c>
      <c r="BH104">
        <v>21.410644240779298</v>
      </c>
      <c r="BI104">
        <v>44371.419124591019</v>
      </c>
      <c r="BJ104">
        <v>23.032675803156547</v>
      </c>
      <c r="BK104">
        <v>47732.917334461628</v>
      </c>
      <c r="BL104">
        <v>16</v>
      </c>
      <c r="BM104">
        <v>33158.400000000001</v>
      </c>
      <c r="BN104">
        <v>20.046778150826448</v>
      </c>
      <c r="BO104">
        <v>41544.943039772734</v>
      </c>
      <c r="BP104">
        <v>12.518052930056712</v>
      </c>
      <c r="BQ104">
        <v>25942.412892249529</v>
      </c>
      <c r="BR104">
        <v>21.628017233705425</v>
      </c>
      <c r="BS104">
        <v>44821.902915131126</v>
      </c>
      <c r="BT104">
        <v>16.430615877536489</v>
      </c>
      <c r="BU104">
        <v>34050.808344606623</v>
      </c>
      <c r="BV104">
        <v>13.343822381377539</v>
      </c>
      <c r="BW104">
        <v>27653.737503166813</v>
      </c>
      <c r="BX104">
        <v>20</v>
      </c>
      <c r="BY104">
        <v>41448</v>
      </c>
      <c r="BZ104">
        <v>17</v>
      </c>
      <c r="CA104">
        <v>35230.800000000003</v>
      </c>
      <c r="CB104">
        <v>16</v>
      </c>
      <c r="CC104">
        <v>33158.400000000001</v>
      </c>
      <c r="CD104">
        <v>22.44278961704855</v>
      </c>
      <c r="CE104">
        <v>46510.437202371417</v>
      </c>
      <c r="CF104">
        <v>17.490469759411894</v>
      </c>
      <c r="CG104">
        <v>36247.249529405213</v>
      </c>
      <c r="CH104">
        <v>20.376851192595229</v>
      </c>
      <c r="CI104">
        <v>42228.986411534352</v>
      </c>
      <c r="CJ104">
        <v>20.448202761155873</v>
      </c>
      <c r="CK104">
        <v>42376.855402219429</v>
      </c>
      <c r="CL104">
        <v>23.5133714880333</v>
      </c>
      <c r="CM104">
        <v>48729.111071800216</v>
      </c>
      <c r="CN104">
        <v>21.588563711294274</v>
      </c>
      <c r="CO104">
        <v>44740.139435286255</v>
      </c>
      <c r="CP104">
        <v>18.439311773672635</v>
      </c>
      <c r="CQ104">
        <v>38213.62971975917</v>
      </c>
      <c r="CR104">
        <v>24.040797505217817</v>
      </c>
      <c r="CS104">
        <v>49822.148749813408</v>
      </c>
      <c r="CT104">
        <v>18.52965976331361</v>
      </c>
      <c r="CU104">
        <v>38400.866893491126</v>
      </c>
    </row>
    <row r="105" spans="2:99" x14ac:dyDescent="0.2">
      <c r="C105" s="118" t="s">
        <v>271</v>
      </c>
      <c r="D105">
        <v>8.1592908125728503</v>
      </c>
      <c r="E105">
        <v>16302.263043520556</v>
      </c>
      <c r="F105">
        <v>7.6317708300568485</v>
      </c>
      <c r="G105">
        <v>15248.278118453583</v>
      </c>
      <c r="H105">
        <v>11.72795868689032</v>
      </c>
      <c r="I105">
        <v>23432.461456406858</v>
      </c>
      <c r="J105">
        <v>16.582173438060011</v>
      </c>
      <c r="K105">
        <v>33131.182529243903</v>
      </c>
      <c r="L105">
        <v>19.449992347752151</v>
      </c>
      <c r="M105">
        <v>38861.084710808798</v>
      </c>
      <c r="N105">
        <v>18</v>
      </c>
      <c r="O105">
        <v>35964</v>
      </c>
      <c r="P105">
        <v>14</v>
      </c>
      <c r="Q105">
        <v>27972</v>
      </c>
      <c r="R105">
        <v>20.388425975130193</v>
      </c>
      <c r="S105">
        <v>40736.075098310124</v>
      </c>
      <c r="T105">
        <v>15.393268078889701</v>
      </c>
      <c r="U105">
        <v>30755.749621621624</v>
      </c>
      <c r="V105">
        <v>22</v>
      </c>
      <c r="W105">
        <v>43956</v>
      </c>
      <c r="X105">
        <v>15</v>
      </c>
      <c r="Y105">
        <v>29970</v>
      </c>
      <c r="Z105">
        <v>14</v>
      </c>
      <c r="AA105">
        <v>27972</v>
      </c>
      <c r="AB105">
        <v>21.399998117833061</v>
      </c>
      <c r="AC105">
        <v>42757.196239430457</v>
      </c>
      <c r="AD105">
        <v>16.528556939429592</v>
      </c>
      <c r="AE105">
        <v>33024.056764980327</v>
      </c>
      <c r="AF105">
        <v>21.546365128148956</v>
      </c>
      <c r="AG105">
        <v>43049.637526041617</v>
      </c>
      <c r="AH105">
        <v>20.440123456790122</v>
      </c>
      <c r="AI105">
        <v>40839.366666666661</v>
      </c>
      <c r="AJ105">
        <v>20</v>
      </c>
      <c r="AK105">
        <v>39960</v>
      </c>
      <c r="AL105">
        <v>17.28751546387678</v>
      </c>
      <c r="AM105">
        <v>34540.455896825806</v>
      </c>
      <c r="AN105">
        <v>20</v>
      </c>
      <c r="AO105">
        <v>39960</v>
      </c>
      <c r="AP105">
        <v>12.64508506616257</v>
      </c>
      <c r="AQ105">
        <v>25264.879962192816</v>
      </c>
      <c r="AR105">
        <v>23.540292313593277</v>
      </c>
      <c r="AS105">
        <v>47033.504042559369</v>
      </c>
      <c r="AT105">
        <v>21</v>
      </c>
      <c r="AU105">
        <v>41958</v>
      </c>
      <c r="AV105">
        <v>21.499947510749799</v>
      </c>
      <c r="AW105">
        <v>42956.895126478099</v>
      </c>
      <c r="AX105">
        <v>19.30849179851938</v>
      </c>
      <c r="AY105">
        <v>38578.366613441722</v>
      </c>
      <c r="AZ105">
        <v>12.446528031409787</v>
      </c>
      <c r="BA105">
        <v>24868.163006756757</v>
      </c>
      <c r="BB105">
        <v>19</v>
      </c>
      <c r="BC105">
        <v>37962</v>
      </c>
      <c r="BD105">
        <v>18.262499999999999</v>
      </c>
      <c r="BE105">
        <v>36488.474999999999</v>
      </c>
      <c r="BF105">
        <v>14.498789060078121</v>
      </c>
      <c r="BG105">
        <v>28968.580542036085</v>
      </c>
      <c r="BH105">
        <v>21.456271378643663</v>
      </c>
      <c r="BI105">
        <v>42869.630214530036</v>
      </c>
      <c r="BJ105">
        <v>21.029408222840893</v>
      </c>
      <c r="BK105">
        <v>42016.757629236105</v>
      </c>
      <c r="BL105">
        <v>17</v>
      </c>
      <c r="BM105">
        <v>33966</v>
      </c>
      <c r="BN105">
        <v>21.05457450929752</v>
      </c>
      <c r="BO105">
        <v>42067.039869576445</v>
      </c>
      <c r="BP105">
        <v>12.561224007561437</v>
      </c>
      <c r="BQ105">
        <v>25097.32556710775</v>
      </c>
      <c r="BR105">
        <v>22.628017233705425</v>
      </c>
      <c r="BS105">
        <v>45210.778432943436</v>
      </c>
      <c r="BT105">
        <v>16.478462086151655</v>
      </c>
      <c r="BU105">
        <v>32923.967248131004</v>
      </c>
      <c r="BV105">
        <v>12.343822381377539</v>
      </c>
      <c r="BW105">
        <v>24662.957117992322</v>
      </c>
      <c r="BX105">
        <v>19.608582335752661</v>
      </c>
      <c r="BY105">
        <v>39177.947506833814</v>
      </c>
      <c r="BZ105">
        <v>17</v>
      </c>
      <c r="CA105">
        <v>33966</v>
      </c>
      <c r="CB105">
        <v>17</v>
      </c>
      <c r="CC105">
        <v>33966</v>
      </c>
      <c r="CD105">
        <v>26.491988463387276</v>
      </c>
      <c r="CE105">
        <v>52930.99294984778</v>
      </c>
      <c r="CF105">
        <v>18.490469759411894</v>
      </c>
      <c r="CG105">
        <v>36943.958579304963</v>
      </c>
      <c r="CH105">
        <v>18.329744793520828</v>
      </c>
      <c r="CI105">
        <v>36622.830097454615</v>
      </c>
      <c r="CJ105">
        <v>19.498003067950968</v>
      </c>
      <c r="CK105">
        <v>38957.010129766037</v>
      </c>
      <c r="CL105">
        <v>23.5133714880333</v>
      </c>
      <c r="CM105">
        <v>46979.716233090534</v>
      </c>
      <c r="CN105">
        <v>24.637610687235465</v>
      </c>
      <c r="CO105">
        <v>49225.946153096462</v>
      </c>
      <c r="CP105">
        <v>18.488124192969597</v>
      </c>
      <c r="CQ105">
        <v>36939.272137553256</v>
      </c>
      <c r="CR105">
        <v>20.040797505217817</v>
      </c>
      <c r="CS105">
        <v>40041.513415425201</v>
      </c>
      <c r="CT105">
        <v>18.625961538461539</v>
      </c>
      <c r="CU105">
        <v>37214.671153846153</v>
      </c>
    </row>
    <row r="107" spans="2:99" x14ac:dyDescent="0.2">
      <c r="B107" s="121" t="s">
        <v>276</v>
      </c>
    </row>
    <row r="108" spans="2:99" x14ac:dyDescent="0.2">
      <c r="C108" s="118" t="s">
        <v>277</v>
      </c>
      <c r="D108" s="118" t="s">
        <v>92</v>
      </c>
      <c r="E108" s="118" t="s">
        <v>93</v>
      </c>
      <c r="F108" s="118" t="s">
        <v>94</v>
      </c>
      <c r="G108" s="118" t="s">
        <v>95</v>
      </c>
      <c r="H108" s="118" t="s">
        <v>96</v>
      </c>
      <c r="I108" s="118" t="s">
        <v>97</v>
      </c>
      <c r="J108" s="118" t="s">
        <v>98</v>
      </c>
      <c r="K108" s="118" t="s">
        <v>99</v>
      </c>
      <c r="L108" s="118" t="s">
        <v>100</v>
      </c>
      <c r="M108" s="118" t="s">
        <v>101</v>
      </c>
      <c r="N108" s="118" t="s">
        <v>102</v>
      </c>
      <c r="O108" s="118" t="s">
        <v>103</v>
      </c>
    </row>
    <row r="109" spans="2:99" x14ac:dyDescent="0.2">
      <c r="C109" s="118" t="s">
        <v>126</v>
      </c>
      <c r="D109">
        <f>SUM(D$6:D$19)+SUM(F$6:F$19)+SUM(H$6:H$19)+SUM(J$6:J$19)</f>
        <v>1086</v>
      </c>
      <c r="E109">
        <f>SUM(L$6:L$19)+SUM(N$6:N$19)+SUM(P$6:P$19)+SUM(R$6:R$19)</f>
        <v>1158</v>
      </c>
      <c r="F109">
        <f>SUM(T$6:T$19)+SUM(V$6:V$19)+SUM(X$6:X$19)+SUM(Z$6:Z$19)</f>
        <v>1041</v>
      </c>
      <c r="G109">
        <f>SUM(AB$6:AB$19)+SUM(AD$6:AD$19)+SUM(AF$6:AF$19)+SUM(AH$6:AH$19)</f>
        <v>1227</v>
      </c>
      <c r="H109">
        <f>SUM(AJ$6:AJ$19)+SUM(AL$6:AL$19)+SUM(AN$6:AN$19)+SUM(AP$6:AP$19)</f>
        <v>1107</v>
      </c>
      <c r="I109">
        <f>SUM(AR$6:AR$19)+SUM(AT$6:AT$19)+SUM(AV$6:AV$19)+SUM(AX$6:AX$19)</f>
        <v>1109</v>
      </c>
      <c r="J109">
        <f>SUM(AZ$6:AZ$19)+SUM(BB$6:BB$19)+SUM(BD$6:BD$19)+SUM(BF$6:BF$19)</f>
        <v>1084</v>
      </c>
      <c r="K109">
        <f>SUM(BH$6:BH$19)+SUM(BJ$6:BJ$19)+SUM(BL$6:BL$19)+SUM(BN$6:BN$19)</f>
        <v>1031</v>
      </c>
      <c r="L109">
        <f>SUM(BP$6:BP$19)+SUM(BR$6:BR$19)+SUM(BT$6:BT$19)+SUM(BV$6:BV$19)</f>
        <v>1266</v>
      </c>
      <c r="M109">
        <f>SUM(BX$6:BX$19)+SUM(BZ$6:BZ$19)+SUM(CB$6:CB$19)+SUM(CD$6:CD$19)</f>
        <v>1323</v>
      </c>
      <c r="N109">
        <f>SUM(CF$6:CF$19)+SUM(CH$6:CH$19)+SUM(CJ$6:CJ$19)+SUM(CL$6:CL$19)</f>
        <v>1379</v>
      </c>
      <c r="O109">
        <f>SUM(CN$6:CN$19)+SUM(CP$6:CP$19)+SUM(CR$6:CR$19)+SUM(CT$6:CT$19)</f>
        <v>1443</v>
      </c>
    </row>
    <row r="110" spans="2:99" x14ac:dyDescent="0.2">
      <c r="C110" s="118" t="s">
        <v>127</v>
      </c>
      <c r="D110">
        <f>SUM(D$20:D$36)+SUM(F$20:F$36)+SUM(H$20:H$36)+SUM(J$20:J$36)</f>
        <v>2005</v>
      </c>
      <c r="E110">
        <f>SUM(L$20:L$36)+SUM(N$20:N$36)+SUM(P$20:P$36)+SUM(R$20:R$36)</f>
        <v>2431</v>
      </c>
      <c r="F110">
        <f>SUM(T$20:T$36)+SUM(V$20:V$36)+SUM(X$20:X$36)+SUM(Z$20:Z$36)</f>
        <v>2346</v>
      </c>
      <c r="G110">
        <f>SUM(AB$20:AB$36)+SUM(AD$20:AD$36)+SUM(AF$20:AF$36)+SUM(AH$20:AH$36)</f>
        <v>2103</v>
      </c>
      <c r="H110">
        <f>SUM(AJ$20:AJ$36)+SUM(AL$20:AL$36)+SUM(AN$20:AN$36)+SUM(AP$20:AP$36)</f>
        <v>2217</v>
      </c>
      <c r="I110">
        <f>SUM(AR$20:AR$36)+SUM(AT$20:AT$36)+SUM(AV$20:AV$36)+SUM(AX$20:AX$36)</f>
        <v>2252</v>
      </c>
      <c r="J110">
        <f>SUM(AZ$20:AZ$36)+SUM(BB$20:BB$36)+SUM(BD$20:BD$36)+SUM(BF$20:BF$36)</f>
        <v>2377</v>
      </c>
      <c r="K110">
        <f>SUM(BH$20:BH$36)+SUM(BJ$20:BJ$36)+SUM(BL$20:BL$36)+SUM(BN$20:BN$36)</f>
        <v>2475</v>
      </c>
      <c r="L110">
        <f>SUM(BP$20:BP$36)+SUM(BR$20:BR$36)+SUM(BT$20:BT$36)+SUM(BV$20:BV$36)</f>
        <v>2604</v>
      </c>
      <c r="M110">
        <f>SUM(BX$20:BX$36)+SUM(BZ$20:BZ$36)+SUM(CB$20:CB$36)+SUM(CD$20:CD$36)</f>
        <v>2307</v>
      </c>
      <c r="N110">
        <f>SUM(CF$20:CF$36)+SUM(CH$20:CH$36)+SUM(CJ$20:CJ$36)+SUM(CL$20:CL$36)</f>
        <v>2650</v>
      </c>
      <c r="O110">
        <f>SUM(CN$20:CN$36)+SUM(CP$20:CP$36)+SUM(CR$20:CR$36)+SUM(CT$20:CT$36)</f>
        <v>2629</v>
      </c>
    </row>
    <row r="111" spans="2:99" x14ac:dyDescent="0.2">
      <c r="C111" s="118" t="s">
        <v>128</v>
      </c>
      <c r="D111">
        <f>SUM(D$37:D$48)+SUM(F$37:F$48)+SUM(H$37:H$48)+SUM(J$37:J$48)</f>
        <v>601</v>
      </c>
      <c r="E111">
        <f>SUM(L$37:L$48)+SUM(N$37:N$48)+SUM(P$37:P$48)+SUM(R$37:R$48)</f>
        <v>690</v>
      </c>
      <c r="F111">
        <f>SUM(T$37:T$48)+SUM(V$37:V$48)+SUM(X$37:X$48)+SUM(Z$37:Z$48)</f>
        <v>789</v>
      </c>
      <c r="G111">
        <f>SUM(AB$37:AB$48)+SUM(AD$37:AD$48)+SUM(AF$37:AF$48)+SUM(AH$37:AH$48)</f>
        <v>578</v>
      </c>
      <c r="H111">
        <f>SUM(AJ$37:AJ$48)+SUM(AL$37:AL$48)+SUM(AN$37:AN$48)+SUM(AP$37:AP$48)</f>
        <v>707</v>
      </c>
      <c r="I111">
        <f>SUM(AR$37:AR$48)+SUM(AT$37:AT$48)+SUM(AV$37:AV$48)+SUM(AX$37:AX$48)</f>
        <v>832</v>
      </c>
      <c r="J111">
        <f>SUM(AZ$37:AZ$48)+SUM(BB$37:BB$48)+SUM(BD$37:BD$48)+SUM(BF$37:BF$48)</f>
        <v>756</v>
      </c>
      <c r="K111">
        <f>SUM(BH$37:BH$48)+SUM(BJ$37:BJ$48)+SUM(BL$37:BL$48)+SUM(BN$37:BN$48)</f>
        <v>633</v>
      </c>
      <c r="L111">
        <f>SUM(BP$37:BP$48)+SUM(BR$37:BR$48)+SUM(BT$37:BT$48)+SUM(BV$37:BV$48)</f>
        <v>675</v>
      </c>
      <c r="M111">
        <f>SUM(BX$37:BX$48)+SUM(BZ$37:BZ$48)+SUM(CB$37:CB$48)+SUM(CD$37:CD$48)</f>
        <v>686</v>
      </c>
      <c r="N111">
        <f>SUM(CF$37:CF$48)+SUM(CH$37:CH$48)+SUM(CJ$37:CJ$48)+SUM(CL$37:CL$48)</f>
        <v>802</v>
      </c>
      <c r="O111">
        <f>SUM(CN$37:CN$48)+SUM(CP$37:CP$48)+SUM(CR$37:CR$48)+SUM(CT$37:CT$48)</f>
        <v>700</v>
      </c>
    </row>
    <row r="112" spans="2:99" x14ac:dyDescent="0.2">
      <c r="C112" s="118" t="s">
        <v>129</v>
      </c>
      <c r="D112">
        <f>SUM(D$49:D$70)+SUM(F$49:F$70)+SUM(H$49:H$70)+SUM(J$49:J$70)</f>
        <v>881.54875400673654</v>
      </c>
      <c r="E112">
        <f>SUM(L$49:L$70)+SUM(N$49:N$70)+SUM(P$49:P$70)+SUM(R$49:R$70)</f>
        <v>944.38208510166294</v>
      </c>
      <c r="F112">
        <f>SUM(T$49:T$70)+SUM(V$49:V$70)+SUM(X$49:X$70)+SUM(Z$49:Z$70)</f>
        <v>806.32727976625279</v>
      </c>
      <c r="G112">
        <f>SUM(AB$49:AB$70)+SUM(AD$49:AD$70)+SUM(AF$49:AF$70)+SUM(AH$49:AH$70)</f>
        <v>940.82743869389788</v>
      </c>
      <c r="H112">
        <f>SUM(AJ$49:AJ$70)+SUM(AL$49:AL$70)+SUM(AN$49:AN$70)+SUM(AP$49:AP$70)</f>
        <v>812.84205077537706</v>
      </c>
      <c r="I112">
        <f>SUM(AR$49:AR$70)+SUM(AT$49:AT$70)+SUM(AV$49:AV$70)+SUM(AX$49:AX$70)</f>
        <v>1034.2205635708744</v>
      </c>
      <c r="J112">
        <f>SUM(AZ$49:AZ$70)+SUM(BB$49:BB$70)+SUM(BD$49:BD$70)+SUM(BF$49:BF$70)</f>
        <v>912.53030824645009</v>
      </c>
      <c r="K112">
        <f>SUM(BH$49:BH$70)+SUM(BJ$49:BJ$70)+SUM(BL$49:BL$70)+SUM(BN$49:BN$70)</f>
        <v>1006.9309605797173</v>
      </c>
      <c r="L112">
        <f>SUM(BP$49:BP$70)+SUM(BR$49:BR$70)+SUM(BT$49:BT$70)+SUM(BV$49:BV$70)</f>
        <v>1034.3229781252878</v>
      </c>
      <c r="M112">
        <f>SUM(BX$49:BX$70)+SUM(BZ$49:BZ$70)+SUM(CB$49:CB$70)+SUM(CD$49:CD$70)</f>
        <v>986.02959322890513</v>
      </c>
      <c r="N112">
        <f>SUM(CF$49:CF$70)+SUM(CH$49:CH$70)+SUM(CJ$49:CJ$70)+SUM(CL$49:CL$70)</f>
        <v>978.68427098376333</v>
      </c>
      <c r="O112">
        <f>SUM(CN$49:CN$70)+SUM(CP$49:CP$70)+SUM(CR$49:CR$70)+SUM(CT$49:CT$70)</f>
        <v>878.40518055231996</v>
      </c>
    </row>
    <row r="113" spans="2:15" x14ac:dyDescent="0.2">
      <c r="C113" s="118" t="s">
        <v>130</v>
      </c>
      <c r="D113">
        <f>SUM(D$71:D$86)+SUM(F$71:F$86)+SUM(H$71:H$86)+SUM(J$71:J$86)</f>
        <v>422.53869242754047</v>
      </c>
      <c r="E113">
        <f>SUM(L$71:L$86)+SUM(N$71:N$86)+SUM(P$71:P$86)+SUM(R$71:R$86)</f>
        <v>530.34340939525987</v>
      </c>
      <c r="F113">
        <f>SUM(T$71:T$86)+SUM(V$71:V$86)+SUM(X$71:X$86)+SUM(Z$71:Z$86)</f>
        <v>591.53408911614315</v>
      </c>
      <c r="G113">
        <f>SUM(AB$71:AB$86)+SUM(AD$71:AD$86)+SUM(AF$71:AF$86)+SUM(AH$71:AH$86)</f>
        <v>698.92691717923549</v>
      </c>
      <c r="H113">
        <f>SUM(AJ$71:AJ$86)+SUM(AL$71:AL$86)+SUM(AN$71:AN$86)+SUM(AP$71:AP$86)</f>
        <v>697.40667767177683</v>
      </c>
      <c r="I113">
        <f>SUM(AR$71:AR$86)+SUM(AT$71:AT$86)+SUM(AV$71:AV$86)+SUM(AX$71:AX$86)</f>
        <v>560.03075954404244</v>
      </c>
      <c r="J113">
        <f>SUM(AZ$71:AZ$86)+SUM(BB$71:BB$86)+SUM(BD$71:BD$86)+SUM(BF$71:BF$86)</f>
        <v>678.88686113944539</v>
      </c>
      <c r="K113">
        <f>SUM(BH$71:BH$86)+SUM(BJ$71:BJ$86)+SUM(BL$71:BL$86)+SUM(BN$71:BN$86)</f>
        <v>546.27987992756994</v>
      </c>
      <c r="L113">
        <f>SUM(BP$71:BP$86)+SUM(BR$71:BR$86)+SUM(BT$71:BT$86)+SUM(BV$71:BV$86)</f>
        <v>794.67228493055939</v>
      </c>
      <c r="M113">
        <f>SUM(BX$71:BX$86)+SUM(BZ$71:BZ$86)+SUM(CB$71:CB$86)+SUM(CD$71:CD$86)</f>
        <v>660.1376201936273</v>
      </c>
      <c r="N113">
        <f>SUM(CF$71:CF$86)+SUM(CH$71:CH$86)+SUM(CJ$71:CJ$86)+SUM(CL$71:CL$86)</f>
        <v>777.94283471915162</v>
      </c>
      <c r="O113">
        <f>SUM(CN$71:CN$86)+SUM(CP$71:CP$86)+SUM(CR$71:CR$86)+SUM(CT$71:CT$86)</f>
        <v>682.75613634330682</v>
      </c>
    </row>
    <row r="114" spans="2:15" x14ac:dyDescent="0.2">
      <c r="C114" s="118" t="s">
        <v>131</v>
      </c>
      <c r="D114">
        <f>SUM(D$87:D$94)+SUM(F$87:F$94)+SUM(H$87:H$94)+SUM(J$87:J$94)</f>
        <v>189.40014746371389</v>
      </c>
      <c r="E114">
        <f>SUM(L$87:L$94)+SUM(N$87:N$94)+SUM(P$87:P$94)+SUM(R$87:R$94)</f>
        <v>231.49757045475104</v>
      </c>
      <c r="F114">
        <f>SUM(T$87:T$94)+SUM(V$87:V$94)+SUM(X$87:X$94)+SUM(Z$87:Z$94)</f>
        <v>252.1734160410131</v>
      </c>
      <c r="G114">
        <f>SUM(AB$87:AB$94)+SUM(AD$87:AD$94)+SUM(AF$87:AF$94)+SUM(AH$87:AH$94)</f>
        <v>210.14843039497416</v>
      </c>
      <c r="H114">
        <f>SUM(AJ$87:AJ$94)+SUM(AL$87:AL$94)+SUM(AN$87:AN$94)+SUM(AP$87:AP$94)</f>
        <v>224.67495578777658</v>
      </c>
      <c r="I114">
        <f>SUM(AR$87:AR$94)+SUM(AT$87:AT$94)+SUM(AV$87:AV$94)+SUM(AX$87:AX$94)</f>
        <v>202.23364652483457</v>
      </c>
      <c r="J114">
        <f>SUM(AZ$87:AZ$94)+SUM(BB$87:BB$94)+SUM(BD$87:BD$94)+SUM(BF$87:BF$94)</f>
        <v>198.25493893514266</v>
      </c>
      <c r="K114">
        <f>SUM(BH$87:BH$94)+SUM(BJ$87:BJ$94)+SUM(BL$87:BL$94)+SUM(BN$87:BN$94)</f>
        <v>253.37223210536007</v>
      </c>
      <c r="L114">
        <f>SUM(BP$87:BP$94)+SUM(BR$87:BR$94)+SUM(BT$87:BT$94)+SUM(BV$87:BV$94)</f>
        <v>280.20951062317232</v>
      </c>
      <c r="M114">
        <f>SUM(BX$87:BX$94)+SUM(BZ$87:BZ$94)+SUM(CB$87:CB$94)+SUM(CD$87:CD$94)</f>
        <v>203.53825501022004</v>
      </c>
      <c r="N114">
        <f>SUM(CF$87:CF$94)+SUM(CH$87:CH$94)+SUM(CJ$87:CJ$94)+SUM(CL$87:CL$94)</f>
        <v>269.89482297517645</v>
      </c>
      <c r="O114">
        <f>SUM(CN$87:CN$94)+SUM(CP$87:CP$94)+SUM(CR$87:CR$94)+SUM(CT$87:CT$94)</f>
        <v>263.99343791239193</v>
      </c>
    </row>
    <row r="115" spans="2:15" x14ac:dyDescent="0.2">
      <c r="C115" s="118" t="s">
        <v>132</v>
      </c>
      <c r="D115">
        <f>SUM(D$95:D$105)+SUM(F$95:F$105)+SUM(H$95:H$105)+SUM(J$95:J$105)</f>
        <v>517.51570468452087</v>
      </c>
      <c r="E115">
        <f>SUM(L$95:L$105)+SUM(N$95:N$105)+SUM(P$95:P$105)+SUM(R$95:R$105)</f>
        <v>843.92694436178135</v>
      </c>
      <c r="F115">
        <f>SUM(T$95:T$105)+SUM(V$95:V$105)+SUM(X$95:X$105)+SUM(Z$95:Z$105)</f>
        <v>737.63139466113421</v>
      </c>
      <c r="G115">
        <f>SUM(AB$95:AB$105)+SUM(AD$95:AD$105)+SUM(AF$95:AF$105)+SUM(AH$95:AH$105)</f>
        <v>883.77120319289293</v>
      </c>
      <c r="H115">
        <f>SUM(AJ$95:AJ$105)+SUM(AL$95:AL$105)+SUM(AN$95:AN$105)+SUM(AP$95:AP$105)</f>
        <v>785.42291781598726</v>
      </c>
      <c r="I115">
        <f>SUM(AR$95:AR$105)+SUM(AT$95:AT$105)+SUM(AV$95:AV$105)+SUM(AX$95:AX$105)</f>
        <v>923.53973381963237</v>
      </c>
      <c r="J115">
        <f>SUM(AZ$95:AZ$105)+SUM(BB$95:BB$105)+SUM(BD$95:BD$105)+SUM(BF$95:BF$105)</f>
        <v>746.6325921471464</v>
      </c>
      <c r="K115">
        <f>SUM(BH$95:BH$105)+SUM(BJ$95:BJ$105)+SUM(BL$95:BL$105)+SUM(BN$95:BN$105)</f>
        <v>883.81846811306877</v>
      </c>
      <c r="L115">
        <f>SUM(BP$95:BP$105)+SUM(BR$95:BR$105)+SUM(BT$95:BT$105)+SUM(BV$95:BV$105)</f>
        <v>723.5998891669858</v>
      </c>
      <c r="M115">
        <f>SUM(BX$95:BX$105)+SUM(BZ$95:BZ$105)+SUM(CB$95:CB$105)+SUM(CD$95:CD$105)</f>
        <v>847.86028455884582</v>
      </c>
      <c r="N115">
        <f>SUM(CF$95:CF$105)+SUM(CH$95:CH$105)+SUM(CJ$95:CJ$105)+SUM(CL$95:CL$105)</f>
        <v>881.5827641839021</v>
      </c>
      <c r="O115">
        <f>SUM(CN$95:CN$105)+SUM(CP$95:CP$105)+SUM(CR$95:CR$105)+SUM(CT$95:CT$105)</f>
        <v>902.15505239538982</v>
      </c>
    </row>
    <row r="116" spans="2:15" x14ac:dyDescent="0.2">
      <c r="C116" s="118" t="s">
        <v>278</v>
      </c>
      <c r="D116">
        <f t="shared" ref="D116:O116" si="0">SUM(D$109:D$115)</f>
        <v>5703.0032985825119</v>
      </c>
      <c r="E116">
        <f t="shared" si="0"/>
        <v>6829.1500093134555</v>
      </c>
      <c r="F116">
        <f t="shared" si="0"/>
        <v>6563.6661795845439</v>
      </c>
      <c r="G116">
        <f t="shared" si="0"/>
        <v>6641.673989461</v>
      </c>
      <c r="H116">
        <f t="shared" si="0"/>
        <v>6551.3466020509177</v>
      </c>
      <c r="I116">
        <f t="shared" si="0"/>
        <v>6913.024703459384</v>
      </c>
      <c r="J116">
        <f t="shared" si="0"/>
        <v>6753.3047004681839</v>
      </c>
      <c r="K116">
        <f t="shared" si="0"/>
        <v>6829.4015407257157</v>
      </c>
      <c r="L116">
        <f t="shared" si="0"/>
        <v>7377.8046628460061</v>
      </c>
      <c r="M116">
        <f t="shared" si="0"/>
        <v>7013.5657529915989</v>
      </c>
      <c r="N116">
        <f t="shared" si="0"/>
        <v>7739.1046928619944</v>
      </c>
      <c r="O116">
        <f t="shared" si="0"/>
        <v>7499.3098072034081</v>
      </c>
    </row>
    <row r="118" spans="2:15" x14ac:dyDescent="0.2">
      <c r="B118" s="120" t="s">
        <v>279</v>
      </c>
    </row>
    <row r="119" spans="2:15" x14ac:dyDescent="0.2">
      <c r="C119" s="118" t="s">
        <v>277</v>
      </c>
      <c r="D119" s="118" t="s">
        <v>92</v>
      </c>
      <c r="E119" s="118" t="s">
        <v>93</v>
      </c>
      <c r="F119" s="118" t="s">
        <v>94</v>
      </c>
      <c r="G119" s="118" t="s">
        <v>95</v>
      </c>
      <c r="H119" s="118" t="s">
        <v>96</v>
      </c>
      <c r="I119" s="118" t="s">
        <v>97</v>
      </c>
      <c r="J119" s="118" t="s">
        <v>98</v>
      </c>
      <c r="K119" s="118" t="s">
        <v>99</v>
      </c>
      <c r="L119" s="118" t="s">
        <v>100</v>
      </c>
      <c r="M119" s="118" t="s">
        <v>101</v>
      </c>
      <c r="N119" s="118" t="s">
        <v>102</v>
      </c>
      <c r="O119" s="118" t="s">
        <v>103</v>
      </c>
    </row>
    <row r="120" spans="2:15" x14ac:dyDescent="0.2">
      <c r="C120" s="118" t="s">
        <v>126</v>
      </c>
      <c r="D120">
        <f>D109*pricing!D24*2000</f>
        <v>4357575</v>
      </c>
      <c r="E120">
        <f>E109*pricing!E24*2000</f>
        <v>4646475</v>
      </c>
      <c r="F120">
        <f>F109*pricing!F24*2000</f>
        <v>4177012.5</v>
      </c>
      <c r="G120">
        <f>G109*pricing!G24*2000</f>
        <v>4923337.5000000009</v>
      </c>
      <c r="H120">
        <f>H109*pricing!H24*2000</f>
        <v>4441837.5000000009</v>
      </c>
      <c r="I120">
        <f>I109*pricing!I24*2000</f>
        <v>4449862.5</v>
      </c>
      <c r="J120">
        <f>J109*pricing!J24*2000</f>
        <v>4349550</v>
      </c>
      <c r="K120">
        <f>K109*pricing!K24*2000</f>
        <v>4136887.5</v>
      </c>
      <c r="L120">
        <f>L109*pricing!L24*2000</f>
        <v>5079825</v>
      </c>
      <c r="M120">
        <f>M109*pricing!M24*2000</f>
        <v>5308537.5</v>
      </c>
      <c r="N120">
        <f>N109*pricing!N24*2000</f>
        <v>5533237.5</v>
      </c>
      <c r="O120">
        <f>O109*pricing!O24*2000</f>
        <v>5790037.5</v>
      </c>
    </row>
    <row r="121" spans="2:15" x14ac:dyDescent="0.2">
      <c r="C121" s="118" t="s">
        <v>127</v>
      </c>
      <c r="D121">
        <f>D110*pricing!D25*2000</f>
        <v>8045062.5</v>
      </c>
      <c r="E121">
        <f>E110*pricing!E25*2000</f>
        <v>9754387.5</v>
      </c>
      <c r="F121">
        <f>F110*pricing!F25*2000</f>
        <v>9413325</v>
      </c>
      <c r="G121">
        <f>G110*pricing!G25*2000</f>
        <v>8438287.5</v>
      </c>
      <c r="H121">
        <f>H110*pricing!H25*2000</f>
        <v>8895712.5</v>
      </c>
      <c r="I121">
        <f>I110*pricing!I25*2000</f>
        <v>9036150</v>
      </c>
      <c r="J121">
        <f>J110*pricing!J25*2000</f>
        <v>9537712.5</v>
      </c>
      <c r="K121">
        <f>K110*pricing!K25*2000</f>
        <v>9930937.5</v>
      </c>
      <c r="L121">
        <f>L110*pricing!L25*2000</f>
        <v>10448550.000000002</v>
      </c>
      <c r="M121">
        <f>M110*pricing!M25*2000</f>
        <v>9256837.5</v>
      </c>
      <c r="N121">
        <f>N110*pricing!N25*2000</f>
        <v>10633125</v>
      </c>
      <c r="O121">
        <f>O110*pricing!O25*2000</f>
        <v>10548862.500000002</v>
      </c>
    </row>
    <row r="122" spans="2:15" x14ac:dyDescent="0.2">
      <c r="C122" s="118" t="s">
        <v>128</v>
      </c>
      <c r="D122">
        <f>D111*pricing!D26*2000</f>
        <v>2768356.2500000005</v>
      </c>
      <c r="E122">
        <f>E111*pricing!E26*2000</f>
        <v>3178312.5</v>
      </c>
      <c r="F122">
        <f>F111*pricing!F26*2000</f>
        <v>3634331.25</v>
      </c>
      <c r="G122">
        <f>G111*pricing!G26*2000</f>
        <v>2662412.5</v>
      </c>
      <c r="H122">
        <f>H111*pricing!H26*2000</f>
        <v>3256618.75</v>
      </c>
      <c r="I122">
        <f>I111*pricing!I26*2000</f>
        <v>3832400</v>
      </c>
      <c r="J122">
        <f>J111*pricing!J26*2000</f>
        <v>3482325.0000000005</v>
      </c>
      <c r="K122">
        <f>K111*pricing!K26*2000</f>
        <v>2915756.25</v>
      </c>
      <c r="L122">
        <f>L111*pricing!L26*2000</f>
        <v>3109218.75</v>
      </c>
      <c r="M122">
        <f>M111*pricing!M26*2000</f>
        <v>3159887.5000000005</v>
      </c>
      <c r="N122">
        <f>N111*pricing!N26*2000</f>
        <v>3694212.5</v>
      </c>
      <c r="O122">
        <f>O111*pricing!O26*2000</f>
        <v>3224375</v>
      </c>
    </row>
    <row r="123" spans="2:15" x14ac:dyDescent="0.2">
      <c r="C123" s="118" t="s">
        <v>129</v>
      </c>
      <c r="D123">
        <f>D112*pricing!D27*2000</f>
        <v>4165317.8626818298</v>
      </c>
      <c r="E123">
        <f>E112*pricing!E27*2000</f>
        <v>4462205.3521053568</v>
      </c>
      <c r="F123">
        <f>F112*pricing!F27*2000</f>
        <v>3809896.3968955441</v>
      </c>
      <c r="G123">
        <f>G112*pricing!G27*2000</f>
        <v>4445409.6478286674</v>
      </c>
      <c r="H123">
        <f>H112*pricing!H27*2000</f>
        <v>3840678.6899136566</v>
      </c>
      <c r="I123">
        <f>I112*pricing!I27*2000</f>
        <v>4886692.1628723815</v>
      </c>
      <c r="J123">
        <f>J112*pricing!J27*2000</f>
        <v>4311705.706464476</v>
      </c>
      <c r="K123">
        <f>K112*pricing!K27*2000</f>
        <v>4757748.7887391634</v>
      </c>
      <c r="L123">
        <f>L112*pricing!L27*2000</f>
        <v>4887176.0716419853</v>
      </c>
      <c r="M123">
        <f>M112*pricing!M27*2000</f>
        <v>4658989.8280065767</v>
      </c>
      <c r="N123">
        <f>N112*pricing!N27*2000</f>
        <v>4624283.1803982817</v>
      </c>
      <c r="O123">
        <f>O112*pricing!O27*2000</f>
        <v>4150464.4781097113</v>
      </c>
    </row>
    <row r="124" spans="2:15" x14ac:dyDescent="0.2">
      <c r="C124" s="118" t="s">
        <v>130</v>
      </c>
      <c r="D124">
        <f>D113*pricing!D28*2000</f>
        <v>1996495.3217201284</v>
      </c>
      <c r="E124">
        <f>E113*pricing!E28*2000</f>
        <v>2505872.6093926025</v>
      </c>
      <c r="F124">
        <f>F113*pricing!F28*2000</f>
        <v>2794998.5710737761</v>
      </c>
      <c r="G124">
        <f>G113*pricing!G28*2000</f>
        <v>3302429.683671887</v>
      </c>
      <c r="H124">
        <f>H113*pricing!H28*2000</f>
        <v>3295246.5519991452</v>
      </c>
      <c r="I124">
        <f>I113*pricing!I28*2000</f>
        <v>2646145.3388456004</v>
      </c>
      <c r="J124">
        <f>J113*pricing!J28*2000</f>
        <v>3207740.4188838792</v>
      </c>
      <c r="K124">
        <f>K113*pricing!K28*2000</f>
        <v>2581172.432657768</v>
      </c>
      <c r="L124">
        <f>L113*pricing!L28*2000</f>
        <v>3754826.5462968932</v>
      </c>
      <c r="M124">
        <f>M113*pricing!M28*2000</f>
        <v>3119150.2554148887</v>
      </c>
      <c r="N124">
        <f>N113*pricing!N28*2000</f>
        <v>3675779.8940479909</v>
      </c>
      <c r="O124">
        <f>O113*pricing!O28*2000</f>
        <v>3226022.7442221246</v>
      </c>
    </row>
    <row r="125" spans="2:15" x14ac:dyDescent="0.2">
      <c r="C125" s="118" t="s">
        <v>131</v>
      </c>
      <c r="D125">
        <f>D114*pricing!D29*2000</f>
        <v>1035135.6865693415</v>
      </c>
      <c r="E125">
        <f>E114*pricing!E29*2000</f>
        <v>1265212.3017893787</v>
      </c>
      <c r="F125">
        <f>F114*pricing!F29*2000</f>
        <v>1378212.7714454934</v>
      </c>
      <c r="G125">
        <f>G114*pricing!G29*2000</f>
        <v>1148532.0507474621</v>
      </c>
      <c r="H125">
        <f>H114*pricing!H29*2000</f>
        <v>1227924.4115101504</v>
      </c>
      <c r="I125">
        <f>I114*pricing!I29*2000</f>
        <v>1105275.0874072697</v>
      </c>
      <c r="J125">
        <f>J114*pricing!J29*2000</f>
        <v>1083530.1084953423</v>
      </c>
      <c r="K125">
        <f>K114*pricing!K29*2000</f>
        <v>1384764.7055725558</v>
      </c>
      <c r="L125">
        <f>L114*pricing!L29*2000</f>
        <v>1531439.4843211337</v>
      </c>
      <c r="M125">
        <f>M114*pricing!M29*2000</f>
        <v>1112405.2127968627</v>
      </c>
      <c r="N125">
        <f>N114*pricing!N29*2000</f>
        <v>1475066.2373979648</v>
      </c>
      <c r="O125">
        <f>O114*pricing!O29*2000</f>
        <v>1442813.1776169748</v>
      </c>
    </row>
    <row r="126" spans="2:15" x14ac:dyDescent="0.2">
      <c r="C126" s="118" t="s">
        <v>132</v>
      </c>
      <c r="D126">
        <f>D115*pricing!D30*2000</f>
        <v>2264131.2079947786</v>
      </c>
      <c r="E126">
        <f>E115*pricing!E30*2000</f>
        <v>3692180.3815827933</v>
      </c>
      <c r="F126">
        <f>F115*pricing!F30*2000</f>
        <v>3227137.3516424624</v>
      </c>
      <c r="G126">
        <f>G115*pricing!G30*2000</f>
        <v>3866499.0139689068</v>
      </c>
      <c r="H126">
        <f>H115*pricing!H30*2000</f>
        <v>3436225.2654449446</v>
      </c>
      <c r="I126">
        <f>I115*pricing!I30*2000</f>
        <v>4040486.3354608915</v>
      </c>
      <c r="J126">
        <f>J115*pricing!J30*2000</f>
        <v>3266517.5906437654</v>
      </c>
      <c r="K126">
        <f>K115*pricing!K30*2000</f>
        <v>3866705.7979946756</v>
      </c>
      <c r="L126">
        <f>L115*pricing!L30*2000</f>
        <v>3165749.5151055628</v>
      </c>
      <c r="M126">
        <f>M115*pricing!M30*2000</f>
        <v>3709388.7449449501</v>
      </c>
      <c r="N126">
        <f>N115*pricing!N30*2000</f>
        <v>3856924.5933045717</v>
      </c>
      <c r="O126">
        <f>O115*pricing!O30*2000</f>
        <v>3946928.3542298302</v>
      </c>
    </row>
    <row r="127" spans="2:15" x14ac:dyDescent="0.2">
      <c r="C127" s="118" t="s">
        <v>278</v>
      </c>
      <c r="D127">
        <f t="shared" ref="D127:O127" si="1">SUM(D$120:D$126)</f>
        <v>24632073.828966074</v>
      </c>
      <c r="E127">
        <f t="shared" si="1"/>
        <v>29504645.644870128</v>
      </c>
      <c r="F127">
        <f t="shared" si="1"/>
        <v>28434913.841057278</v>
      </c>
      <c r="G127">
        <f t="shared" si="1"/>
        <v>28786907.896216925</v>
      </c>
      <c r="H127">
        <f t="shared" si="1"/>
        <v>28394243.668867897</v>
      </c>
      <c r="I127">
        <f t="shared" si="1"/>
        <v>29997011.42458614</v>
      </c>
      <c r="J127">
        <f t="shared" si="1"/>
        <v>29239081.324487463</v>
      </c>
      <c r="K127">
        <f t="shared" si="1"/>
        <v>29573972.974964164</v>
      </c>
      <c r="L127">
        <f t="shared" si="1"/>
        <v>31976785.367365576</v>
      </c>
      <c r="M127">
        <f t="shared" si="1"/>
        <v>30325196.541163277</v>
      </c>
      <c r="N127">
        <f t="shared" si="1"/>
        <v>33492628.905148808</v>
      </c>
      <c r="O127">
        <f t="shared" si="1"/>
        <v>32329503.75417864</v>
      </c>
    </row>
    <row r="129" spans="2:15" x14ac:dyDescent="0.2">
      <c r="B129" s="120" t="s">
        <v>280</v>
      </c>
    </row>
    <row r="130" spans="2:15" x14ac:dyDescent="0.2">
      <c r="C130" s="122" t="s">
        <v>277</v>
      </c>
      <c r="D130" s="122" t="s">
        <v>92</v>
      </c>
      <c r="E130" s="122" t="s">
        <v>93</v>
      </c>
      <c r="F130" s="122" t="s">
        <v>94</v>
      </c>
      <c r="G130" s="122" t="s">
        <v>95</v>
      </c>
      <c r="H130" s="122" t="s">
        <v>96</v>
      </c>
      <c r="I130" s="122" t="s">
        <v>97</v>
      </c>
      <c r="J130" s="122" t="s">
        <v>98</v>
      </c>
      <c r="K130" s="122" t="s">
        <v>99</v>
      </c>
      <c r="L130" s="122" t="s">
        <v>100</v>
      </c>
      <c r="M130" s="122" t="s">
        <v>101</v>
      </c>
      <c r="N130" s="122" t="s">
        <v>102</v>
      </c>
      <c r="O130" s="122" t="s">
        <v>103</v>
      </c>
    </row>
    <row r="131" spans="2:15" x14ac:dyDescent="0.2">
      <c r="C131" s="122" t="s">
        <v>126</v>
      </c>
      <c r="D131" s="123">
        <f>SUM(E$6:E$19)+SUM(G$6:G$19)+SUM(I$6:I$19)+SUM(K$6:K$19)</f>
        <v>546649.19999999995</v>
      </c>
      <c r="E131" s="123">
        <f>SUM(M$6:M$19)+SUM(O$6:O$19)+SUM(Q$6:Q$19)+SUM(S$6:S$19)</f>
        <v>584398.80000000005</v>
      </c>
      <c r="F131" s="123">
        <f>SUM(U$6:U$19)+SUM(W$6:W$19)+SUM(Y$6:Y$19)+SUM(AA$6:AA$19)</f>
        <v>523358.39999999997</v>
      </c>
      <c r="G131" s="123">
        <f>SUM(AC$6:AC$19)+SUM(AE$6:AE$19)+SUM(AG$6:AG$19)+SUM(AI$6:AI$19)</f>
        <v>619353.59999999986</v>
      </c>
      <c r="H131" s="123">
        <f>SUM(AK$6:AK$19)+SUM(AM$6:AM$19)+SUM(AO$6:AO$19)+SUM(AQ$6:AQ$19)</f>
        <v>556112.4</v>
      </c>
      <c r="I131" s="123">
        <f>SUM(AS$6:AS$19)+SUM(AU$6:AU$19)+SUM(AW$6:AW$19)+SUM(AY$6:AY$19)</f>
        <v>557283.6</v>
      </c>
      <c r="J131" s="123">
        <f>SUM(BA$6:BA$19)+SUM(BC$6:BC$19)+SUM(BE$6:BE$19)+SUM(BG$6:BG$19)</f>
        <v>544344</v>
      </c>
      <c r="K131" s="123">
        <f>SUM(BI$6:BI$19)+SUM(BK$6:BK$19)+SUM(BM$6:BM$19)+SUM(BO$6:BO$19)</f>
        <v>520273.19999999995</v>
      </c>
      <c r="L131" s="123">
        <f>SUM(BQ$6:BQ$19)+SUM(BS$6:BS$19)+SUM(BU$6:BU$19)+SUM(BW$6:BW$19)</f>
        <v>636351.6</v>
      </c>
      <c r="M131" s="123">
        <f>SUM(BY$6:BY$19)+SUM(CA$6:CA$19)+SUM(CC$6:CC$19)+SUM(CE$6:CE$19)</f>
        <v>664081.19999999995</v>
      </c>
      <c r="N131" s="123">
        <f>SUM(CG$6:CG$19)+SUM(CI$6:CI$19)+SUM(CK$6:CK$19)+SUM(CM$6:CM$19)</f>
        <v>695872.8</v>
      </c>
      <c r="O131" s="123">
        <f>SUM(CO$6:CO$19)+SUM(CQ$6:CQ$19)+SUM(CS$6:CS$19)+SUM(CU$6:CU$19)</f>
        <v>724314</v>
      </c>
    </row>
    <row r="132" spans="2:15" x14ac:dyDescent="0.2">
      <c r="C132" s="122" t="s">
        <v>127</v>
      </c>
      <c r="D132" s="123">
        <f>SUM(E$20:E$36)+SUM(G$20:G$36)+SUM(I$20:I$36)+SUM(K$20:K$36)</f>
        <v>853111.20000000007</v>
      </c>
      <c r="E132" s="123">
        <f>SUM(M$20:M$36)+SUM(O$20:O$36)+SUM(Q$20:Q$36)+SUM(S$20:S$36)</f>
        <v>1035759.5999999999</v>
      </c>
      <c r="F132" s="123">
        <f>SUM(U$20:U$36)+SUM(W$20:W$36)+SUM(Y$20:Y$36)+SUM(AA$20:AA$36)</f>
        <v>993037.2</v>
      </c>
      <c r="G132" s="123">
        <f>SUM(AC$20:AC$36)+SUM(AE$20:AE$36)+SUM(AG$20:AG$36)+SUM(AI$20:AI$36)</f>
        <v>893076</v>
      </c>
      <c r="H132" s="123">
        <f>SUM(AK$20:AK$36)+SUM(AM$20:AM$36)+SUM(AO$20:AO$36)+SUM(AQ$20:AQ$36)</f>
        <v>944577.6</v>
      </c>
      <c r="I132" s="123">
        <f>SUM(AS$20:AS$36)+SUM(AU$20:AU$36)+SUM(AW$20:AW$36)+SUM(AY$20:AY$36)</f>
        <v>959274.00000000012</v>
      </c>
      <c r="J132" s="123">
        <f>SUM(BA$20:BA$36)+SUM(BC$20:BC$36)+SUM(BE$20:BE$36)+SUM(BG$20:BG$36)</f>
        <v>1014741.6</v>
      </c>
      <c r="K132" s="123">
        <f>SUM(BI$20:BI$36)+SUM(BK$20:BK$36)+SUM(BM$20:BM$36)+SUM(BO$20:BO$36)</f>
        <v>1053624</v>
      </c>
      <c r="L132" s="123">
        <f>SUM(BQ$20:BQ$36)+SUM(BS$20:BS$36)+SUM(BU$20:BU$36)+SUM(BW$20:BW$36)</f>
        <v>1116835.2</v>
      </c>
      <c r="M132" s="123">
        <f>SUM(BY$20:BY$36)+SUM(CA$20:CA$36)+SUM(CC$20:CC$36)+SUM(CE$20:CE$36)</f>
        <v>986955.60000000009</v>
      </c>
      <c r="N132" s="123">
        <f>SUM(CG$20:CG$36)+SUM(CI$20:CI$36)+SUM(CK$20:CK$36)+SUM(CM$20:CM$36)</f>
        <v>1135834.8</v>
      </c>
      <c r="O132" s="123">
        <f>SUM(CO$20:CO$36)+SUM(CQ$20:CQ$36)+SUM(CS$20:CS$36)+SUM(CU$20:CU$36)</f>
        <v>1117874.3999999999</v>
      </c>
    </row>
    <row r="133" spans="2:15" x14ac:dyDescent="0.2">
      <c r="C133" s="122" t="s">
        <v>128</v>
      </c>
      <c r="D133" s="123">
        <f>SUM(E$37:E$48)+SUM(G$37:G$48)+SUM(I$37:I$48)+SUM(K$37:K$48)</f>
        <v>631574.39999999991</v>
      </c>
      <c r="E133" s="123">
        <f>SUM(M$37:M$48)+SUM(O$37:O$48)+SUM(Q$37:Q$48)+SUM(S$37:S$48)</f>
        <v>724868.39999999991</v>
      </c>
      <c r="F133" s="123">
        <f>SUM(U$37:U$48)+SUM(W$37:W$48)+SUM(Y$37:Y$48)+SUM(AA$37:AA$48)</f>
        <v>827878.79999999993</v>
      </c>
      <c r="G133" s="123">
        <f>SUM(AC$37:AC$48)+SUM(AE$37:AE$48)+SUM(AG$37:AG$48)+SUM(AI$37:AI$48)</f>
        <v>604333.19999999995</v>
      </c>
      <c r="H133" s="123">
        <f>SUM(AK$37:AK$48)+SUM(AM$37:AM$48)+SUM(AO$37:AO$48)+SUM(AQ$37:AQ$48)</f>
        <v>738219.59999999986</v>
      </c>
      <c r="I133" s="123">
        <f>SUM(AS$37:AS$48)+SUM(AU$37:AU$48)+SUM(AW$37:AW$48)+SUM(AY$37:AY$48)</f>
        <v>875065.20000000007</v>
      </c>
      <c r="J133" s="123">
        <f>SUM(BA$37:BA$48)+SUM(BC$37:BC$48)+SUM(BE$37:BE$48)+SUM(BG$37:BG$48)</f>
        <v>793651.19999999995</v>
      </c>
      <c r="K133" s="123">
        <f>SUM(BI$37:BI$48)+SUM(BK$37:BK$48)+SUM(BM$37:BM$48)+SUM(BO$37:BO$48)</f>
        <v>664694.39999999991</v>
      </c>
      <c r="L133" s="123">
        <f>SUM(BQ$37:BQ$48)+SUM(BS$37:BS$48)+SUM(BU$37:BU$48)+SUM(BW$37:BW$48)</f>
        <v>707883.60000000009</v>
      </c>
      <c r="M133" s="123">
        <f>SUM(BY$37:BY$48)+SUM(CA$37:CA$48)+SUM(CC$37:CC$48)+SUM(CE$37:CE$48)</f>
        <v>714182.39999999991</v>
      </c>
      <c r="N133" s="123">
        <f>SUM(CG$37:CG$48)+SUM(CI$37:CI$48)+SUM(CK$37:CK$48)+SUM(CM$37:CM$48)</f>
        <v>841218</v>
      </c>
      <c r="O133" s="123">
        <f>SUM(CO$37:CO$48)+SUM(CQ$37:CQ$48)+SUM(CS$37:CS$48)+SUM(CU$37:CU$48)</f>
        <v>734138.4</v>
      </c>
    </row>
    <row r="134" spans="2:15" x14ac:dyDescent="0.2">
      <c r="C134" s="122" t="s">
        <v>129</v>
      </c>
      <c r="D134" s="123">
        <f>SUM(E$49:E$70)+SUM(G$49:G$70)+SUM(I$49:I$70)+SUM(K$49:K$70)</f>
        <v>739803.76952392142</v>
      </c>
      <c r="E134" s="123">
        <f>SUM(M$49:M$70)+SUM(O$49:O$70)+SUM(Q$49:Q$70)+SUM(S$49:S$70)</f>
        <v>800772.31412223214</v>
      </c>
      <c r="F134" s="123">
        <f>SUM(U$49:U$70)+SUM(W$49:W$70)+SUM(Y$49:Y$70)+SUM(AA$49:AA$70)</f>
        <v>683715.04777384945</v>
      </c>
      <c r="G134" s="123">
        <f>SUM(AC$49:AC$70)+SUM(AE$49:AE$70)+SUM(AG$49:AG$70)+SUM(AI$49:AI$70)</f>
        <v>796743.5293841816</v>
      </c>
      <c r="H134" s="123">
        <f>SUM(AK$49:AK$70)+SUM(AM$49:AM$70)+SUM(AO$49:AO$70)+SUM(AQ$49:AQ$70)</f>
        <v>684952.07443791139</v>
      </c>
      <c r="I134" s="123">
        <f>SUM(AS$49:AS$70)+SUM(AU$49:AU$70)+SUM(AW$49:AW$70)+SUM(AY$49:AY$70)</f>
        <v>878222.45781658846</v>
      </c>
      <c r="J134" s="123">
        <f>SUM(BA$49:BA$70)+SUM(BC$49:BC$70)+SUM(BE$49:BE$70)+SUM(BG$49:BG$70)</f>
        <v>777103.85594606772</v>
      </c>
      <c r="K134" s="123">
        <f>SUM(BI$49:BI$70)+SUM(BK$49:BK$70)+SUM(BM$49:BM$70)+SUM(BO$49:BO$70)</f>
        <v>852489.77048749477</v>
      </c>
      <c r="L134" s="123">
        <f>SUM(BQ$49:BQ$70)+SUM(BS$49:BS$70)+SUM(BU$49:BU$70)+SUM(BW$49:BW$70)</f>
        <v>871805.62800582615</v>
      </c>
      <c r="M134" s="123">
        <f>SUM(BY$49:BY$70)+SUM(CA$49:CA$70)+SUM(CC$49:CC$70)+SUM(CE$49:CE$70)</f>
        <v>830269.37082798779</v>
      </c>
      <c r="N134" s="123">
        <f>SUM(CG$49:CG$70)+SUM(CI$49:CI$70)+SUM(CK$49:CK$70)+SUM(CM$49:CM$70)</f>
        <v>830391.04523630312</v>
      </c>
      <c r="O134" s="123">
        <f>SUM(CO$49:CO$70)+SUM(CQ$49:CQ$70)+SUM(CS$49:CS$70)+SUM(CU$49:CU$70)</f>
        <v>745662.35834431683</v>
      </c>
    </row>
    <row r="135" spans="2:15" x14ac:dyDescent="0.2">
      <c r="C135" s="122" t="s">
        <v>130</v>
      </c>
      <c r="D135" s="123">
        <f>SUM(E$71:E$86)+SUM(G$71:G$86)+SUM(I$71:I$86)+SUM(K$71:K$86)</f>
        <v>234398.46063811082</v>
      </c>
      <c r="E135" s="123">
        <f>SUM(M$71:M$86)+SUM(O$71:O$86)+SUM(Q$71:Q$86)+SUM(S$71:S$86)</f>
        <v>296328.24185050483</v>
      </c>
      <c r="F135" s="123">
        <f>SUM(U$71:U$86)+SUM(W$71:W$86)+SUM(Y$71:Y$86)+SUM(AA$71:AA$86)</f>
        <v>330755.89024864859</v>
      </c>
      <c r="G135" s="123">
        <f>SUM(AC$71:AC$86)+SUM(AE$71:AE$86)+SUM(AG$71:AG$86)+SUM(AI$71:AI$86)</f>
        <v>389932.77461914445</v>
      </c>
      <c r="H135" s="123">
        <f>SUM(AK$71:AK$86)+SUM(AM$71:AM$86)+SUM(AO$71:AO$86)+SUM(AQ$71:AQ$86)</f>
        <v>389078.97112998157</v>
      </c>
      <c r="I135" s="123">
        <f>SUM(AS$71:AS$86)+SUM(AU$71:AU$86)+SUM(AW$71:AW$86)+SUM(AY$71:AY$86)</f>
        <v>311821.23102194804</v>
      </c>
      <c r="J135" s="123">
        <f>SUM(BA$71:BA$86)+SUM(BC$71:BC$86)+SUM(BE$71:BE$86)+SUM(BG$71:BG$86)</f>
        <v>381343.0753354851</v>
      </c>
      <c r="K135" s="123">
        <f>SUM(BI$71:BI$86)+SUM(BK$71:BK$86)+SUM(BM$71:BM$86)+SUM(BO$71:BO$86)</f>
        <v>304251.53999374853</v>
      </c>
      <c r="L135" s="123">
        <f>SUM(BQ$71:BQ$86)+SUM(BS$71:BS$86)+SUM(BU$71:BU$86)+SUM(BW$71:BW$86)</f>
        <v>444619.63275526633</v>
      </c>
      <c r="M135" s="123">
        <f>SUM(BY$71:BY$86)+SUM(CA$71:CA$86)+SUM(CC$71:CC$86)+SUM(CE$71:CE$86)</f>
        <v>368205.90771296795</v>
      </c>
      <c r="N135" s="123">
        <f>SUM(CG$71:CG$86)+SUM(CI$71:CI$86)+SUM(CK$71:CK$86)+SUM(CM$71:CM$86)</f>
        <v>437815.17976418824</v>
      </c>
      <c r="O135" s="123">
        <f>SUM(CO$71:CO$86)+SUM(CQ$71:CQ$86)+SUM(CS$71:CS$86)+SUM(CU$71:CU$86)</f>
        <v>381865.01501224749</v>
      </c>
    </row>
    <row r="136" spans="2:15" x14ac:dyDescent="0.2">
      <c r="C136" s="122" t="s">
        <v>131</v>
      </c>
      <c r="D136" s="123">
        <f>SUM(E$87:E$94)+SUM(G$87:G$94)+SUM(I$87:I$94)+SUM(K$87:K$94)</f>
        <v>385226.48175257287</v>
      </c>
      <c r="E136" s="123">
        <f>SUM(M$87:M$94)+SUM(O$87:O$94)+SUM(Q$87:Q$94)+SUM(S$87:S$94)</f>
        <v>469647.18983441137</v>
      </c>
      <c r="F136" s="123">
        <f>SUM(U$87:U$94)+SUM(W$87:W$94)+SUM(Y$87:Y$94)+SUM(AA$87:AA$94)</f>
        <v>513443.30337934947</v>
      </c>
      <c r="G136" s="123">
        <f>SUM(AC$87:AC$94)+SUM(AE$87:AE$94)+SUM(AG$87:AG$94)+SUM(AI$87:AI$94)</f>
        <v>428193.25391544157</v>
      </c>
      <c r="H136" s="123">
        <f>SUM(AK$87:AK$94)+SUM(AM$87:AM$94)+SUM(AO$87:AO$94)+SUM(AQ$87:AQ$94)</f>
        <v>457914.08375801955</v>
      </c>
      <c r="I136" s="123">
        <f>SUM(AS$87:AS$94)+SUM(AU$87:AU$94)+SUM(AW$87:AW$94)+SUM(AY$87:AY$94)</f>
        <v>411860.51057261927</v>
      </c>
      <c r="J136" s="123">
        <f>SUM(BA$87:BA$94)+SUM(BC$87:BC$94)+SUM(BE$87:BE$94)+SUM(BG$87:BG$94)</f>
        <v>403474.59627679409</v>
      </c>
      <c r="K136" s="123">
        <f>SUM(BI$87:BI$94)+SUM(BK$87:BK$94)+SUM(BM$87:BM$94)+SUM(BO$87:BO$94)</f>
        <v>516098.72220000508</v>
      </c>
      <c r="L136" s="123">
        <f>SUM(BQ$87:BQ$94)+SUM(BS$87:BS$94)+SUM(BU$87:BU$94)+SUM(BW$87:BW$94)</f>
        <v>569527.26542397565</v>
      </c>
      <c r="M136" s="123">
        <f>SUM(BY$87:BY$94)+SUM(CA$87:CA$94)+SUM(CC$87:CC$94)+SUM(CE$87:CE$94)</f>
        <v>413292.16855738417</v>
      </c>
      <c r="N136" s="123">
        <f>SUM(CG$87:CG$94)+SUM(CI$87:CI$94)+SUM(CK$87:CK$94)+SUM(CM$87:CM$94)</f>
        <v>549184.77920941333</v>
      </c>
      <c r="O136" s="123">
        <f>SUM(CO$87:CO$94)+SUM(CQ$87:CQ$94)+SUM(CS$87:CS$94)+SUM(CU$87:CU$94)</f>
        <v>537051.34495613561</v>
      </c>
    </row>
    <row r="137" spans="2:15" x14ac:dyDescent="0.2">
      <c r="C137" s="122" t="s">
        <v>132</v>
      </c>
      <c r="D137" s="123">
        <f>SUM(E$95:E$105)+SUM(G$95:G$105)+SUM(I$95:I$105)+SUM(K$95:K$105)</f>
        <v>972958.97898595035</v>
      </c>
      <c r="E137" s="123">
        <f>SUM(M$95:M$105)+SUM(O$95:O$105)+SUM(Q$95:Q$105)+SUM(S$95:S$105)</f>
        <v>1589248.6787966839</v>
      </c>
      <c r="F137" s="123">
        <f>SUM(U$95:U$105)+SUM(W$95:W$105)+SUM(Y$95:Y$105)+SUM(AA$95:AA$105)</f>
        <v>1387471.6512000498</v>
      </c>
      <c r="G137" s="123">
        <f>SUM(AC$95:AC$105)+SUM(AE$95:AE$105)+SUM(AG$95:AG$105)+SUM(AI$95:AI$105)</f>
        <v>1683492.5849348139</v>
      </c>
      <c r="H137" s="123">
        <f>SUM(AK$95:AK$105)+SUM(AM$95:AM$105)+SUM(AO$95:AO$105)+SUM(AQ$95:AQ$105)</f>
        <v>1489136.5435293636</v>
      </c>
      <c r="I137" s="123">
        <f>SUM(AS$95:AS$105)+SUM(AU$95:AU$105)+SUM(AW$95:AW$105)+SUM(AY$95:AY$105)</f>
        <v>1739658.5291124834</v>
      </c>
      <c r="J137" s="123">
        <f>SUM(BA$95:BA$105)+SUM(BC$95:BC$105)+SUM(BE$95:BE$105)+SUM(BG$95:BG$105)</f>
        <v>1402434.3107869446</v>
      </c>
      <c r="K137" s="123">
        <f>SUM(BI$95:BI$105)+SUM(BK$95:BK$105)+SUM(BM$95:BM$105)+SUM(BO$95:BO$105)</f>
        <v>1681492.4347622739</v>
      </c>
      <c r="L137" s="123">
        <f>SUM(BQ$95:BQ$105)+SUM(BS$95:BS$105)+SUM(BU$95:BU$105)+SUM(BW$95:BW$105)</f>
        <v>1365569.2793731138</v>
      </c>
      <c r="M137" s="123">
        <f>SUM(BY$95:BY$105)+SUM(CA$95:CA$105)+SUM(CC$95:CC$105)+SUM(CE$95:CE$105)</f>
        <v>1589562.103744749</v>
      </c>
      <c r="N137" s="123">
        <f>SUM(CG$95:CG$105)+SUM(CI$95:CI$105)+SUM(CK$95:CK$105)+SUM(CM$95:CM$105)</f>
        <v>1666891.4944724974</v>
      </c>
      <c r="O137" s="123">
        <f>SUM(CO$95:CO$105)+SUM(CQ$95:CQ$105)+SUM(CS$95:CS$105)+SUM(CU$95:CU$105)</f>
        <v>1701199.0150532799</v>
      </c>
    </row>
    <row r="138" spans="2:15" x14ac:dyDescent="0.2">
      <c r="C138" s="122" t="s">
        <v>278</v>
      </c>
      <c r="D138">
        <f t="shared" ref="D138:O138" si="2">SUM(D$131:D$137)</f>
        <v>4363722.4909005556</v>
      </c>
      <c r="E138">
        <f t="shared" si="2"/>
        <v>5501023.2246038318</v>
      </c>
      <c r="F138">
        <f t="shared" si="2"/>
        <v>5259660.2926018974</v>
      </c>
      <c r="G138">
        <f t="shared" si="2"/>
        <v>5415124.9428535812</v>
      </c>
      <c r="H138">
        <f t="shared" si="2"/>
        <v>5259991.2728552762</v>
      </c>
      <c r="I138">
        <f t="shared" si="2"/>
        <v>5733185.5285236388</v>
      </c>
      <c r="J138">
        <f t="shared" si="2"/>
        <v>5317092.6383452909</v>
      </c>
      <c r="K138">
        <f t="shared" si="2"/>
        <v>5592924.0674435217</v>
      </c>
      <c r="L138">
        <f t="shared" si="2"/>
        <v>5712592.2055581827</v>
      </c>
      <c r="M138">
        <f t="shared" si="2"/>
        <v>5566548.7508430891</v>
      </c>
      <c r="N138">
        <f t="shared" si="2"/>
        <v>6157208.0986824017</v>
      </c>
      <c r="O138">
        <f t="shared" si="2"/>
        <v>5942104.5333659798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sheetData>
    <row r="1" spans="1:99" x14ac:dyDescent="0.2">
      <c r="A1" s="119"/>
    </row>
    <row r="2" spans="1:99" x14ac:dyDescent="0.2">
      <c r="B2" s="1" t="s">
        <v>272</v>
      </c>
    </row>
    <row r="3" spans="1:99" x14ac:dyDescent="0.2">
      <c r="B3" s="120" t="s">
        <v>273</v>
      </c>
    </row>
    <row r="4" spans="1:99" x14ac:dyDescent="0.2">
      <c r="A4" s="119"/>
      <c r="B4" s="119"/>
      <c r="C4" s="118" t="s">
        <v>274</v>
      </c>
      <c r="D4" s="118" t="s">
        <v>92</v>
      </c>
      <c r="E4" s="119"/>
      <c r="F4" s="119"/>
      <c r="G4" s="119"/>
      <c r="H4" s="119"/>
      <c r="I4" s="119"/>
      <c r="J4" s="119"/>
      <c r="K4" s="119"/>
      <c r="L4" s="118" t="s">
        <v>93</v>
      </c>
      <c r="M4" s="119"/>
      <c r="N4" s="119"/>
      <c r="O4" s="119"/>
      <c r="P4" s="119"/>
      <c r="Q4" s="119"/>
      <c r="R4" s="119"/>
      <c r="S4" s="119"/>
      <c r="T4" s="118" t="s">
        <v>94</v>
      </c>
      <c r="U4" s="119"/>
      <c r="V4" s="119"/>
      <c r="W4" s="119"/>
      <c r="X4" s="119"/>
      <c r="Y4" s="119"/>
      <c r="Z4" s="119"/>
      <c r="AA4" s="119"/>
      <c r="AB4" s="118" t="s">
        <v>95</v>
      </c>
      <c r="AC4" s="119"/>
      <c r="AD4" s="119"/>
      <c r="AE4" s="119"/>
      <c r="AF4" s="119"/>
      <c r="AG4" s="119"/>
      <c r="AH4" s="119"/>
      <c r="AI4" s="119"/>
      <c r="AJ4" s="118" t="s">
        <v>96</v>
      </c>
      <c r="AK4" s="119"/>
      <c r="AL4" s="119"/>
      <c r="AM4" s="119"/>
      <c r="AN4" s="119"/>
      <c r="AO4" s="119"/>
      <c r="AP4" s="119"/>
      <c r="AQ4" s="119"/>
      <c r="AR4" s="118" t="s">
        <v>97</v>
      </c>
      <c r="AS4" s="119"/>
      <c r="AT4" s="119"/>
      <c r="AU4" s="119"/>
      <c r="AV4" s="119"/>
      <c r="AW4" s="119"/>
      <c r="AX4" s="119"/>
      <c r="AY4" s="119"/>
      <c r="AZ4" s="118" t="s">
        <v>98</v>
      </c>
      <c r="BA4" s="119"/>
      <c r="BB4" s="119"/>
      <c r="BC4" s="119"/>
      <c r="BD4" s="119"/>
      <c r="BE4" s="119"/>
      <c r="BF4" s="119"/>
      <c r="BG4" s="119"/>
      <c r="BH4" s="118" t="s">
        <v>99</v>
      </c>
      <c r="BI4" s="119"/>
      <c r="BJ4" s="119"/>
      <c r="BK4" s="119"/>
      <c r="BL4" s="119"/>
      <c r="BM4" s="119"/>
      <c r="BN4" s="119"/>
      <c r="BO4" s="119"/>
      <c r="BP4" s="118" t="s">
        <v>100</v>
      </c>
      <c r="BQ4" s="119"/>
      <c r="BR4" s="119"/>
      <c r="BS4" s="119"/>
      <c r="BT4" s="119"/>
      <c r="BU4" s="119"/>
      <c r="BV4" s="119"/>
      <c r="BW4" s="119"/>
      <c r="BX4" s="118" t="s">
        <v>101</v>
      </c>
      <c r="BY4" s="119"/>
      <c r="BZ4" s="119"/>
      <c r="CA4" s="119"/>
      <c r="CB4" s="119"/>
      <c r="CC4" s="119"/>
      <c r="CD4" s="119"/>
      <c r="CE4" s="119"/>
      <c r="CF4" s="118" t="s">
        <v>102</v>
      </c>
      <c r="CG4" s="119"/>
      <c r="CH4" s="119"/>
      <c r="CI4" s="119"/>
      <c r="CJ4" s="119"/>
      <c r="CK4" s="119"/>
      <c r="CL4" s="119"/>
      <c r="CM4" s="119"/>
      <c r="CN4" s="118" t="s">
        <v>103</v>
      </c>
      <c r="CO4" s="119"/>
      <c r="CP4" s="119"/>
      <c r="CQ4" s="119"/>
      <c r="CR4" s="119"/>
      <c r="CS4" s="119"/>
      <c r="CT4" s="119"/>
      <c r="CU4" s="119"/>
    </row>
    <row r="5" spans="1:99" x14ac:dyDescent="0.2">
      <c r="B5" s="118" t="s">
        <v>167</v>
      </c>
      <c r="C5" s="118" t="s">
        <v>275</v>
      </c>
      <c r="D5" s="118">
        <v>1</v>
      </c>
      <c r="E5" s="118"/>
      <c r="F5" s="118">
        <v>2</v>
      </c>
      <c r="G5" s="118"/>
      <c r="H5" s="118">
        <v>3</v>
      </c>
      <c r="I5" s="118"/>
      <c r="J5" s="118">
        <v>4</v>
      </c>
      <c r="K5" s="118"/>
      <c r="L5" s="118">
        <v>1</v>
      </c>
      <c r="M5" s="118"/>
      <c r="N5" s="118">
        <v>2</v>
      </c>
      <c r="O5" s="118"/>
      <c r="P5" s="118">
        <v>3</v>
      </c>
      <c r="Q5" s="118"/>
      <c r="R5" s="118">
        <v>4</v>
      </c>
      <c r="S5" s="118"/>
      <c r="T5" s="118">
        <v>1</v>
      </c>
      <c r="U5" s="118"/>
      <c r="V5" s="118">
        <v>2</v>
      </c>
      <c r="W5" s="118"/>
      <c r="X5" s="118">
        <v>3</v>
      </c>
      <c r="Y5" s="118"/>
      <c r="Z5" s="118">
        <v>4</v>
      </c>
      <c r="AA5" s="118"/>
      <c r="AB5" s="118">
        <v>1</v>
      </c>
      <c r="AC5" s="118"/>
      <c r="AD5" s="118">
        <v>2</v>
      </c>
      <c r="AE5" s="118"/>
      <c r="AF5" s="118">
        <v>3</v>
      </c>
      <c r="AG5" s="118"/>
      <c r="AH5" s="118">
        <v>4</v>
      </c>
      <c r="AI5" s="118"/>
      <c r="AJ5" s="118">
        <v>1</v>
      </c>
      <c r="AK5" s="118"/>
      <c r="AL5" s="118">
        <v>2</v>
      </c>
      <c r="AM5" s="118"/>
      <c r="AN5" s="118">
        <v>3</v>
      </c>
      <c r="AO5" s="118"/>
      <c r="AP5" s="118">
        <v>4</v>
      </c>
      <c r="AQ5" s="118"/>
      <c r="AR5" s="118">
        <v>1</v>
      </c>
      <c r="AS5" s="118"/>
      <c r="AT5" s="118">
        <v>2</v>
      </c>
      <c r="AU5" s="118"/>
      <c r="AV5" s="118">
        <v>3</v>
      </c>
      <c r="AW5" s="118"/>
      <c r="AX5" s="118">
        <v>4</v>
      </c>
      <c r="AY5" s="118"/>
      <c r="AZ5" s="118">
        <v>1</v>
      </c>
      <c r="BA5" s="118"/>
      <c r="BB5" s="118">
        <v>2</v>
      </c>
      <c r="BC5" s="118"/>
      <c r="BD5" s="118">
        <v>3</v>
      </c>
      <c r="BE5" s="118"/>
      <c r="BF5" s="118">
        <v>4</v>
      </c>
      <c r="BG5" s="118"/>
      <c r="BH5" s="118">
        <v>1</v>
      </c>
      <c r="BI5" s="118"/>
      <c r="BJ5" s="118">
        <v>2</v>
      </c>
      <c r="BK5" s="118"/>
      <c r="BL5" s="118">
        <v>3</v>
      </c>
      <c r="BM5" s="118"/>
      <c r="BN5" s="118">
        <v>4</v>
      </c>
      <c r="BO5" s="118"/>
      <c r="BP5" s="118">
        <v>1</v>
      </c>
      <c r="BQ5" s="118"/>
      <c r="BR5" s="118">
        <v>2</v>
      </c>
      <c r="BS5" s="118"/>
      <c r="BT5" s="118">
        <v>3</v>
      </c>
      <c r="BU5" s="118"/>
      <c r="BV5" s="118">
        <v>4</v>
      </c>
      <c r="BW5" s="118"/>
      <c r="BX5" s="118">
        <v>1</v>
      </c>
      <c r="BY5" s="118"/>
      <c r="BZ5" s="118">
        <v>2</v>
      </c>
      <c r="CA5" s="118"/>
      <c r="CB5" s="118">
        <v>3</v>
      </c>
      <c r="CC5" s="118"/>
      <c r="CD5" s="118">
        <v>4</v>
      </c>
      <c r="CE5" s="118"/>
      <c r="CF5" s="118">
        <v>1</v>
      </c>
      <c r="CG5" s="118"/>
      <c r="CH5" s="118">
        <v>2</v>
      </c>
      <c r="CI5" s="118"/>
      <c r="CJ5" s="118">
        <v>3</v>
      </c>
      <c r="CK5" s="118"/>
      <c r="CL5" s="118">
        <v>4</v>
      </c>
      <c r="CM5" s="118"/>
      <c r="CN5" s="118">
        <v>1</v>
      </c>
      <c r="CO5" s="118"/>
      <c r="CP5" s="118">
        <v>2</v>
      </c>
      <c r="CQ5" s="118"/>
      <c r="CR5" s="118">
        <v>3</v>
      </c>
      <c r="CS5" s="118"/>
      <c r="CT5" s="118">
        <v>4</v>
      </c>
      <c r="CU5" s="118"/>
    </row>
    <row r="6" spans="1:99" x14ac:dyDescent="0.2">
      <c r="B6" s="118" t="s">
        <v>126</v>
      </c>
      <c r="C6" s="118" t="s">
        <v>172</v>
      </c>
      <c r="D6">
        <v>14</v>
      </c>
      <c r="E6">
        <v>8097.5999999999995</v>
      </c>
      <c r="F6">
        <v>15</v>
      </c>
      <c r="G6">
        <v>8676</v>
      </c>
      <c r="H6">
        <v>18</v>
      </c>
      <c r="I6">
        <v>10411.199999999999</v>
      </c>
      <c r="J6">
        <v>15</v>
      </c>
      <c r="K6">
        <v>8676</v>
      </c>
      <c r="L6">
        <v>16</v>
      </c>
      <c r="M6">
        <v>9254.4</v>
      </c>
      <c r="N6">
        <v>16</v>
      </c>
      <c r="O6">
        <v>9254.4</v>
      </c>
      <c r="P6">
        <v>15</v>
      </c>
      <c r="Q6">
        <v>8676</v>
      </c>
      <c r="R6">
        <v>16</v>
      </c>
      <c r="S6">
        <v>9254.4</v>
      </c>
      <c r="T6">
        <v>13</v>
      </c>
      <c r="U6">
        <v>7519.2</v>
      </c>
      <c r="V6">
        <v>15</v>
      </c>
      <c r="W6">
        <v>8676</v>
      </c>
      <c r="X6">
        <v>17</v>
      </c>
      <c r="Y6">
        <v>9832.7999999999993</v>
      </c>
      <c r="Z6">
        <v>19</v>
      </c>
      <c r="AA6">
        <v>10989.6</v>
      </c>
      <c r="AB6">
        <v>12</v>
      </c>
      <c r="AC6">
        <v>6940.7999999999993</v>
      </c>
      <c r="AD6">
        <v>16</v>
      </c>
      <c r="AE6">
        <v>9254.4</v>
      </c>
      <c r="AF6">
        <v>14</v>
      </c>
      <c r="AG6">
        <v>8097.5999999999995</v>
      </c>
      <c r="AH6">
        <v>16</v>
      </c>
      <c r="AI6">
        <v>9254.4</v>
      </c>
      <c r="AJ6">
        <v>16</v>
      </c>
      <c r="AK6">
        <v>9254.4</v>
      </c>
      <c r="AL6">
        <v>12</v>
      </c>
      <c r="AM6">
        <v>6940.7999999999993</v>
      </c>
      <c r="AN6">
        <v>20</v>
      </c>
      <c r="AO6">
        <v>11568</v>
      </c>
      <c r="AP6">
        <v>21</v>
      </c>
      <c r="AQ6">
        <v>12146.4</v>
      </c>
      <c r="AR6">
        <v>21</v>
      </c>
      <c r="AS6">
        <v>12146.4</v>
      </c>
      <c r="AT6">
        <v>19</v>
      </c>
      <c r="AU6">
        <v>10989.6</v>
      </c>
      <c r="AV6">
        <v>21</v>
      </c>
      <c r="AW6">
        <v>12146.4</v>
      </c>
      <c r="AX6">
        <v>17</v>
      </c>
      <c r="AY6">
        <v>9832.7999999999993</v>
      </c>
      <c r="AZ6">
        <v>16</v>
      </c>
      <c r="BA6">
        <v>9254.4</v>
      </c>
      <c r="BB6">
        <v>20</v>
      </c>
      <c r="BC6">
        <v>11568</v>
      </c>
      <c r="BD6">
        <v>15</v>
      </c>
      <c r="BE6">
        <v>8676</v>
      </c>
      <c r="BF6">
        <v>22</v>
      </c>
      <c r="BG6">
        <v>12724.8</v>
      </c>
      <c r="BH6">
        <v>15</v>
      </c>
      <c r="BI6">
        <v>8676</v>
      </c>
      <c r="BJ6">
        <v>15</v>
      </c>
      <c r="BK6">
        <v>8676</v>
      </c>
      <c r="BL6">
        <v>18</v>
      </c>
      <c r="BM6">
        <v>10411.199999999999</v>
      </c>
      <c r="BN6">
        <v>16</v>
      </c>
      <c r="BO6">
        <v>9254.4</v>
      </c>
      <c r="BP6">
        <v>24</v>
      </c>
      <c r="BQ6">
        <v>13881.599999999999</v>
      </c>
      <c r="BR6">
        <v>18</v>
      </c>
      <c r="BS6">
        <v>10411.199999999999</v>
      </c>
      <c r="BT6">
        <v>14</v>
      </c>
      <c r="BU6">
        <v>8097.5999999999995</v>
      </c>
      <c r="BV6">
        <v>20</v>
      </c>
      <c r="BW6">
        <v>11568</v>
      </c>
      <c r="BX6">
        <v>13</v>
      </c>
      <c r="BY6">
        <v>7519.2</v>
      </c>
      <c r="BZ6">
        <v>17</v>
      </c>
      <c r="CA6">
        <v>9832.7999999999993</v>
      </c>
      <c r="CB6">
        <v>15</v>
      </c>
      <c r="CC6">
        <v>8676</v>
      </c>
      <c r="CD6">
        <v>24</v>
      </c>
      <c r="CE6">
        <v>13881.599999999999</v>
      </c>
      <c r="CF6">
        <v>17</v>
      </c>
      <c r="CG6">
        <v>9832.7999999999993</v>
      </c>
      <c r="CH6">
        <v>16</v>
      </c>
      <c r="CI6">
        <v>9254.4</v>
      </c>
      <c r="CJ6">
        <v>25</v>
      </c>
      <c r="CK6">
        <v>14460</v>
      </c>
      <c r="CL6">
        <v>18</v>
      </c>
      <c r="CM6">
        <v>10411.199999999999</v>
      </c>
      <c r="CN6">
        <v>14</v>
      </c>
      <c r="CO6">
        <v>8097.5999999999995</v>
      </c>
      <c r="CP6">
        <v>25</v>
      </c>
      <c r="CQ6">
        <v>14460</v>
      </c>
      <c r="CR6">
        <v>15</v>
      </c>
      <c r="CS6">
        <v>8676</v>
      </c>
      <c r="CT6">
        <v>13</v>
      </c>
      <c r="CU6">
        <v>7519.2</v>
      </c>
    </row>
    <row r="7" spans="1:99" x14ac:dyDescent="0.2">
      <c r="C7" s="118" t="s">
        <v>173</v>
      </c>
      <c r="D7">
        <v>12</v>
      </c>
      <c r="E7">
        <v>9460.7999999999993</v>
      </c>
      <c r="F7">
        <v>14</v>
      </c>
      <c r="G7">
        <v>11037.6</v>
      </c>
      <c r="H7">
        <v>18</v>
      </c>
      <c r="I7">
        <v>14191.199999999999</v>
      </c>
      <c r="J7">
        <v>15</v>
      </c>
      <c r="K7">
        <v>11826</v>
      </c>
      <c r="L7">
        <v>15</v>
      </c>
      <c r="M7">
        <v>11826</v>
      </c>
      <c r="N7">
        <v>19</v>
      </c>
      <c r="O7">
        <v>14979.6</v>
      </c>
      <c r="P7">
        <v>14</v>
      </c>
      <c r="Q7">
        <v>11037.6</v>
      </c>
      <c r="R7">
        <v>15</v>
      </c>
      <c r="S7">
        <v>11826</v>
      </c>
      <c r="T7">
        <v>13</v>
      </c>
      <c r="U7">
        <v>10249.199999999999</v>
      </c>
      <c r="V7">
        <v>14</v>
      </c>
      <c r="W7">
        <v>11037.6</v>
      </c>
      <c r="X7">
        <v>16</v>
      </c>
      <c r="Y7">
        <v>12614.4</v>
      </c>
      <c r="Z7">
        <v>22</v>
      </c>
      <c r="AA7">
        <v>17344.8</v>
      </c>
      <c r="AB7">
        <v>12</v>
      </c>
      <c r="AC7">
        <v>9460.7999999999993</v>
      </c>
      <c r="AD7">
        <v>16</v>
      </c>
      <c r="AE7">
        <v>12614.4</v>
      </c>
      <c r="AF7">
        <v>12</v>
      </c>
      <c r="AG7">
        <v>9460.7999999999993</v>
      </c>
      <c r="AH7">
        <v>16</v>
      </c>
      <c r="AI7">
        <v>12614.4</v>
      </c>
      <c r="AJ7">
        <v>17</v>
      </c>
      <c r="AK7">
        <v>13402.8</v>
      </c>
      <c r="AL7">
        <v>12</v>
      </c>
      <c r="AM7">
        <v>9460.7999999999993</v>
      </c>
      <c r="AN7">
        <v>20</v>
      </c>
      <c r="AO7">
        <v>15768</v>
      </c>
      <c r="AP7">
        <v>23</v>
      </c>
      <c r="AQ7">
        <v>18133.2</v>
      </c>
      <c r="AR7">
        <v>24</v>
      </c>
      <c r="AS7">
        <v>18921.599999999999</v>
      </c>
      <c r="AT7">
        <v>18</v>
      </c>
      <c r="AU7">
        <v>14191.199999999999</v>
      </c>
      <c r="AV7">
        <v>21</v>
      </c>
      <c r="AW7">
        <v>16556.399999999998</v>
      </c>
      <c r="AX7">
        <v>16</v>
      </c>
      <c r="AY7">
        <v>12614.4</v>
      </c>
      <c r="AZ7">
        <v>16</v>
      </c>
      <c r="BA7">
        <v>12614.4</v>
      </c>
      <c r="BB7">
        <v>18</v>
      </c>
      <c r="BC7">
        <v>14191.199999999999</v>
      </c>
      <c r="BD7">
        <v>16</v>
      </c>
      <c r="BE7">
        <v>12614.4</v>
      </c>
      <c r="BF7">
        <v>23</v>
      </c>
      <c r="BG7">
        <v>18133.2</v>
      </c>
      <c r="BH7">
        <v>14</v>
      </c>
      <c r="BI7">
        <v>11037.6</v>
      </c>
      <c r="BJ7">
        <v>16</v>
      </c>
      <c r="BK7">
        <v>12614.4</v>
      </c>
      <c r="BL7">
        <v>15</v>
      </c>
      <c r="BM7">
        <v>11826</v>
      </c>
      <c r="BN7">
        <v>15</v>
      </c>
      <c r="BO7">
        <v>11826</v>
      </c>
      <c r="BP7">
        <v>21</v>
      </c>
      <c r="BQ7">
        <v>16556.399999999998</v>
      </c>
      <c r="BR7">
        <v>20</v>
      </c>
      <c r="BS7">
        <v>15768</v>
      </c>
      <c r="BT7">
        <v>14</v>
      </c>
      <c r="BU7">
        <v>11037.6</v>
      </c>
      <c r="BV7">
        <v>18</v>
      </c>
      <c r="BW7">
        <v>14191.199999999999</v>
      </c>
      <c r="BX7">
        <v>13</v>
      </c>
      <c r="BY7">
        <v>10249.199999999999</v>
      </c>
      <c r="BZ7">
        <v>15</v>
      </c>
      <c r="CA7">
        <v>11826</v>
      </c>
      <c r="CB7">
        <v>14</v>
      </c>
      <c r="CC7">
        <v>11037.6</v>
      </c>
      <c r="CD7">
        <v>24</v>
      </c>
      <c r="CE7">
        <v>18921.599999999999</v>
      </c>
      <c r="CF7">
        <v>16</v>
      </c>
      <c r="CG7">
        <v>12614.4</v>
      </c>
      <c r="CH7">
        <v>14</v>
      </c>
      <c r="CI7">
        <v>11037.6</v>
      </c>
      <c r="CJ7">
        <v>23</v>
      </c>
      <c r="CK7">
        <v>18133.2</v>
      </c>
      <c r="CL7">
        <v>19</v>
      </c>
      <c r="CM7">
        <v>14979.6</v>
      </c>
      <c r="CN7">
        <v>16</v>
      </c>
      <c r="CO7">
        <v>12614.4</v>
      </c>
      <c r="CP7">
        <v>22</v>
      </c>
      <c r="CQ7">
        <v>17344.8</v>
      </c>
      <c r="CR7">
        <v>15</v>
      </c>
      <c r="CS7">
        <v>11826</v>
      </c>
      <c r="CT7">
        <v>15</v>
      </c>
      <c r="CU7">
        <v>11826</v>
      </c>
    </row>
    <row r="8" spans="1:99" x14ac:dyDescent="0.2">
      <c r="C8" s="118" t="s">
        <v>174</v>
      </c>
      <c r="D8">
        <v>14</v>
      </c>
      <c r="E8">
        <v>4334.3999999999996</v>
      </c>
      <c r="F8">
        <v>18</v>
      </c>
      <c r="G8">
        <v>5572.7999999999993</v>
      </c>
      <c r="H8">
        <v>19</v>
      </c>
      <c r="I8">
        <v>5882.4</v>
      </c>
      <c r="J8">
        <v>15</v>
      </c>
      <c r="K8">
        <v>4643.9999999999991</v>
      </c>
      <c r="L8">
        <v>16</v>
      </c>
      <c r="M8">
        <v>4953.5999999999995</v>
      </c>
      <c r="N8">
        <v>18</v>
      </c>
      <c r="O8">
        <v>5572.7999999999993</v>
      </c>
      <c r="P8">
        <v>16</v>
      </c>
      <c r="Q8">
        <v>4953.5999999999995</v>
      </c>
      <c r="R8">
        <v>16</v>
      </c>
      <c r="S8">
        <v>4953.5999999999995</v>
      </c>
      <c r="T8">
        <v>13</v>
      </c>
      <c r="U8">
        <v>4024.7999999999997</v>
      </c>
      <c r="V8">
        <v>16</v>
      </c>
      <c r="W8">
        <v>4953.5999999999995</v>
      </c>
      <c r="X8">
        <v>15</v>
      </c>
      <c r="Y8">
        <v>4643.9999999999991</v>
      </c>
      <c r="Z8">
        <v>20</v>
      </c>
      <c r="AA8">
        <v>6191.9999999999991</v>
      </c>
      <c r="AB8">
        <v>12</v>
      </c>
      <c r="AC8">
        <v>3715.2</v>
      </c>
      <c r="AD8">
        <v>17</v>
      </c>
      <c r="AE8">
        <v>5263.2</v>
      </c>
      <c r="AF8">
        <v>13</v>
      </c>
      <c r="AG8">
        <v>4024.7999999999997</v>
      </c>
      <c r="AH8">
        <v>17</v>
      </c>
      <c r="AI8">
        <v>5263.2</v>
      </c>
      <c r="AJ8">
        <v>18</v>
      </c>
      <c r="AK8">
        <v>5572.7999999999993</v>
      </c>
      <c r="AL8">
        <v>13</v>
      </c>
      <c r="AM8">
        <v>4024.7999999999997</v>
      </c>
      <c r="AN8">
        <v>22</v>
      </c>
      <c r="AO8">
        <v>6811.1999999999989</v>
      </c>
      <c r="AP8">
        <v>21</v>
      </c>
      <c r="AQ8">
        <v>6501.5999999999995</v>
      </c>
      <c r="AR8">
        <v>24</v>
      </c>
      <c r="AS8">
        <v>7430.4</v>
      </c>
      <c r="AT8">
        <v>22</v>
      </c>
      <c r="AU8">
        <v>6811.1999999999989</v>
      </c>
      <c r="AV8">
        <v>23</v>
      </c>
      <c r="AW8">
        <v>7120.7999999999993</v>
      </c>
      <c r="AX8">
        <v>16</v>
      </c>
      <c r="AY8">
        <v>4953.5999999999995</v>
      </c>
      <c r="AZ8">
        <v>16</v>
      </c>
      <c r="BA8">
        <v>4953.5999999999995</v>
      </c>
      <c r="BB8">
        <v>19</v>
      </c>
      <c r="BC8">
        <v>5882.4</v>
      </c>
      <c r="BD8">
        <v>14</v>
      </c>
      <c r="BE8">
        <v>4334.3999999999996</v>
      </c>
      <c r="BF8">
        <v>23</v>
      </c>
      <c r="BG8">
        <v>7120.7999999999993</v>
      </c>
      <c r="BH8">
        <v>15</v>
      </c>
      <c r="BI8">
        <v>4643.9999999999991</v>
      </c>
      <c r="BJ8">
        <v>18</v>
      </c>
      <c r="BK8">
        <v>5572.7999999999993</v>
      </c>
      <c r="BL8">
        <v>17</v>
      </c>
      <c r="BM8">
        <v>5263.2</v>
      </c>
      <c r="BN8">
        <v>16</v>
      </c>
      <c r="BO8">
        <v>4953.5999999999995</v>
      </c>
      <c r="BP8">
        <v>24</v>
      </c>
      <c r="BQ8">
        <v>7430.4</v>
      </c>
      <c r="BR8">
        <v>22</v>
      </c>
      <c r="BS8">
        <v>6811.1999999999989</v>
      </c>
      <c r="BT8">
        <v>17</v>
      </c>
      <c r="BU8">
        <v>5263.2</v>
      </c>
      <c r="BV8">
        <v>19</v>
      </c>
      <c r="BW8">
        <v>5882.4</v>
      </c>
      <c r="BX8">
        <v>13</v>
      </c>
      <c r="BY8">
        <v>4024.7999999999997</v>
      </c>
      <c r="BZ8">
        <v>15</v>
      </c>
      <c r="CA8">
        <v>4643.9999999999991</v>
      </c>
      <c r="CB8">
        <v>15</v>
      </c>
      <c r="CC8">
        <v>4643.9999999999991</v>
      </c>
      <c r="CD8">
        <v>25</v>
      </c>
      <c r="CE8">
        <v>7739.9999999999991</v>
      </c>
      <c r="CF8">
        <v>18</v>
      </c>
      <c r="CG8">
        <v>5572.7999999999993</v>
      </c>
      <c r="CH8">
        <v>16</v>
      </c>
      <c r="CI8">
        <v>4953.5999999999995</v>
      </c>
      <c r="CJ8">
        <v>25</v>
      </c>
      <c r="CK8">
        <v>7739.9999999999991</v>
      </c>
      <c r="CL8">
        <v>20</v>
      </c>
      <c r="CM8">
        <v>6191.9999999999991</v>
      </c>
      <c r="CN8">
        <v>15</v>
      </c>
      <c r="CO8">
        <v>4643.9999999999991</v>
      </c>
      <c r="CP8">
        <v>24</v>
      </c>
      <c r="CQ8">
        <v>7430.4</v>
      </c>
      <c r="CR8">
        <v>15</v>
      </c>
      <c r="CS8">
        <v>4643.9999999999991</v>
      </c>
      <c r="CT8">
        <v>14</v>
      </c>
      <c r="CU8">
        <v>4334.3999999999996</v>
      </c>
    </row>
    <row r="9" spans="1:99" x14ac:dyDescent="0.2">
      <c r="C9" s="118" t="s">
        <v>175</v>
      </c>
      <c r="D9">
        <v>13</v>
      </c>
      <c r="E9">
        <v>9126</v>
      </c>
      <c r="F9">
        <v>15</v>
      </c>
      <c r="G9">
        <v>10530</v>
      </c>
      <c r="H9">
        <v>16</v>
      </c>
      <c r="I9">
        <v>11232</v>
      </c>
      <c r="J9">
        <v>13</v>
      </c>
      <c r="K9">
        <v>9126</v>
      </c>
      <c r="L9">
        <v>14</v>
      </c>
      <c r="M9">
        <v>9828</v>
      </c>
      <c r="N9">
        <v>19</v>
      </c>
      <c r="O9">
        <v>13338</v>
      </c>
      <c r="P9">
        <v>14</v>
      </c>
      <c r="Q9">
        <v>9828</v>
      </c>
      <c r="R9">
        <v>18</v>
      </c>
      <c r="S9">
        <v>12636</v>
      </c>
      <c r="T9">
        <v>12</v>
      </c>
      <c r="U9">
        <v>8424</v>
      </c>
      <c r="V9">
        <v>17</v>
      </c>
      <c r="W9">
        <v>11934</v>
      </c>
      <c r="X9">
        <v>18</v>
      </c>
      <c r="Y9">
        <v>12636</v>
      </c>
      <c r="Z9">
        <v>20</v>
      </c>
      <c r="AA9">
        <v>14040</v>
      </c>
      <c r="AB9">
        <v>13</v>
      </c>
      <c r="AC9">
        <v>9126</v>
      </c>
      <c r="AD9">
        <v>17</v>
      </c>
      <c r="AE9">
        <v>11934</v>
      </c>
      <c r="AF9">
        <v>12</v>
      </c>
      <c r="AG9">
        <v>8424</v>
      </c>
      <c r="AH9">
        <v>15</v>
      </c>
      <c r="AI9">
        <v>10530</v>
      </c>
      <c r="AJ9">
        <v>17</v>
      </c>
      <c r="AK9">
        <v>11934</v>
      </c>
      <c r="AL9">
        <v>13</v>
      </c>
      <c r="AM9">
        <v>9126</v>
      </c>
      <c r="AN9">
        <v>21</v>
      </c>
      <c r="AO9">
        <v>14742</v>
      </c>
      <c r="AP9">
        <v>22</v>
      </c>
      <c r="AQ9">
        <v>15444</v>
      </c>
      <c r="AR9">
        <v>22</v>
      </c>
      <c r="AS9">
        <v>15444</v>
      </c>
      <c r="AT9">
        <v>20</v>
      </c>
      <c r="AU9">
        <v>14040</v>
      </c>
      <c r="AV9">
        <v>19</v>
      </c>
      <c r="AW9">
        <v>13338</v>
      </c>
      <c r="AX9">
        <v>16</v>
      </c>
      <c r="AY9">
        <v>11232</v>
      </c>
      <c r="AZ9">
        <v>16</v>
      </c>
      <c r="BA9">
        <v>11232</v>
      </c>
      <c r="BB9">
        <v>17</v>
      </c>
      <c r="BC9">
        <v>11934</v>
      </c>
      <c r="BD9">
        <v>14</v>
      </c>
      <c r="BE9">
        <v>9828</v>
      </c>
      <c r="BF9">
        <v>23</v>
      </c>
      <c r="BG9">
        <v>16146</v>
      </c>
      <c r="BH9">
        <v>14</v>
      </c>
      <c r="BI9">
        <v>9828</v>
      </c>
      <c r="BJ9">
        <v>17</v>
      </c>
      <c r="BK9">
        <v>11934</v>
      </c>
      <c r="BL9">
        <v>16</v>
      </c>
      <c r="BM9">
        <v>11232</v>
      </c>
      <c r="BN9">
        <v>18</v>
      </c>
      <c r="BO9">
        <v>12636</v>
      </c>
      <c r="BP9">
        <v>23</v>
      </c>
      <c r="BQ9">
        <v>16146</v>
      </c>
      <c r="BR9">
        <v>20</v>
      </c>
      <c r="BS9">
        <v>14040</v>
      </c>
      <c r="BT9">
        <v>16</v>
      </c>
      <c r="BU9">
        <v>11232</v>
      </c>
      <c r="BV9">
        <v>20</v>
      </c>
      <c r="BW9">
        <v>14040</v>
      </c>
      <c r="BX9">
        <v>13</v>
      </c>
      <c r="BY9">
        <v>9126</v>
      </c>
      <c r="BZ9">
        <v>16</v>
      </c>
      <c r="CA9">
        <v>11232</v>
      </c>
      <c r="CB9">
        <v>13</v>
      </c>
      <c r="CC9">
        <v>9126</v>
      </c>
      <c r="CD9">
        <v>25</v>
      </c>
      <c r="CE9">
        <v>17550</v>
      </c>
      <c r="CF9">
        <v>16</v>
      </c>
      <c r="CG9">
        <v>11232</v>
      </c>
      <c r="CH9">
        <v>15</v>
      </c>
      <c r="CI9">
        <v>10530</v>
      </c>
      <c r="CJ9">
        <v>24</v>
      </c>
      <c r="CK9">
        <v>16848</v>
      </c>
      <c r="CL9">
        <v>16</v>
      </c>
      <c r="CM9">
        <v>11232</v>
      </c>
      <c r="CN9">
        <v>16</v>
      </c>
      <c r="CO9">
        <v>11232</v>
      </c>
      <c r="CP9">
        <v>24</v>
      </c>
      <c r="CQ9">
        <v>16848</v>
      </c>
      <c r="CR9">
        <v>14</v>
      </c>
      <c r="CS9">
        <v>9828</v>
      </c>
      <c r="CT9">
        <v>13</v>
      </c>
      <c r="CU9">
        <v>9126</v>
      </c>
    </row>
    <row r="10" spans="1:99" x14ac:dyDescent="0.2">
      <c r="C10" s="118" t="s">
        <v>176</v>
      </c>
      <c r="D10">
        <v>15</v>
      </c>
      <c r="E10">
        <v>8171.9999999999991</v>
      </c>
      <c r="F10">
        <v>17</v>
      </c>
      <c r="G10">
        <v>9261.5999999999985</v>
      </c>
      <c r="H10">
        <v>17</v>
      </c>
      <c r="I10">
        <v>9261.5999999999985</v>
      </c>
      <c r="J10">
        <v>14</v>
      </c>
      <c r="K10">
        <v>7627.1999999999989</v>
      </c>
      <c r="L10">
        <v>15</v>
      </c>
      <c r="M10">
        <v>8171.9999999999991</v>
      </c>
      <c r="N10">
        <v>17</v>
      </c>
      <c r="O10">
        <v>9261.5999999999985</v>
      </c>
      <c r="P10">
        <v>17</v>
      </c>
      <c r="Q10">
        <v>9261.5999999999985</v>
      </c>
      <c r="R10">
        <v>16</v>
      </c>
      <c r="S10">
        <v>8716.7999999999993</v>
      </c>
      <c r="T10">
        <v>13</v>
      </c>
      <c r="U10">
        <v>7082.4</v>
      </c>
      <c r="V10">
        <v>15</v>
      </c>
      <c r="W10">
        <v>8171.9999999999991</v>
      </c>
      <c r="X10">
        <v>18</v>
      </c>
      <c r="Y10">
        <v>9806.4</v>
      </c>
      <c r="Z10">
        <v>20</v>
      </c>
      <c r="AA10">
        <v>10896</v>
      </c>
      <c r="AB10">
        <v>13</v>
      </c>
      <c r="AC10">
        <v>7082.4</v>
      </c>
      <c r="AD10">
        <v>17</v>
      </c>
      <c r="AE10">
        <v>9261.5999999999985</v>
      </c>
      <c r="AF10">
        <v>13</v>
      </c>
      <c r="AG10">
        <v>7082.4</v>
      </c>
      <c r="AH10">
        <v>17</v>
      </c>
      <c r="AI10">
        <v>9261.5999999999985</v>
      </c>
      <c r="AJ10">
        <v>17</v>
      </c>
      <c r="AK10">
        <v>9261.5999999999985</v>
      </c>
      <c r="AL10">
        <v>12</v>
      </c>
      <c r="AM10">
        <v>6537.5999999999995</v>
      </c>
      <c r="AN10">
        <v>19</v>
      </c>
      <c r="AO10">
        <v>10351.199999999999</v>
      </c>
      <c r="AP10">
        <v>22</v>
      </c>
      <c r="AQ10">
        <v>11985.599999999999</v>
      </c>
      <c r="AR10">
        <v>24</v>
      </c>
      <c r="AS10">
        <v>13075.199999999999</v>
      </c>
      <c r="AT10">
        <v>19</v>
      </c>
      <c r="AU10">
        <v>10351.199999999999</v>
      </c>
      <c r="AV10">
        <v>20</v>
      </c>
      <c r="AW10">
        <v>10896</v>
      </c>
      <c r="AX10">
        <v>15</v>
      </c>
      <c r="AY10">
        <v>8171.9999999999991</v>
      </c>
      <c r="AZ10">
        <v>14</v>
      </c>
      <c r="BA10">
        <v>7627.1999999999989</v>
      </c>
      <c r="BB10">
        <v>17</v>
      </c>
      <c r="BC10">
        <v>9261.5999999999985</v>
      </c>
      <c r="BD10">
        <v>16</v>
      </c>
      <c r="BE10">
        <v>8716.7999999999993</v>
      </c>
      <c r="BF10">
        <v>19</v>
      </c>
      <c r="BG10">
        <v>10351.199999999999</v>
      </c>
      <c r="BH10">
        <v>15</v>
      </c>
      <c r="BI10">
        <v>8171.9999999999991</v>
      </c>
      <c r="BJ10">
        <v>16</v>
      </c>
      <c r="BK10">
        <v>8716.7999999999993</v>
      </c>
      <c r="BL10">
        <v>17</v>
      </c>
      <c r="BM10">
        <v>9261.5999999999985</v>
      </c>
      <c r="BN10">
        <v>17</v>
      </c>
      <c r="BO10">
        <v>9261.5999999999985</v>
      </c>
      <c r="BP10">
        <v>22</v>
      </c>
      <c r="BQ10">
        <v>11985.599999999999</v>
      </c>
      <c r="BR10">
        <v>21</v>
      </c>
      <c r="BS10">
        <v>11440.8</v>
      </c>
      <c r="BT10">
        <v>15</v>
      </c>
      <c r="BU10">
        <v>8171.9999999999991</v>
      </c>
      <c r="BV10">
        <v>19</v>
      </c>
      <c r="BW10">
        <v>10351.199999999999</v>
      </c>
      <c r="BX10">
        <v>16</v>
      </c>
      <c r="BY10">
        <v>8716.7999999999993</v>
      </c>
      <c r="BZ10">
        <v>16</v>
      </c>
      <c r="CA10">
        <v>8716.7999999999993</v>
      </c>
      <c r="CB10">
        <v>16</v>
      </c>
      <c r="CC10">
        <v>8716.7999999999993</v>
      </c>
      <c r="CD10">
        <v>25</v>
      </c>
      <c r="CE10">
        <v>13619.999999999998</v>
      </c>
      <c r="CF10">
        <v>16</v>
      </c>
      <c r="CG10">
        <v>8716.7999999999993</v>
      </c>
      <c r="CH10">
        <v>15</v>
      </c>
      <c r="CI10">
        <v>8171.9999999999991</v>
      </c>
      <c r="CJ10">
        <v>22</v>
      </c>
      <c r="CK10">
        <v>11985.599999999999</v>
      </c>
      <c r="CL10">
        <v>19</v>
      </c>
      <c r="CM10">
        <v>10351.199999999999</v>
      </c>
      <c r="CN10">
        <v>17</v>
      </c>
      <c r="CO10">
        <v>9261.5999999999985</v>
      </c>
      <c r="CP10">
        <v>21</v>
      </c>
      <c r="CQ10">
        <v>11440.8</v>
      </c>
      <c r="CR10">
        <v>14</v>
      </c>
      <c r="CS10">
        <v>7627.1999999999989</v>
      </c>
      <c r="CT10">
        <v>14</v>
      </c>
      <c r="CU10">
        <v>7627.1999999999989</v>
      </c>
    </row>
    <row r="11" spans="1:99" x14ac:dyDescent="0.2">
      <c r="C11" s="118" t="s">
        <v>177</v>
      </c>
      <c r="D11">
        <v>14</v>
      </c>
      <c r="E11">
        <v>7459.1999999999989</v>
      </c>
      <c r="F11">
        <v>17</v>
      </c>
      <c r="G11">
        <v>9057.5999999999985</v>
      </c>
      <c r="H11">
        <v>17</v>
      </c>
      <c r="I11">
        <v>9057.5999999999985</v>
      </c>
      <c r="J11">
        <v>13</v>
      </c>
      <c r="K11">
        <v>6926.4</v>
      </c>
      <c r="L11">
        <v>15</v>
      </c>
      <c r="M11">
        <v>7991.9999999999991</v>
      </c>
      <c r="N11">
        <v>16</v>
      </c>
      <c r="O11">
        <v>8524.7999999999993</v>
      </c>
      <c r="P11">
        <v>14</v>
      </c>
      <c r="Q11">
        <v>7459.1999999999989</v>
      </c>
      <c r="R11">
        <v>17</v>
      </c>
      <c r="S11">
        <v>9057.5999999999985</v>
      </c>
      <c r="T11">
        <v>13</v>
      </c>
      <c r="U11">
        <v>6926.4</v>
      </c>
      <c r="V11">
        <v>16</v>
      </c>
      <c r="W11">
        <v>8524.7999999999993</v>
      </c>
      <c r="X11">
        <v>15</v>
      </c>
      <c r="Y11">
        <v>7991.9999999999991</v>
      </c>
      <c r="Z11">
        <v>22</v>
      </c>
      <c r="AA11">
        <v>11721.599999999999</v>
      </c>
      <c r="AB11">
        <v>13</v>
      </c>
      <c r="AC11">
        <v>6926.4</v>
      </c>
      <c r="AD11">
        <v>15</v>
      </c>
      <c r="AE11">
        <v>7991.9999999999991</v>
      </c>
      <c r="AF11">
        <v>13</v>
      </c>
      <c r="AG11">
        <v>6926.4</v>
      </c>
      <c r="AH11">
        <v>17</v>
      </c>
      <c r="AI11">
        <v>9057.5999999999985</v>
      </c>
      <c r="AJ11">
        <v>17</v>
      </c>
      <c r="AK11">
        <v>9057.5999999999985</v>
      </c>
      <c r="AL11">
        <v>12</v>
      </c>
      <c r="AM11">
        <v>6393.5999999999995</v>
      </c>
      <c r="AN11">
        <v>21</v>
      </c>
      <c r="AO11">
        <v>11188.8</v>
      </c>
      <c r="AP11">
        <v>22</v>
      </c>
      <c r="AQ11">
        <v>11721.599999999999</v>
      </c>
      <c r="AR11">
        <v>22</v>
      </c>
      <c r="AS11">
        <v>11721.599999999999</v>
      </c>
      <c r="AT11">
        <v>21</v>
      </c>
      <c r="AU11">
        <v>11188.8</v>
      </c>
      <c r="AV11">
        <v>23</v>
      </c>
      <c r="AW11">
        <v>12254.4</v>
      </c>
      <c r="AX11">
        <v>17</v>
      </c>
      <c r="AY11">
        <v>9057.5999999999985</v>
      </c>
      <c r="AZ11">
        <v>17</v>
      </c>
      <c r="BA11">
        <v>9057.5999999999985</v>
      </c>
      <c r="BB11">
        <v>18</v>
      </c>
      <c r="BC11">
        <v>9590.4</v>
      </c>
      <c r="BD11">
        <v>14</v>
      </c>
      <c r="BE11">
        <v>7459.1999999999989</v>
      </c>
      <c r="BF11">
        <v>23</v>
      </c>
      <c r="BG11">
        <v>12254.4</v>
      </c>
      <c r="BH11">
        <v>15</v>
      </c>
      <c r="BI11">
        <v>7991.9999999999991</v>
      </c>
      <c r="BJ11">
        <v>17</v>
      </c>
      <c r="BK11">
        <v>9057.5999999999985</v>
      </c>
      <c r="BL11">
        <v>17</v>
      </c>
      <c r="BM11">
        <v>9057.5999999999985</v>
      </c>
      <c r="BN11">
        <v>16</v>
      </c>
      <c r="BO11">
        <v>8524.7999999999993</v>
      </c>
      <c r="BP11">
        <v>22</v>
      </c>
      <c r="BQ11">
        <v>11721.599999999999</v>
      </c>
      <c r="BR11">
        <v>20</v>
      </c>
      <c r="BS11">
        <v>10656</v>
      </c>
      <c r="BT11">
        <v>14</v>
      </c>
      <c r="BU11">
        <v>7459.1999999999989</v>
      </c>
      <c r="BV11">
        <v>19</v>
      </c>
      <c r="BW11">
        <v>10123.199999999999</v>
      </c>
      <c r="BX11">
        <v>14</v>
      </c>
      <c r="BY11">
        <v>7459.1999999999989</v>
      </c>
      <c r="BZ11">
        <v>17</v>
      </c>
      <c r="CA11">
        <v>9057.5999999999985</v>
      </c>
      <c r="CB11">
        <v>13</v>
      </c>
      <c r="CC11">
        <v>6926.4</v>
      </c>
      <c r="CD11">
        <v>23</v>
      </c>
      <c r="CE11">
        <v>12254.4</v>
      </c>
      <c r="CF11">
        <v>17</v>
      </c>
      <c r="CG11">
        <v>9057.5999999999985</v>
      </c>
      <c r="CH11">
        <v>15</v>
      </c>
      <c r="CI11">
        <v>7991.9999999999991</v>
      </c>
      <c r="CJ11">
        <v>22</v>
      </c>
      <c r="CK11">
        <v>11721.599999999999</v>
      </c>
      <c r="CL11">
        <v>16</v>
      </c>
      <c r="CM11">
        <v>8524.7999999999993</v>
      </c>
      <c r="CN11">
        <v>14</v>
      </c>
      <c r="CO11">
        <v>7459.1999999999989</v>
      </c>
      <c r="CP11">
        <v>24</v>
      </c>
      <c r="CQ11">
        <v>12787.199999999999</v>
      </c>
      <c r="CR11">
        <v>16</v>
      </c>
      <c r="CS11">
        <v>8524.7999999999993</v>
      </c>
      <c r="CT11">
        <v>14</v>
      </c>
      <c r="CU11">
        <v>7459.1999999999989</v>
      </c>
    </row>
    <row r="12" spans="1:99" x14ac:dyDescent="0.2">
      <c r="C12" s="118" t="s">
        <v>178</v>
      </c>
      <c r="D12">
        <v>14</v>
      </c>
      <c r="E12">
        <v>7879.1999999999989</v>
      </c>
      <c r="F12">
        <v>16</v>
      </c>
      <c r="G12">
        <v>9004.7999999999993</v>
      </c>
      <c r="H12">
        <v>16</v>
      </c>
      <c r="I12">
        <v>9004.7999999999993</v>
      </c>
      <c r="J12">
        <v>15</v>
      </c>
      <c r="K12">
        <v>8442</v>
      </c>
      <c r="L12">
        <v>15</v>
      </c>
      <c r="M12">
        <v>8442</v>
      </c>
      <c r="N12">
        <v>19</v>
      </c>
      <c r="O12">
        <v>10693.199999999999</v>
      </c>
      <c r="P12">
        <v>15</v>
      </c>
      <c r="Q12">
        <v>8442</v>
      </c>
      <c r="R12">
        <v>16</v>
      </c>
      <c r="S12">
        <v>9004.7999999999993</v>
      </c>
      <c r="T12">
        <v>13</v>
      </c>
      <c r="U12">
        <v>7316.4</v>
      </c>
      <c r="V12">
        <v>15</v>
      </c>
      <c r="W12">
        <v>8442</v>
      </c>
      <c r="X12">
        <v>17</v>
      </c>
      <c r="Y12">
        <v>9567.5999999999985</v>
      </c>
      <c r="Z12">
        <v>21</v>
      </c>
      <c r="AA12">
        <v>11818.8</v>
      </c>
      <c r="AB12">
        <v>13</v>
      </c>
      <c r="AC12">
        <v>7316.4</v>
      </c>
      <c r="AD12">
        <v>15</v>
      </c>
      <c r="AE12">
        <v>8442</v>
      </c>
      <c r="AF12">
        <v>14</v>
      </c>
      <c r="AG12">
        <v>7879.1999999999989</v>
      </c>
      <c r="AH12">
        <v>16</v>
      </c>
      <c r="AI12">
        <v>9004.7999999999993</v>
      </c>
      <c r="AJ12">
        <v>18</v>
      </c>
      <c r="AK12">
        <v>10130.4</v>
      </c>
      <c r="AL12">
        <v>11</v>
      </c>
      <c r="AM12">
        <v>6190.7999999999993</v>
      </c>
      <c r="AN12">
        <v>20</v>
      </c>
      <c r="AO12">
        <v>11256</v>
      </c>
      <c r="AP12">
        <v>23</v>
      </c>
      <c r="AQ12">
        <v>12944.4</v>
      </c>
      <c r="AR12">
        <v>25</v>
      </c>
      <c r="AS12">
        <v>14069.999999999998</v>
      </c>
      <c r="AT12">
        <v>22</v>
      </c>
      <c r="AU12">
        <v>12381.599999999999</v>
      </c>
      <c r="AV12">
        <v>23</v>
      </c>
      <c r="AW12">
        <v>12944.4</v>
      </c>
      <c r="AX12">
        <v>15</v>
      </c>
      <c r="AY12">
        <v>8442</v>
      </c>
      <c r="AZ12">
        <v>17</v>
      </c>
      <c r="BA12">
        <v>9567.5999999999985</v>
      </c>
      <c r="BB12">
        <v>18</v>
      </c>
      <c r="BC12">
        <v>10130.4</v>
      </c>
      <c r="BD12">
        <v>15</v>
      </c>
      <c r="BE12">
        <v>8442</v>
      </c>
      <c r="BF12">
        <v>23</v>
      </c>
      <c r="BG12">
        <v>12944.4</v>
      </c>
      <c r="BH12">
        <v>16</v>
      </c>
      <c r="BI12">
        <v>9004.7999999999993</v>
      </c>
      <c r="BJ12">
        <v>15</v>
      </c>
      <c r="BK12">
        <v>8442</v>
      </c>
      <c r="BL12">
        <v>16</v>
      </c>
      <c r="BM12">
        <v>9004.7999999999993</v>
      </c>
      <c r="BN12">
        <v>18</v>
      </c>
      <c r="BO12">
        <v>10130.4</v>
      </c>
      <c r="BP12">
        <v>25</v>
      </c>
      <c r="BQ12">
        <v>14069.999999999998</v>
      </c>
      <c r="BR12">
        <v>21</v>
      </c>
      <c r="BS12">
        <v>11818.8</v>
      </c>
      <c r="BT12">
        <v>16</v>
      </c>
      <c r="BU12">
        <v>9004.7999999999993</v>
      </c>
      <c r="BV12">
        <v>18</v>
      </c>
      <c r="BW12">
        <v>10130.4</v>
      </c>
      <c r="BX12">
        <v>14</v>
      </c>
      <c r="BY12">
        <v>7879.1999999999989</v>
      </c>
      <c r="BZ12">
        <v>15</v>
      </c>
      <c r="CA12">
        <v>8442</v>
      </c>
      <c r="CB12">
        <v>13</v>
      </c>
      <c r="CC12">
        <v>7316.4</v>
      </c>
      <c r="CD12">
        <v>26</v>
      </c>
      <c r="CE12">
        <v>14632.8</v>
      </c>
      <c r="CF12">
        <v>16</v>
      </c>
      <c r="CG12">
        <v>9004.7999999999993</v>
      </c>
      <c r="CH12">
        <v>13</v>
      </c>
      <c r="CI12">
        <v>7316.4</v>
      </c>
      <c r="CJ12">
        <v>24</v>
      </c>
      <c r="CK12">
        <v>13507.199999999999</v>
      </c>
      <c r="CL12">
        <v>17</v>
      </c>
      <c r="CM12">
        <v>9567.5999999999985</v>
      </c>
      <c r="CN12">
        <v>14</v>
      </c>
      <c r="CO12">
        <v>7879.1999999999989</v>
      </c>
      <c r="CP12">
        <v>21</v>
      </c>
      <c r="CQ12">
        <v>11818.8</v>
      </c>
      <c r="CR12">
        <v>14</v>
      </c>
      <c r="CS12">
        <v>7879.1999999999989</v>
      </c>
      <c r="CT12">
        <v>14</v>
      </c>
      <c r="CU12">
        <v>7879.1999999999989</v>
      </c>
    </row>
    <row r="13" spans="1:99" x14ac:dyDescent="0.2">
      <c r="C13" s="118" t="s">
        <v>179</v>
      </c>
      <c r="D13">
        <v>14</v>
      </c>
      <c r="E13">
        <v>1192.8</v>
      </c>
      <c r="F13">
        <v>18</v>
      </c>
      <c r="G13">
        <v>1533.6000000000001</v>
      </c>
      <c r="H13">
        <v>19</v>
      </c>
      <c r="I13">
        <v>1618.8</v>
      </c>
      <c r="J13">
        <v>15</v>
      </c>
      <c r="K13">
        <v>1278</v>
      </c>
      <c r="L13">
        <v>15</v>
      </c>
      <c r="M13">
        <v>1278</v>
      </c>
      <c r="N13">
        <v>19</v>
      </c>
      <c r="O13">
        <v>1618.8</v>
      </c>
      <c r="P13">
        <v>15</v>
      </c>
      <c r="Q13">
        <v>1278</v>
      </c>
      <c r="R13">
        <v>17</v>
      </c>
      <c r="S13">
        <v>1448.4</v>
      </c>
      <c r="T13">
        <v>14</v>
      </c>
      <c r="U13">
        <v>1192.8</v>
      </c>
      <c r="V13">
        <v>16</v>
      </c>
      <c r="W13">
        <v>1363.2</v>
      </c>
      <c r="X13">
        <v>19</v>
      </c>
      <c r="Y13">
        <v>1618.8</v>
      </c>
      <c r="Z13">
        <v>20</v>
      </c>
      <c r="AA13">
        <v>1704</v>
      </c>
      <c r="AB13">
        <v>14</v>
      </c>
      <c r="AC13">
        <v>1192.8</v>
      </c>
      <c r="AD13">
        <v>18</v>
      </c>
      <c r="AE13">
        <v>1533.6000000000001</v>
      </c>
      <c r="AF13">
        <v>15</v>
      </c>
      <c r="AG13">
        <v>1278</v>
      </c>
      <c r="AH13">
        <v>18</v>
      </c>
      <c r="AI13">
        <v>1533.6000000000001</v>
      </c>
      <c r="AJ13">
        <v>17</v>
      </c>
      <c r="AK13">
        <v>1448.4</v>
      </c>
      <c r="AL13">
        <v>13</v>
      </c>
      <c r="AM13">
        <v>1107.6000000000001</v>
      </c>
      <c r="AN13">
        <v>21</v>
      </c>
      <c r="AO13">
        <v>1789.2</v>
      </c>
      <c r="AP13">
        <v>21</v>
      </c>
      <c r="AQ13">
        <v>1789.2</v>
      </c>
      <c r="AR13">
        <v>24</v>
      </c>
      <c r="AS13">
        <v>2044.8000000000002</v>
      </c>
      <c r="AT13">
        <v>21</v>
      </c>
      <c r="AU13">
        <v>1789.2</v>
      </c>
      <c r="AV13">
        <v>24</v>
      </c>
      <c r="AW13">
        <v>2044.8000000000002</v>
      </c>
      <c r="AX13">
        <v>17</v>
      </c>
      <c r="AY13">
        <v>1448.4</v>
      </c>
      <c r="AZ13">
        <v>16</v>
      </c>
      <c r="BA13">
        <v>1363.2</v>
      </c>
      <c r="BB13">
        <v>21</v>
      </c>
      <c r="BC13">
        <v>1789.2</v>
      </c>
      <c r="BD13">
        <v>17</v>
      </c>
      <c r="BE13">
        <v>1448.4</v>
      </c>
      <c r="BF13">
        <v>20</v>
      </c>
      <c r="BG13">
        <v>1704</v>
      </c>
      <c r="BH13">
        <v>16</v>
      </c>
      <c r="BI13">
        <v>1363.2</v>
      </c>
      <c r="BJ13">
        <v>16</v>
      </c>
      <c r="BK13">
        <v>1363.2</v>
      </c>
      <c r="BL13">
        <v>17</v>
      </c>
      <c r="BM13">
        <v>1448.4</v>
      </c>
      <c r="BN13">
        <v>18</v>
      </c>
      <c r="BO13">
        <v>1533.6000000000001</v>
      </c>
      <c r="BP13">
        <v>26</v>
      </c>
      <c r="BQ13">
        <v>2215.2000000000003</v>
      </c>
      <c r="BR13">
        <v>19</v>
      </c>
      <c r="BS13">
        <v>1618.8</v>
      </c>
      <c r="BT13">
        <v>16</v>
      </c>
      <c r="BU13">
        <v>1363.2</v>
      </c>
      <c r="BV13">
        <v>22</v>
      </c>
      <c r="BW13">
        <v>1874.4</v>
      </c>
      <c r="BX13">
        <v>15</v>
      </c>
      <c r="BY13">
        <v>1278</v>
      </c>
      <c r="BZ13">
        <v>17</v>
      </c>
      <c r="CA13">
        <v>1448.4</v>
      </c>
      <c r="CB13">
        <v>15</v>
      </c>
      <c r="CC13">
        <v>1278</v>
      </c>
      <c r="CD13">
        <v>27</v>
      </c>
      <c r="CE13">
        <v>2300.4</v>
      </c>
      <c r="CF13">
        <v>17</v>
      </c>
      <c r="CG13">
        <v>1448.4</v>
      </c>
      <c r="CH13">
        <v>14</v>
      </c>
      <c r="CI13">
        <v>1192.8</v>
      </c>
      <c r="CJ13">
        <v>26</v>
      </c>
      <c r="CK13">
        <v>2215.2000000000003</v>
      </c>
      <c r="CL13">
        <v>20</v>
      </c>
      <c r="CM13">
        <v>1704</v>
      </c>
      <c r="CN13">
        <v>16</v>
      </c>
      <c r="CO13">
        <v>1363.2</v>
      </c>
      <c r="CP13">
        <v>21</v>
      </c>
      <c r="CQ13">
        <v>1789.2</v>
      </c>
      <c r="CR13">
        <v>18</v>
      </c>
      <c r="CS13">
        <v>1533.6000000000001</v>
      </c>
      <c r="CT13">
        <v>15</v>
      </c>
      <c r="CU13">
        <v>1278</v>
      </c>
    </row>
    <row r="14" spans="1:99" x14ac:dyDescent="0.2">
      <c r="C14" s="118" t="s">
        <v>180</v>
      </c>
      <c r="D14">
        <v>13</v>
      </c>
      <c r="E14">
        <v>6349.2</v>
      </c>
      <c r="F14">
        <v>17</v>
      </c>
      <c r="G14">
        <v>8302.7999999999993</v>
      </c>
      <c r="H14">
        <v>16</v>
      </c>
      <c r="I14">
        <v>7814.4</v>
      </c>
      <c r="J14">
        <v>13</v>
      </c>
      <c r="K14">
        <v>6349.2</v>
      </c>
      <c r="L14">
        <v>16</v>
      </c>
      <c r="M14">
        <v>7814.4</v>
      </c>
      <c r="N14">
        <v>19</v>
      </c>
      <c r="O14">
        <v>9279.6</v>
      </c>
      <c r="P14">
        <v>16</v>
      </c>
      <c r="Q14">
        <v>7814.4</v>
      </c>
      <c r="R14">
        <v>17</v>
      </c>
      <c r="S14">
        <v>8302.7999999999993</v>
      </c>
      <c r="T14">
        <v>14</v>
      </c>
      <c r="U14">
        <v>6837.5999999999995</v>
      </c>
      <c r="V14">
        <v>16</v>
      </c>
      <c r="W14">
        <v>7814.4</v>
      </c>
      <c r="X14">
        <v>16</v>
      </c>
      <c r="Y14">
        <v>7814.4</v>
      </c>
      <c r="Z14">
        <v>22</v>
      </c>
      <c r="AA14">
        <v>10744.8</v>
      </c>
      <c r="AB14">
        <v>13</v>
      </c>
      <c r="AC14">
        <v>6349.2</v>
      </c>
      <c r="AD14">
        <v>16</v>
      </c>
      <c r="AE14">
        <v>7814.4</v>
      </c>
      <c r="AF14">
        <v>15</v>
      </c>
      <c r="AG14">
        <v>7326</v>
      </c>
      <c r="AH14">
        <v>15</v>
      </c>
      <c r="AI14">
        <v>7326</v>
      </c>
      <c r="AJ14">
        <v>18</v>
      </c>
      <c r="AK14">
        <v>8791.1999999999989</v>
      </c>
      <c r="AL14">
        <v>13</v>
      </c>
      <c r="AM14">
        <v>6349.2</v>
      </c>
      <c r="AN14">
        <v>21</v>
      </c>
      <c r="AO14">
        <v>10256.4</v>
      </c>
      <c r="AP14">
        <v>21</v>
      </c>
      <c r="AQ14">
        <v>10256.4</v>
      </c>
      <c r="AR14">
        <v>22</v>
      </c>
      <c r="AS14">
        <v>10744.8</v>
      </c>
      <c r="AT14">
        <v>21</v>
      </c>
      <c r="AU14">
        <v>10256.4</v>
      </c>
      <c r="AV14">
        <v>23</v>
      </c>
      <c r="AW14">
        <v>11233.199999999999</v>
      </c>
      <c r="AX14">
        <v>16</v>
      </c>
      <c r="AY14">
        <v>7814.4</v>
      </c>
      <c r="AZ14">
        <v>16</v>
      </c>
      <c r="BA14">
        <v>7814.4</v>
      </c>
      <c r="BB14">
        <v>19</v>
      </c>
      <c r="BC14">
        <v>9279.6</v>
      </c>
      <c r="BD14">
        <v>15</v>
      </c>
      <c r="BE14">
        <v>7326</v>
      </c>
      <c r="BF14">
        <v>23</v>
      </c>
      <c r="BG14">
        <v>11233.199999999999</v>
      </c>
      <c r="BH14">
        <v>15</v>
      </c>
      <c r="BI14">
        <v>7326</v>
      </c>
      <c r="BJ14">
        <v>17</v>
      </c>
      <c r="BK14">
        <v>8302.7999999999993</v>
      </c>
      <c r="BL14">
        <v>19</v>
      </c>
      <c r="BM14">
        <v>9279.6</v>
      </c>
      <c r="BN14">
        <v>16</v>
      </c>
      <c r="BO14">
        <v>7814.4</v>
      </c>
      <c r="BP14">
        <v>24</v>
      </c>
      <c r="BQ14">
        <v>11721.599999999999</v>
      </c>
      <c r="BR14">
        <v>19</v>
      </c>
      <c r="BS14">
        <v>9279.6</v>
      </c>
      <c r="BT14">
        <v>17</v>
      </c>
      <c r="BU14">
        <v>8302.7999999999993</v>
      </c>
      <c r="BV14">
        <v>21</v>
      </c>
      <c r="BW14">
        <v>10256.4</v>
      </c>
      <c r="BX14">
        <v>14</v>
      </c>
      <c r="BY14">
        <v>6837.5999999999995</v>
      </c>
      <c r="BZ14">
        <v>16</v>
      </c>
      <c r="CA14">
        <v>7814.4</v>
      </c>
      <c r="CB14">
        <v>14</v>
      </c>
      <c r="CC14">
        <v>6837.5999999999995</v>
      </c>
      <c r="CD14">
        <v>26</v>
      </c>
      <c r="CE14">
        <v>12698.4</v>
      </c>
      <c r="CF14">
        <v>18</v>
      </c>
      <c r="CG14">
        <v>8791.1999999999989</v>
      </c>
      <c r="CH14">
        <v>15</v>
      </c>
      <c r="CI14">
        <v>7326</v>
      </c>
      <c r="CJ14">
        <v>24</v>
      </c>
      <c r="CK14">
        <v>11721.599999999999</v>
      </c>
      <c r="CL14">
        <v>20</v>
      </c>
      <c r="CM14">
        <v>9768</v>
      </c>
      <c r="CN14">
        <v>14</v>
      </c>
      <c r="CO14">
        <v>6837.5999999999995</v>
      </c>
      <c r="CP14">
        <v>24</v>
      </c>
      <c r="CQ14">
        <v>11721.599999999999</v>
      </c>
      <c r="CR14">
        <v>17</v>
      </c>
      <c r="CS14">
        <v>8302.7999999999993</v>
      </c>
      <c r="CT14">
        <v>14</v>
      </c>
      <c r="CU14">
        <v>6837.5999999999995</v>
      </c>
    </row>
    <row r="15" spans="1:99" x14ac:dyDescent="0.2">
      <c r="C15" s="118" t="s">
        <v>181</v>
      </c>
      <c r="D15">
        <v>12</v>
      </c>
      <c r="E15">
        <v>9158.4</v>
      </c>
      <c r="F15">
        <v>17</v>
      </c>
      <c r="G15">
        <v>12974.4</v>
      </c>
      <c r="H15">
        <v>16</v>
      </c>
      <c r="I15">
        <v>12211.199999999999</v>
      </c>
      <c r="J15">
        <v>15</v>
      </c>
      <c r="K15">
        <v>11447.999999999998</v>
      </c>
      <c r="L15">
        <v>16</v>
      </c>
      <c r="M15">
        <v>12211.199999999999</v>
      </c>
      <c r="N15">
        <v>17</v>
      </c>
      <c r="O15">
        <v>12974.4</v>
      </c>
      <c r="P15">
        <v>14</v>
      </c>
      <c r="Q15">
        <v>10684.8</v>
      </c>
      <c r="R15">
        <v>17</v>
      </c>
      <c r="S15">
        <v>12974.4</v>
      </c>
      <c r="T15">
        <v>13</v>
      </c>
      <c r="U15">
        <v>9921.5999999999985</v>
      </c>
      <c r="V15">
        <v>15</v>
      </c>
      <c r="W15">
        <v>11447.999999999998</v>
      </c>
      <c r="X15">
        <v>16</v>
      </c>
      <c r="Y15">
        <v>12211.199999999999</v>
      </c>
      <c r="Z15">
        <v>19</v>
      </c>
      <c r="AA15">
        <v>14500.8</v>
      </c>
      <c r="AB15">
        <v>11</v>
      </c>
      <c r="AC15">
        <v>8395.1999999999989</v>
      </c>
      <c r="AD15">
        <v>16</v>
      </c>
      <c r="AE15">
        <v>12211.199999999999</v>
      </c>
      <c r="AF15">
        <v>13</v>
      </c>
      <c r="AG15">
        <v>9921.5999999999985</v>
      </c>
      <c r="AH15">
        <v>16</v>
      </c>
      <c r="AI15">
        <v>12211.199999999999</v>
      </c>
      <c r="AJ15">
        <v>16</v>
      </c>
      <c r="AK15">
        <v>12211.199999999999</v>
      </c>
      <c r="AL15">
        <v>12</v>
      </c>
      <c r="AM15">
        <v>9158.4</v>
      </c>
      <c r="AN15">
        <v>19</v>
      </c>
      <c r="AO15">
        <v>14500.8</v>
      </c>
      <c r="AP15">
        <v>23</v>
      </c>
      <c r="AQ15">
        <v>17553.599999999999</v>
      </c>
      <c r="AR15">
        <v>22</v>
      </c>
      <c r="AS15">
        <v>16790.399999999998</v>
      </c>
      <c r="AT15">
        <v>21</v>
      </c>
      <c r="AU15">
        <v>16027.199999999999</v>
      </c>
      <c r="AV15">
        <v>20</v>
      </c>
      <c r="AW15">
        <v>15263.999999999998</v>
      </c>
      <c r="AX15">
        <v>16</v>
      </c>
      <c r="AY15">
        <v>12211.199999999999</v>
      </c>
      <c r="AZ15">
        <v>14</v>
      </c>
      <c r="BA15">
        <v>10684.8</v>
      </c>
      <c r="BB15">
        <v>19</v>
      </c>
      <c r="BC15">
        <v>14500.8</v>
      </c>
      <c r="BD15">
        <v>14</v>
      </c>
      <c r="BE15">
        <v>10684.8</v>
      </c>
      <c r="BF15">
        <v>23</v>
      </c>
      <c r="BG15">
        <v>17553.599999999999</v>
      </c>
      <c r="BH15">
        <v>16</v>
      </c>
      <c r="BI15">
        <v>12211.199999999999</v>
      </c>
      <c r="BJ15">
        <v>15</v>
      </c>
      <c r="BK15">
        <v>11447.999999999998</v>
      </c>
      <c r="BL15">
        <v>16</v>
      </c>
      <c r="BM15">
        <v>12211.199999999999</v>
      </c>
      <c r="BN15">
        <v>15</v>
      </c>
      <c r="BO15">
        <v>11447.999999999998</v>
      </c>
      <c r="BP15">
        <v>25</v>
      </c>
      <c r="BQ15">
        <v>19080</v>
      </c>
      <c r="BR15">
        <v>20</v>
      </c>
      <c r="BS15">
        <v>15263.999999999998</v>
      </c>
      <c r="BT15">
        <v>15</v>
      </c>
      <c r="BU15">
        <v>11447.999999999998</v>
      </c>
      <c r="BV15">
        <v>18</v>
      </c>
      <c r="BW15">
        <v>13737.599999999999</v>
      </c>
      <c r="BX15">
        <v>15</v>
      </c>
      <c r="BY15">
        <v>11447.999999999998</v>
      </c>
      <c r="BZ15">
        <v>15</v>
      </c>
      <c r="CA15">
        <v>11447.999999999998</v>
      </c>
      <c r="CB15">
        <v>14</v>
      </c>
      <c r="CC15">
        <v>10684.8</v>
      </c>
      <c r="CD15">
        <v>24</v>
      </c>
      <c r="CE15">
        <v>18316.8</v>
      </c>
      <c r="CF15">
        <v>16</v>
      </c>
      <c r="CG15">
        <v>12211.199999999999</v>
      </c>
      <c r="CH15">
        <v>14</v>
      </c>
      <c r="CI15">
        <v>10684.8</v>
      </c>
      <c r="CJ15">
        <v>25</v>
      </c>
      <c r="CK15">
        <v>19080</v>
      </c>
      <c r="CL15">
        <v>17</v>
      </c>
      <c r="CM15">
        <v>12974.4</v>
      </c>
      <c r="CN15">
        <v>14</v>
      </c>
      <c r="CO15">
        <v>10684.8</v>
      </c>
      <c r="CP15">
        <v>24</v>
      </c>
      <c r="CQ15">
        <v>18316.8</v>
      </c>
      <c r="CR15">
        <v>15</v>
      </c>
      <c r="CS15">
        <v>11447.999999999998</v>
      </c>
      <c r="CT15">
        <v>14</v>
      </c>
      <c r="CU15">
        <v>10684.8</v>
      </c>
    </row>
    <row r="16" spans="1:99" x14ac:dyDescent="0.2">
      <c r="C16" s="118" t="s">
        <v>182</v>
      </c>
      <c r="D16">
        <v>14</v>
      </c>
      <c r="E16">
        <v>4771.2</v>
      </c>
      <c r="F16">
        <v>17</v>
      </c>
      <c r="G16">
        <v>5793.6</v>
      </c>
      <c r="H16">
        <v>17</v>
      </c>
      <c r="I16">
        <v>5793.6</v>
      </c>
      <c r="J16">
        <v>15</v>
      </c>
      <c r="K16">
        <v>5112</v>
      </c>
      <c r="L16">
        <v>15</v>
      </c>
      <c r="M16">
        <v>5112</v>
      </c>
      <c r="N16">
        <v>20</v>
      </c>
      <c r="O16">
        <v>6816</v>
      </c>
      <c r="P16">
        <v>17</v>
      </c>
      <c r="Q16">
        <v>5793.6</v>
      </c>
      <c r="R16">
        <v>18</v>
      </c>
      <c r="S16">
        <v>6134.4000000000005</v>
      </c>
      <c r="T16">
        <v>13</v>
      </c>
      <c r="U16">
        <v>4430.4000000000005</v>
      </c>
      <c r="V16">
        <v>15</v>
      </c>
      <c r="W16">
        <v>5112</v>
      </c>
      <c r="X16">
        <v>16</v>
      </c>
      <c r="Y16">
        <v>5452.8</v>
      </c>
      <c r="Z16">
        <v>23</v>
      </c>
      <c r="AA16">
        <v>7838.4000000000005</v>
      </c>
      <c r="AB16">
        <v>12</v>
      </c>
      <c r="AC16">
        <v>4089.6000000000004</v>
      </c>
      <c r="AD16">
        <v>15</v>
      </c>
      <c r="AE16">
        <v>5112</v>
      </c>
      <c r="AF16">
        <v>13</v>
      </c>
      <c r="AG16">
        <v>4430.4000000000005</v>
      </c>
      <c r="AH16">
        <v>17</v>
      </c>
      <c r="AI16">
        <v>5793.6</v>
      </c>
      <c r="AJ16">
        <v>18</v>
      </c>
      <c r="AK16">
        <v>6134.4000000000005</v>
      </c>
      <c r="AL16">
        <v>13</v>
      </c>
      <c r="AM16">
        <v>4430.4000000000005</v>
      </c>
      <c r="AN16">
        <v>23</v>
      </c>
      <c r="AO16">
        <v>7838.4000000000005</v>
      </c>
      <c r="AP16">
        <v>20</v>
      </c>
      <c r="AQ16">
        <v>6816</v>
      </c>
      <c r="AR16">
        <v>23</v>
      </c>
      <c r="AS16">
        <v>7838.4000000000005</v>
      </c>
      <c r="AT16">
        <v>22</v>
      </c>
      <c r="AU16">
        <v>7497.6</v>
      </c>
      <c r="AV16">
        <v>22</v>
      </c>
      <c r="AW16">
        <v>7497.6</v>
      </c>
      <c r="AX16">
        <v>15</v>
      </c>
      <c r="AY16">
        <v>5112</v>
      </c>
      <c r="AZ16">
        <v>16</v>
      </c>
      <c r="BA16">
        <v>5452.8</v>
      </c>
      <c r="BB16">
        <v>19</v>
      </c>
      <c r="BC16">
        <v>6475.2</v>
      </c>
      <c r="BD16">
        <v>16</v>
      </c>
      <c r="BE16">
        <v>5452.8</v>
      </c>
      <c r="BF16">
        <v>20</v>
      </c>
      <c r="BG16">
        <v>6816</v>
      </c>
      <c r="BH16">
        <v>14</v>
      </c>
      <c r="BI16">
        <v>4771.2</v>
      </c>
      <c r="BJ16">
        <v>16</v>
      </c>
      <c r="BK16">
        <v>5452.8</v>
      </c>
      <c r="BL16">
        <v>18</v>
      </c>
      <c r="BM16">
        <v>6134.4000000000005</v>
      </c>
      <c r="BN16">
        <v>18</v>
      </c>
      <c r="BO16">
        <v>6134.4000000000005</v>
      </c>
      <c r="BP16">
        <v>24</v>
      </c>
      <c r="BQ16">
        <v>8179.2000000000007</v>
      </c>
      <c r="BR16">
        <v>19</v>
      </c>
      <c r="BS16">
        <v>6475.2</v>
      </c>
      <c r="BT16">
        <v>16</v>
      </c>
      <c r="BU16">
        <v>5452.8</v>
      </c>
      <c r="BV16">
        <v>19</v>
      </c>
      <c r="BW16">
        <v>6475.2</v>
      </c>
      <c r="BX16">
        <v>13</v>
      </c>
      <c r="BY16">
        <v>4430.4000000000005</v>
      </c>
      <c r="BZ16">
        <v>17</v>
      </c>
      <c r="CA16">
        <v>5793.6</v>
      </c>
      <c r="CB16">
        <v>15</v>
      </c>
      <c r="CC16">
        <v>5112</v>
      </c>
      <c r="CD16">
        <v>23</v>
      </c>
      <c r="CE16">
        <v>7838.4000000000005</v>
      </c>
      <c r="CF16">
        <v>18</v>
      </c>
      <c r="CG16">
        <v>6134.4000000000005</v>
      </c>
      <c r="CH16">
        <v>14</v>
      </c>
      <c r="CI16">
        <v>4771.2</v>
      </c>
      <c r="CJ16">
        <v>26</v>
      </c>
      <c r="CK16">
        <v>8860.8000000000011</v>
      </c>
      <c r="CL16">
        <v>20</v>
      </c>
      <c r="CM16">
        <v>6816</v>
      </c>
      <c r="CN16">
        <v>14</v>
      </c>
      <c r="CO16">
        <v>4771.2</v>
      </c>
      <c r="CP16">
        <v>22</v>
      </c>
      <c r="CQ16">
        <v>7497.6</v>
      </c>
      <c r="CR16">
        <v>17</v>
      </c>
      <c r="CS16">
        <v>5793.6</v>
      </c>
      <c r="CT16">
        <v>15</v>
      </c>
      <c r="CU16">
        <v>5112</v>
      </c>
    </row>
    <row r="17" spans="2:99" x14ac:dyDescent="0.2">
      <c r="C17" s="118" t="s">
        <v>183</v>
      </c>
      <c r="D17">
        <v>13</v>
      </c>
      <c r="E17">
        <v>5491.2</v>
      </c>
      <c r="F17">
        <v>16</v>
      </c>
      <c r="G17">
        <v>6758.4</v>
      </c>
      <c r="H17">
        <v>18</v>
      </c>
      <c r="I17">
        <v>7603.2</v>
      </c>
      <c r="J17">
        <v>14</v>
      </c>
      <c r="K17">
        <v>5913.5999999999995</v>
      </c>
      <c r="L17">
        <v>15</v>
      </c>
      <c r="M17">
        <v>6336</v>
      </c>
      <c r="N17">
        <v>19</v>
      </c>
      <c r="O17">
        <v>8025.5999999999995</v>
      </c>
      <c r="P17">
        <v>16</v>
      </c>
      <c r="Q17">
        <v>6758.4</v>
      </c>
      <c r="R17">
        <v>18</v>
      </c>
      <c r="S17">
        <v>7603.2</v>
      </c>
      <c r="T17">
        <v>13</v>
      </c>
      <c r="U17">
        <v>5491.2</v>
      </c>
      <c r="V17">
        <v>15</v>
      </c>
      <c r="W17">
        <v>6336</v>
      </c>
      <c r="X17">
        <v>15</v>
      </c>
      <c r="Y17">
        <v>6336</v>
      </c>
      <c r="Z17">
        <v>23</v>
      </c>
      <c r="AA17">
        <v>9715.1999999999989</v>
      </c>
      <c r="AB17">
        <v>13</v>
      </c>
      <c r="AC17">
        <v>5491.2</v>
      </c>
      <c r="AD17">
        <v>18</v>
      </c>
      <c r="AE17">
        <v>7603.2</v>
      </c>
      <c r="AF17">
        <v>15</v>
      </c>
      <c r="AG17">
        <v>6336</v>
      </c>
      <c r="AH17">
        <v>15</v>
      </c>
      <c r="AI17">
        <v>6336</v>
      </c>
      <c r="AJ17">
        <v>18</v>
      </c>
      <c r="AK17">
        <v>7603.2</v>
      </c>
      <c r="AL17">
        <v>14</v>
      </c>
      <c r="AM17">
        <v>5913.5999999999995</v>
      </c>
      <c r="AN17">
        <v>22</v>
      </c>
      <c r="AO17">
        <v>9292.7999999999993</v>
      </c>
      <c r="AP17">
        <v>24</v>
      </c>
      <c r="AQ17">
        <v>10137.599999999999</v>
      </c>
      <c r="AR17">
        <v>24</v>
      </c>
      <c r="AS17">
        <v>10137.599999999999</v>
      </c>
      <c r="AT17">
        <v>23</v>
      </c>
      <c r="AU17">
        <v>9715.1999999999989</v>
      </c>
      <c r="AV17">
        <v>22</v>
      </c>
      <c r="AW17">
        <v>9292.7999999999993</v>
      </c>
      <c r="AX17">
        <v>15</v>
      </c>
      <c r="AY17">
        <v>6336</v>
      </c>
      <c r="AZ17">
        <v>16</v>
      </c>
      <c r="BA17">
        <v>6758.4</v>
      </c>
      <c r="BB17">
        <v>19</v>
      </c>
      <c r="BC17">
        <v>8025.5999999999995</v>
      </c>
      <c r="BD17">
        <v>15</v>
      </c>
      <c r="BE17">
        <v>6336</v>
      </c>
      <c r="BF17">
        <v>20</v>
      </c>
      <c r="BG17">
        <v>8448</v>
      </c>
      <c r="BH17">
        <v>14</v>
      </c>
      <c r="BI17">
        <v>5913.5999999999995</v>
      </c>
      <c r="BJ17">
        <v>17</v>
      </c>
      <c r="BK17">
        <v>7180.7999999999993</v>
      </c>
      <c r="BL17">
        <v>17</v>
      </c>
      <c r="BM17">
        <v>7180.7999999999993</v>
      </c>
      <c r="BN17">
        <v>17</v>
      </c>
      <c r="BO17">
        <v>7180.7999999999993</v>
      </c>
      <c r="BP17">
        <v>22</v>
      </c>
      <c r="BQ17">
        <v>9292.7999999999993</v>
      </c>
      <c r="BR17">
        <v>20</v>
      </c>
      <c r="BS17">
        <v>8448</v>
      </c>
      <c r="BT17">
        <v>14</v>
      </c>
      <c r="BU17">
        <v>5913.5999999999995</v>
      </c>
      <c r="BV17">
        <v>22</v>
      </c>
      <c r="BW17">
        <v>9292.7999999999993</v>
      </c>
      <c r="BX17">
        <v>15</v>
      </c>
      <c r="BY17">
        <v>6336</v>
      </c>
      <c r="BZ17">
        <v>15</v>
      </c>
      <c r="CA17">
        <v>6336</v>
      </c>
      <c r="CB17">
        <v>14</v>
      </c>
      <c r="CC17">
        <v>5913.5999999999995</v>
      </c>
      <c r="CD17">
        <v>26</v>
      </c>
      <c r="CE17">
        <v>10982.4</v>
      </c>
      <c r="CF17">
        <v>15</v>
      </c>
      <c r="CG17">
        <v>6336</v>
      </c>
      <c r="CH17">
        <v>14</v>
      </c>
      <c r="CI17">
        <v>5913.5999999999995</v>
      </c>
      <c r="CJ17">
        <v>23</v>
      </c>
      <c r="CK17">
        <v>9715.1999999999989</v>
      </c>
      <c r="CL17">
        <v>18</v>
      </c>
      <c r="CM17">
        <v>7603.2</v>
      </c>
      <c r="CN17">
        <v>15</v>
      </c>
      <c r="CO17">
        <v>6336</v>
      </c>
      <c r="CP17">
        <v>24</v>
      </c>
      <c r="CQ17">
        <v>10137.599999999999</v>
      </c>
      <c r="CR17">
        <v>16</v>
      </c>
      <c r="CS17">
        <v>6758.4</v>
      </c>
      <c r="CT17">
        <v>16</v>
      </c>
      <c r="CU17">
        <v>6758.4</v>
      </c>
    </row>
    <row r="18" spans="2:99" x14ac:dyDescent="0.2">
      <c r="C18" s="118" t="s">
        <v>184</v>
      </c>
      <c r="D18">
        <v>13</v>
      </c>
      <c r="E18">
        <v>8486.4</v>
      </c>
      <c r="F18">
        <v>17</v>
      </c>
      <c r="G18">
        <v>11097.599999999999</v>
      </c>
      <c r="H18">
        <v>16</v>
      </c>
      <c r="I18">
        <v>10444.799999999999</v>
      </c>
      <c r="J18">
        <v>15</v>
      </c>
      <c r="K18">
        <v>9792</v>
      </c>
      <c r="L18">
        <v>15</v>
      </c>
      <c r="M18">
        <v>9792</v>
      </c>
      <c r="N18">
        <v>19</v>
      </c>
      <c r="O18">
        <v>12403.199999999999</v>
      </c>
      <c r="P18">
        <v>14</v>
      </c>
      <c r="Q18">
        <v>9139.1999999999989</v>
      </c>
      <c r="R18">
        <v>15</v>
      </c>
      <c r="S18">
        <v>9792</v>
      </c>
      <c r="T18">
        <v>12</v>
      </c>
      <c r="U18">
        <v>7833.5999999999995</v>
      </c>
      <c r="V18">
        <v>16</v>
      </c>
      <c r="W18">
        <v>10444.799999999999</v>
      </c>
      <c r="X18">
        <v>16</v>
      </c>
      <c r="Y18">
        <v>10444.799999999999</v>
      </c>
      <c r="Z18">
        <v>19</v>
      </c>
      <c r="AA18">
        <v>12403.199999999999</v>
      </c>
      <c r="AB18">
        <v>12</v>
      </c>
      <c r="AC18">
        <v>7833.5999999999995</v>
      </c>
      <c r="AD18">
        <v>15</v>
      </c>
      <c r="AE18">
        <v>9792</v>
      </c>
      <c r="AF18">
        <v>14</v>
      </c>
      <c r="AG18">
        <v>9139.1999999999989</v>
      </c>
      <c r="AH18">
        <v>16</v>
      </c>
      <c r="AI18">
        <v>10444.799999999999</v>
      </c>
      <c r="AJ18">
        <v>17</v>
      </c>
      <c r="AK18">
        <v>11097.599999999999</v>
      </c>
      <c r="AL18">
        <v>13</v>
      </c>
      <c r="AM18">
        <v>8486.4</v>
      </c>
      <c r="AN18">
        <v>21</v>
      </c>
      <c r="AO18">
        <v>13708.8</v>
      </c>
      <c r="AP18">
        <v>23</v>
      </c>
      <c r="AQ18">
        <v>15014.4</v>
      </c>
      <c r="AR18">
        <v>24</v>
      </c>
      <c r="AS18">
        <v>15667.199999999999</v>
      </c>
      <c r="AT18">
        <v>20</v>
      </c>
      <c r="AU18">
        <v>13056</v>
      </c>
      <c r="AV18">
        <v>19</v>
      </c>
      <c r="AW18">
        <v>12403.199999999999</v>
      </c>
      <c r="AX18">
        <v>16</v>
      </c>
      <c r="AY18">
        <v>10444.799999999999</v>
      </c>
      <c r="AZ18">
        <v>16</v>
      </c>
      <c r="BA18">
        <v>10444.799999999999</v>
      </c>
      <c r="BB18">
        <v>20</v>
      </c>
      <c r="BC18">
        <v>13056</v>
      </c>
      <c r="BD18">
        <v>14</v>
      </c>
      <c r="BE18">
        <v>9139.1999999999989</v>
      </c>
      <c r="BF18">
        <v>21</v>
      </c>
      <c r="BG18">
        <v>13708.8</v>
      </c>
      <c r="BH18">
        <v>16</v>
      </c>
      <c r="BI18">
        <v>10444.799999999999</v>
      </c>
      <c r="BJ18">
        <v>15</v>
      </c>
      <c r="BK18">
        <v>9792</v>
      </c>
      <c r="BL18">
        <v>17</v>
      </c>
      <c r="BM18">
        <v>11097.599999999999</v>
      </c>
      <c r="BN18">
        <v>16</v>
      </c>
      <c r="BO18">
        <v>10444.799999999999</v>
      </c>
      <c r="BP18">
        <v>22</v>
      </c>
      <c r="BQ18">
        <v>14361.599999999999</v>
      </c>
      <c r="BR18">
        <v>21</v>
      </c>
      <c r="BS18">
        <v>13708.8</v>
      </c>
      <c r="BT18">
        <v>14</v>
      </c>
      <c r="BU18">
        <v>9139.1999999999989</v>
      </c>
      <c r="BV18">
        <v>19</v>
      </c>
      <c r="BW18">
        <v>12403.199999999999</v>
      </c>
      <c r="BX18">
        <v>14</v>
      </c>
      <c r="BY18">
        <v>9139.1999999999989</v>
      </c>
      <c r="BZ18">
        <v>14</v>
      </c>
      <c r="CA18">
        <v>9139.1999999999989</v>
      </c>
      <c r="CB18">
        <v>15</v>
      </c>
      <c r="CC18">
        <v>9792</v>
      </c>
      <c r="CD18">
        <v>21</v>
      </c>
      <c r="CE18">
        <v>13708.8</v>
      </c>
      <c r="CF18">
        <v>17</v>
      </c>
      <c r="CG18">
        <v>11097.599999999999</v>
      </c>
      <c r="CH18">
        <v>13</v>
      </c>
      <c r="CI18">
        <v>8486.4</v>
      </c>
      <c r="CJ18">
        <v>25</v>
      </c>
      <c r="CK18">
        <v>16319.999999999998</v>
      </c>
      <c r="CL18">
        <v>18</v>
      </c>
      <c r="CM18">
        <v>11750.4</v>
      </c>
      <c r="CN18">
        <v>15</v>
      </c>
      <c r="CO18">
        <v>9792</v>
      </c>
      <c r="CP18">
        <v>24</v>
      </c>
      <c r="CQ18">
        <v>15667.199999999999</v>
      </c>
      <c r="CR18">
        <v>14</v>
      </c>
      <c r="CS18">
        <v>9139.1999999999989</v>
      </c>
      <c r="CT18">
        <v>13</v>
      </c>
      <c r="CU18">
        <v>8486.4</v>
      </c>
    </row>
    <row r="19" spans="2:99" x14ac:dyDescent="0.2">
      <c r="C19" s="118" t="s">
        <v>185</v>
      </c>
      <c r="D19">
        <v>15</v>
      </c>
      <c r="E19">
        <v>4950</v>
      </c>
      <c r="F19">
        <v>17</v>
      </c>
      <c r="G19">
        <v>5610</v>
      </c>
      <c r="H19">
        <v>16</v>
      </c>
      <c r="I19">
        <v>5280</v>
      </c>
      <c r="J19">
        <v>15</v>
      </c>
      <c r="K19">
        <v>4950</v>
      </c>
      <c r="L19">
        <v>16</v>
      </c>
      <c r="M19">
        <v>5280</v>
      </c>
      <c r="N19">
        <v>18</v>
      </c>
      <c r="O19">
        <v>5940</v>
      </c>
      <c r="P19">
        <v>16</v>
      </c>
      <c r="Q19">
        <v>5280</v>
      </c>
      <c r="R19">
        <v>18</v>
      </c>
      <c r="S19">
        <v>5940</v>
      </c>
      <c r="T19">
        <v>14</v>
      </c>
      <c r="U19">
        <v>4620</v>
      </c>
      <c r="V19">
        <v>17</v>
      </c>
      <c r="W19">
        <v>5610</v>
      </c>
      <c r="X19">
        <v>18</v>
      </c>
      <c r="Y19">
        <v>5940</v>
      </c>
      <c r="Z19">
        <v>21</v>
      </c>
      <c r="AA19">
        <v>6930</v>
      </c>
      <c r="AB19">
        <v>12</v>
      </c>
      <c r="AC19">
        <v>3960</v>
      </c>
      <c r="AD19">
        <v>16</v>
      </c>
      <c r="AE19">
        <v>5280</v>
      </c>
      <c r="AF19">
        <v>13</v>
      </c>
      <c r="AG19">
        <v>4290</v>
      </c>
      <c r="AH19">
        <v>15</v>
      </c>
      <c r="AI19">
        <v>4950</v>
      </c>
      <c r="AJ19">
        <v>17</v>
      </c>
      <c r="AK19">
        <v>5610</v>
      </c>
      <c r="AL19">
        <v>13</v>
      </c>
      <c r="AM19">
        <v>4290</v>
      </c>
      <c r="AN19">
        <v>20</v>
      </c>
      <c r="AO19">
        <v>6600</v>
      </c>
      <c r="AP19">
        <v>23</v>
      </c>
      <c r="AQ19">
        <v>7590</v>
      </c>
      <c r="AR19">
        <v>21</v>
      </c>
      <c r="AS19">
        <v>6930</v>
      </c>
      <c r="AT19">
        <v>20</v>
      </c>
      <c r="AU19">
        <v>6600</v>
      </c>
      <c r="AV19">
        <v>20</v>
      </c>
      <c r="AW19">
        <v>6600</v>
      </c>
      <c r="AX19">
        <v>17</v>
      </c>
      <c r="AY19">
        <v>5610</v>
      </c>
      <c r="AZ19">
        <v>14</v>
      </c>
      <c r="BA19">
        <v>4620</v>
      </c>
      <c r="BB19">
        <v>19</v>
      </c>
      <c r="BC19">
        <v>6270</v>
      </c>
      <c r="BD19">
        <v>17</v>
      </c>
      <c r="BE19">
        <v>5610</v>
      </c>
      <c r="BF19">
        <v>22</v>
      </c>
      <c r="BG19">
        <v>7260</v>
      </c>
      <c r="BH19">
        <v>14</v>
      </c>
      <c r="BI19">
        <v>4620</v>
      </c>
      <c r="BJ19">
        <v>15</v>
      </c>
      <c r="BK19">
        <v>4950</v>
      </c>
      <c r="BL19">
        <v>18</v>
      </c>
      <c r="BM19">
        <v>5940</v>
      </c>
      <c r="BN19">
        <v>15</v>
      </c>
      <c r="BO19">
        <v>4950</v>
      </c>
      <c r="BP19">
        <v>25</v>
      </c>
      <c r="BQ19">
        <v>8250</v>
      </c>
      <c r="BR19">
        <v>22</v>
      </c>
      <c r="BS19">
        <v>7260</v>
      </c>
      <c r="BT19">
        <v>16</v>
      </c>
      <c r="BU19">
        <v>5280</v>
      </c>
      <c r="BV19">
        <v>21</v>
      </c>
      <c r="BW19">
        <v>6930</v>
      </c>
      <c r="BX19">
        <v>14</v>
      </c>
      <c r="BY19">
        <v>4620</v>
      </c>
      <c r="BZ19">
        <v>17</v>
      </c>
      <c r="CA19">
        <v>5610</v>
      </c>
      <c r="CB19">
        <v>15</v>
      </c>
      <c r="CC19">
        <v>4950</v>
      </c>
      <c r="CD19">
        <v>23</v>
      </c>
      <c r="CE19">
        <v>7590</v>
      </c>
      <c r="CF19">
        <v>17</v>
      </c>
      <c r="CG19">
        <v>5610</v>
      </c>
      <c r="CH19">
        <v>15</v>
      </c>
      <c r="CI19">
        <v>4950</v>
      </c>
      <c r="CJ19">
        <v>23</v>
      </c>
      <c r="CK19">
        <v>7590</v>
      </c>
      <c r="CL19">
        <v>17</v>
      </c>
      <c r="CM19">
        <v>5610</v>
      </c>
      <c r="CN19">
        <v>14</v>
      </c>
      <c r="CO19">
        <v>4620</v>
      </c>
      <c r="CP19">
        <v>23</v>
      </c>
      <c r="CQ19">
        <v>7590</v>
      </c>
      <c r="CR19">
        <v>16</v>
      </c>
      <c r="CS19">
        <v>5280</v>
      </c>
      <c r="CT19">
        <v>15</v>
      </c>
      <c r="CU19">
        <v>4950</v>
      </c>
    </row>
    <row r="20" spans="2:99" x14ac:dyDescent="0.2">
      <c r="B20" s="118" t="s">
        <v>127</v>
      </c>
      <c r="C20" s="118" t="s">
        <v>186</v>
      </c>
      <c r="D20">
        <v>8</v>
      </c>
      <c r="E20">
        <v>2294.4</v>
      </c>
      <c r="F20">
        <v>8</v>
      </c>
      <c r="G20">
        <v>2294.4</v>
      </c>
      <c r="H20">
        <v>11</v>
      </c>
      <c r="I20">
        <v>3154.8</v>
      </c>
      <c r="J20">
        <v>10</v>
      </c>
      <c r="K20">
        <v>2868</v>
      </c>
      <c r="L20">
        <v>15</v>
      </c>
      <c r="M20">
        <v>4302</v>
      </c>
      <c r="N20">
        <v>15</v>
      </c>
      <c r="O20">
        <v>4302</v>
      </c>
      <c r="P20">
        <v>14</v>
      </c>
      <c r="Q20">
        <v>4015.2000000000003</v>
      </c>
      <c r="R20">
        <v>15</v>
      </c>
      <c r="S20">
        <v>4302</v>
      </c>
      <c r="T20">
        <v>16</v>
      </c>
      <c r="U20">
        <v>4588.8</v>
      </c>
      <c r="V20">
        <v>12</v>
      </c>
      <c r="W20">
        <v>3441.6000000000004</v>
      </c>
      <c r="X20">
        <v>16</v>
      </c>
      <c r="Y20">
        <v>4588.8</v>
      </c>
      <c r="Z20">
        <v>9</v>
      </c>
      <c r="AA20">
        <v>2581.2000000000003</v>
      </c>
      <c r="AB20">
        <v>13</v>
      </c>
      <c r="AC20">
        <v>3728.4</v>
      </c>
      <c r="AD20">
        <v>16</v>
      </c>
      <c r="AE20">
        <v>4588.8</v>
      </c>
      <c r="AF20">
        <v>14</v>
      </c>
      <c r="AG20">
        <v>4015.2000000000003</v>
      </c>
      <c r="AH20">
        <v>9</v>
      </c>
      <c r="AI20">
        <v>2581.2000000000003</v>
      </c>
      <c r="AJ20">
        <v>15</v>
      </c>
      <c r="AK20">
        <v>4302</v>
      </c>
      <c r="AL20">
        <v>15</v>
      </c>
      <c r="AM20">
        <v>4302</v>
      </c>
      <c r="AN20">
        <v>9</v>
      </c>
      <c r="AO20">
        <v>2581.2000000000003</v>
      </c>
      <c r="AP20">
        <v>10</v>
      </c>
      <c r="AQ20">
        <v>2868</v>
      </c>
      <c r="AR20">
        <v>10</v>
      </c>
      <c r="AS20">
        <v>2868</v>
      </c>
      <c r="AT20">
        <v>10</v>
      </c>
      <c r="AU20">
        <v>2868</v>
      </c>
      <c r="AV20">
        <v>18</v>
      </c>
      <c r="AW20">
        <v>5162.4000000000005</v>
      </c>
      <c r="AX20">
        <v>11</v>
      </c>
      <c r="AY20">
        <v>3154.8</v>
      </c>
      <c r="AZ20">
        <v>13</v>
      </c>
      <c r="BA20">
        <v>3728.4</v>
      </c>
      <c r="BB20">
        <v>13</v>
      </c>
      <c r="BC20">
        <v>3728.4</v>
      </c>
      <c r="BD20">
        <v>13</v>
      </c>
      <c r="BE20">
        <v>3728.4</v>
      </c>
      <c r="BF20">
        <v>14</v>
      </c>
      <c r="BG20">
        <v>4015.2000000000003</v>
      </c>
      <c r="BH20">
        <v>9</v>
      </c>
      <c r="BI20">
        <v>2581.2000000000003</v>
      </c>
      <c r="BJ20">
        <v>14</v>
      </c>
      <c r="BK20">
        <v>4015.2000000000003</v>
      </c>
      <c r="BL20">
        <v>12</v>
      </c>
      <c r="BM20">
        <v>3441.6000000000004</v>
      </c>
      <c r="BN20">
        <v>13</v>
      </c>
      <c r="BO20">
        <v>3728.4</v>
      </c>
      <c r="BP20">
        <v>12</v>
      </c>
      <c r="BQ20">
        <v>3441.6000000000004</v>
      </c>
      <c r="BR20">
        <v>12</v>
      </c>
      <c r="BS20">
        <v>3441.6000000000004</v>
      </c>
      <c r="BT20">
        <v>10</v>
      </c>
      <c r="BU20">
        <v>2868</v>
      </c>
      <c r="BV20">
        <v>13</v>
      </c>
      <c r="BW20">
        <v>3728.4</v>
      </c>
      <c r="BX20">
        <v>15</v>
      </c>
      <c r="BY20">
        <v>4302</v>
      </c>
      <c r="BZ20">
        <v>11</v>
      </c>
      <c r="CA20">
        <v>3154.8</v>
      </c>
      <c r="CB20">
        <v>13</v>
      </c>
      <c r="CC20">
        <v>3728.4</v>
      </c>
      <c r="CD20">
        <v>14</v>
      </c>
      <c r="CE20">
        <v>4015.2000000000003</v>
      </c>
      <c r="CF20">
        <v>15</v>
      </c>
      <c r="CG20">
        <v>4302</v>
      </c>
      <c r="CH20">
        <v>14</v>
      </c>
      <c r="CI20">
        <v>4015.2000000000003</v>
      </c>
      <c r="CJ20">
        <v>16</v>
      </c>
      <c r="CK20">
        <v>4588.8</v>
      </c>
      <c r="CL20">
        <v>11</v>
      </c>
      <c r="CM20">
        <v>3154.8</v>
      </c>
      <c r="CN20">
        <v>12</v>
      </c>
      <c r="CO20">
        <v>3441.6000000000004</v>
      </c>
      <c r="CP20">
        <v>15</v>
      </c>
      <c r="CQ20">
        <v>4302</v>
      </c>
      <c r="CR20">
        <v>17</v>
      </c>
      <c r="CS20">
        <v>4875.6000000000004</v>
      </c>
      <c r="CT20">
        <v>13</v>
      </c>
      <c r="CU20">
        <v>3728.4</v>
      </c>
    </row>
    <row r="21" spans="2:99" x14ac:dyDescent="0.2">
      <c r="C21" s="118" t="s">
        <v>187</v>
      </c>
      <c r="D21">
        <v>8</v>
      </c>
      <c r="E21">
        <v>499.2</v>
      </c>
      <c r="F21">
        <v>9</v>
      </c>
      <c r="G21">
        <v>561.6</v>
      </c>
      <c r="H21">
        <v>12</v>
      </c>
      <c r="I21">
        <v>748.8</v>
      </c>
      <c r="J21">
        <v>10</v>
      </c>
      <c r="K21">
        <v>624</v>
      </c>
      <c r="L21">
        <v>15</v>
      </c>
      <c r="M21">
        <v>936</v>
      </c>
      <c r="N21">
        <v>14</v>
      </c>
      <c r="O21">
        <v>873.6</v>
      </c>
      <c r="P21">
        <v>15</v>
      </c>
      <c r="Q21">
        <v>936</v>
      </c>
      <c r="R21">
        <v>13</v>
      </c>
      <c r="S21">
        <v>811.19999999999993</v>
      </c>
      <c r="T21">
        <v>16</v>
      </c>
      <c r="U21">
        <v>998.4</v>
      </c>
      <c r="V21">
        <v>12</v>
      </c>
      <c r="W21">
        <v>748.8</v>
      </c>
      <c r="X21">
        <v>16</v>
      </c>
      <c r="Y21">
        <v>998.4</v>
      </c>
      <c r="Z21">
        <v>11</v>
      </c>
      <c r="AA21">
        <v>686.4</v>
      </c>
      <c r="AB21">
        <v>13</v>
      </c>
      <c r="AC21">
        <v>811.19999999999993</v>
      </c>
      <c r="AD21">
        <v>14</v>
      </c>
      <c r="AE21">
        <v>873.6</v>
      </c>
      <c r="AF21">
        <v>15</v>
      </c>
      <c r="AG21">
        <v>936</v>
      </c>
      <c r="AH21">
        <v>10</v>
      </c>
      <c r="AI21">
        <v>624</v>
      </c>
      <c r="AJ21">
        <v>17</v>
      </c>
      <c r="AK21">
        <v>1060.8</v>
      </c>
      <c r="AL21">
        <v>14</v>
      </c>
      <c r="AM21">
        <v>873.6</v>
      </c>
      <c r="AN21">
        <v>11</v>
      </c>
      <c r="AO21">
        <v>686.4</v>
      </c>
      <c r="AP21">
        <v>10</v>
      </c>
      <c r="AQ21">
        <v>624</v>
      </c>
      <c r="AR21">
        <v>10</v>
      </c>
      <c r="AS21">
        <v>624</v>
      </c>
      <c r="AT21">
        <v>9</v>
      </c>
      <c r="AU21">
        <v>561.6</v>
      </c>
      <c r="AV21">
        <v>18</v>
      </c>
      <c r="AW21">
        <v>1123.2</v>
      </c>
      <c r="AX21">
        <v>13</v>
      </c>
      <c r="AY21">
        <v>811.19999999999993</v>
      </c>
      <c r="AZ21">
        <v>15</v>
      </c>
      <c r="BA21">
        <v>936</v>
      </c>
      <c r="BB21">
        <v>12</v>
      </c>
      <c r="BC21">
        <v>748.8</v>
      </c>
      <c r="BD21">
        <v>14</v>
      </c>
      <c r="BE21">
        <v>873.6</v>
      </c>
      <c r="BF21">
        <v>15</v>
      </c>
      <c r="BG21">
        <v>936</v>
      </c>
      <c r="BH21">
        <v>9</v>
      </c>
      <c r="BI21">
        <v>561.6</v>
      </c>
      <c r="BJ21">
        <v>15</v>
      </c>
      <c r="BK21">
        <v>936</v>
      </c>
      <c r="BL21">
        <v>14</v>
      </c>
      <c r="BM21">
        <v>873.6</v>
      </c>
      <c r="BN21">
        <v>13</v>
      </c>
      <c r="BO21">
        <v>811.19999999999993</v>
      </c>
      <c r="BP21">
        <v>12</v>
      </c>
      <c r="BQ21">
        <v>748.8</v>
      </c>
      <c r="BR21">
        <v>11</v>
      </c>
      <c r="BS21">
        <v>686.4</v>
      </c>
      <c r="BT21">
        <v>9</v>
      </c>
      <c r="BU21">
        <v>561.6</v>
      </c>
      <c r="BV21">
        <v>13</v>
      </c>
      <c r="BW21">
        <v>811.19999999999993</v>
      </c>
      <c r="BX21">
        <v>15</v>
      </c>
      <c r="BY21">
        <v>936</v>
      </c>
      <c r="BZ21">
        <v>10</v>
      </c>
      <c r="CA21">
        <v>624</v>
      </c>
      <c r="CB21">
        <v>16</v>
      </c>
      <c r="CC21">
        <v>998.4</v>
      </c>
      <c r="CD21">
        <v>13</v>
      </c>
      <c r="CE21">
        <v>811.19999999999993</v>
      </c>
      <c r="CF21">
        <v>14</v>
      </c>
      <c r="CG21">
        <v>873.6</v>
      </c>
      <c r="CH21">
        <v>14</v>
      </c>
      <c r="CI21">
        <v>873.6</v>
      </c>
      <c r="CJ21">
        <v>15</v>
      </c>
      <c r="CK21">
        <v>936</v>
      </c>
      <c r="CL21">
        <v>10</v>
      </c>
      <c r="CM21">
        <v>624</v>
      </c>
      <c r="CN21">
        <v>11</v>
      </c>
      <c r="CO21">
        <v>686.4</v>
      </c>
      <c r="CP21">
        <v>17</v>
      </c>
      <c r="CQ21">
        <v>1060.8</v>
      </c>
      <c r="CR21">
        <v>15</v>
      </c>
      <c r="CS21">
        <v>936</v>
      </c>
      <c r="CT21">
        <v>14</v>
      </c>
      <c r="CU21">
        <v>873.6</v>
      </c>
    </row>
    <row r="22" spans="2:99" x14ac:dyDescent="0.2">
      <c r="C22" s="118" t="s">
        <v>188</v>
      </c>
      <c r="D22">
        <v>8</v>
      </c>
      <c r="E22">
        <v>1497.6</v>
      </c>
      <c r="F22">
        <v>8</v>
      </c>
      <c r="G22">
        <v>1497.6</v>
      </c>
      <c r="H22">
        <v>12</v>
      </c>
      <c r="I22">
        <v>2246.3999999999996</v>
      </c>
      <c r="J22">
        <v>9</v>
      </c>
      <c r="K22">
        <v>1684.8</v>
      </c>
      <c r="L22">
        <v>15</v>
      </c>
      <c r="M22">
        <v>2808</v>
      </c>
      <c r="N22">
        <v>14</v>
      </c>
      <c r="O22">
        <v>2620.7999999999997</v>
      </c>
      <c r="P22">
        <v>13</v>
      </c>
      <c r="Q22">
        <v>2433.6</v>
      </c>
      <c r="R22">
        <v>14</v>
      </c>
      <c r="S22">
        <v>2620.7999999999997</v>
      </c>
      <c r="T22">
        <v>15</v>
      </c>
      <c r="U22">
        <v>2808</v>
      </c>
      <c r="V22">
        <v>13</v>
      </c>
      <c r="W22">
        <v>2433.6</v>
      </c>
      <c r="X22">
        <v>14</v>
      </c>
      <c r="Y22">
        <v>2620.7999999999997</v>
      </c>
      <c r="Z22">
        <v>10</v>
      </c>
      <c r="AA22">
        <v>1872</v>
      </c>
      <c r="AB22">
        <v>13</v>
      </c>
      <c r="AC22">
        <v>2433.6</v>
      </c>
      <c r="AD22">
        <v>16</v>
      </c>
      <c r="AE22">
        <v>2995.2</v>
      </c>
      <c r="AF22">
        <v>14</v>
      </c>
      <c r="AG22">
        <v>2620.7999999999997</v>
      </c>
      <c r="AH22">
        <v>9</v>
      </c>
      <c r="AI22">
        <v>1684.8</v>
      </c>
      <c r="AJ22">
        <v>16</v>
      </c>
      <c r="AK22">
        <v>2995.2</v>
      </c>
      <c r="AL22">
        <v>15</v>
      </c>
      <c r="AM22">
        <v>2808</v>
      </c>
      <c r="AN22">
        <v>11</v>
      </c>
      <c r="AO22">
        <v>2059.1999999999998</v>
      </c>
      <c r="AP22">
        <v>10</v>
      </c>
      <c r="AQ22">
        <v>1872</v>
      </c>
      <c r="AR22">
        <v>11</v>
      </c>
      <c r="AS22">
        <v>2059.1999999999998</v>
      </c>
      <c r="AT22">
        <v>9</v>
      </c>
      <c r="AU22">
        <v>1684.8</v>
      </c>
      <c r="AV22">
        <v>17</v>
      </c>
      <c r="AW22">
        <v>3182.3999999999996</v>
      </c>
      <c r="AX22">
        <v>11</v>
      </c>
      <c r="AY22">
        <v>2059.1999999999998</v>
      </c>
      <c r="AZ22">
        <v>15</v>
      </c>
      <c r="BA22">
        <v>2808</v>
      </c>
      <c r="BB22">
        <v>13</v>
      </c>
      <c r="BC22">
        <v>2433.6</v>
      </c>
      <c r="BD22">
        <v>13</v>
      </c>
      <c r="BE22">
        <v>2433.6</v>
      </c>
      <c r="BF22">
        <v>14</v>
      </c>
      <c r="BG22">
        <v>2620.7999999999997</v>
      </c>
      <c r="BH22">
        <v>9</v>
      </c>
      <c r="BI22">
        <v>1684.8</v>
      </c>
      <c r="BJ22">
        <v>14</v>
      </c>
      <c r="BK22">
        <v>2620.7999999999997</v>
      </c>
      <c r="BL22">
        <v>12</v>
      </c>
      <c r="BM22">
        <v>2246.3999999999996</v>
      </c>
      <c r="BN22">
        <v>14</v>
      </c>
      <c r="BO22">
        <v>2620.7999999999997</v>
      </c>
      <c r="BP22">
        <v>12</v>
      </c>
      <c r="BQ22">
        <v>2246.3999999999996</v>
      </c>
      <c r="BR22">
        <v>10</v>
      </c>
      <c r="BS22">
        <v>1872</v>
      </c>
      <c r="BT22">
        <v>9</v>
      </c>
      <c r="BU22">
        <v>1684.8</v>
      </c>
      <c r="BV22">
        <v>13</v>
      </c>
      <c r="BW22">
        <v>2433.6</v>
      </c>
      <c r="BX22">
        <v>15</v>
      </c>
      <c r="BY22">
        <v>2808</v>
      </c>
      <c r="BZ22">
        <v>11</v>
      </c>
      <c r="CA22">
        <v>2059.1999999999998</v>
      </c>
      <c r="CB22">
        <v>13</v>
      </c>
      <c r="CC22">
        <v>2433.6</v>
      </c>
      <c r="CD22">
        <v>13</v>
      </c>
      <c r="CE22">
        <v>2433.6</v>
      </c>
      <c r="CF22">
        <v>16</v>
      </c>
      <c r="CG22">
        <v>2995.2</v>
      </c>
      <c r="CH22">
        <v>13</v>
      </c>
      <c r="CI22">
        <v>2433.6</v>
      </c>
      <c r="CJ22">
        <v>14</v>
      </c>
      <c r="CK22">
        <v>2620.7999999999997</v>
      </c>
      <c r="CL22">
        <v>10</v>
      </c>
      <c r="CM22">
        <v>1872</v>
      </c>
      <c r="CN22">
        <v>10</v>
      </c>
      <c r="CO22">
        <v>1872</v>
      </c>
      <c r="CP22">
        <v>15</v>
      </c>
      <c r="CQ22">
        <v>2808</v>
      </c>
      <c r="CR22">
        <v>17</v>
      </c>
      <c r="CS22">
        <v>3182.3999999999996</v>
      </c>
      <c r="CT22">
        <v>14</v>
      </c>
      <c r="CU22">
        <v>2620.7999999999997</v>
      </c>
    </row>
    <row r="23" spans="2:99" x14ac:dyDescent="0.2">
      <c r="C23" s="118" t="s">
        <v>189</v>
      </c>
      <c r="D23">
        <v>8</v>
      </c>
      <c r="E23">
        <v>2352</v>
      </c>
      <c r="F23">
        <v>7</v>
      </c>
      <c r="G23">
        <v>2058</v>
      </c>
      <c r="H23">
        <v>11</v>
      </c>
      <c r="I23">
        <v>3234</v>
      </c>
      <c r="J23">
        <v>9</v>
      </c>
      <c r="K23">
        <v>2646</v>
      </c>
      <c r="L23">
        <v>14</v>
      </c>
      <c r="M23">
        <v>4116</v>
      </c>
      <c r="N23">
        <v>16</v>
      </c>
      <c r="O23">
        <v>4704</v>
      </c>
      <c r="P23">
        <v>12</v>
      </c>
      <c r="Q23">
        <v>3528</v>
      </c>
      <c r="R23">
        <v>13</v>
      </c>
      <c r="S23">
        <v>3822</v>
      </c>
      <c r="T23">
        <v>14</v>
      </c>
      <c r="U23">
        <v>4116</v>
      </c>
      <c r="V23">
        <v>11</v>
      </c>
      <c r="W23">
        <v>3234</v>
      </c>
      <c r="X23">
        <v>15</v>
      </c>
      <c r="Y23">
        <v>4410</v>
      </c>
      <c r="Z23">
        <v>9</v>
      </c>
      <c r="AA23">
        <v>2646</v>
      </c>
      <c r="AB23">
        <v>12</v>
      </c>
      <c r="AC23">
        <v>3528</v>
      </c>
      <c r="AD23">
        <v>14</v>
      </c>
      <c r="AE23">
        <v>4116</v>
      </c>
      <c r="AF23">
        <v>13</v>
      </c>
      <c r="AG23">
        <v>3822</v>
      </c>
      <c r="AH23">
        <v>9</v>
      </c>
      <c r="AI23">
        <v>2646</v>
      </c>
      <c r="AJ23">
        <v>17</v>
      </c>
      <c r="AK23">
        <v>4998</v>
      </c>
      <c r="AL23">
        <v>15</v>
      </c>
      <c r="AM23">
        <v>4410</v>
      </c>
      <c r="AN23">
        <v>10</v>
      </c>
      <c r="AO23">
        <v>2940</v>
      </c>
      <c r="AP23">
        <v>10</v>
      </c>
      <c r="AQ23">
        <v>2940</v>
      </c>
      <c r="AR23">
        <v>9</v>
      </c>
      <c r="AS23">
        <v>2646</v>
      </c>
      <c r="AT23">
        <v>9</v>
      </c>
      <c r="AU23">
        <v>2646</v>
      </c>
      <c r="AV23">
        <v>17</v>
      </c>
      <c r="AW23">
        <v>4998</v>
      </c>
      <c r="AX23">
        <v>12</v>
      </c>
      <c r="AY23">
        <v>3528</v>
      </c>
      <c r="AZ23">
        <v>14</v>
      </c>
      <c r="BA23">
        <v>4116</v>
      </c>
      <c r="BB23">
        <v>13</v>
      </c>
      <c r="BC23">
        <v>3822</v>
      </c>
      <c r="BD23">
        <v>14</v>
      </c>
      <c r="BE23">
        <v>4116</v>
      </c>
      <c r="BF23">
        <v>14</v>
      </c>
      <c r="BG23">
        <v>4116</v>
      </c>
      <c r="BH23">
        <v>9</v>
      </c>
      <c r="BI23">
        <v>2646</v>
      </c>
      <c r="BJ23">
        <v>13</v>
      </c>
      <c r="BK23">
        <v>3822</v>
      </c>
      <c r="BL23">
        <v>13</v>
      </c>
      <c r="BM23">
        <v>3822</v>
      </c>
      <c r="BN23">
        <v>15</v>
      </c>
      <c r="BO23">
        <v>4410</v>
      </c>
      <c r="BP23">
        <v>11</v>
      </c>
      <c r="BQ23">
        <v>3234</v>
      </c>
      <c r="BR23">
        <v>10</v>
      </c>
      <c r="BS23">
        <v>2940</v>
      </c>
      <c r="BT23">
        <v>9</v>
      </c>
      <c r="BU23">
        <v>2646</v>
      </c>
      <c r="BV23">
        <v>12</v>
      </c>
      <c r="BW23">
        <v>3528</v>
      </c>
      <c r="BX23">
        <v>14</v>
      </c>
      <c r="BY23">
        <v>4116</v>
      </c>
      <c r="BZ23">
        <v>10</v>
      </c>
      <c r="CA23">
        <v>2940</v>
      </c>
      <c r="CB23">
        <v>15</v>
      </c>
      <c r="CC23">
        <v>4410</v>
      </c>
      <c r="CD23">
        <v>13</v>
      </c>
      <c r="CE23">
        <v>3822</v>
      </c>
      <c r="CF23">
        <v>14</v>
      </c>
      <c r="CG23">
        <v>4116</v>
      </c>
      <c r="CH23">
        <v>13</v>
      </c>
      <c r="CI23">
        <v>3822</v>
      </c>
      <c r="CJ23">
        <v>13</v>
      </c>
      <c r="CK23">
        <v>3822</v>
      </c>
      <c r="CL23">
        <v>11</v>
      </c>
      <c r="CM23">
        <v>3234</v>
      </c>
      <c r="CN23">
        <v>10</v>
      </c>
      <c r="CO23">
        <v>2940</v>
      </c>
      <c r="CP23">
        <v>15</v>
      </c>
      <c r="CQ23">
        <v>4410</v>
      </c>
      <c r="CR23">
        <v>17</v>
      </c>
      <c r="CS23">
        <v>4998</v>
      </c>
      <c r="CT23">
        <v>13</v>
      </c>
      <c r="CU23">
        <v>3822</v>
      </c>
    </row>
    <row r="24" spans="2:99" x14ac:dyDescent="0.2">
      <c r="C24" s="118" t="s">
        <v>190</v>
      </c>
      <c r="D24">
        <v>8</v>
      </c>
      <c r="E24">
        <v>2937.6</v>
      </c>
      <c r="F24">
        <v>8</v>
      </c>
      <c r="G24">
        <v>2937.6</v>
      </c>
      <c r="H24">
        <v>13</v>
      </c>
      <c r="I24">
        <v>4773.5999999999995</v>
      </c>
      <c r="J24">
        <v>10</v>
      </c>
      <c r="K24">
        <v>3672</v>
      </c>
      <c r="L24">
        <v>14</v>
      </c>
      <c r="M24">
        <v>5140.8</v>
      </c>
      <c r="N24">
        <v>15</v>
      </c>
      <c r="O24">
        <v>5508</v>
      </c>
      <c r="P24">
        <v>14</v>
      </c>
      <c r="Q24">
        <v>5140.8</v>
      </c>
      <c r="R24">
        <v>12</v>
      </c>
      <c r="S24">
        <v>4406.3999999999996</v>
      </c>
      <c r="T24">
        <v>15</v>
      </c>
      <c r="U24">
        <v>5508</v>
      </c>
      <c r="V24">
        <v>11</v>
      </c>
      <c r="W24">
        <v>4039.2</v>
      </c>
      <c r="X24">
        <v>15</v>
      </c>
      <c r="Y24">
        <v>5508</v>
      </c>
      <c r="Z24">
        <v>10</v>
      </c>
      <c r="AA24">
        <v>3672</v>
      </c>
      <c r="AB24">
        <v>13</v>
      </c>
      <c r="AC24">
        <v>4773.5999999999995</v>
      </c>
      <c r="AD24">
        <v>17</v>
      </c>
      <c r="AE24">
        <v>6242.4</v>
      </c>
      <c r="AF24">
        <v>13</v>
      </c>
      <c r="AG24">
        <v>4773.5999999999995</v>
      </c>
      <c r="AH24">
        <v>10</v>
      </c>
      <c r="AI24">
        <v>3672</v>
      </c>
      <c r="AJ24">
        <v>17</v>
      </c>
      <c r="AK24">
        <v>6242.4</v>
      </c>
      <c r="AL24">
        <v>15</v>
      </c>
      <c r="AM24">
        <v>5508</v>
      </c>
      <c r="AN24">
        <v>10</v>
      </c>
      <c r="AO24">
        <v>3672</v>
      </c>
      <c r="AP24">
        <v>9</v>
      </c>
      <c r="AQ24">
        <v>3304.7999999999997</v>
      </c>
      <c r="AR24">
        <v>11</v>
      </c>
      <c r="AS24">
        <v>4039.2</v>
      </c>
      <c r="AT24">
        <v>9</v>
      </c>
      <c r="AU24">
        <v>3304.7999999999997</v>
      </c>
      <c r="AV24">
        <v>17</v>
      </c>
      <c r="AW24">
        <v>6242.4</v>
      </c>
      <c r="AX24">
        <v>13</v>
      </c>
      <c r="AY24">
        <v>4773.5999999999995</v>
      </c>
      <c r="AZ24">
        <v>15</v>
      </c>
      <c r="BA24">
        <v>5508</v>
      </c>
      <c r="BB24">
        <v>11</v>
      </c>
      <c r="BC24">
        <v>4039.2</v>
      </c>
      <c r="BD24">
        <v>14</v>
      </c>
      <c r="BE24">
        <v>5140.8</v>
      </c>
      <c r="BF24">
        <v>14</v>
      </c>
      <c r="BG24">
        <v>5140.8</v>
      </c>
      <c r="BH24">
        <v>9</v>
      </c>
      <c r="BI24">
        <v>3304.7999999999997</v>
      </c>
      <c r="BJ24">
        <v>12</v>
      </c>
      <c r="BK24">
        <v>4406.3999999999996</v>
      </c>
      <c r="BL24">
        <v>13</v>
      </c>
      <c r="BM24">
        <v>4773.5999999999995</v>
      </c>
      <c r="BN24">
        <v>13</v>
      </c>
      <c r="BO24">
        <v>4773.5999999999995</v>
      </c>
      <c r="BP24">
        <v>11</v>
      </c>
      <c r="BQ24">
        <v>4039.2</v>
      </c>
      <c r="BR24">
        <v>11</v>
      </c>
      <c r="BS24">
        <v>4039.2</v>
      </c>
      <c r="BT24">
        <v>9</v>
      </c>
      <c r="BU24">
        <v>3304.7999999999997</v>
      </c>
      <c r="BV24">
        <v>11</v>
      </c>
      <c r="BW24">
        <v>4039.2</v>
      </c>
      <c r="BX24">
        <v>13</v>
      </c>
      <c r="BY24">
        <v>4773.5999999999995</v>
      </c>
      <c r="BZ24">
        <v>11</v>
      </c>
      <c r="CA24">
        <v>4039.2</v>
      </c>
      <c r="CB24">
        <v>14</v>
      </c>
      <c r="CC24">
        <v>5140.8</v>
      </c>
      <c r="CD24">
        <v>14</v>
      </c>
      <c r="CE24">
        <v>5140.8</v>
      </c>
      <c r="CF24">
        <v>13</v>
      </c>
      <c r="CG24">
        <v>4773.5999999999995</v>
      </c>
      <c r="CH24">
        <v>14</v>
      </c>
      <c r="CI24">
        <v>5140.8</v>
      </c>
      <c r="CJ24">
        <v>15</v>
      </c>
      <c r="CK24">
        <v>5508</v>
      </c>
      <c r="CL24">
        <v>10</v>
      </c>
      <c r="CM24">
        <v>3672</v>
      </c>
      <c r="CN24">
        <v>10</v>
      </c>
      <c r="CO24">
        <v>3672</v>
      </c>
      <c r="CP24">
        <v>14</v>
      </c>
      <c r="CQ24">
        <v>5140.8</v>
      </c>
      <c r="CR24">
        <v>15</v>
      </c>
      <c r="CS24">
        <v>5508</v>
      </c>
      <c r="CT24">
        <v>13</v>
      </c>
      <c r="CU24">
        <v>4773.5999999999995</v>
      </c>
    </row>
    <row r="25" spans="2:99" x14ac:dyDescent="0.2">
      <c r="C25" s="118" t="s">
        <v>191</v>
      </c>
      <c r="D25">
        <v>8</v>
      </c>
      <c r="E25">
        <v>4243.2</v>
      </c>
      <c r="F25">
        <v>8</v>
      </c>
      <c r="G25">
        <v>4243.2</v>
      </c>
      <c r="H25">
        <v>11</v>
      </c>
      <c r="I25">
        <v>5834.4</v>
      </c>
      <c r="J25">
        <v>10</v>
      </c>
      <c r="K25">
        <v>5304</v>
      </c>
      <c r="L25">
        <v>16</v>
      </c>
      <c r="M25">
        <v>8486.4</v>
      </c>
      <c r="N25">
        <v>14</v>
      </c>
      <c r="O25">
        <v>7425.5999999999995</v>
      </c>
      <c r="P25">
        <v>12</v>
      </c>
      <c r="Q25">
        <v>6364.7999999999993</v>
      </c>
      <c r="R25">
        <v>13</v>
      </c>
      <c r="S25">
        <v>6895.2</v>
      </c>
      <c r="T25">
        <v>15</v>
      </c>
      <c r="U25">
        <v>7956</v>
      </c>
      <c r="V25">
        <v>11</v>
      </c>
      <c r="W25">
        <v>5834.4</v>
      </c>
      <c r="X25">
        <v>15</v>
      </c>
      <c r="Y25">
        <v>7956</v>
      </c>
      <c r="Z25">
        <v>10</v>
      </c>
      <c r="AA25">
        <v>5304</v>
      </c>
      <c r="AB25">
        <v>11</v>
      </c>
      <c r="AC25">
        <v>5834.4</v>
      </c>
      <c r="AD25">
        <v>15</v>
      </c>
      <c r="AE25">
        <v>7956</v>
      </c>
      <c r="AF25">
        <v>12</v>
      </c>
      <c r="AG25">
        <v>6364.7999999999993</v>
      </c>
      <c r="AH25">
        <v>9</v>
      </c>
      <c r="AI25">
        <v>4773.5999999999995</v>
      </c>
      <c r="AJ25">
        <v>14</v>
      </c>
      <c r="AK25">
        <v>7425.5999999999995</v>
      </c>
      <c r="AL25">
        <v>15</v>
      </c>
      <c r="AM25">
        <v>7956</v>
      </c>
      <c r="AN25">
        <v>9</v>
      </c>
      <c r="AO25">
        <v>4773.5999999999995</v>
      </c>
      <c r="AP25">
        <v>11</v>
      </c>
      <c r="AQ25">
        <v>5834.4</v>
      </c>
      <c r="AR25">
        <v>10</v>
      </c>
      <c r="AS25">
        <v>5304</v>
      </c>
      <c r="AT25">
        <v>8</v>
      </c>
      <c r="AU25">
        <v>4243.2</v>
      </c>
      <c r="AV25">
        <v>15</v>
      </c>
      <c r="AW25">
        <v>7956</v>
      </c>
      <c r="AX25">
        <v>12</v>
      </c>
      <c r="AY25">
        <v>6364.7999999999993</v>
      </c>
      <c r="AZ25">
        <v>13</v>
      </c>
      <c r="BA25">
        <v>6895.2</v>
      </c>
      <c r="BB25">
        <v>13</v>
      </c>
      <c r="BC25">
        <v>6895.2</v>
      </c>
      <c r="BD25">
        <v>13</v>
      </c>
      <c r="BE25">
        <v>6895.2</v>
      </c>
      <c r="BF25">
        <v>15</v>
      </c>
      <c r="BG25">
        <v>7956</v>
      </c>
      <c r="BH25">
        <v>8</v>
      </c>
      <c r="BI25">
        <v>4243.2</v>
      </c>
      <c r="BJ25">
        <v>13</v>
      </c>
      <c r="BK25">
        <v>6895.2</v>
      </c>
      <c r="BL25">
        <v>12</v>
      </c>
      <c r="BM25">
        <v>6364.7999999999993</v>
      </c>
      <c r="BN25">
        <v>13</v>
      </c>
      <c r="BO25">
        <v>6895.2</v>
      </c>
      <c r="BP25">
        <v>10</v>
      </c>
      <c r="BQ25">
        <v>5304</v>
      </c>
      <c r="BR25">
        <v>11</v>
      </c>
      <c r="BS25">
        <v>5834.4</v>
      </c>
      <c r="BT25">
        <v>10</v>
      </c>
      <c r="BU25">
        <v>5304</v>
      </c>
      <c r="BV25">
        <v>11</v>
      </c>
      <c r="BW25">
        <v>5834.4</v>
      </c>
      <c r="BX25">
        <v>14</v>
      </c>
      <c r="BY25">
        <v>7425.5999999999995</v>
      </c>
      <c r="BZ25">
        <v>10</v>
      </c>
      <c r="CA25">
        <v>5304</v>
      </c>
      <c r="CB25">
        <v>13</v>
      </c>
      <c r="CC25">
        <v>6895.2</v>
      </c>
      <c r="CD25">
        <v>14</v>
      </c>
      <c r="CE25">
        <v>7425.5999999999995</v>
      </c>
      <c r="CF25">
        <v>15</v>
      </c>
      <c r="CG25">
        <v>7956</v>
      </c>
      <c r="CH25">
        <v>13</v>
      </c>
      <c r="CI25">
        <v>6895.2</v>
      </c>
      <c r="CJ25">
        <v>14</v>
      </c>
      <c r="CK25">
        <v>7425.5999999999995</v>
      </c>
      <c r="CL25">
        <v>10</v>
      </c>
      <c r="CM25">
        <v>5304</v>
      </c>
      <c r="CN25">
        <v>11</v>
      </c>
      <c r="CO25">
        <v>5834.4</v>
      </c>
      <c r="CP25">
        <v>16</v>
      </c>
      <c r="CQ25">
        <v>8486.4</v>
      </c>
      <c r="CR25">
        <v>14</v>
      </c>
      <c r="CS25">
        <v>7425.5999999999995</v>
      </c>
      <c r="CT25">
        <v>13</v>
      </c>
      <c r="CU25">
        <v>6895.2</v>
      </c>
    </row>
    <row r="26" spans="2:99" x14ac:dyDescent="0.2">
      <c r="C26" s="118" t="s">
        <v>192</v>
      </c>
      <c r="D26">
        <v>8</v>
      </c>
      <c r="E26">
        <v>3888</v>
      </c>
      <c r="F26">
        <v>7</v>
      </c>
      <c r="G26">
        <v>3402</v>
      </c>
      <c r="H26">
        <v>13</v>
      </c>
      <c r="I26">
        <v>6318</v>
      </c>
      <c r="J26">
        <v>9</v>
      </c>
      <c r="K26">
        <v>4374</v>
      </c>
      <c r="L26">
        <v>15</v>
      </c>
      <c r="M26">
        <v>7290</v>
      </c>
      <c r="N26">
        <v>15</v>
      </c>
      <c r="O26">
        <v>7290</v>
      </c>
      <c r="P26">
        <v>14</v>
      </c>
      <c r="Q26">
        <v>6804</v>
      </c>
      <c r="R26">
        <v>13</v>
      </c>
      <c r="S26">
        <v>6318</v>
      </c>
      <c r="T26">
        <v>14</v>
      </c>
      <c r="U26">
        <v>6804</v>
      </c>
      <c r="V26">
        <v>12</v>
      </c>
      <c r="W26">
        <v>5832</v>
      </c>
      <c r="X26">
        <v>15</v>
      </c>
      <c r="Y26">
        <v>7290</v>
      </c>
      <c r="Z26">
        <v>9</v>
      </c>
      <c r="AA26">
        <v>4374</v>
      </c>
      <c r="AB26">
        <v>12</v>
      </c>
      <c r="AC26">
        <v>5832</v>
      </c>
      <c r="AD26">
        <v>16</v>
      </c>
      <c r="AE26">
        <v>7776</v>
      </c>
      <c r="AF26">
        <v>12</v>
      </c>
      <c r="AG26">
        <v>5832</v>
      </c>
      <c r="AH26">
        <v>8</v>
      </c>
      <c r="AI26">
        <v>3888</v>
      </c>
      <c r="AJ26">
        <v>14</v>
      </c>
      <c r="AK26">
        <v>6804</v>
      </c>
      <c r="AL26">
        <v>16</v>
      </c>
      <c r="AM26">
        <v>7776</v>
      </c>
      <c r="AN26">
        <v>10</v>
      </c>
      <c r="AO26">
        <v>4860</v>
      </c>
      <c r="AP26">
        <v>10</v>
      </c>
      <c r="AQ26">
        <v>4860</v>
      </c>
      <c r="AR26">
        <v>11</v>
      </c>
      <c r="AS26">
        <v>5346</v>
      </c>
      <c r="AT26">
        <v>9</v>
      </c>
      <c r="AU26">
        <v>4374</v>
      </c>
      <c r="AV26">
        <v>14</v>
      </c>
      <c r="AW26">
        <v>6804</v>
      </c>
      <c r="AX26">
        <v>11</v>
      </c>
      <c r="AY26">
        <v>5346</v>
      </c>
      <c r="AZ26">
        <v>13</v>
      </c>
      <c r="BA26">
        <v>6318</v>
      </c>
      <c r="BB26">
        <v>12</v>
      </c>
      <c r="BC26">
        <v>5832</v>
      </c>
      <c r="BD26">
        <v>13</v>
      </c>
      <c r="BE26">
        <v>6318</v>
      </c>
      <c r="BF26">
        <v>14</v>
      </c>
      <c r="BG26">
        <v>6804</v>
      </c>
      <c r="BH26">
        <v>7</v>
      </c>
      <c r="BI26">
        <v>3402</v>
      </c>
      <c r="BJ26">
        <v>13</v>
      </c>
      <c r="BK26">
        <v>6318</v>
      </c>
      <c r="BL26">
        <v>12</v>
      </c>
      <c r="BM26">
        <v>5832</v>
      </c>
      <c r="BN26">
        <v>14</v>
      </c>
      <c r="BO26">
        <v>6804</v>
      </c>
      <c r="BP26">
        <v>11</v>
      </c>
      <c r="BQ26">
        <v>5346</v>
      </c>
      <c r="BR26">
        <v>11</v>
      </c>
      <c r="BS26">
        <v>5346</v>
      </c>
      <c r="BT26">
        <v>8</v>
      </c>
      <c r="BU26">
        <v>3888</v>
      </c>
      <c r="BV26">
        <v>13</v>
      </c>
      <c r="BW26">
        <v>6318</v>
      </c>
      <c r="BX26">
        <v>14</v>
      </c>
      <c r="BY26">
        <v>6804</v>
      </c>
      <c r="BZ26">
        <v>11</v>
      </c>
      <c r="CA26">
        <v>5346</v>
      </c>
      <c r="CB26">
        <v>15</v>
      </c>
      <c r="CC26">
        <v>7290</v>
      </c>
      <c r="CD26">
        <v>12</v>
      </c>
      <c r="CE26">
        <v>5832</v>
      </c>
      <c r="CF26">
        <v>13</v>
      </c>
      <c r="CG26">
        <v>6318</v>
      </c>
      <c r="CH26">
        <v>13</v>
      </c>
      <c r="CI26">
        <v>6318</v>
      </c>
      <c r="CJ26">
        <v>15</v>
      </c>
      <c r="CK26">
        <v>7290</v>
      </c>
      <c r="CL26">
        <v>10</v>
      </c>
      <c r="CM26">
        <v>4860</v>
      </c>
      <c r="CN26">
        <v>10</v>
      </c>
      <c r="CO26">
        <v>4860</v>
      </c>
      <c r="CP26">
        <v>16</v>
      </c>
      <c r="CQ26">
        <v>7776</v>
      </c>
      <c r="CR26">
        <v>16</v>
      </c>
      <c r="CS26">
        <v>7776</v>
      </c>
      <c r="CT26">
        <v>13</v>
      </c>
      <c r="CU26">
        <v>6318</v>
      </c>
    </row>
    <row r="27" spans="2:99" x14ac:dyDescent="0.2">
      <c r="C27" s="118" t="s">
        <v>193</v>
      </c>
      <c r="D27">
        <v>9</v>
      </c>
      <c r="E27">
        <v>3844.7999999999997</v>
      </c>
      <c r="F27">
        <v>7</v>
      </c>
      <c r="G27">
        <v>2990.4</v>
      </c>
      <c r="H27">
        <v>11</v>
      </c>
      <c r="I27">
        <v>4699.2</v>
      </c>
      <c r="J27">
        <v>10</v>
      </c>
      <c r="K27">
        <v>4272</v>
      </c>
      <c r="L27">
        <v>14</v>
      </c>
      <c r="M27">
        <v>5980.8</v>
      </c>
      <c r="N27">
        <v>15</v>
      </c>
      <c r="O27">
        <v>6408</v>
      </c>
      <c r="P27">
        <v>13</v>
      </c>
      <c r="Q27">
        <v>5553.5999999999995</v>
      </c>
      <c r="R27">
        <v>14</v>
      </c>
      <c r="S27">
        <v>5980.8</v>
      </c>
      <c r="T27">
        <v>14</v>
      </c>
      <c r="U27">
        <v>5980.8</v>
      </c>
      <c r="V27">
        <v>10</v>
      </c>
      <c r="W27">
        <v>4272</v>
      </c>
      <c r="X27">
        <v>15</v>
      </c>
      <c r="Y27">
        <v>6408</v>
      </c>
      <c r="Z27">
        <v>10</v>
      </c>
      <c r="AA27">
        <v>4272</v>
      </c>
      <c r="AB27">
        <v>12</v>
      </c>
      <c r="AC27">
        <v>5126.3999999999996</v>
      </c>
      <c r="AD27">
        <v>15</v>
      </c>
      <c r="AE27">
        <v>6408</v>
      </c>
      <c r="AF27">
        <v>13</v>
      </c>
      <c r="AG27">
        <v>5553.5999999999995</v>
      </c>
      <c r="AH27">
        <v>8</v>
      </c>
      <c r="AI27">
        <v>3417.6</v>
      </c>
      <c r="AJ27">
        <v>17</v>
      </c>
      <c r="AK27">
        <v>7262.4</v>
      </c>
      <c r="AL27">
        <v>14</v>
      </c>
      <c r="AM27">
        <v>5980.8</v>
      </c>
      <c r="AN27">
        <v>10</v>
      </c>
      <c r="AO27">
        <v>4272</v>
      </c>
      <c r="AP27">
        <v>11</v>
      </c>
      <c r="AQ27">
        <v>4699.2</v>
      </c>
      <c r="AR27">
        <v>10</v>
      </c>
      <c r="AS27">
        <v>4272</v>
      </c>
      <c r="AT27">
        <v>9</v>
      </c>
      <c r="AU27">
        <v>3844.7999999999997</v>
      </c>
      <c r="AV27">
        <v>15</v>
      </c>
      <c r="AW27">
        <v>6408</v>
      </c>
      <c r="AX27">
        <v>11</v>
      </c>
      <c r="AY27">
        <v>4699.2</v>
      </c>
      <c r="AZ27">
        <v>13</v>
      </c>
      <c r="BA27">
        <v>5553.5999999999995</v>
      </c>
      <c r="BB27">
        <v>11</v>
      </c>
      <c r="BC27">
        <v>4699.2</v>
      </c>
      <c r="BD27">
        <v>13</v>
      </c>
      <c r="BE27">
        <v>5553.5999999999995</v>
      </c>
      <c r="BF27">
        <v>17</v>
      </c>
      <c r="BG27">
        <v>7262.4</v>
      </c>
      <c r="BH27">
        <v>9</v>
      </c>
      <c r="BI27">
        <v>3844.7999999999997</v>
      </c>
      <c r="BJ27">
        <v>14</v>
      </c>
      <c r="BK27">
        <v>5980.8</v>
      </c>
      <c r="BL27">
        <v>12</v>
      </c>
      <c r="BM27">
        <v>5126.3999999999996</v>
      </c>
      <c r="BN27">
        <v>13</v>
      </c>
      <c r="BO27">
        <v>5553.5999999999995</v>
      </c>
      <c r="BP27">
        <v>12</v>
      </c>
      <c r="BQ27">
        <v>5126.3999999999996</v>
      </c>
      <c r="BR27">
        <v>11</v>
      </c>
      <c r="BS27">
        <v>4699.2</v>
      </c>
      <c r="BT27">
        <v>9</v>
      </c>
      <c r="BU27">
        <v>3844.7999999999997</v>
      </c>
      <c r="BV27">
        <v>12</v>
      </c>
      <c r="BW27">
        <v>5126.3999999999996</v>
      </c>
      <c r="BX27">
        <v>13</v>
      </c>
      <c r="BY27">
        <v>5553.5999999999995</v>
      </c>
      <c r="BZ27">
        <v>10</v>
      </c>
      <c r="CA27">
        <v>4272</v>
      </c>
      <c r="CB27">
        <v>14</v>
      </c>
      <c r="CC27">
        <v>5980.8</v>
      </c>
      <c r="CD27">
        <v>14</v>
      </c>
      <c r="CE27">
        <v>5980.8</v>
      </c>
      <c r="CF27">
        <v>16</v>
      </c>
      <c r="CG27">
        <v>6835.2</v>
      </c>
      <c r="CH27">
        <v>15</v>
      </c>
      <c r="CI27">
        <v>6408</v>
      </c>
      <c r="CJ27">
        <v>15</v>
      </c>
      <c r="CK27">
        <v>6408</v>
      </c>
      <c r="CL27">
        <v>10</v>
      </c>
      <c r="CM27">
        <v>4272</v>
      </c>
      <c r="CN27">
        <v>10</v>
      </c>
      <c r="CO27">
        <v>4272</v>
      </c>
      <c r="CP27">
        <v>14</v>
      </c>
      <c r="CQ27">
        <v>5980.8</v>
      </c>
      <c r="CR27">
        <v>15</v>
      </c>
      <c r="CS27">
        <v>6408</v>
      </c>
      <c r="CT27">
        <v>13</v>
      </c>
      <c r="CU27">
        <v>5553.5999999999995</v>
      </c>
    </row>
    <row r="28" spans="2:99" x14ac:dyDescent="0.2">
      <c r="C28" s="118" t="s">
        <v>194</v>
      </c>
      <c r="D28">
        <v>8</v>
      </c>
      <c r="E28">
        <v>5904</v>
      </c>
      <c r="F28">
        <v>8</v>
      </c>
      <c r="G28">
        <v>5904</v>
      </c>
      <c r="H28">
        <v>11</v>
      </c>
      <c r="I28">
        <v>8118</v>
      </c>
      <c r="J28">
        <v>9</v>
      </c>
      <c r="K28">
        <v>6642</v>
      </c>
      <c r="L28">
        <v>13</v>
      </c>
      <c r="M28">
        <v>9594</v>
      </c>
      <c r="N28">
        <v>15</v>
      </c>
      <c r="O28">
        <v>11070</v>
      </c>
      <c r="P28">
        <v>12</v>
      </c>
      <c r="Q28">
        <v>8856</v>
      </c>
      <c r="R28">
        <v>14</v>
      </c>
      <c r="S28">
        <v>10332</v>
      </c>
      <c r="T28">
        <v>13</v>
      </c>
      <c r="U28">
        <v>9594</v>
      </c>
      <c r="V28">
        <v>10</v>
      </c>
      <c r="W28">
        <v>7380</v>
      </c>
      <c r="X28">
        <v>13</v>
      </c>
      <c r="Y28">
        <v>9594</v>
      </c>
      <c r="Z28">
        <v>8</v>
      </c>
      <c r="AA28">
        <v>5904</v>
      </c>
      <c r="AB28">
        <v>12</v>
      </c>
      <c r="AC28">
        <v>8856</v>
      </c>
      <c r="AD28">
        <v>15</v>
      </c>
      <c r="AE28">
        <v>11070</v>
      </c>
      <c r="AF28">
        <v>13</v>
      </c>
      <c r="AG28">
        <v>9594</v>
      </c>
      <c r="AH28">
        <v>8</v>
      </c>
      <c r="AI28">
        <v>5904</v>
      </c>
      <c r="AJ28">
        <v>15</v>
      </c>
      <c r="AK28">
        <v>11070</v>
      </c>
      <c r="AL28">
        <v>13</v>
      </c>
      <c r="AM28">
        <v>9594</v>
      </c>
      <c r="AN28">
        <v>10</v>
      </c>
      <c r="AO28">
        <v>7380</v>
      </c>
      <c r="AP28">
        <v>11</v>
      </c>
      <c r="AQ28">
        <v>8118</v>
      </c>
      <c r="AR28">
        <v>10</v>
      </c>
      <c r="AS28">
        <v>7380</v>
      </c>
      <c r="AT28">
        <v>8</v>
      </c>
      <c r="AU28">
        <v>5904</v>
      </c>
      <c r="AV28">
        <v>14</v>
      </c>
      <c r="AW28">
        <v>10332</v>
      </c>
      <c r="AX28">
        <v>11</v>
      </c>
      <c r="AY28">
        <v>8118</v>
      </c>
      <c r="AZ28">
        <v>13</v>
      </c>
      <c r="BA28">
        <v>9594</v>
      </c>
      <c r="BB28">
        <v>11</v>
      </c>
      <c r="BC28">
        <v>8118</v>
      </c>
      <c r="BD28">
        <v>14</v>
      </c>
      <c r="BE28">
        <v>10332</v>
      </c>
      <c r="BF28">
        <v>16</v>
      </c>
      <c r="BG28">
        <v>11808</v>
      </c>
      <c r="BH28">
        <v>9</v>
      </c>
      <c r="BI28">
        <v>6642</v>
      </c>
      <c r="BJ28">
        <v>13</v>
      </c>
      <c r="BK28">
        <v>9594</v>
      </c>
      <c r="BL28">
        <v>12</v>
      </c>
      <c r="BM28">
        <v>8856</v>
      </c>
      <c r="BN28">
        <v>12</v>
      </c>
      <c r="BO28">
        <v>8856</v>
      </c>
      <c r="BP28">
        <v>10</v>
      </c>
      <c r="BQ28">
        <v>7380</v>
      </c>
      <c r="BR28">
        <v>11</v>
      </c>
      <c r="BS28">
        <v>8118</v>
      </c>
      <c r="BT28">
        <v>9</v>
      </c>
      <c r="BU28">
        <v>6642</v>
      </c>
      <c r="BV28">
        <v>11</v>
      </c>
      <c r="BW28">
        <v>8118</v>
      </c>
      <c r="BX28">
        <v>15</v>
      </c>
      <c r="BY28">
        <v>11070</v>
      </c>
      <c r="BZ28">
        <v>10</v>
      </c>
      <c r="CA28">
        <v>7380</v>
      </c>
      <c r="CB28">
        <v>13</v>
      </c>
      <c r="CC28">
        <v>9594</v>
      </c>
      <c r="CD28">
        <v>13</v>
      </c>
      <c r="CE28">
        <v>9594</v>
      </c>
      <c r="CF28">
        <v>15</v>
      </c>
      <c r="CG28">
        <v>11070</v>
      </c>
      <c r="CH28">
        <v>14</v>
      </c>
      <c r="CI28">
        <v>10332</v>
      </c>
      <c r="CJ28">
        <v>13</v>
      </c>
      <c r="CK28">
        <v>9594</v>
      </c>
      <c r="CL28">
        <v>10</v>
      </c>
      <c r="CM28">
        <v>7380</v>
      </c>
      <c r="CN28">
        <v>10</v>
      </c>
      <c r="CO28">
        <v>7380</v>
      </c>
      <c r="CP28">
        <v>15</v>
      </c>
      <c r="CQ28">
        <v>11070</v>
      </c>
      <c r="CR28">
        <v>14</v>
      </c>
      <c r="CS28">
        <v>10332</v>
      </c>
      <c r="CT28">
        <v>12</v>
      </c>
      <c r="CU28">
        <v>8856</v>
      </c>
    </row>
    <row r="29" spans="2:99" x14ac:dyDescent="0.2">
      <c r="C29" s="118" t="s">
        <v>195</v>
      </c>
      <c r="D29">
        <v>8</v>
      </c>
      <c r="E29">
        <v>2707.2</v>
      </c>
      <c r="F29">
        <v>8</v>
      </c>
      <c r="G29">
        <v>2707.2</v>
      </c>
      <c r="H29">
        <v>12</v>
      </c>
      <c r="I29">
        <v>4060.7999999999997</v>
      </c>
      <c r="J29">
        <v>9</v>
      </c>
      <c r="K29">
        <v>3045.6</v>
      </c>
      <c r="L29">
        <v>15</v>
      </c>
      <c r="M29">
        <v>5076</v>
      </c>
      <c r="N29">
        <v>16</v>
      </c>
      <c r="O29">
        <v>5414.4</v>
      </c>
      <c r="P29">
        <v>14</v>
      </c>
      <c r="Q29">
        <v>4737.5999999999995</v>
      </c>
      <c r="R29">
        <v>13</v>
      </c>
      <c r="S29">
        <v>4399.2</v>
      </c>
      <c r="T29">
        <v>15</v>
      </c>
      <c r="U29">
        <v>5076</v>
      </c>
      <c r="V29">
        <v>11</v>
      </c>
      <c r="W29">
        <v>3722.3999999999996</v>
      </c>
      <c r="X29">
        <v>14</v>
      </c>
      <c r="Y29">
        <v>4737.5999999999995</v>
      </c>
      <c r="Z29">
        <v>9</v>
      </c>
      <c r="AA29">
        <v>3045.6</v>
      </c>
      <c r="AB29">
        <v>13</v>
      </c>
      <c r="AC29">
        <v>4399.2</v>
      </c>
      <c r="AD29">
        <v>14</v>
      </c>
      <c r="AE29">
        <v>4737.5999999999995</v>
      </c>
      <c r="AF29">
        <v>13</v>
      </c>
      <c r="AG29">
        <v>4399.2</v>
      </c>
      <c r="AH29">
        <v>8</v>
      </c>
      <c r="AI29">
        <v>2707.2</v>
      </c>
      <c r="AJ29">
        <v>15</v>
      </c>
      <c r="AK29">
        <v>5076</v>
      </c>
      <c r="AL29">
        <v>14</v>
      </c>
      <c r="AM29">
        <v>4737.5999999999995</v>
      </c>
      <c r="AN29">
        <v>10</v>
      </c>
      <c r="AO29">
        <v>3384</v>
      </c>
      <c r="AP29">
        <v>11</v>
      </c>
      <c r="AQ29">
        <v>3722.3999999999996</v>
      </c>
      <c r="AR29">
        <v>11</v>
      </c>
      <c r="AS29">
        <v>3722.3999999999996</v>
      </c>
      <c r="AT29">
        <v>8</v>
      </c>
      <c r="AU29">
        <v>2707.2</v>
      </c>
      <c r="AV29">
        <v>17</v>
      </c>
      <c r="AW29">
        <v>5752.7999999999993</v>
      </c>
      <c r="AX29">
        <v>12</v>
      </c>
      <c r="AY29">
        <v>4060.7999999999997</v>
      </c>
      <c r="AZ29">
        <v>13</v>
      </c>
      <c r="BA29">
        <v>4399.2</v>
      </c>
      <c r="BB29">
        <v>12</v>
      </c>
      <c r="BC29">
        <v>4060.7999999999997</v>
      </c>
      <c r="BD29">
        <v>13</v>
      </c>
      <c r="BE29">
        <v>4399.2</v>
      </c>
      <c r="BF29">
        <v>15</v>
      </c>
      <c r="BG29">
        <v>5076</v>
      </c>
      <c r="BH29">
        <v>8</v>
      </c>
      <c r="BI29">
        <v>2707.2</v>
      </c>
      <c r="BJ29">
        <v>13</v>
      </c>
      <c r="BK29">
        <v>4399.2</v>
      </c>
      <c r="BL29">
        <v>13</v>
      </c>
      <c r="BM29">
        <v>4399.2</v>
      </c>
      <c r="BN29">
        <v>13</v>
      </c>
      <c r="BO29">
        <v>4399.2</v>
      </c>
      <c r="BP29">
        <v>11</v>
      </c>
      <c r="BQ29">
        <v>3722.3999999999996</v>
      </c>
      <c r="BR29">
        <v>11</v>
      </c>
      <c r="BS29">
        <v>3722.3999999999996</v>
      </c>
      <c r="BT29">
        <v>9</v>
      </c>
      <c r="BU29">
        <v>3045.6</v>
      </c>
      <c r="BV29">
        <v>13</v>
      </c>
      <c r="BW29">
        <v>4399.2</v>
      </c>
      <c r="BX29">
        <v>13</v>
      </c>
      <c r="BY29">
        <v>4399.2</v>
      </c>
      <c r="BZ29">
        <v>10</v>
      </c>
      <c r="CA29">
        <v>3384</v>
      </c>
      <c r="CB29">
        <v>15</v>
      </c>
      <c r="CC29">
        <v>5076</v>
      </c>
      <c r="CD29">
        <v>13</v>
      </c>
      <c r="CE29">
        <v>4399.2</v>
      </c>
      <c r="CF29">
        <v>16</v>
      </c>
      <c r="CG29">
        <v>5414.4</v>
      </c>
      <c r="CH29">
        <v>15</v>
      </c>
      <c r="CI29">
        <v>5076</v>
      </c>
      <c r="CJ29">
        <v>14</v>
      </c>
      <c r="CK29">
        <v>4737.5999999999995</v>
      </c>
      <c r="CL29">
        <v>10</v>
      </c>
      <c r="CM29">
        <v>3384</v>
      </c>
      <c r="CN29">
        <v>11</v>
      </c>
      <c r="CO29">
        <v>3722.3999999999996</v>
      </c>
      <c r="CP29">
        <v>14</v>
      </c>
      <c r="CQ29">
        <v>4737.5999999999995</v>
      </c>
      <c r="CR29">
        <v>15</v>
      </c>
      <c r="CS29">
        <v>5076</v>
      </c>
      <c r="CT29">
        <v>13</v>
      </c>
      <c r="CU29">
        <v>4399.2</v>
      </c>
    </row>
    <row r="30" spans="2:99" x14ac:dyDescent="0.2">
      <c r="C30" s="118" t="s">
        <v>196</v>
      </c>
      <c r="D30">
        <v>9</v>
      </c>
      <c r="E30">
        <v>1252.8</v>
      </c>
      <c r="F30">
        <v>7</v>
      </c>
      <c r="G30">
        <v>974.39999999999986</v>
      </c>
      <c r="H30">
        <v>12</v>
      </c>
      <c r="I30">
        <v>1670.3999999999999</v>
      </c>
      <c r="J30">
        <v>10</v>
      </c>
      <c r="K30">
        <v>1392</v>
      </c>
      <c r="L30">
        <v>14</v>
      </c>
      <c r="M30">
        <v>1948.7999999999997</v>
      </c>
      <c r="N30">
        <v>17</v>
      </c>
      <c r="O30">
        <v>2366.3999999999996</v>
      </c>
      <c r="P30">
        <v>13</v>
      </c>
      <c r="Q30">
        <v>1809.6</v>
      </c>
      <c r="R30">
        <v>15</v>
      </c>
      <c r="S30">
        <v>2088</v>
      </c>
      <c r="T30">
        <v>13</v>
      </c>
      <c r="U30">
        <v>1809.6</v>
      </c>
      <c r="V30">
        <v>11</v>
      </c>
      <c r="W30">
        <v>1531.1999999999998</v>
      </c>
      <c r="X30">
        <v>16</v>
      </c>
      <c r="Y30">
        <v>2227.1999999999998</v>
      </c>
      <c r="Z30">
        <v>10</v>
      </c>
      <c r="AA30">
        <v>1392</v>
      </c>
      <c r="AB30">
        <v>12</v>
      </c>
      <c r="AC30">
        <v>1670.3999999999999</v>
      </c>
      <c r="AD30">
        <v>16</v>
      </c>
      <c r="AE30">
        <v>2227.1999999999998</v>
      </c>
      <c r="AF30">
        <v>14</v>
      </c>
      <c r="AG30">
        <v>1948.7999999999997</v>
      </c>
      <c r="AH30">
        <v>9</v>
      </c>
      <c r="AI30">
        <v>1252.8</v>
      </c>
      <c r="AJ30">
        <v>16</v>
      </c>
      <c r="AK30">
        <v>2227.1999999999998</v>
      </c>
      <c r="AL30">
        <v>15</v>
      </c>
      <c r="AM30">
        <v>2088</v>
      </c>
      <c r="AN30">
        <v>9</v>
      </c>
      <c r="AO30">
        <v>1252.8</v>
      </c>
      <c r="AP30">
        <v>10</v>
      </c>
      <c r="AQ30">
        <v>1392</v>
      </c>
      <c r="AR30">
        <v>10</v>
      </c>
      <c r="AS30">
        <v>1392</v>
      </c>
      <c r="AT30">
        <v>9</v>
      </c>
      <c r="AU30">
        <v>1252.8</v>
      </c>
      <c r="AV30">
        <v>17</v>
      </c>
      <c r="AW30">
        <v>2366.3999999999996</v>
      </c>
      <c r="AX30">
        <v>11</v>
      </c>
      <c r="AY30">
        <v>1531.1999999999998</v>
      </c>
      <c r="AZ30">
        <v>15</v>
      </c>
      <c r="BA30">
        <v>2088</v>
      </c>
      <c r="BB30">
        <v>12</v>
      </c>
      <c r="BC30">
        <v>1670.3999999999999</v>
      </c>
      <c r="BD30">
        <v>13</v>
      </c>
      <c r="BE30">
        <v>1809.6</v>
      </c>
      <c r="BF30">
        <v>15</v>
      </c>
      <c r="BG30">
        <v>2088</v>
      </c>
      <c r="BH30">
        <v>9</v>
      </c>
      <c r="BI30">
        <v>1252.8</v>
      </c>
      <c r="BJ30">
        <v>15</v>
      </c>
      <c r="BK30">
        <v>2088</v>
      </c>
      <c r="BL30">
        <v>14</v>
      </c>
      <c r="BM30">
        <v>1948.7999999999997</v>
      </c>
      <c r="BN30">
        <v>14</v>
      </c>
      <c r="BO30">
        <v>1948.7999999999997</v>
      </c>
      <c r="BP30">
        <v>12</v>
      </c>
      <c r="BQ30">
        <v>1670.3999999999999</v>
      </c>
      <c r="BR30">
        <v>11</v>
      </c>
      <c r="BS30">
        <v>1531.1999999999998</v>
      </c>
      <c r="BT30">
        <v>10</v>
      </c>
      <c r="BU30">
        <v>1392</v>
      </c>
      <c r="BV30">
        <v>12</v>
      </c>
      <c r="BW30">
        <v>1670.3999999999999</v>
      </c>
      <c r="BX30">
        <v>13</v>
      </c>
      <c r="BY30">
        <v>1809.6</v>
      </c>
      <c r="BZ30">
        <v>10</v>
      </c>
      <c r="CA30">
        <v>1392</v>
      </c>
      <c r="CB30">
        <v>15</v>
      </c>
      <c r="CC30">
        <v>2088</v>
      </c>
      <c r="CD30">
        <v>13</v>
      </c>
      <c r="CE30">
        <v>1809.6</v>
      </c>
      <c r="CF30">
        <v>15</v>
      </c>
      <c r="CG30">
        <v>2088</v>
      </c>
      <c r="CH30">
        <v>15</v>
      </c>
      <c r="CI30">
        <v>2088</v>
      </c>
      <c r="CJ30">
        <v>15</v>
      </c>
      <c r="CK30">
        <v>2088</v>
      </c>
      <c r="CL30">
        <v>11</v>
      </c>
      <c r="CM30">
        <v>1531.1999999999998</v>
      </c>
      <c r="CN30">
        <v>11</v>
      </c>
      <c r="CO30">
        <v>1531.1999999999998</v>
      </c>
      <c r="CP30">
        <v>15</v>
      </c>
      <c r="CQ30">
        <v>2088</v>
      </c>
      <c r="CR30">
        <v>17</v>
      </c>
      <c r="CS30">
        <v>2366.3999999999996</v>
      </c>
      <c r="CT30">
        <v>14</v>
      </c>
      <c r="CU30">
        <v>1948.7999999999997</v>
      </c>
    </row>
    <row r="31" spans="2:99" x14ac:dyDescent="0.2">
      <c r="C31" s="118" t="s">
        <v>197</v>
      </c>
      <c r="D31">
        <v>8</v>
      </c>
      <c r="E31">
        <v>2726.4</v>
      </c>
      <c r="F31">
        <v>7</v>
      </c>
      <c r="G31">
        <v>2385.6</v>
      </c>
      <c r="H31">
        <v>13</v>
      </c>
      <c r="I31">
        <v>4430.4000000000005</v>
      </c>
      <c r="J31">
        <v>10</v>
      </c>
      <c r="K31">
        <v>3408</v>
      </c>
      <c r="L31">
        <v>15</v>
      </c>
      <c r="M31">
        <v>5112</v>
      </c>
      <c r="N31">
        <v>14</v>
      </c>
      <c r="O31">
        <v>4771.2</v>
      </c>
      <c r="P31">
        <v>12</v>
      </c>
      <c r="Q31">
        <v>4089.6000000000004</v>
      </c>
      <c r="R31">
        <v>12</v>
      </c>
      <c r="S31">
        <v>4089.6000000000004</v>
      </c>
      <c r="T31">
        <v>15</v>
      </c>
      <c r="U31">
        <v>5112</v>
      </c>
      <c r="V31">
        <v>11</v>
      </c>
      <c r="W31">
        <v>3748.8</v>
      </c>
      <c r="X31">
        <v>16</v>
      </c>
      <c r="Y31">
        <v>5452.8</v>
      </c>
      <c r="Z31">
        <v>9</v>
      </c>
      <c r="AA31">
        <v>3067.2000000000003</v>
      </c>
      <c r="AB31">
        <v>13</v>
      </c>
      <c r="AC31">
        <v>4430.4000000000005</v>
      </c>
      <c r="AD31">
        <v>15</v>
      </c>
      <c r="AE31">
        <v>5112</v>
      </c>
      <c r="AF31">
        <v>12</v>
      </c>
      <c r="AG31">
        <v>4089.6000000000004</v>
      </c>
      <c r="AH31">
        <v>8</v>
      </c>
      <c r="AI31">
        <v>2726.4</v>
      </c>
      <c r="AJ31">
        <v>17</v>
      </c>
      <c r="AK31">
        <v>5793.6</v>
      </c>
      <c r="AL31">
        <v>16</v>
      </c>
      <c r="AM31">
        <v>5452.8</v>
      </c>
      <c r="AN31">
        <v>10</v>
      </c>
      <c r="AO31">
        <v>3408</v>
      </c>
      <c r="AP31">
        <v>10</v>
      </c>
      <c r="AQ31">
        <v>3408</v>
      </c>
      <c r="AR31">
        <v>10</v>
      </c>
      <c r="AS31">
        <v>3408</v>
      </c>
      <c r="AT31">
        <v>9</v>
      </c>
      <c r="AU31">
        <v>3067.2000000000003</v>
      </c>
      <c r="AV31">
        <v>15</v>
      </c>
      <c r="AW31">
        <v>5112</v>
      </c>
      <c r="AX31">
        <v>11</v>
      </c>
      <c r="AY31">
        <v>3748.8</v>
      </c>
      <c r="AZ31">
        <v>14</v>
      </c>
      <c r="BA31">
        <v>4771.2</v>
      </c>
      <c r="BB31">
        <v>11</v>
      </c>
      <c r="BC31">
        <v>3748.8</v>
      </c>
      <c r="BD31">
        <v>13</v>
      </c>
      <c r="BE31">
        <v>4430.4000000000005</v>
      </c>
      <c r="BF31">
        <v>15</v>
      </c>
      <c r="BG31">
        <v>5112</v>
      </c>
      <c r="BH31">
        <v>9</v>
      </c>
      <c r="BI31">
        <v>3067.2000000000003</v>
      </c>
      <c r="BJ31">
        <v>14</v>
      </c>
      <c r="BK31">
        <v>4771.2</v>
      </c>
      <c r="BL31">
        <v>13</v>
      </c>
      <c r="BM31">
        <v>4430.4000000000005</v>
      </c>
      <c r="BN31">
        <v>12</v>
      </c>
      <c r="BO31">
        <v>4089.6000000000004</v>
      </c>
      <c r="BP31">
        <v>11</v>
      </c>
      <c r="BQ31">
        <v>3748.8</v>
      </c>
      <c r="BR31">
        <v>10</v>
      </c>
      <c r="BS31">
        <v>3408</v>
      </c>
      <c r="BT31">
        <v>9</v>
      </c>
      <c r="BU31">
        <v>3067.2000000000003</v>
      </c>
      <c r="BV31">
        <v>11</v>
      </c>
      <c r="BW31">
        <v>3748.8</v>
      </c>
      <c r="BX31">
        <v>15</v>
      </c>
      <c r="BY31">
        <v>5112</v>
      </c>
      <c r="BZ31">
        <v>11</v>
      </c>
      <c r="CA31">
        <v>3748.8</v>
      </c>
      <c r="CB31">
        <v>15</v>
      </c>
      <c r="CC31">
        <v>5112</v>
      </c>
      <c r="CD31">
        <v>14</v>
      </c>
      <c r="CE31">
        <v>4771.2</v>
      </c>
      <c r="CF31">
        <v>16</v>
      </c>
      <c r="CG31">
        <v>5452.8</v>
      </c>
      <c r="CH31">
        <v>12</v>
      </c>
      <c r="CI31">
        <v>4089.6000000000004</v>
      </c>
      <c r="CJ31">
        <v>13</v>
      </c>
      <c r="CK31">
        <v>4430.4000000000005</v>
      </c>
      <c r="CL31">
        <v>9</v>
      </c>
      <c r="CM31">
        <v>3067.2000000000003</v>
      </c>
      <c r="CN31">
        <v>10</v>
      </c>
      <c r="CO31">
        <v>3408</v>
      </c>
      <c r="CP31">
        <v>15</v>
      </c>
      <c r="CQ31">
        <v>5112</v>
      </c>
      <c r="CR31">
        <v>15</v>
      </c>
      <c r="CS31">
        <v>5112</v>
      </c>
      <c r="CT31">
        <v>13</v>
      </c>
      <c r="CU31">
        <v>4430.4000000000005</v>
      </c>
    </row>
    <row r="32" spans="2:99" x14ac:dyDescent="0.2">
      <c r="C32" s="118" t="s">
        <v>198</v>
      </c>
      <c r="D32">
        <v>8</v>
      </c>
      <c r="E32">
        <v>6720</v>
      </c>
      <c r="F32">
        <v>8</v>
      </c>
      <c r="G32">
        <v>6720</v>
      </c>
      <c r="H32">
        <v>12</v>
      </c>
      <c r="I32">
        <v>10080</v>
      </c>
      <c r="J32">
        <v>8</v>
      </c>
      <c r="K32">
        <v>6720</v>
      </c>
      <c r="L32">
        <v>12</v>
      </c>
      <c r="M32">
        <v>10080</v>
      </c>
      <c r="N32">
        <v>15</v>
      </c>
      <c r="O32">
        <v>12600</v>
      </c>
      <c r="P32">
        <v>13</v>
      </c>
      <c r="Q32">
        <v>10920</v>
      </c>
      <c r="R32">
        <v>12</v>
      </c>
      <c r="S32">
        <v>10080</v>
      </c>
      <c r="T32">
        <v>15</v>
      </c>
      <c r="U32">
        <v>12600</v>
      </c>
      <c r="V32">
        <v>10</v>
      </c>
      <c r="W32">
        <v>8400</v>
      </c>
      <c r="X32">
        <v>13</v>
      </c>
      <c r="Y32">
        <v>10920</v>
      </c>
      <c r="Z32">
        <v>10</v>
      </c>
      <c r="AA32">
        <v>8400</v>
      </c>
      <c r="AB32">
        <v>13</v>
      </c>
      <c r="AC32">
        <v>10920</v>
      </c>
      <c r="AD32">
        <v>15</v>
      </c>
      <c r="AE32">
        <v>12600</v>
      </c>
      <c r="AF32">
        <v>12</v>
      </c>
      <c r="AG32">
        <v>10080</v>
      </c>
      <c r="AH32">
        <v>9</v>
      </c>
      <c r="AI32">
        <v>7560</v>
      </c>
      <c r="AJ32">
        <v>14</v>
      </c>
      <c r="AK32">
        <v>11760</v>
      </c>
      <c r="AL32">
        <v>14</v>
      </c>
      <c r="AM32">
        <v>11760</v>
      </c>
      <c r="AN32">
        <v>9</v>
      </c>
      <c r="AO32">
        <v>7560</v>
      </c>
      <c r="AP32">
        <v>10</v>
      </c>
      <c r="AQ32">
        <v>8400</v>
      </c>
      <c r="AR32">
        <v>11</v>
      </c>
      <c r="AS32">
        <v>9240</v>
      </c>
      <c r="AT32">
        <v>9</v>
      </c>
      <c r="AU32">
        <v>7560</v>
      </c>
      <c r="AV32">
        <v>16</v>
      </c>
      <c r="AW32">
        <v>13440</v>
      </c>
      <c r="AX32">
        <v>10</v>
      </c>
      <c r="AY32">
        <v>8400</v>
      </c>
      <c r="AZ32">
        <v>13</v>
      </c>
      <c r="BA32">
        <v>10920</v>
      </c>
      <c r="BB32">
        <v>12</v>
      </c>
      <c r="BC32">
        <v>10080</v>
      </c>
      <c r="BD32">
        <v>13</v>
      </c>
      <c r="BE32">
        <v>10920</v>
      </c>
      <c r="BF32">
        <v>14</v>
      </c>
      <c r="BG32">
        <v>11760</v>
      </c>
      <c r="BH32">
        <v>8</v>
      </c>
      <c r="BI32">
        <v>6720</v>
      </c>
      <c r="BJ32">
        <v>13</v>
      </c>
      <c r="BK32">
        <v>10920</v>
      </c>
      <c r="BL32">
        <v>13</v>
      </c>
      <c r="BM32">
        <v>10920</v>
      </c>
      <c r="BN32">
        <v>12</v>
      </c>
      <c r="BO32">
        <v>10080</v>
      </c>
      <c r="BP32">
        <v>11</v>
      </c>
      <c r="BQ32">
        <v>9240</v>
      </c>
      <c r="BR32">
        <v>9</v>
      </c>
      <c r="BS32">
        <v>7560</v>
      </c>
      <c r="BT32">
        <v>8</v>
      </c>
      <c r="BU32">
        <v>6720</v>
      </c>
      <c r="BV32">
        <v>10</v>
      </c>
      <c r="BW32">
        <v>8400</v>
      </c>
      <c r="BX32">
        <v>12</v>
      </c>
      <c r="BY32">
        <v>10080</v>
      </c>
      <c r="BZ32">
        <v>10</v>
      </c>
      <c r="CA32">
        <v>8400</v>
      </c>
      <c r="CB32">
        <v>12</v>
      </c>
      <c r="CC32">
        <v>10080</v>
      </c>
      <c r="CD32">
        <v>13</v>
      </c>
      <c r="CE32">
        <v>10920</v>
      </c>
      <c r="CF32">
        <v>15</v>
      </c>
      <c r="CG32">
        <v>12600</v>
      </c>
      <c r="CH32">
        <v>14</v>
      </c>
      <c r="CI32">
        <v>11760</v>
      </c>
      <c r="CJ32">
        <v>13</v>
      </c>
      <c r="CK32">
        <v>10920</v>
      </c>
      <c r="CL32">
        <v>9</v>
      </c>
      <c r="CM32">
        <v>7560</v>
      </c>
      <c r="CN32">
        <v>9</v>
      </c>
      <c r="CO32">
        <v>7560</v>
      </c>
      <c r="CP32">
        <v>14</v>
      </c>
      <c r="CQ32">
        <v>11760</v>
      </c>
      <c r="CR32">
        <v>15</v>
      </c>
      <c r="CS32">
        <v>12600</v>
      </c>
      <c r="CT32">
        <v>13</v>
      </c>
      <c r="CU32">
        <v>10920</v>
      </c>
    </row>
    <row r="33" spans="2:99" x14ac:dyDescent="0.2">
      <c r="C33" s="118" t="s">
        <v>199</v>
      </c>
      <c r="D33">
        <v>8</v>
      </c>
      <c r="E33">
        <v>3792</v>
      </c>
      <c r="F33">
        <v>7</v>
      </c>
      <c r="G33">
        <v>3318</v>
      </c>
      <c r="H33">
        <v>12</v>
      </c>
      <c r="I33">
        <v>5688</v>
      </c>
      <c r="J33">
        <v>9</v>
      </c>
      <c r="K33">
        <v>4266</v>
      </c>
      <c r="L33">
        <v>15</v>
      </c>
      <c r="M33">
        <v>7110</v>
      </c>
      <c r="N33">
        <v>16</v>
      </c>
      <c r="O33">
        <v>7584</v>
      </c>
      <c r="P33">
        <v>13</v>
      </c>
      <c r="Q33">
        <v>6162</v>
      </c>
      <c r="R33">
        <v>14</v>
      </c>
      <c r="S33">
        <v>6636</v>
      </c>
      <c r="T33">
        <v>15</v>
      </c>
      <c r="U33">
        <v>7110</v>
      </c>
      <c r="V33">
        <v>11</v>
      </c>
      <c r="W33">
        <v>5214</v>
      </c>
      <c r="X33">
        <v>13</v>
      </c>
      <c r="Y33">
        <v>6162</v>
      </c>
      <c r="Z33">
        <v>10</v>
      </c>
      <c r="AA33">
        <v>4740</v>
      </c>
      <c r="AB33">
        <v>11</v>
      </c>
      <c r="AC33">
        <v>5214</v>
      </c>
      <c r="AD33">
        <v>16</v>
      </c>
      <c r="AE33">
        <v>7584</v>
      </c>
      <c r="AF33">
        <v>13</v>
      </c>
      <c r="AG33">
        <v>6162</v>
      </c>
      <c r="AH33">
        <v>9</v>
      </c>
      <c r="AI33">
        <v>4266</v>
      </c>
      <c r="AJ33">
        <v>16</v>
      </c>
      <c r="AK33">
        <v>7584</v>
      </c>
      <c r="AL33">
        <v>15</v>
      </c>
      <c r="AM33">
        <v>7110</v>
      </c>
      <c r="AN33">
        <v>10</v>
      </c>
      <c r="AO33">
        <v>4740</v>
      </c>
      <c r="AP33">
        <v>10</v>
      </c>
      <c r="AQ33">
        <v>4740</v>
      </c>
      <c r="AR33">
        <v>9</v>
      </c>
      <c r="AS33">
        <v>4266</v>
      </c>
      <c r="AT33">
        <v>9</v>
      </c>
      <c r="AU33">
        <v>4266</v>
      </c>
      <c r="AV33">
        <v>16</v>
      </c>
      <c r="AW33">
        <v>7584</v>
      </c>
      <c r="AX33">
        <v>11</v>
      </c>
      <c r="AY33">
        <v>5214</v>
      </c>
      <c r="AZ33">
        <v>13</v>
      </c>
      <c r="BA33">
        <v>6162</v>
      </c>
      <c r="BB33">
        <v>13</v>
      </c>
      <c r="BC33">
        <v>6162</v>
      </c>
      <c r="BD33">
        <v>14</v>
      </c>
      <c r="BE33">
        <v>6636</v>
      </c>
      <c r="BF33">
        <v>14</v>
      </c>
      <c r="BG33">
        <v>6636</v>
      </c>
      <c r="BH33">
        <v>9</v>
      </c>
      <c r="BI33">
        <v>4266</v>
      </c>
      <c r="BJ33">
        <v>15</v>
      </c>
      <c r="BK33">
        <v>7110</v>
      </c>
      <c r="BL33">
        <v>13</v>
      </c>
      <c r="BM33">
        <v>6162</v>
      </c>
      <c r="BN33">
        <v>12</v>
      </c>
      <c r="BO33">
        <v>5688</v>
      </c>
      <c r="BP33">
        <v>11</v>
      </c>
      <c r="BQ33">
        <v>5214</v>
      </c>
      <c r="BR33">
        <v>11</v>
      </c>
      <c r="BS33">
        <v>5214</v>
      </c>
      <c r="BT33">
        <v>9</v>
      </c>
      <c r="BU33">
        <v>4266</v>
      </c>
      <c r="BV33">
        <v>12</v>
      </c>
      <c r="BW33">
        <v>5688</v>
      </c>
      <c r="BX33">
        <v>13</v>
      </c>
      <c r="BY33">
        <v>6162</v>
      </c>
      <c r="BZ33">
        <v>11</v>
      </c>
      <c r="CA33">
        <v>5214</v>
      </c>
      <c r="CB33">
        <v>14</v>
      </c>
      <c r="CC33">
        <v>6636</v>
      </c>
      <c r="CD33">
        <v>14</v>
      </c>
      <c r="CE33">
        <v>6636</v>
      </c>
      <c r="CF33">
        <v>14</v>
      </c>
      <c r="CG33">
        <v>6636</v>
      </c>
      <c r="CH33">
        <v>14</v>
      </c>
      <c r="CI33">
        <v>6636</v>
      </c>
      <c r="CJ33">
        <v>15</v>
      </c>
      <c r="CK33">
        <v>7110</v>
      </c>
      <c r="CL33">
        <v>11</v>
      </c>
      <c r="CM33">
        <v>5214</v>
      </c>
      <c r="CN33">
        <v>10</v>
      </c>
      <c r="CO33">
        <v>4740</v>
      </c>
      <c r="CP33">
        <v>14</v>
      </c>
      <c r="CQ33">
        <v>6636</v>
      </c>
      <c r="CR33">
        <v>15</v>
      </c>
      <c r="CS33">
        <v>7110</v>
      </c>
      <c r="CT33">
        <v>13</v>
      </c>
      <c r="CU33">
        <v>6162</v>
      </c>
    </row>
    <row r="34" spans="2:99" x14ac:dyDescent="0.2">
      <c r="C34" s="118" t="s">
        <v>200</v>
      </c>
      <c r="D34">
        <v>8</v>
      </c>
      <c r="E34">
        <v>4387.2</v>
      </c>
      <c r="F34">
        <v>7</v>
      </c>
      <c r="G34">
        <v>3838.7999999999997</v>
      </c>
      <c r="H34">
        <v>12</v>
      </c>
      <c r="I34">
        <v>6580.7999999999993</v>
      </c>
      <c r="J34">
        <v>9</v>
      </c>
      <c r="K34">
        <v>4935.5999999999995</v>
      </c>
      <c r="L34">
        <v>13</v>
      </c>
      <c r="M34">
        <v>7129.2</v>
      </c>
      <c r="N34">
        <v>14</v>
      </c>
      <c r="O34">
        <v>7677.5999999999995</v>
      </c>
      <c r="P34">
        <v>13</v>
      </c>
      <c r="Q34">
        <v>7129.2</v>
      </c>
      <c r="R34">
        <v>14</v>
      </c>
      <c r="S34">
        <v>7677.5999999999995</v>
      </c>
      <c r="T34">
        <v>14</v>
      </c>
      <c r="U34">
        <v>7677.5999999999995</v>
      </c>
      <c r="V34">
        <v>12</v>
      </c>
      <c r="W34">
        <v>6580.7999999999993</v>
      </c>
      <c r="X34">
        <v>14</v>
      </c>
      <c r="Y34">
        <v>7677.5999999999995</v>
      </c>
      <c r="Z34">
        <v>9</v>
      </c>
      <c r="AA34">
        <v>4935.5999999999995</v>
      </c>
      <c r="AB34">
        <v>13</v>
      </c>
      <c r="AC34">
        <v>7129.2</v>
      </c>
      <c r="AD34">
        <v>16</v>
      </c>
      <c r="AE34">
        <v>8774.4</v>
      </c>
      <c r="AF34">
        <v>13</v>
      </c>
      <c r="AG34">
        <v>7129.2</v>
      </c>
      <c r="AH34">
        <v>8</v>
      </c>
      <c r="AI34">
        <v>4387.2</v>
      </c>
      <c r="AJ34">
        <v>14</v>
      </c>
      <c r="AK34">
        <v>7677.5999999999995</v>
      </c>
      <c r="AL34">
        <v>16</v>
      </c>
      <c r="AM34">
        <v>8774.4</v>
      </c>
      <c r="AN34">
        <v>11</v>
      </c>
      <c r="AO34">
        <v>6032.4</v>
      </c>
      <c r="AP34">
        <v>9</v>
      </c>
      <c r="AQ34">
        <v>4935.5999999999995</v>
      </c>
      <c r="AR34">
        <v>11</v>
      </c>
      <c r="AS34">
        <v>6032.4</v>
      </c>
      <c r="AT34">
        <v>9</v>
      </c>
      <c r="AU34">
        <v>4935.5999999999995</v>
      </c>
      <c r="AV34">
        <v>17</v>
      </c>
      <c r="AW34">
        <v>9322.7999999999993</v>
      </c>
      <c r="AX34">
        <v>11</v>
      </c>
      <c r="AY34">
        <v>6032.4</v>
      </c>
      <c r="AZ34">
        <v>15</v>
      </c>
      <c r="BA34">
        <v>8226</v>
      </c>
      <c r="BB34">
        <v>13</v>
      </c>
      <c r="BC34">
        <v>7129.2</v>
      </c>
      <c r="BD34">
        <v>14</v>
      </c>
      <c r="BE34">
        <v>7677.5999999999995</v>
      </c>
      <c r="BF34">
        <v>15</v>
      </c>
      <c r="BG34">
        <v>8226</v>
      </c>
      <c r="BH34">
        <v>8</v>
      </c>
      <c r="BI34">
        <v>4387.2</v>
      </c>
      <c r="BJ34">
        <v>13</v>
      </c>
      <c r="BK34">
        <v>7129.2</v>
      </c>
      <c r="BL34">
        <v>12</v>
      </c>
      <c r="BM34">
        <v>6580.7999999999993</v>
      </c>
      <c r="BN34">
        <v>13</v>
      </c>
      <c r="BO34">
        <v>7129.2</v>
      </c>
      <c r="BP34">
        <v>11</v>
      </c>
      <c r="BQ34">
        <v>6032.4</v>
      </c>
      <c r="BR34">
        <v>10</v>
      </c>
      <c r="BS34">
        <v>5484</v>
      </c>
      <c r="BT34">
        <v>8</v>
      </c>
      <c r="BU34">
        <v>4387.2</v>
      </c>
      <c r="BV34">
        <v>11</v>
      </c>
      <c r="BW34">
        <v>6032.4</v>
      </c>
      <c r="BX34">
        <v>14</v>
      </c>
      <c r="BY34">
        <v>7677.5999999999995</v>
      </c>
      <c r="BZ34">
        <v>12</v>
      </c>
      <c r="CA34">
        <v>6580.7999999999993</v>
      </c>
      <c r="CB34">
        <v>13</v>
      </c>
      <c r="CC34">
        <v>7129.2</v>
      </c>
      <c r="CD34">
        <v>12</v>
      </c>
      <c r="CE34">
        <v>6580.7999999999993</v>
      </c>
      <c r="CF34">
        <v>15</v>
      </c>
      <c r="CG34">
        <v>8226</v>
      </c>
      <c r="CH34">
        <v>14</v>
      </c>
      <c r="CI34">
        <v>7677.5999999999995</v>
      </c>
      <c r="CJ34">
        <v>14</v>
      </c>
      <c r="CK34">
        <v>7677.5999999999995</v>
      </c>
      <c r="CL34">
        <v>10</v>
      </c>
      <c r="CM34">
        <v>5484</v>
      </c>
      <c r="CN34">
        <v>11</v>
      </c>
      <c r="CO34">
        <v>6032.4</v>
      </c>
      <c r="CP34">
        <v>16</v>
      </c>
      <c r="CQ34">
        <v>8774.4</v>
      </c>
      <c r="CR34">
        <v>15</v>
      </c>
      <c r="CS34">
        <v>8226</v>
      </c>
      <c r="CT34">
        <v>14</v>
      </c>
      <c r="CU34">
        <v>7677.5999999999995</v>
      </c>
    </row>
    <row r="35" spans="2:99" x14ac:dyDescent="0.2">
      <c r="C35" s="118" t="s">
        <v>201</v>
      </c>
      <c r="D35">
        <v>7</v>
      </c>
      <c r="E35">
        <v>3519.5999999999995</v>
      </c>
      <c r="F35">
        <v>8</v>
      </c>
      <c r="G35">
        <v>4022.3999999999992</v>
      </c>
      <c r="H35">
        <v>12</v>
      </c>
      <c r="I35">
        <v>6033.5999999999985</v>
      </c>
      <c r="J35">
        <v>9</v>
      </c>
      <c r="K35">
        <v>4525.1999999999989</v>
      </c>
      <c r="L35">
        <v>13</v>
      </c>
      <c r="M35">
        <v>6536.3999999999987</v>
      </c>
      <c r="N35">
        <v>14</v>
      </c>
      <c r="O35">
        <v>7039.1999999999989</v>
      </c>
      <c r="P35">
        <v>14</v>
      </c>
      <c r="Q35">
        <v>7039.1999999999989</v>
      </c>
      <c r="R35">
        <v>13</v>
      </c>
      <c r="S35">
        <v>6536.3999999999987</v>
      </c>
      <c r="T35">
        <v>13</v>
      </c>
      <c r="U35">
        <v>6536.3999999999987</v>
      </c>
      <c r="V35">
        <v>11</v>
      </c>
      <c r="W35">
        <v>5530.7999999999993</v>
      </c>
      <c r="X35">
        <v>15</v>
      </c>
      <c r="Y35">
        <v>7541.9999999999982</v>
      </c>
      <c r="Z35">
        <v>10</v>
      </c>
      <c r="AA35">
        <v>5027.9999999999991</v>
      </c>
      <c r="AB35">
        <v>12</v>
      </c>
      <c r="AC35">
        <v>6033.5999999999985</v>
      </c>
      <c r="AD35">
        <v>15</v>
      </c>
      <c r="AE35">
        <v>7541.9999999999982</v>
      </c>
      <c r="AF35">
        <v>13</v>
      </c>
      <c r="AG35">
        <v>6536.3999999999987</v>
      </c>
      <c r="AH35">
        <v>9</v>
      </c>
      <c r="AI35">
        <v>4525.1999999999989</v>
      </c>
      <c r="AJ35">
        <v>17</v>
      </c>
      <c r="AK35">
        <v>8547.5999999999985</v>
      </c>
      <c r="AL35">
        <v>15</v>
      </c>
      <c r="AM35">
        <v>7541.9999999999982</v>
      </c>
      <c r="AN35">
        <v>9</v>
      </c>
      <c r="AO35">
        <v>4525.1999999999989</v>
      </c>
      <c r="AP35">
        <v>10</v>
      </c>
      <c r="AQ35">
        <v>5027.9999999999991</v>
      </c>
      <c r="AR35">
        <v>10</v>
      </c>
      <c r="AS35">
        <v>5027.9999999999991</v>
      </c>
      <c r="AT35">
        <v>9</v>
      </c>
      <c r="AU35">
        <v>4525.1999999999989</v>
      </c>
      <c r="AV35">
        <v>16</v>
      </c>
      <c r="AW35">
        <v>8044.7999999999984</v>
      </c>
      <c r="AX35">
        <v>11</v>
      </c>
      <c r="AY35">
        <v>5530.7999999999993</v>
      </c>
      <c r="AZ35">
        <v>13</v>
      </c>
      <c r="BA35">
        <v>6536.3999999999987</v>
      </c>
      <c r="BB35">
        <v>13</v>
      </c>
      <c r="BC35">
        <v>6536.3999999999987</v>
      </c>
      <c r="BD35">
        <v>14</v>
      </c>
      <c r="BE35">
        <v>7039.1999999999989</v>
      </c>
      <c r="BF35">
        <v>14</v>
      </c>
      <c r="BG35">
        <v>7039.1999999999989</v>
      </c>
      <c r="BH35">
        <v>8</v>
      </c>
      <c r="BI35">
        <v>4022.3999999999992</v>
      </c>
      <c r="BJ35">
        <v>15</v>
      </c>
      <c r="BK35">
        <v>7541.9999999999982</v>
      </c>
      <c r="BL35">
        <v>13</v>
      </c>
      <c r="BM35">
        <v>6536.3999999999987</v>
      </c>
      <c r="BN35">
        <v>13</v>
      </c>
      <c r="BO35">
        <v>6536.3999999999987</v>
      </c>
      <c r="BP35">
        <v>11</v>
      </c>
      <c r="BQ35">
        <v>5530.7999999999993</v>
      </c>
      <c r="BR35">
        <v>11</v>
      </c>
      <c r="BS35">
        <v>5530.7999999999993</v>
      </c>
      <c r="BT35">
        <v>10</v>
      </c>
      <c r="BU35">
        <v>5027.9999999999991</v>
      </c>
      <c r="BV35">
        <v>12</v>
      </c>
      <c r="BW35">
        <v>6033.5999999999985</v>
      </c>
      <c r="BX35">
        <v>15</v>
      </c>
      <c r="BY35">
        <v>7541.9999999999982</v>
      </c>
      <c r="BZ35">
        <v>10</v>
      </c>
      <c r="CA35">
        <v>5027.9999999999991</v>
      </c>
      <c r="CB35">
        <v>15</v>
      </c>
      <c r="CC35">
        <v>7541.9999999999982</v>
      </c>
      <c r="CD35">
        <v>12</v>
      </c>
      <c r="CE35">
        <v>6033.5999999999985</v>
      </c>
      <c r="CF35">
        <v>14</v>
      </c>
      <c r="CG35">
        <v>7039.1999999999989</v>
      </c>
      <c r="CH35">
        <v>13</v>
      </c>
      <c r="CI35">
        <v>6536.3999999999987</v>
      </c>
      <c r="CJ35">
        <v>16</v>
      </c>
      <c r="CK35">
        <v>8044.7999999999984</v>
      </c>
      <c r="CL35">
        <v>9</v>
      </c>
      <c r="CM35">
        <v>4525.1999999999989</v>
      </c>
      <c r="CN35">
        <v>9</v>
      </c>
      <c r="CO35">
        <v>4525.1999999999989</v>
      </c>
      <c r="CP35">
        <v>16</v>
      </c>
      <c r="CQ35">
        <v>8044.7999999999984</v>
      </c>
      <c r="CR35">
        <v>16</v>
      </c>
      <c r="CS35">
        <v>8044.7999999999984</v>
      </c>
      <c r="CT35">
        <v>15</v>
      </c>
      <c r="CU35">
        <v>7541.9999999999982</v>
      </c>
    </row>
    <row r="36" spans="2:99" x14ac:dyDescent="0.2">
      <c r="C36" s="118" t="s">
        <v>202</v>
      </c>
      <c r="D36">
        <v>8</v>
      </c>
      <c r="E36">
        <v>6086.4</v>
      </c>
      <c r="F36">
        <v>7</v>
      </c>
      <c r="G36">
        <v>5325.5999999999995</v>
      </c>
      <c r="H36">
        <v>12</v>
      </c>
      <c r="I36">
        <v>9129.5999999999985</v>
      </c>
      <c r="J36">
        <v>9</v>
      </c>
      <c r="K36">
        <v>6847.2</v>
      </c>
      <c r="L36">
        <v>14</v>
      </c>
      <c r="M36">
        <v>10651.199999999999</v>
      </c>
      <c r="N36">
        <v>13</v>
      </c>
      <c r="O36">
        <v>9890.4</v>
      </c>
      <c r="P36">
        <v>13</v>
      </c>
      <c r="Q36">
        <v>9890.4</v>
      </c>
      <c r="R36">
        <v>12</v>
      </c>
      <c r="S36">
        <v>9129.5999999999985</v>
      </c>
      <c r="T36">
        <v>15</v>
      </c>
      <c r="U36">
        <v>11412</v>
      </c>
      <c r="V36">
        <v>11</v>
      </c>
      <c r="W36">
        <v>8368.7999999999993</v>
      </c>
      <c r="X36">
        <v>13</v>
      </c>
      <c r="Y36">
        <v>9890.4</v>
      </c>
      <c r="Z36">
        <v>9</v>
      </c>
      <c r="AA36">
        <v>6847.2</v>
      </c>
      <c r="AB36">
        <v>11</v>
      </c>
      <c r="AC36">
        <v>8368.7999999999993</v>
      </c>
      <c r="AD36">
        <v>15</v>
      </c>
      <c r="AE36">
        <v>11412</v>
      </c>
      <c r="AF36">
        <v>11</v>
      </c>
      <c r="AG36">
        <v>8368.7999999999993</v>
      </c>
      <c r="AH36">
        <v>8</v>
      </c>
      <c r="AI36">
        <v>6086.4</v>
      </c>
      <c r="AJ36">
        <v>16</v>
      </c>
      <c r="AK36">
        <v>12172.8</v>
      </c>
      <c r="AL36">
        <v>13</v>
      </c>
      <c r="AM36">
        <v>9890.4</v>
      </c>
      <c r="AN36">
        <v>9</v>
      </c>
      <c r="AO36">
        <v>6847.2</v>
      </c>
      <c r="AP36">
        <v>9</v>
      </c>
      <c r="AQ36">
        <v>6847.2</v>
      </c>
      <c r="AR36">
        <v>10</v>
      </c>
      <c r="AS36">
        <v>7608</v>
      </c>
      <c r="AT36">
        <v>8</v>
      </c>
      <c r="AU36">
        <v>6086.4</v>
      </c>
      <c r="AV36">
        <v>15</v>
      </c>
      <c r="AW36">
        <v>11412</v>
      </c>
      <c r="AX36">
        <v>11</v>
      </c>
      <c r="AY36">
        <v>8368.7999999999993</v>
      </c>
      <c r="AZ36">
        <v>14</v>
      </c>
      <c r="BA36">
        <v>10651.199999999999</v>
      </c>
      <c r="BB36">
        <v>11</v>
      </c>
      <c r="BC36">
        <v>8368.7999999999993</v>
      </c>
      <c r="BD36">
        <v>14</v>
      </c>
      <c r="BE36">
        <v>10651.199999999999</v>
      </c>
      <c r="BF36">
        <v>15</v>
      </c>
      <c r="BG36">
        <v>11412</v>
      </c>
      <c r="BH36">
        <v>8</v>
      </c>
      <c r="BI36">
        <v>6086.4</v>
      </c>
      <c r="BJ36">
        <v>13</v>
      </c>
      <c r="BK36">
        <v>9890.4</v>
      </c>
      <c r="BL36">
        <v>13</v>
      </c>
      <c r="BM36">
        <v>9890.4</v>
      </c>
      <c r="BN36">
        <v>14</v>
      </c>
      <c r="BO36">
        <v>10651.199999999999</v>
      </c>
      <c r="BP36">
        <v>12</v>
      </c>
      <c r="BQ36">
        <v>9129.5999999999985</v>
      </c>
      <c r="BR36">
        <v>10</v>
      </c>
      <c r="BS36">
        <v>7608</v>
      </c>
      <c r="BT36">
        <v>9</v>
      </c>
      <c r="BU36">
        <v>6847.2</v>
      </c>
      <c r="BV36">
        <v>11</v>
      </c>
      <c r="BW36">
        <v>8368.7999999999993</v>
      </c>
      <c r="BX36">
        <v>14</v>
      </c>
      <c r="BY36">
        <v>10651.199999999999</v>
      </c>
      <c r="BZ36">
        <v>10</v>
      </c>
      <c r="CA36">
        <v>7608</v>
      </c>
      <c r="CB36">
        <v>14</v>
      </c>
      <c r="CC36">
        <v>10651.199999999999</v>
      </c>
      <c r="CD36">
        <v>12</v>
      </c>
      <c r="CE36">
        <v>9129.5999999999985</v>
      </c>
      <c r="CF36">
        <v>14</v>
      </c>
      <c r="CG36">
        <v>10651.199999999999</v>
      </c>
      <c r="CH36">
        <v>14</v>
      </c>
      <c r="CI36">
        <v>10651.199999999999</v>
      </c>
      <c r="CJ36">
        <v>13</v>
      </c>
      <c r="CK36">
        <v>9890.4</v>
      </c>
      <c r="CL36">
        <v>9</v>
      </c>
      <c r="CM36">
        <v>6847.2</v>
      </c>
      <c r="CN36">
        <v>10</v>
      </c>
      <c r="CO36">
        <v>7608</v>
      </c>
      <c r="CP36">
        <v>15</v>
      </c>
      <c r="CQ36">
        <v>11412</v>
      </c>
      <c r="CR36">
        <v>15</v>
      </c>
      <c r="CS36">
        <v>11412</v>
      </c>
      <c r="CT36">
        <v>13</v>
      </c>
      <c r="CU36">
        <v>9890.4</v>
      </c>
    </row>
    <row r="37" spans="2:99" x14ac:dyDescent="0.2">
      <c r="B37" s="118" t="s">
        <v>128</v>
      </c>
      <c r="C37" s="118" t="s">
        <v>203</v>
      </c>
      <c r="D37">
        <v>29</v>
      </c>
      <c r="E37">
        <v>24951.599999999999</v>
      </c>
      <c r="F37">
        <v>30</v>
      </c>
      <c r="G37">
        <v>25812</v>
      </c>
      <c r="H37">
        <v>19</v>
      </c>
      <c r="I37">
        <v>16347.6</v>
      </c>
      <c r="J37">
        <v>28</v>
      </c>
      <c r="K37">
        <v>24091.200000000001</v>
      </c>
      <c r="L37">
        <v>31</v>
      </c>
      <c r="M37">
        <v>26672.399999999998</v>
      </c>
      <c r="N37">
        <v>27</v>
      </c>
      <c r="O37">
        <v>23230.799999999999</v>
      </c>
      <c r="P37">
        <v>19</v>
      </c>
      <c r="Q37">
        <v>16347.6</v>
      </c>
      <c r="R37">
        <v>15</v>
      </c>
      <c r="S37">
        <v>12906</v>
      </c>
      <c r="T37">
        <v>22</v>
      </c>
      <c r="U37">
        <v>18928.8</v>
      </c>
      <c r="V37">
        <v>18</v>
      </c>
      <c r="W37">
        <v>15487.199999999999</v>
      </c>
      <c r="X37">
        <v>18</v>
      </c>
      <c r="Y37">
        <v>15487.199999999999</v>
      </c>
      <c r="Z37">
        <v>23</v>
      </c>
      <c r="AA37">
        <v>19789.2</v>
      </c>
      <c r="AB37">
        <v>18</v>
      </c>
      <c r="AC37">
        <v>15487.199999999999</v>
      </c>
      <c r="AD37">
        <v>19</v>
      </c>
      <c r="AE37">
        <v>16347.6</v>
      </c>
      <c r="AF37">
        <v>21</v>
      </c>
      <c r="AG37">
        <v>18068.399999999998</v>
      </c>
      <c r="AH37">
        <v>30</v>
      </c>
      <c r="AI37">
        <v>25812</v>
      </c>
      <c r="AJ37">
        <v>17</v>
      </c>
      <c r="AK37">
        <v>14626.8</v>
      </c>
      <c r="AL37">
        <v>19</v>
      </c>
      <c r="AM37">
        <v>16347.6</v>
      </c>
      <c r="AN37">
        <v>17</v>
      </c>
      <c r="AO37">
        <v>14626.8</v>
      </c>
      <c r="AP37">
        <v>23</v>
      </c>
      <c r="AQ37">
        <v>19789.2</v>
      </c>
      <c r="AR37">
        <v>26</v>
      </c>
      <c r="AS37">
        <v>22370.399999999998</v>
      </c>
      <c r="AT37">
        <v>22</v>
      </c>
      <c r="AU37">
        <v>18928.8</v>
      </c>
      <c r="AV37">
        <v>21</v>
      </c>
      <c r="AW37">
        <v>18068.399999999998</v>
      </c>
      <c r="AX37">
        <v>29</v>
      </c>
      <c r="AY37">
        <v>24951.599999999999</v>
      </c>
      <c r="AZ37">
        <v>30</v>
      </c>
      <c r="BA37">
        <v>25812</v>
      </c>
      <c r="BB37">
        <v>30</v>
      </c>
      <c r="BC37">
        <v>25812</v>
      </c>
      <c r="BD37">
        <v>25</v>
      </c>
      <c r="BE37">
        <v>21510</v>
      </c>
      <c r="BF37">
        <v>25</v>
      </c>
      <c r="BG37">
        <v>21510</v>
      </c>
      <c r="BH37">
        <v>33</v>
      </c>
      <c r="BI37">
        <v>28393.200000000001</v>
      </c>
      <c r="BJ37">
        <v>16</v>
      </c>
      <c r="BK37">
        <v>13766.4</v>
      </c>
      <c r="BL37">
        <v>24</v>
      </c>
      <c r="BM37">
        <v>20649.599999999999</v>
      </c>
      <c r="BN37">
        <v>24</v>
      </c>
      <c r="BO37">
        <v>20649.599999999999</v>
      </c>
      <c r="BP37">
        <v>20</v>
      </c>
      <c r="BQ37">
        <v>17208</v>
      </c>
      <c r="BR37">
        <v>20</v>
      </c>
      <c r="BS37">
        <v>17208</v>
      </c>
      <c r="BT37">
        <v>19</v>
      </c>
      <c r="BU37">
        <v>16347.6</v>
      </c>
      <c r="BV37">
        <v>28</v>
      </c>
      <c r="BW37">
        <v>24091.200000000001</v>
      </c>
      <c r="BX37">
        <v>17</v>
      </c>
      <c r="BY37">
        <v>14626.8</v>
      </c>
      <c r="BZ37">
        <v>21</v>
      </c>
      <c r="CA37">
        <v>18068.399999999998</v>
      </c>
      <c r="CB37">
        <v>16</v>
      </c>
      <c r="CC37">
        <v>13766.4</v>
      </c>
      <c r="CD37">
        <v>29</v>
      </c>
      <c r="CE37">
        <v>24951.599999999999</v>
      </c>
      <c r="CF37">
        <v>15</v>
      </c>
      <c r="CG37">
        <v>12906</v>
      </c>
      <c r="CH37">
        <v>25</v>
      </c>
      <c r="CI37">
        <v>21510</v>
      </c>
      <c r="CJ37">
        <v>27</v>
      </c>
      <c r="CK37">
        <v>23230.799999999999</v>
      </c>
      <c r="CL37">
        <v>17</v>
      </c>
      <c r="CM37">
        <v>14626.8</v>
      </c>
      <c r="CN37">
        <v>28</v>
      </c>
      <c r="CO37">
        <v>24091.200000000001</v>
      </c>
      <c r="CP37">
        <v>16</v>
      </c>
      <c r="CQ37">
        <v>13766.4</v>
      </c>
      <c r="CR37">
        <v>26</v>
      </c>
      <c r="CS37">
        <v>22370.399999999998</v>
      </c>
      <c r="CT37">
        <v>19</v>
      </c>
      <c r="CU37">
        <v>16347.6</v>
      </c>
    </row>
    <row r="38" spans="2:99" x14ac:dyDescent="0.2">
      <c r="C38" s="118" t="s">
        <v>204</v>
      </c>
      <c r="D38">
        <v>29</v>
      </c>
      <c r="E38">
        <v>36018</v>
      </c>
      <c r="F38">
        <v>26</v>
      </c>
      <c r="G38">
        <v>32292</v>
      </c>
      <c r="H38">
        <v>19</v>
      </c>
      <c r="I38">
        <v>23598</v>
      </c>
      <c r="J38">
        <v>27</v>
      </c>
      <c r="K38">
        <v>33534</v>
      </c>
      <c r="L38">
        <v>29</v>
      </c>
      <c r="M38">
        <v>36018</v>
      </c>
      <c r="N38">
        <v>26</v>
      </c>
      <c r="O38">
        <v>32292</v>
      </c>
      <c r="P38">
        <v>15</v>
      </c>
      <c r="Q38">
        <v>18630</v>
      </c>
      <c r="R38">
        <v>16</v>
      </c>
      <c r="S38">
        <v>19872</v>
      </c>
      <c r="T38">
        <v>20</v>
      </c>
      <c r="U38">
        <v>24840</v>
      </c>
      <c r="V38">
        <v>18</v>
      </c>
      <c r="W38">
        <v>22356</v>
      </c>
      <c r="X38">
        <v>18</v>
      </c>
      <c r="Y38">
        <v>22356</v>
      </c>
      <c r="Z38">
        <v>23</v>
      </c>
      <c r="AA38">
        <v>28566</v>
      </c>
      <c r="AB38">
        <v>17</v>
      </c>
      <c r="AC38">
        <v>21114</v>
      </c>
      <c r="AD38">
        <v>17</v>
      </c>
      <c r="AE38">
        <v>21114</v>
      </c>
      <c r="AF38">
        <v>22</v>
      </c>
      <c r="AG38">
        <v>27324</v>
      </c>
      <c r="AH38">
        <v>30</v>
      </c>
      <c r="AI38">
        <v>37260</v>
      </c>
      <c r="AJ38">
        <v>17</v>
      </c>
      <c r="AK38">
        <v>21114</v>
      </c>
      <c r="AL38">
        <v>17</v>
      </c>
      <c r="AM38">
        <v>21114</v>
      </c>
      <c r="AN38">
        <v>14</v>
      </c>
      <c r="AO38">
        <v>17388</v>
      </c>
      <c r="AP38">
        <v>25</v>
      </c>
      <c r="AQ38">
        <v>31050</v>
      </c>
      <c r="AR38">
        <v>26</v>
      </c>
      <c r="AS38">
        <v>32292</v>
      </c>
      <c r="AT38">
        <v>18</v>
      </c>
      <c r="AU38">
        <v>22356</v>
      </c>
      <c r="AV38">
        <v>20</v>
      </c>
      <c r="AW38">
        <v>24840</v>
      </c>
      <c r="AX38">
        <v>25</v>
      </c>
      <c r="AY38">
        <v>31050</v>
      </c>
      <c r="AZ38">
        <v>29</v>
      </c>
      <c r="BA38">
        <v>36018</v>
      </c>
      <c r="BB38">
        <v>28</v>
      </c>
      <c r="BC38">
        <v>34776</v>
      </c>
      <c r="BD38">
        <v>24</v>
      </c>
      <c r="BE38">
        <v>29808</v>
      </c>
      <c r="BF38">
        <v>24</v>
      </c>
      <c r="BG38">
        <v>29808</v>
      </c>
      <c r="BH38">
        <v>28</v>
      </c>
      <c r="BI38">
        <v>34776</v>
      </c>
      <c r="BJ38">
        <v>16</v>
      </c>
      <c r="BK38">
        <v>19872</v>
      </c>
      <c r="BL38">
        <v>21</v>
      </c>
      <c r="BM38">
        <v>26082</v>
      </c>
      <c r="BN38">
        <v>22</v>
      </c>
      <c r="BO38">
        <v>27324</v>
      </c>
      <c r="BP38">
        <v>18</v>
      </c>
      <c r="BQ38">
        <v>22356</v>
      </c>
      <c r="BR38">
        <v>20</v>
      </c>
      <c r="BS38">
        <v>24840</v>
      </c>
      <c r="BT38">
        <v>17</v>
      </c>
      <c r="BU38">
        <v>21114</v>
      </c>
      <c r="BV38">
        <v>29</v>
      </c>
      <c r="BW38">
        <v>36018</v>
      </c>
      <c r="BX38">
        <v>16</v>
      </c>
      <c r="BY38">
        <v>19872</v>
      </c>
      <c r="BZ38">
        <v>20</v>
      </c>
      <c r="CA38">
        <v>24840</v>
      </c>
      <c r="CB38">
        <v>15</v>
      </c>
      <c r="CC38">
        <v>18630</v>
      </c>
      <c r="CD38">
        <v>25</v>
      </c>
      <c r="CE38">
        <v>31050</v>
      </c>
      <c r="CF38">
        <v>16</v>
      </c>
      <c r="CG38">
        <v>19872</v>
      </c>
      <c r="CH38">
        <v>25</v>
      </c>
      <c r="CI38">
        <v>31050</v>
      </c>
      <c r="CJ38">
        <v>29</v>
      </c>
      <c r="CK38">
        <v>36018</v>
      </c>
      <c r="CL38">
        <v>16</v>
      </c>
      <c r="CM38">
        <v>19872</v>
      </c>
      <c r="CN38">
        <v>23</v>
      </c>
      <c r="CO38">
        <v>28566</v>
      </c>
      <c r="CP38">
        <v>17</v>
      </c>
      <c r="CQ38">
        <v>21114</v>
      </c>
      <c r="CR38">
        <v>28</v>
      </c>
      <c r="CS38">
        <v>34776</v>
      </c>
      <c r="CT38">
        <v>17</v>
      </c>
      <c r="CU38">
        <v>21114</v>
      </c>
    </row>
    <row r="39" spans="2:99" x14ac:dyDescent="0.2">
      <c r="C39" s="118" t="s">
        <v>205</v>
      </c>
      <c r="D39">
        <v>27</v>
      </c>
      <c r="E39">
        <v>38426.400000000001</v>
      </c>
      <c r="F39">
        <v>24</v>
      </c>
      <c r="G39">
        <v>34156.800000000003</v>
      </c>
      <c r="H39">
        <v>21</v>
      </c>
      <c r="I39">
        <v>29887.200000000001</v>
      </c>
      <c r="J39">
        <v>24</v>
      </c>
      <c r="K39">
        <v>34156.800000000003</v>
      </c>
      <c r="L39">
        <v>28</v>
      </c>
      <c r="M39">
        <v>39849.599999999999</v>
      </c>
      <c r="N39">
        <v>27</v>
      </c>
      <c r="O39">
        <v>38426.400000000001</v>
      </c>
      <c r="P39">
        <v>16</v>
      </c>
      <c r="Q39">
        <v>22771.200000000001</v>
      </c>
      <c r="R39">
        <v>16</v>
      </c>
      <c r="S39">
        <v>22771.200000000001</v>
      </c>
      <c r="T39">
        <v>20</v>
      </c>
      <c r="U39">
        <v>28464</v>
      </c>
      <c r="V39">
        <v>18</v>
      </c>
      <c r="W39">
        <v>25617.600000000002</v>
      </c>
      <c r="X39">
        <v>16</v>
      </c>
      <c r="Y39">
        <v>22771.200000000001</v>
      </c>
      <c r="Z39">
        <v>20</v>
      </c>
      <c r="AA39">
        <v>28464</v>
      </c>
      <c r="AB39">
        <v>17</v>
      </c>
      <c r="AC39">
        <v>24194.400000000001</v>
      </c>
      <c r="AD39">
        <v>17</v>
      </c>
      <c r="AE39">
        <v>24194.400000000001</v>
      </c>
      <c r="AF39">
        <v>19</v>
      </c>
      <c r="AG39">
        <v>27040.799999999999</v>
      </c>
      <c r="AH39">
        <v>28</v>
      </c>
      <c r="AI39">
        <v>39849.599999999999</v>
      </c>
      <c r="AJ39">
        <v>16</v>
      </c>
      <c r="AK39">
        <v>22771.200000000001</v>
      </c>
      <c r="AL39">
        <v>18</v>
      </c>
      <c r="AM39">
        <v>25617.600000000002</v>
      </c>
      <c r="AN39">
        <v>15</v>
      </c>
      <c r="AO39">
        <v>21348</v>
      </c>
      <c r="AP39">
        <v>24</v>
      </c>
      <c r="AQ39">
        <v>34156.800000000003</v>
      </c>
      <c r="AR39">
        <v>26</v>
      </c>
      <c r="AS39">
        <v>37003.200000000004</v>
      </c>
      <c r="AT39">
        <v>18</v>
      </c>
      <c r="AU39">
        <v>25617.600000000002</v>
      </c>
      <c r="AV39">
        <v>20</v>
      </c>
      <c r="AW39">
        <v>28464</v>
      </c>
      <c r="AX39">
        <v>27</v>
      </c>
      <c r="AY39">
        <v>38426.400000000001</v>
      </c>
      <c r="AZ39">
        <v>27</v>
      </c>
      <c r="BA39">
        <v>38426.400000000001</v>
      </c>
      <c r="BB39">
        <v>27</v>
      </c>
      <c r="BC39">
        <v>38426.400000000001</v>
      </c>
      <c r="BD39">
        <v>25</v>
      </c>
      <c r="BE39">
        <v>35580</v>
      </c>
      <c r="BF39">
        <v>23</v>
      </c>
      <c r="BG39">
        <v>32733.600000000002</v>
      </c>
      <c r="BH39">
        <v>27</v>
      </c>
      <c r="BI39">
        <v>38426.400000000001</v>
      </c>
      <c r="BJ39">
        <v>17</v>
      </c>
      <c r="BK39">
        <v>24194.400000000001</v>
      </c>
      <c r="BL39">
        <v>23</v>
      </c>
      <c r="BM39">
        <v>32733.600000000002</v>
      </c>
      <c r="BN39">
        <v>24</v>
      </c>
      <c r="BO39">
        <v>34156.800000000003</v>
      </c>
      <c r="BP39">
        <v>17</v>
      </c>
      <c r="BQ39">
        <v>24194.400000000001</v>
      </c>
      <c r="BR39">
        <v>19</v>
      </c>
      <c r="BS39">
        <v>27040.799999999999</v>
      </c>
      <c r="BT39">
        <v>16</v>
      </c>
      <c r="BU39">
        <v>22771.200000000001</v>
      </c>
      <c r="BV39">
        <v>28</v>
      </c>
      <c r="BW39">
        <v>39849.599999999999</v>
      </c>
      <c r="BX39">
        <v>16</v>
      </c>
      <c r="BY39">
        <v>22771.200000000001</v>
      </c>
      <c r="BZ39">
        <v>19</v>
      </c>
      <c r="CA39">
        <v>27040.799999999999</v>
      </c>
      <c r="CB39">
        <v>18</v>
      </c>
      <c r="CC39">
        <v>25617.600000000002</v>
      </c>
      <c r="CD39">
        <v>27</v>
      </c>
      <c r="CE39">
        <v>38426.400000000001</v>
      </c>
      <c r="CF39">
        <v>16</v>
      </c>
      <c r="CG39">
        <v>22771.200000000001</v>
      </c>
      <c r="CH39">
        <v>25</v>
      </c>
      <c r="CI39">
        <v>35580</v>
      </c>
      <c r="CJ39">
        <v>27</v>
      </c>
      <c r="CK39">
        <v>38426.400000000001</v>
      </c>
      <c r="CL39">
        <v>15</v>
      </c>
      <c r="CM39">
        <v>21348</v>
      </c>
      <c r="CN39">
        <v>27</v>
      </c>
      <c r="CO39">
        <v>38426.400000000001</v>
      </c>
      <c r="CP39">
        <v>16</v>
      </c>
      <c r="CQ39">
        <v>22771.200000000001</v>
      </c>
      <c r="CR39">
        <v>26</v>
      </c>
      <c r="CS39">
        <v>37003.200000000004</v>
      </c>
      <c r="CT39">
        <v>16</v>
      </c>
      <c r="CU39">
        <v>22771.200000000001</v>
      </c>
    </row>
    <row r="40" spans="2:99" x14ac:dyDescent="0.2">
      <c r="C40" s="118" t="s">
        <v>206</v>
      </c>
      <c r="D40">
        <v>30</v>
      </c>
      <c r="E40">
        <v>21744</v>
      </c>
      <c r="F40">
        <v>27</v>
      </c>
      <c r="G40">
        <v>19569.599999999999</v>
      </c>
      <c r="H40">
        <v>22</v>
      </c>
      <c r="I40">
        <v>15945.599999999999</v>
      </c>
      <c r="J40">
        <v>28</v>
      </c>
      <c r="K40">
        <v>20294.399999999998</v>
      </c>
      <c r="L40">
        <v>29</v>
      </c>
      <c r="M40">
        <v>21019.199999999997</v>
      </c>
      <c r="N40">
        <v>29</v>
      </c>
      <c r="O40">
        <v>21019.199999999997</v>
      </c>
      <c r="P40">
        <v>17</v>
      </c>
      <c r="Q40">
        <v>12321.599999999999</v>
      </c>
      <c r="R40">
        <v>17</v>
      </c>
      <c r="S40">
        <v>12321.599999999999</v>
      </c>
      <c r="T40">
        <v>25</v>
      </c>
      <c r="U40">
        <v>18120</v>
      </c>
      <c r="V40">
        <v>18</v>
      </c>
      <c r="W40">
        <v>13046.4</v>
      </c>
      <c r="X40">
        <v>20</v>
      </c>
      <c r="Y40">
        <v>14496</v>
      </c>
      <c r="Z40">
        <v>25</v>
      </c>
      <c r="AA40">
        <v>18120</v>
      </c>
      <c r="AB40">
        <v>16</v>
      </c>
      <c r="AC40">
        <v>11596.8</v>
      </c>
      <c r="AD40">
        <v>18</v>
      </c>
      <c r="AE40">
        <v>13046.4</v>
      </c>
      <c r="AF40">
        <v>25</v>
      </c>
      <c r="AG40">
        <v>18120</v>
      </c>
      <c r="AH40">
        <v>29</v>
      </c>
      <c r="AI40">
        <v>21019.199999999997</v>
      </c>
      <c r="AJ40">
        <v>19</v>
      </c>
      <c r="AK40">
        <v>13771.199999999999</v>
      </c>
      <c r="AL40">
        <v>19</v>
      </c>
      <c r="AM40">
        <v>13771.199999999999</v>
      </c>
      <c r="AN40">
        <v>16</v>
      </c>
      <c r="AO40">
        <v>11596.8</v>
      </c>
      <c r="AP40">
        <v>24</v>
      </c>
      <c r="AQ40">
        <v>17395.199999999997</v>
      </c>
      <c r="AR40">
        <v>26</v>
      </c>
      <c r="AS40">
        <v>18844.8</v>
      </c>
      <c r="AT40">
        <v>22</v>
      </c>
      <c r="AU40">
        <v>15945.599999999999</v>
      </c>
      <c r="AV40">
        <v>23</v>
      </c>
      <c r="AW40">
        <v>16670.399999999998</v>
      </c>
      <c r="AX40">
        <v>28</v>
      </c>
      <c r="AY40">
        <v>20294.399999999998</v>
      </c>
      <c r="AZ40">
        <v>27</v>
      </c>
      <c r="BA40">
        <v>19569.599999999999</v>
      </c>
      <c r="BB40">
        <v>27</v>
      </c>
      <c r="BC40">
        <v>19569.599999999999</v>
      </c>
      <c r="BD40">
        <v>23</v>
      </c>
      <c r="BE40">
        <v>16670.399999999998</v>
      </c>
      <c r="BF40">
        <v>25</v>
      </c>
      <c r="BG40">
        <v>18120</v>
      </c>
      <c r="BH40">
        <v>28</v>
      </c>
      <c r="BI40">
        <v>20294.399999999998</v>
      </c>
      <c r="BJ40">
        <v>20</v>
      </c>
      <c r="BK40">
        <v>14496</v>
      </c>
      <c r="BL40">
        <v>26</v>
      </c>
      <c r="BM40">
        <v>18844.8</v>
      </c>
      <c r="BN40">
        <v>28</v>
      </c>
      <c r="BO40">
        <v>20294.399999999998</v>
      </c>
      <c r="BP40">
        <v>21</v>
      </c>
      <c r="BQ40">
        <v>15220.8</v>
      </c>
      <c r="BR40">
        <v>21</v>
      </c>
      <c r="BS40">
        <v>15220.8</v>
      </c>
      <c r="BT40">
        <v>19</v>
      </c>
      <c r="BU40">
        <v>13771.199999999999</v>
      </c>
      <c r="BV40">
        <v>31</v>
      </c>
      <c r="BW40">
        <v>22468.799999999999</v>
      </c>
      <c r="BX40">
        <v>16</v>
      </c>
      <c r="BY40">
        <v>11596.8</v>
      </c>
      <c r="BZ40">
        <v>22</v>
      </c>
      <c r="CA40">
        <v>15945.599999999999</v>
      </c>
      <c r="CB40">
        <v>19</v>
      </c>
      <c r="CC40">
        <v>13771.199999999999</v>
      </c>
      <c r="CD40">
        <v>26</v>
      </c>
      <c r="CE40">
        <v>18844.8</v>
      </c>
      <c r="CF40">
        <v>16</v>
      </c>
      <c r="CG40">
        <v>11596.8</v>
      </c>
      <c r="CH40">
        <v>26</v>
      </c>
      <c r="CI40">
        <v>18844.8</v>
      </c>
      <c r="CJ40">
        <v>33</v>
      </c>
      <c r="CK40">
        <v>23918.399999999998</v>
      </c>
      <c r="CL40">
        <v>18</v>
      </c>
      <c r="CM40">
        <v>13046.4</v>
      </c>
      <c r="CN40">
        <v>25</v>
      </c>
      <c r="CO40">
        <v>18120</v>
      </c>
      <c r="CP40">
        <v>18</v>
      </c>
      <c r="CQ40">
        <v>13046.4</v>
      </c>
      <c r="CR40">
        <v>31</v>
      </c>
      <c r="CS40">
        <v>22468.799999999999</v>
      </c>
      <c r="CT40">
        <v>19</v>
      </c>
      <c r="CU40">
        <v>13771.199999999999</v>
      </c>
    </row>
    <row r="41" spans="2:99" x14ac:dyDescent="0.2">
      <c r="C41" s="118" t="s">
        <v>207</v>
      </c>
      <c r="D41">
        <v>29</v>
      </c>
      <c r="E41">
        <v>19140</v>
      </c>
      <c r="F41">
        <v>27</v>
      </c>
      <c r="G41">
        <v>17820</v>
      </c>
      <c r="H41">
        <v>23</v>
      </c>
      <c r="I41">
        <v>15180</v>
      </c>
      <c r="J41">
        <v>25</v>
      </c>
      <c r="K41">
        <v>16500</v>
      </c>
      <c r="L41">
        <v>32</v>
      </c>
      <c r="M41">
        <v>21120</v>
      </c>
      <c r="N41">
        <v>26</v>
      </c>
      <c r="O41">
        <v>17160</v>
      </c>
      <c r="P41">
        <v>19</v>
      </c>
      <c r="Q41">
        <v>12540</v>
      </c>
      <c r="R41">
        <v>16</v>
      </c>
      <c r="S41">
        <v>10560</v>
      </c>
      <c r="T41">
        <v>24</v>
      </c>
      <c r="U41">
        <v>15840</v>
      </c>
      <c r="V41">
        <v>21</v>
      </c>
      <c r="W41">
        <v>13860</v>
      </c>
      <c r="X41">
        <v>20</v>
      </c>
      <c r="Y41">
        <v>13200</v>
      </c>
      <c r="Z41">
        <v>21</v>
      </c>
      <c r="AA41">
        <v>13860</v>
      </c>
      <c r="AB41">
        <v>17</v>
      </c>
      <c r="AC41">
        <v>11220</v>
      </c>
      <c r="AD41">
        <v>20</v>
      </c>
      <c r="AE41">
        <v>13200</v>
      </c>
      <c r="AF41">
        <v>24</v>
      </c>
      <c r="AG41">
        <v>15840</v>
      </c>
      <c r="AH41">
        <v>31</v>
      </c>
      <c r="AI41">
        <v>20460</v>
      </c>
      <c r="AJ41">
        <v>17</v>
      </c>
      <c r="AK41">
        <v>11220</v>
      </c>
      <c r="AL41">
        <v>20</v>
      </c>
      <c r="AM41">
        <v>13200</v>
      </c>
      <c r="AN41">
        <v>17</v>
      </c>
      <c r="AO41">
        <v>11220</v>
      </c>
      <c r="AP41">
        <v>26</v>
      </c>
      <c r="AQ41">
        <v>17160</v>
      </c>
      <c r="AR41">
        <v>24</v>
      </c>
      <c r="AS41">
        <v>15840</v>
      </c>
      <c r="AT41">
        <v>23</v>
      </c>
      <c r="AU41">
        <v>15180</v>
      </c>
      <c r="AV41">
        <v>19</v>
      </c>
      <c r="AW41">
        <v>12540</v>
      </c>
      <c r="AX41">
        <v>31</v>
      </c>
      <c r="AY41">
        <v>20460</v>
      </c>
      <c r="AZ41">
        <v>29</v>
      </c>
      <c r="BA41">
        <v>19140</v>
      </c>
      <c r="BB41">
        <v>33</v>
      </c>
      <c r="BC41">
        <v>21780</v>
      </c>
      <c r="BD41">
        <v>23</v>
      </c>
      <c r="BE41">
        <v>15180</v>
      </c>
      <c r="BF41">
        <v>26</v>
      </c>
      <c r="BG41">
        <v>17160</v>
      </c>
      <c r="BH41">
        <v>33</v>
      </c>
      <c r="BI41">
        <v>21780</v>
      </c>
      <c r="BJ41">
        <v>17</v>
      </c>
      <c r="BK41">
        <v>11220</v>
      </c>
      <c r="BL41">
        <v>24</v>
      </c>
      <c r="BM41">
        <v>15840</v>
      </c>
      <c r="BN41">
        <v>26</v>
      </c>
      <c r="BO41">
        <v>17160</v>
      </c>
      <c r="BP41">
        <v>22</v>
      </c>
      <c r="BQ41">
        <v>14520</v>
      </c>
      <c r="BR41">
        <v>19</v>
      </c>
      <c r="BS41">
        <v>12540</v>
      </c>
      <c r="BT41">
        <v>19</v>
      </c>
      <c r="BU41">
        <v>12540</v>
      </c>
      <c r="BV41">
        <v>30</v>
      </c>
      <c r="BW41">
        <v>19800</v>
      </c>
      <c r="BX41">
        <v>18</v>
      </c>
      <c r="BY41">
        <v>11880</v>
      </c>
      <c r="BZ41">
        <v>24</v>
      </c>
      <c r="CA41">
        <v>15840</v>
      </c>
      <c r="CB41">
        <v>18</v>
      </c>
      <c r="CC41">
        <v>11880</v>
      </c>
      <c r="CD41">
        <v>28</v>
      </c>
      <c r="CE41">
        <v>18480</v>
      </c>
      <c r="CF41">
        <v>15</v>
      </c>
      <c r="CG41">
        <v>9900</v>
      </c>
      <c r="CH41">
        <v>24</v>
      </c>
      <c r="CI41">
        <v>15840</v>
      </c>
      <c r="CJ41">
        <v>30</v>
      </c>
      <c r="CK41">
        <v>19800</v>
      </c>
      <c r="CL41">
        <v>16</v>
      </c>
      <c r="CM41">
        <v>10560</v>
      </c>
      <c r="CN41">
        <v>28</v>
      </c>
      <c r="CO41">
        <v>18480</v>
      </c>
      <c r="CP41">
        <v>17</v>
      </c>
      <c r="CQ41">
        <v>11220</v>
      </c>
      <c r="CR41">
        <v>26</v>
      </c>
      <c r="CS41">
        <v>17160</v>
      </c>
      <c r="CT41">
        <v>19</v>
      </c>
      <c r="CU41">
        <v>12540</v>
      </c>
    </row>
    <row r="42" spans="2:99" x14ac:dyDescent="0.2">
      <c r="C42" s="118" t="s">
        <v>208</v>
      </c>
      <c r="D42">
        <v>30</v>
      </c>
      <c r="E42">
        <v>25380</v>
      </c>
      <c r="F42">
        <v>27</v>
      </c>
      <c r="G42">
        <v>22842</v>
      </c>
      <c r="H42">
        <v>20</v>
      </c>
      <c r="I42">
        <v>16920</v>
      </c>
      <c r="J42">
        <v>28</v>
      </c>
      <c r="K42">
        <v>23688</v>
      </c>
      <c r="L42">
        <v>29</v>
      </c>
      <c r="M42">
        <v>24534</v>
      </c>
      <c r="N42">
        <v>24</v>
      </c>
      <c r="O42">
        <v>20304</v>
      </c>
      <c r="P42">
        <v>17</v>
      </c>
      <c r="Q42">
        <v>14382</v>
      </c>
      <c r="R42">
        <v>17</v>
      </c>
      <c r="S42">
        <v>14382</v>
      </c>
      <c r="T42">
        <v>24</v>
      </c>
      <c r="U42">
        <v>20304</v>
      </c>
      <c r="V42">
        <v>21</v>
      </c>
      <c r="W42">
        <v>17766</v>
      </c>
      <c r="X42">
        <v>19</v>
      </c>
      <c r="Y42">
        <v>16074</v>
      </c>
      <c r="Z42">
        <v>24</v>
      </c>
      <c r="AA42">
        <v>20304</v>
      </c>
      <c r="AB42">
        <v>19</v>
      </c>
      <c r="AC42">
        <v>16074</v>
      </c>
      <c r="AD42">
        <v>19</v>
      </c>
      <c r="AE42">
        <v>16074</v>
      </c>
      <c r="AF42">
        <v>22</v>
      </c>
      <c r="AG42">
        <v>18612</v>
      </c>
      <c r="AH42">
        <v>26</v>
      </c>
      <c r="AI42">
        <v>21996</v>
      </c>
      <c r="AJ42">
        <v>18</v>
      </c>
      <c r="AK42">
        <v>15228</v>
      </c>
      <c r="AL42">
        <v>18</v>
      </c>
      <c r="AM42">
        <v>15228</v>
      </c>
      <c r="AN42">
        <v>14</v>
      </c>
      <c r="AO42">
        <v>11844</v>
      </c>
      <c r="AP42">
        <v>23</v>
      </c>
      <c r="AQ42">
        <v>19458</v>
      </c>
      <c r="AR42">
        <v>27</v>
      </c>
      <c r="AS42">
        <v>22842</v>
      </c>
      <c r="AT42">
        <v>22</v>
      </c>
      <c r="AU42">
        <v>18612</v>
      </c>
      <c r="AV42">
        <v>22</v>
      </c>
      <c r="AW42">
        <v>18612</v>
      </c>
      <c r="AX42">
        <v>28</v>
      </c>
      <c r="AY42">
        <v>23688</v>
      </c>
      <c r="AZ42">
        <v>30</v>
      </c>
      <c r="BA42">
        <v>25380</v>
      </c>
      <c r="BB42">
        <v>28</v>
      </c>
      <c r="BC42">
        <v>23688</v>
      </c>
      <c r="BD42">
        <v>26</v>
      </c>
      <c r="BE42">
        <v>21996</v>
      </c>
      <c r="BF42">
        <v>22</v>
      </c>
      <c r="BG42">
        <v>18612</v>
      </c>
      <c r="BH42">
        <v>28</v>
      </c>
      <c r="BI42">
        <v>23688</v>
      </c>
      <c r="BJ42">
        <v>20</v>
      </c>
      <c r="BK42">
        <v>16920</v>
      </c>
      <c r="BL42">
        <v>24</v>
      </c>
      <c r="BM42">
        <v>20304</v>
      </c>
      <c r="BN42">
        <v>27</v>
      </c>
      <c r="BO42">
        <v>22842</v>
      </c>
      <c r="BP42">
        <v>20</v>
      </c>
      <c r="BQ42">
        <v>16920</v>
      </c>
      <c r="BR42">
        <v>19</v>
      </c>
      <c r="BS42">
        <v>16074</v>
      </c>
      <c r="BT42">
        <v>19</v>
      </c>
      <c r="BU42">
        <v>16074</v>
      </c>
      <c r="BV42">
        <v>28</v>
      </c>
      <c r="BW42">
        <v>23688</v>
      </c>
      <c r="BX42">
        <v>15</v>
      </c>
      <c r="BY42">
        <v>12690</v>
      </c>
      <c r="BZ42">
        <v>23</v>
      </c>
      <c r="CA42">
        <v>19458</v>
      </c>
      <c r="CB42">
        <v>18</v>
      </c>
      <c r="CC42">
        <v>15228</v>
      </c>
      <c r="CD42">
        <v>27</v>
      </c>
      <c r="CE42">
        <v>22842</v>
      </c>
      <c r="CF42">
        <v>15</v>
      </c>
      <c r="CG42">
        <v>12690</v>
      </c>
      <c r="CH42">
        <v>29</v>
      </c>
      <c r="CI42">
        <v>24534</v>
      </c>
      <c r="CJ42">
        <v>31</v>
      </c>
      <c r="CK42">
        <v>26226</v>
      </c>
      <c r="CL42">
        <v>17</v>
      </c>
      <c r="CM42">
        <v>14382</v>
      </c>
      <c r="CN42">
        <v>26</v>
      </c>
      <c r="CO42">
        <v>21996</v>
      </c>
      <c r="CP42">
        <v>16</v>
      </c>
      <c r="CQ42">
        <v>13536</v>
      </c>
      <c r="CR42">
        <v>30</v>
      </c>
      <c r="CS42">
        <v>25380</v>
      </c>
      <c r="CT42">
        <v>17</v>
      </c>
      <c r="CU42">
        <v>14382</v>
      </c>
    </row>
    <row r="43" spans="2:99" x14ac:dyDescent="0.2">
      <c r="C43" s="118" t="s">
        <v>209</v>
      </c>
      <c r="D43">
        <v>28</v>
      </c>
      <c r="E43">
        <v>28627.200000000001</v>
      </c>
      <c r="F43">
        <v>29</v>
      </c>
      <c r="G43">
        <v>29649.599999999999</v>
      </c>
      <c r="H43">
        <v>22</v>
      </c>
      <c r="I43">
        <v>22492.799999999999</v>
      </c>
      <c r="J43">
        <v>27</v>
      </c>
      <c r="K43">
        <v>27604.799999999999</v>
      </c>
      <c r="L43">
        <v>29</v>
      </c>
      <c r="M43">
        <v>29649.599999999999</v>
      </c>
      <c r="N43">
        <v>28</v>
      </c>
      <c r="O43">
        <v>28627.200000000001</v>
      </c>
      <c r="P43">
        <v>18</v>
      </c>
      <c r="Q43">
        <v>18403.2</v>
      </c>
      <c r="R43">
        <v>17</v>
      </c>
      <c r="S43">
        <v>17380.8</v>
      </c>
      <c r="T43">
        <v>24</v>
      </c>
      <c r="U43">
        <v>24537.599999999999</v>
      </c>
      <c r="V43">
        <v>18</v>
      </c>
      <c r="W43">
        <v>18403.2</v>
      </c>
      <c r="X43">
        <v>18</v>
      </c>
      <c r="Y43">
        <v>18403.2</v>
      </c>
      <c r="Z43">
        <v>22</v>
      </c>
      <c r="AA43">
        <v>22492.799999999999</v>
      </c>
      <c r="AB43">
        <v>18</v>
      </c>
      <c r="AC43">
        <v>18403.2</v>
      </c>
      <c r="AD43">
        <v>18</v>
      </c>
      <c r="AE43">
        <v>18403.2</v>
      </c>
      <c r="AF43">
        <v>24</v>
      </c>
      <c r="AG43">
        <v>24537.599999999999</v>
      </c>
      <c r="AH43">
        <v>26</v>
      </c>
      <c r="AI43">
        <v>26582.399999999998</v>
      </c>
      <c r="AJ43">
        <v>16</v>
      </c>
      <c r="AK43">
        <v>16358.4</v>
      </c>
      <c r="AL43">
        <v>20</v>
      </c>
      <c r="AM43">
        <v>20448</v>
      </c>
      <c r="AN43">
        <v>15</v>
      </c>
      <c r="AO43">
        <v>15336</v>
      </c>
      <c r="AP43">
        <v>24</v>
      </c>
      <c r="AQ43">
        <v>24537.599999999999</v>
      </c>
      <c r="AR43">
        <v>24</v>
      </c>
      <c r="AS43">
        <v>24537.599999999999</v>
      </c>
      <c r="AT43">
        <v>22</v>
      </c>
      <c r="AU43">
        <v>22492.799999999999</v>
      </c>
      <c r="AV43">
        <v>19</v>
      </c>
      <c r="AW43">
        <v>19425.599999999999</v>
      </c>
      <c r="AX43">
        <v>26</v>
      </c>
      <c r="AY43">
        <v>26582.399999999998</v>
      </c>
      <c r="AZ43">
        <v>27</v>
      </c>
      <c r="BA43">
        <v>27604.799999999999</v>
      </c>
      <c r="BB43">
        <v>29</v>
      </c>
      <c r="BC43">
        <v>29649.599999999999</v>
      </c>
      <c r="BD43">
        <v>26</v>
      </c>
      <c r="BE43">
        <v>26582.399999999998</v>
      </c>
      <c r="BF43">
        <v>25</v>
      </c>
      <c r="BG43">
        <v>25560</v>
      </c>
      <c r="BH43">
        <v>29</v>
      </c>
      <c r="BI43">
        <v>29649.599999999999</v>
      </c>
      <c r="BJ43">
        <v>17</v>
      </c>
      <c r="BK43">
        <v>17380.8</v>
      </c>
      <c r="BL43">
        <v>25</v>
      </c>
      <c r="BM43">
        <v>25560</v>
      </c>
      <c r="BN43">
        <v>25</v>
      </c>
      <c r="BO43">
        <v>25560</v>
      </c>
      <c r="BP43">
        <v>19</v>
      </c>
      <c r="BQ43">
        <v>19425.599999999999</v>
      </c>
      <c r="BR43">
        <v>19</v>
      </c>
      <c r="BS43">
        <v>19425.599999999999</v>
      </c>
      <c r="BT43">
        <v>18</v>
      </c>
      <c r="BU43">
        <v>18403.2</v>
      </c>
      <c r="BV43">
        <v>31</v>
      </c>
      <c r="BW43">
        <v>31694.399999999998</v>
      </c>
      <c r="BX43">
        <v>17</v>
      </c>
      <c r="BY43">
        <v>17380.8</v>
      </c>
      <c r="BZ43">
        <v>20</v>
      </c>
      <c r="CA43">
        <v>20448</v>
      </c>
      <c r="CB43">
        <v>19</v>
      </c>
      <c r="CC43">
        <v>19425.599999999999</v>
      </c>
      <c r="CD43">
        <v>27</v>
      </c>
      <c r="CE43">
        <v>27604.799999999999</v>
      </c>
      <c r="CF43">
        <v>14</v>
      </c>
      <c r="CG43">
        <v>14313.6</v>
      </c>
      <c r="CH43">
        <v>28</v>
      </c>
      <c r="CI43">
        <v>28627.200000000001</v>
      </c>
      <c r="CJ43">
        <v>31</v>
      </c>
      <c r="CK43">
        <v>31694.399999999998</v>
      </c>
      <c r="CL43">
        <v>16</v>
      </c>
      <c r="CM43">
        <v>16358.4</v>
      </c>
      <c r="CN43">
        <v>26</v>
      </c>
      <c r="CO43">
        <v>26582.399999999998</v>
      </c>
      <c r="CP43">
        <v>18</v>
      </c>
      <c r="CQ43">
        <v>18403.2</v>
      </c>
      <c r="CR43">
        <v>26</v>
      </c>
      <c r="CS43">
        <v>26582.399999999998</v>
      </c>
      <c r="CT43">
        <v>19</v>
      </c>
      <c r="CU43">
        <v>19425.599999999999</v>
      </c>
    </row>
    <row r="44" spans="2:99" x14ac:dyDescent="0.2">
      <c r="C44" s="118" t="s">
        <v>210</v>
      </c>
      <c r="D44">
        <v>30</v>
      </c>
      <c r="E44">
        <v>30672</v>
      </c>
      <c r="F44">
        <v>26</v>
      </c>
      <c r="G44">
        <v>26582.399999999998</v>
      </c>
      <c r="H44">
        <v>22</v>
      </c>
      <c r="I44">
        <v>22492.799999999999</v>
      </c>
      <c r="J44">
        <v>28</v>
      </c>
      <c r="K44">
        <v>28627.200000000001</v>
      </c>
      <c r="L44">
        <v>26</v>
      </c>
      <c r="M44">
        <v>26582.399999999998</v>
      </c>
      <c r="N44">
        <v>24</v>
      </c>
      <c r="O44">
        <v>24537.599999999999</v>
      </c>
      <c r="P44">
        <v>18</v>
      </c>
      <c r="Q44">
        <v>18403.2</v>
      </c>
      <c r="R44">
        <v>14</v>
      </c>
      <c r="S44">
        <v>14313.6</v>
      </c>
      <c r="T44">
        <v>24</v>
      </c>
      <c r="U44">
        <v>24537.599999999999</v>
      </c>
      <c r="V44">
        <v>20</v>
      </c>
      <c r="W44">
        <v>20448</v>
      </c>
      <c r="X44">
        <v>18</v>
      </c>
      <c r="Y44">
        <v>18403.2</v>
      </c>
      <c r="Z44">
        <v>22</v>
      </c>
      <c r="AA44">
        <v>22492.799999999999</v>
      </c>
      <c r="AB44">
        <v>19</v>
      </c>
      <c r="AC44">
        <v>19425.599999999999</v>
      </c>
      <c r="AD44">
        <v>19</v>
      </c>
      <c r="AE44">
        <v>19425.599999999999</v>
      </c>
      <c r="AF44">
        <v>23</v>
      </c>
      <c r="AG44">
        <v>23515.200000000001</v>
      </c>
      <c r="AH44">
        <v>26</v>
      </c>
      <c r="AI44">
        <v>26582.399999999998</v>
      </c>
      <c r="AJ44">
        <v>17</v>
      </c>
      <c r="AK44">
        <v>17380.8</v>
      </c>
      <c r="AL44">
        <v>17</v>
      </c>
      <c r="AM44">
        <v>17380.8</v>
      </c>
      <c r="AN44">
        <v>14</v>
      </c>
      <c r="AO44">
        <v>14313.6</v>
      </c>
      <c r="AP44">
        <v>26</v>
      </c>
      <c r="AQ44">
        <v>26582.399999999998</v>
      </c>
      <c r="AR44">
        <v>23</v>
      </c>
      <c r="AS44">
        <v>23515.200000000001</v>
      </c>
      <c r="AT44">
        <v>22</v>
      </c>
      <c r="AU44">
        <v>22492.799999999999</v>
      </c>
      <c r="AV44">
        <v>22</v>
      </c>
      <c r="AW44">
        <v>22492.799999999999</v>
      </c>
      <c r="AX44">
        <v>27</v>
      </c>
      <c r="AY44">
        <v>27604.799999999999</v>
      </c>
      <c r="AZ44">
        <v>27</v>
      </c>
      <c r="BA44">
        <v>27604.799999999999</v>
      </c>
      <c r="BB44">
        <v>28</v>
      </c>
      <c r="BC44">
        <v>28627.200000000001</v>
      </c>
      <c r="BD44">
        <v>22</v>
      </c>
      <c r="BE44">
        <v>22492.799999999999</v>
      </c>
      <c r="BF44">
        <v>24</v>
      </c>
      <c r="BG44">
        <v>24537.599999999999</v>
      </c>
      <c r="BH44">
        <v>31</v>
      </c>
      <c r="BI44">
        <v>31694.399999999998</v>
      </c>
      <c r="BJ44">
        <v>17</v>
      </c>
      <c r="BK44">
        <v>17380.8</v>
      </c>
      <c r="BL44">
        <v>22</v>
      </c>
      <c r="BM44">
        <v>22492.799999999999</v>
      </c>
      <c r="BN44">
        <v>24</v>
      </c>
      <c r="BO44">
        <v>24537.599999999999</v>
      </c>
      <c r="BP44">
        <v>18</v>
      </c>
      <c r="BQ44">
        <v>18403.2</v>
      </c>
      <c r="BR44">
        <v>19</v>
      </c>
      <c r="BS44">
        <v>19425.599999999999</v>
      </c>
      <c r="BT44">
        <v>16</v>
      </c>
      <c r="BU44">
        <v>16358.4</v>
      </c>
      <c r="BV44">
        <v>29</v>
      </c>
      <c r="BW44">
        <v>29649.599999999999</v>
      </c>
      <c r="BX44">
        <v>17</v>
      </c>
      <c r="BY44">
        <v>17380.8</v>
      </c>
      <c r="BZ44">
        <v>22</v>
      </c>
      <c r="CA44">
        <v>22492.799999999999</v>
      </c>
      <c r="CB44">
        <v>16</v>
      </c>
      <c r="CC44">
        <v>16358.4</v>
      </c>
      <c r="CD44">
        <v>28</v>
      </c>
      <c r="CE44">
        <v>28627.200000000001</v>
      </c>
      <c r="CF44">
        <v>15</v>
      </c>
      <c r="CG44">
        <v>15336</v>
      </c>
      <c r="CH44">
        <v>26</v>
      </c>
      <c r="CI44">
        <v>26582.399999999998</v>
      </c>
      <c r="CJ44">
        <v>32</v>
      </c>
      <c r="CK44">
        <v>32716.799999999999</v>
      </c>
      <c r="CL44">
        <v>17</v>
      </c>
      <c r="CM44">
        <v>17380.8</v>
      </c>
      <c r="CN44">
        <v>26</v>
      </c>
      <c r="CO44">
        <v>26582.399999999998</v>
      </c>
      <c r="CP44">
        <v>17</v>
      </c>
      <c r="CQ44">
        <v>17380.8</v>
      </c>
      <c r="CR44">
        <v>27</v>
      </c>
      <c r="CS44">
        <v>27604.799999999999</v>
      </c>
      <c r="CT44">
        <v>18</v>
      </c>
      <c r="CU44">
        <v>18403.2</v>
      </c>
    </row>
    <row r="45" spans="2:99" x14ac:dyDescent="0.2">
      <c r="C45" s="118" t="s">
        <v>211</v>
      </c>
      <c r="D45">
        <v>29</v>
      </c>
      <c r="E45">
        <v>36226.800000000003</v>
      </c>
      <c r="F45">
        <v>29</v>
      </c>
      <c r="G45">
        <v>36226.800000000003</v>
      </c>
      <c r="H45">
        <v>20</v>
      </c>
      <c r="I45">
        <v>24984</v>
      </c>
      <c r="J45">
        <v>23</v>
      </c>
      <c r="K45">
        <v>28731.600000000002</v>
      </c>
      <c r="L45">
        <v>30</v>
      </c>
      <c r="M45">
        <v>37476</v>
      </c>
      <c r="N45">
        <v>24</v>
      </c>
      <c r="O45">
        <v>29980.800000000003</v>
      </c>
      <c r="P45">
        <v>18</v>
      </c>
      <c r="Q45">
        <v>22485.600000000002</v>
      </c>
      <c r="R45">
        <v>14</v>
      </c>
      <c r="S45">
        <v>17488.8</v>
      </c>
      <c r="T45">
        <v>22</v>
      </c>
      <c r="U45">
        <v>27482.400000000001</v>
      </c>
      <c r="V45">
        <v>17</v>
      </c>
      <c r="W45">
        <v>21236.400000000001</v>
      </c>
      <c r="X45">
        <v>18</v>
      </c>
      <c r="Y45">
        <v>22485.600000000002</v>
      </c>
      <c r="Z45">
        <v>22</v>
      </c>
      <c r="AA45">
        <v>27482.400000000001</v>
      </c>
      <c r="AB45">
        <v>18</v>
      </c>
      <c r="AC45">
        <v>22485.600000000002</v>
      </c>
      <c r="AD45">
        <v>17</v>
      </c>
      <c r="AE45">
        <v>21236.400000000001</v>
      </c>
      <c r="AF45">
        <v>24</v>
      </c>
      <c r="AG45">
        <v>29980.800000000003</v>
      </c>
      <c r="AH45">
        <v>27</v>
      </c>
      <c r="AI45">
        <v>33728.400000000001</v>
      </c>
      <c r="AJ45">
        <v>15</v>
      </c>
      <c r="AK45">
        <v>18738</v>
      </c>
      <c r="AL45">
        <v>18</v>
      </c>
      <c r="AM45">
        <v>22485.600000000002</v>
      </c>
      <c r="AN45">
        <v>14</v>
      </c>
      <c r="AO45">
        <v>17488.8</v>
      </c>
      <c r="AP45">
        <v>23</v>
      </c>
      <c r="AQ45">
        <v>28731.600000000002</v>
      </c>
      <c r="AR45">
        <v>26</v>
      </c>
      <c r="AS45">
        <v>32479.200000000001</v>
      </c>
      <c r="AT45">
        <v>19</v>
      </c>
      <c r="AU45">
        <v>23734.799999999999</v>
      </c>
      <c r="AV45">
        <v>19</v>
      </c>
      <c r="AW45">
        <v>23734.799999999999</v>
      </c>
      <c r="AX45">
        <v>27</v>
      </c>
      <c r="AY45">
        <v>33728.400000000001</v>
      </c>
      <c r="AZ45">
        <v>26</v>
      </c>
      <c r="BA45">
        <v>32479.200000000001</v>
      </c>
      <c r="BB45">
        <v>27</v>
      </c>
      <c r="BC45">
        <v>33728.400000000001</v>
      </c>
      <c r="BD45">
        <v>22</v>
      </c>
      <c r="BE45">
        <v>27482.400000000001</v>
      </c>
      <c r="BF45">
        <v>20</v>
      </c>
      <c r="BG45">
        <v>24984</v>
      </c>
      <c r="BH45">
        <v>30</v>
      </c>
      <c r="BI45">
        <v>37476</v>
      </c>
      <c r="BJ45">
        <v>17</v>
      </c>
      <c r="BK45">
        <v>21236.400000000001</v>
      </c>
      <c r="BL45">
        <v>23</v>
      </c>
      <c r="BM45">
        <v>28731.600000000002</v>
      </c>
      <c r="BN45">
        <v>23</v>
      </c>
      <c r="BO45">
        <v>28731.600000000002</v>
      </c>
      <c r="BP45">
        <v>19</v>
      </c>
      <c r="BQ45">
        <v>23734.799999999999</v>
      </c>
      <c r="BR45">
        <v>17</v>
      </c>
      <c r="BS45">
        <v>21236.400000000001</v>
      </c>
      <c r="BT45">
        <v>18</v>
      </c>
      <c r="BU45">
        <v>22485.600000000002</v>
      </c>
      <c r="BV45">
        <v>28</v>
      </c>
      <c r="BW45">
        <v>34977.599999999999</v>
      </c>
      <c r="BX45">
        <v>17</v>
      </c>
      <c r="BY45">
        <v>21236.400000000001</v>
      </c>
      <c r="BZ45">
        <v>22</v>
      </c>
      <c r="CA45">
        <v>27482.400000000001</v>
      </c>
      <c r="CB45">
        <v>15</v>
      </c>
      <c r="CC45">
        <v>18738</v>
      </c>
      <c r="CD45">
        <v>26</v>
      </c>
      <c r="CE45">
        <v>32479.200000000001</v>
      </c>
      <c r="CF45">
        <v>15</v>
      </c>
      <c r="CG45">
        <v>18738</v>
      </c>
      <c r="CH45">
        <v>27</v>
      </c>
      <c r="CI45">
        <v>33728.400000000001</v>
      </c>
      <c r="CJ45">
        <v>30</v>
      </c>
      <c r="CK45">
        <v>37476</v>
      </c>
      <c r="CL45">
        <v>15</v>
      </c>
      <c r="CM45">
        <v>18738</v>
      </c>
      <c r="CN45">
        <v>25</v>
      </c>
      <c r="CO45">
        <v>31230</v>
      </c>
      <c r="CP45">
        <v>17</v>
      </c>
      <c r="CQ45">
        <v>21236.400000000001</v>
      </c>
      <c r="CR45">
        <v>24</v>
      </c>
      <c r="CS45">
        <v>29980.800000000003</v>
      </c>
      <c r="CT45">
        <v>16</v>
      </c>
      <c r="CU45">
        <v>19987.2</v>
      </c>
    </row>
    <row r="46" spans="2:99" x14ac:dyDescent="0.2">
      <c r="C46" s="118" t="s">
        <v>212</v>
      </c>
      <c r="D46">
        <v>26</v>
      </c>
      <c r="E46">
        <v>31512</v>
      </c>
      <c r="F46">
        <v>28</v>
      </c>
      <c r="G46">
        <v>33936</v>
      </c>
      <c r="H46">
        <v>19</v>
      </c>
      <c r="I46">
        <v>23028</v>
      </c>
      <c r="J46">
        <v>27</v>
      </c>
      <c r="K46">
        <v>32724</v>
      </c>
      <c r="L46">
        <v>30</v>
      </c>
      <c r="M46">
        <v>36360</v>
      </c>
      <c r="N46">
        <v>26</v>
      </c>
      <c r="O46">
        <v>31512</v>
      </c>
      <c r="P46">
        <v>18</v>
      </c>
      <c r="Q46">
        <v>21816</v>
      </c>
      <c r="R46">
        <v>15</v>
      </c>
      <c r="S46">
        <v>18180</v>
      </c>
      <c r="T46">
        <v>21</v>
      </c>
      <c r="U46">
        <v>25452</v>
      </c>
      <c r="V46">
        <v>19</v>
      </c>
      <c r="W46">
        <v>23028</v>
      </c>
      <c r="X46">
        <v>18</v>
      </c>
      <c r="Y46">
        <v>21816</v>
      </c>
      <c r="Z46">
        <v>23</v>
      </c>
      <c r="AA46">
        <v>27876</v>
      </c>
      <c r="AB46">
        <v>16</v>
      </c>
      <c r="AC46">
        <v>19392</v>
      </c>
      <c r="AD46">
        <v>18</v>
      </c>
      <c r="AE46">
        <v>21816</v>
      </c>
      <c r="AF46">
        <v>23</v>
      </c>
      <c r="AG46">
        <v>27876</v>
      </c>
      <c r="AH46">
        <v>29</v>
      </c>
      <c r="AI46">
        <v>35148</v>
      </c>
      <c r="AJ46">
        <v>18</v>
      </c>
      <c r="AK46">
        <v>21816</v>
      </c>
      <c r="AL46">
        <v>18</v>
      </c>
      <c r="AM46">
        <v>21816</v>
      </c>
      <c r="AN46">
        <v>15</v>
      </c>
      <c r="AO46">
        <v>18180</v>
      </c>
      <c r="AP46">
        <v>22</v>
      </c>
      <c r="AQ46">
        <v>26664</v>
      </c>
      <c r="AR46">
        <v>26</v>
      </c>
      <c r="AS46">
        <v>31512</v>
      </c>
      <c r="AT46">
        <v>20</v>
      </c>
      <c r="AU46">
        <v>24240</v>
      </c>
      <c r="AV46">
        <v>20</v>
      </c>
      <c r="AW46">
        <v>24240</v>
      </c>
      <c r="AX46">
        <v>27</v>
      </c>
      <c r="AY46">
        <v>32724</v>
      </c>
      <c r="AZ46">
        <v>29</v>
      </c>
      <c r="BA46">
        <v>35148</v>
      </c>
      <c r="BB46">
        <v>30</v>
      </c>
      <c r="BC46">
        <v>36360</v>
      </c>
      <c r="BD46">
        <v>24</v>
      </c>
      <c r="BE46">
        <v>29088</v>
      </c>
      <c r="BF46">
        <v>21</v>
      </c>
      <c r="BG46">
        <v>25452</v>
      </c>
      <c r="BH46">
        <v>27</v>
      </c>
      <c r="BI46">
        <v>32724</v>
      </c>
      <c r="BJ46">
        <v>17</v>
      </c>
      <c r="BK46">
        <v>20604</v>
      </c>
      <c r="BL46">
        <v>21</v>
      </c>
      <c r="BM46">
        <v>25452</v>
      </c>
      <c r="BN46">
        <v>26</v>
      </c>
      <c r="BO46">
        <v>31512</v>
      </c>
      <c r="BP46">
        <v>20</v>
      </c>
      <c r="BQ46">
        <v>24240</v>
      </c>
      <c r="BR46">
        <v>18</v>
      </c>
      <c r="BS46">
        <v>21816</v>
      </c>
      <c r="BT46">
        <v>19</v>
      </c>
      <c r="BU46">
        <v>23028</v>
      </c>
      <c r="BV46">
        <v>29</v>
      </c>
      <c r="BW46">
        <v>35148</v>
      </c>
      <c r="BX46">
        <v>16</v>
      </c>
      <c r="BY46">
        <v>19392</v>
      </c>
      <c r="BZ46">
        <v>21</v>
      </c>
      <c r="CA46">
        <v>25452</v>
      </c>
      <c r="CB46">
        <v>19</v>
      </c>
      <c r="CC46">
        <v>23028</v>
      </c>
      <c r="CD46">
        <v>23</v>
      </c>
      <c r="CE46">
        <v>27876</v>
      </c>
      <c r="CF46">
        <v>14</v>
      </c>
      <c r="CG46">
        <v>16968</v>
      </c>
      <c r="CH46">
        <v>26</v>
      </c>
      <c r="CI46">
        <v>31512</v>
      </c>
      <c r="CJ46">
        <v>29</v>
      </c>
      <c r="CK46">
        <v>35148</v>
      </c>
      <c r="CL46">
        <v>15</v>
      </c>
      <c r="CM46">
        <v>18180</v>
      </c>
      <c r="CN46">
        <v>25</v>
      </c>
      <c r="CO46">
        <v>30300</v>
      </c>
      <c r="CP46">
        <v>16</v>
      </c>
      <c r="CQ46">
        <v>19392</v>
      </c>
      <c r="CR46">
        <v>27</v>
      </c>
      <c r="CS46">
        <v>32724</v>
      </c>
      <c r="CT46">
        <v>17</v>
      </c>
      <c r="CU46">
        <v>20604</v>
      </c>
    </row>
    <row r="47" spans="2:99" x14ac:dyDescent="0.2">
      <c r="C47" s="118" t="s">
        <v>213</v>
      </c>
      <c r="D47">
        <v>24</v>
      </c>
      <c r="E47">
        <v>36662.399999999994</v>
      </c>
      <c r="F47">
        <v>25</v>
      </c>
      <c r="G47">
        <v>38190</v>
      </c>
      <c r="H47">
        <v>21</v>
      </c>
      <c r="I47">
        <v>32079.599999999999</v>
      </c>
      <c r="J47">
        <v>24</v>
      </c>
      <c r="K47">
        <v>36662.399999999994</v>
      </c>
      <c r="L47">
        <v>26</v>
      </c>
      <c r="M47">
        <v>39717.599999999999</v>
      </c>
      <c r="N47">
        <v>25</v>
      </c>
      <c r="O47">
        <v>38190</v>
      </c>
      <c r="P47">
        <v>18</v>
      </c>
      <c r="Q47">
        <v>27496.799999999999</v>
      </c>
      <c r="R47">
        <v>16</v>
      </c>
      <c r="S47">
        <v>24441.599999999999</v>
      </c>
      <c r="T47">
        <v>22</v>
      </c>
      <c r="U47">
        <v>33607.199999999997</v>
      </c>
      <c r="V47">
        <v>18</v>
      </c>
      <c r="W47">
        <v>27496.799999999999</v>
      </c>
      <c r="X47">
        <v>17</v>
      </c>
      <c r="Y47">
        <v>25969.199999999997</v>
      </c>
      <c r="Z47">
        <v>23</v>
      </c>
      <c r="AA47">
        <v>35134.799999999996</v>
      </c>
      <c r="AB47">
        <v>17</v>
      </c>
      <c r="AC47">
        <v>25969.199999999997</v>
      </c>
      <c r="AD47">
        <v>19</v>
      </c>
      <c r="AE47">
        <v>29024.399999999998</v>
      </c>
      <c r="AF47">
        <v>23</v>
      </c>
      <c r="AG47">
        <v>35134.799999999996</v>
      </c>
      <c r="AH47">
        <v>24</v>
      </c>
      <c r="AI47">
        <v>36662.399999999994</v>
      </c>
      <c r="AJ47">
        <v>16</v>
      </c>
      <c r="AK47">
        <v>24441.599999999999</v>
      </c>
      <c r="AL47">
        <v>17</v>
      </c>
      <c r="AM47">
        <v>25969.199999999997</v>
      </c>
      <c r="AN47">
        <v>13</v>
      </c>
      <c r="AO47">
        <v>19858.8</v>
      </c>
      <c r="AP47">
        <v>23</v>
      </c>
      <c r="AQ47">
        <v>35134.799999999996</v>
      </c>
      <c r="AR47">
        <v>25</v>
      </c>
      <c r="AS47">
        <v>38190</v>
      </c>
      <c r="AT47">
        <v>18</v>
      </c>
      <c r="AU47">
        <v>27496.799999999999</v>
      </c>
      <c r="AV47">
        <v>21</v>
      </c>
      <c r="AW47">
        <v>32079.599999999999</v>
      </c>
      <c r="AX47">
        <v>25</v>
      </c>
      <c r="AY47">
        <v>38190</v>
      </c>
      <c r="AZ47">
        <v>29</v>
      </c>
      <c r="BA47">
        <v>44300.399999999994</v>
      </c>
      <c r="BB47">
        <v>29</v>
      </c>
      <c r="BC47">
        <v>44300.399999999994</v>
      </c>
      <c r="BD47">
        <v>21</v>
      </c>
      <c r="BE47">
        <v>32079.599999999999</v>
      </c>
      <c r="BF47">
        <v>22</v>
      </c>
      <c r="BG47">
        <v>33607.199999999997</v>
      </c>
      <c r="BH47">
        <v>28</v>
      </c>
      <c r="BI47">
        <v>42772.799999999996</v>
      </c>
      <c r="BJ47">
        <v>18</v>
      </c>
      <c r="BK47">
        <v>27496.799999999999</v>
      </c>
      <c r="BL47">
        <v>24</v>
      </c>
      <c r="BM47">
        <v>36662.399999999994</v>
      </c>
      <c r="BN47">
        <v>21</v>
      </c>
      <c r="BO47">
        <v>32079.599999999999</v>
      </c>
      <c r="BP47">
        <v>18</v>
      </c>
      <c r="BQ47">
        <v>27496.799999999999</v>
      </c>
      <c r="BR47">
        <v>20</v>
      </c>
      <c r="BS47">
        <v>30552</v>
      </c>
      <c r="BT47">
        <v>18</v>
      </c>
      <c r="BU47">
        <v>27496.799999999999</v>
      </c>
      <c r="BV47">
        <v>26</v>
      </c>
      <c r="BW47">
        <v>39717.599999999999</v>
      </c>
      <c r="BX47">
        <v>16</v>
      </c>
      <c r="BY47">
        <v>24441.599999999999</v>
      </c>
      <c r="BZ47">
        <v>23</v>
      </c>
      <c r="CA47">
        <v>35134.799999999996</v>
      </c>
      <c r="CB47">
        <v>18</v>
      </c>
      <c r="CC47">
        <v>27496.799999999999</v>
      </c>
      <c r="CD47">
        <v>25</v>
      </c>
      <c r="CE47">
        <v>38190</v>
      </c>
      <c r="CF47">
        <v>14</v>
      </c>
      <c r="CG47">
        <v>21386.399999999998</v>
      </c>
      <c r="CH47">
        <v>25</v>
      </c>
      <c r="CI47">
        <v>38190</v>
      </c>
      <c r="CJ47">
        <v>26</v>
      </c>
      <c r="CK47">
        <v>39717.599999999999</v>
      </c>
      <c r="CL47">
        <v>16</v>
      </c>
      <c r="CM47">
        <v>24441.599999999999</v>
      </c>
      <c r="CN47">
        <v>22</v>
      </c>
      <c r="CO47">
        <v>33607.199999999997</v>
      </c>
      <c r="CP47">
        <v>15</v>
      </c>
      <c r="CQ47">
        <v>22914</v>
      </c>
      <c r="CR47">
        <v>26</v>
      </c>
      <c r="CS47">
        <v>39717.599999999999</v>
      </c>
      <c r="CT47">
        <v>15</v>
      </c>
      <c r="CU47">
        <v>22914</v>
      </c>
    </row>
    <row r="48" spans="2:99" x14ac:dyDescent="0.2">
      <c r="C48" s="118" t="s">
        <v>214</v>
      </c>
      <c r="D48">
        <v>30</v>
      </c>
      <c r="E48">
        <v>26028</v>
      </c>
      <c r="F48">
        <v>28</v>
      </c>
      <c r="G48">
        <v>24292.799999999999</v>
      </c>
      <c r="H48">
        <v>19</v>
      </c>
      <c r="I48">
        <v>16484.400000000001</v>
      </c>
      <c r="J48">
        <v>25</v>
      </c>
      <c r="K48">
        <v>21690</v>
      </c>
      <c r="L48">
        <v>31</v>
      </c>
      <c r="M48">
        <v>26895.600000000002</v>
      </c>
      <c r="N48">
        <v>24</v>
      </c>
      <c r="O48">
        <v>20822.400000000001</v>
      </c>
      <c r="P48">
        <v>16</v>
      </c>
      <c r="Q48">
        <v>13881.6</v>
      </c>
      <c r="R48">
        <v>15</v>
      </c>
      <c r="S48">
        <v>13014</v>
      </c>
      <c r="T48">
        <v>24</v>
      </c>
      <c r="U48">
        <v>20822.400000000001</v>
      </c>
      <c r="V48">
        <v>21</v>
      </c>
      <c r="W48">
        <v>18219.600000000002</v>
      </c>
      <c r="X48">
        <v>17</v>
      </c>
      <c r="Y48">
        <v>14749.2</v>
      </c>
      <c r="Z48">
        <v>23</v>
      </c>
      <c r="AA48">
        <v>19954.8</v>
      </c>
      <c r="AB48">
        <v>17</v>
      </c>
      <c r="AC48">
        <v>14749.2</v>
      </c>
      <c r="AD48">
        <v>20</v>
      </c>
      <c r="AE48">
        <v>17352</v>
      </c>
      <c r="AF48">
        <v>22</v>
      </c>
      <c r="AG48">
        <v>19087.2</v>
      </c>
      <c r="AH48">
        <v>31</v>
      </c>
      <c r="AI48">
        <v>26895.600000000002</v>
      </c>
      <c r="AJ48">
        <v>19</v>
      </c>
      <c r="AK48">
        <v>16484.400000000001</v>
      </c>
      <c r="AL48">
        <v>19</v>
      </c>
      <c r="AM48">
        <v>16484.400000000001</v>
      </c>
      <c r="AN48">
        <v>14</v>
      </c>
      <c r="AO48">
        <v>12146.4</v>
      </c>
      <c r="AP48">
        <v>22</v>
      </c>
      <c r="AQ48">
        <v>19087.2</v>
      </c>
      <c r="AR48">
        <v>27</v>
      </c>
      <c r="AS48">
        <v>23425.200000000001</v>
      </c>
      <c r="AT48">
        <v>22</v>
      </c>
      <c r="AU48">
        <v>19087.2</v>
      </c>
      <c r="AV48">
        <v>21</v>
      </c>
      <c r="AW48">
        <v>18219.600000000002</v>
      </c>
      <c r="AX48">
        <v>29</v>
      </c>
      <c r="AY48">
        <v>25160.400000000001</v>
      </c>
      <c r="AZ48">
        <v>28</v>
      </c>
      <c r="BA48">
        <v>24292.799999999999</v>
      </c>
      <c r="BB48">
        <v>28</v>
      </c>
      <c r="BC48">
        <v>24292.799999999999</v>
      </c>
      <c r="BD48">
        <v>25</v>
      </c>
      <c r="BE48">
        <v>21690</v>
      </c>
      <c r="BF48">
        <v>22</v>
      </c>
      <c r="BG48">
        <v>19087.2</v>
      </c>
      <c r="BH48">
        <v>31</v>
      </c>
      <c r="BI48">
        <v>26895.600000000002</v>
      </c>
      <c r="BJ48">
        <v>19</v>
      </c>
      <c r="BK48">
        <v>16484.400000000001</v>
      </c>
      <c r="BL48">
        <v>22</v>
      </c>
      <c r="BM48">
        <v>19087.2</v>
      </c>
      <c r="BN48">
        <v>23</v>
      </c>
      <c r="BO48">
        <v>19954.8</v>
      </c>
      <c r="BP48">
        <v>21</v>
      </c>
      <c r="BQ48">
        <v>18219.600000000002</v>
      </c>
      <c r="BR48">
        <v>19</v>
      </c>
      <c r="BS48">
        <v>16484.400000000001</v>
      </c>
      <c r="BT48">
        <v>17</v>
      </c>
      <c r="BU48">
        <v>14749.2</v>
      </c>
      <c r="BV48">
        <v>27</v>
      </c>
      <c r="BW48">
        <v>23425.200000000001</v>
      </c>
      <c r="BX48">
        <v>16</v>
      </c>
      <c r="BY48">
        <v>13881.6</v>
      </c>
      <c r="BZ48">
        <v>22</v>
      </c>
      <c r="CA48">
        <v>19087.2</v>
      </c>
      <c r="CB48">
        <v>17</v>
      </c>
      <c r="CC48">
        <v>14749.2</v>
      </c>
      <c r="CD48">
        <v>27</v>
      </c>
      <c r="CE48">
        <v>23425.200000000001</v>
      </c>
      <c r="CF48">
        <v>18</v>
      </c>
      <c r="CG48">
        <v>15616.800000000001</v>
      </c>
      <c r="CH48">
        <v>26</v>
      </c>
      <c r="CI48">
        <v>22557.600000000002</v>
      </c>
      <c r="CJ48">
        <v>31</v>
      </c>
      <c r="CK48">
        <v>26895.600000000002</v>
      </c>
      <c r="CL48">
        <v>17</v>
      </c>
      <c r="CM48">
        <v>14749.2</v>
      </c>
      <c r="CN48">
        <v>28</v>
      </c>
      <c r="CO48">
        <v>24292.799999999999</v>
      </c>
      <c r="CP48">
        <v>17</v>
      </c>
      <c r="CQ48">
        <v>14749.2</v>
      </c>
      <c r="CR48">
        <v>26</v>
      </c>
      <c r="CS48">
        <v>22557.600000000002</v>
      </c>
      <c r="CT48">
        <v>18</v>
      </c>
      <c r="CU48">
        <v>15616.800000000001</v>
      </c>
    </row>
    <row r="49" spans="2:99" x14ac:dyDescent="0.2">
      <c r="B49" s="118" t="s">
        <v>129</v>
      </c>
      <c r="C49" s="118" t="s">
        <v>215</v>
      </c>
      <c r="D49">
        <v>6.5991330310347314</v>
      </c>
      <c r="E49">
        <v>6501.465862175417</v>
      </c>
      <c r="F49">
        <v>15.527250279087955</v>
      </c>
      <c r="G49">
        <v>15297.446974957453</v>
      </c>
      <c r="H49">
        <v>11.856491642484018</v>
      </c>
      <c r="I49">
        <v>11681.015566175254</v>
      </c>
      <c r="J49">
        <v>9.5821734380600088</v>
      </c>
      <c r="K49">
        <v>9440.3572711767192</v>
      </c>
      <c r="L49">
        <v>11.449992347752152</v>
      </c>
      <c r="M49">
        <v>11280.532461005419</v>
      </c>
      <c r="N49">
        <v>12</v>
      </c>
      <c r="O49">
        <v>11822.4</v>
      </c>
      <c r="P49">
        <v>13</v>
      </c>
      <c r="Q49">
        <v>12807.599999999999</v>
      </c>
      <c r="R49">
        <v>13.388425975130195</v>
      </c>
      <c r="S49">
        <v>13190.277270698267</v>
      </c>
      <c r="T49">
        <v>12.442426588750912</v>
      </c>
      <c r="U49">
        <v>12258.278675237398</v>
      </c>
      <c r="V49">
        <v>10</v>
      </c>
      <c r="W49">
        <v>9852</v>
      </c>
      <c r="X49">
        <v>10</v>
      </c>
      <c r="Y49">
        <v>9852</v>
      </c>
      <c r="Z49">
        <v>8</v>
      </c>
      <c r="AA49">
        <v>7881.5999999999995</v>
      </c>
      <c r="AB49">
        <v>8.3999981178330607</v>
      </c>
      <c r="AC49">
        <v>8275.6781456891313</v>
      </c>
      <c r="AD49">
        <v>10.576607570286827</v>
      </c>
      <c r="AE49">
        <v>10420.07377824658</v>
      </c>
      <c r="AF49">
        <v>11.36424341876597</v>
      </c>
      <c r="AG49">
        <v>11196.052616168232</v>
      </c>
      <c r="AH49">
        <v>8.586831275720165</v>
      </c>
      <c r="AI49">
        <v>8459.7461728395065</v>
      </c>
      <c r="AJ49">
        <v>13</v>
      </c>
      <c r="AK49">
        <v>12807.599999999999</v>
      </c>
      <c r="AL49">
        <v>10.263555841887047</v>
      </c>
      <c r="AM49">
        <v>10111.655215427118</v>
      </c>
      <c r="AN49">
        <v>10</v>
      </c>
      <c r="AO49">
        <v>9852</v>
      </c>
      <c r="AP49">
        <v>11.545841209829868</v>
      </c>
      <c r="AQ49">
        <v>11374.962759924385</v>
      </c>
      <c r="AR49">
        <v>9.7367622458090111</v>
      </c>
      <c r="AS49">
        <v>9592.6581645710376</v>
      </c>
      <c r="AT49">
        <v>9</v>
      </c>
      <c r="AU49">
        <v>8866.7999999999993</v>
      </c>
      <c r="AV49">
        <v>8.699926515049718</v>
      </c>
      <c r="AW49">
        <v>8571.1676026269815</v>
      </c>
      <c r="AX49">
        <v>11.336536507475685</v>
      </c>
      <c r="AY49">
        <v>11168.755767165045</v>
      </c>
      <c r="AZ49">
        <v>11.694599159970782</v>
      </c>
      <c r="BA49">
        <v>11521.519092403214</v>
      </c>
      <c r="BB49">
        <v>11</v>
      </c>
      <c r="BC49">
        <v>10837.199999999999</v>
      </c>
      <c r="BD49">
        <v>11.3</v>
      </c>
      <c r="BE49">
        <v>11132.76</v>
      </c>
      <c r="BF49">
        <v>13.548667966085931</v>
      </c>
      <c r="BG49">
        <v>13348.147680187858</v>
      </c>
      <c r="BH49">
        <v>11.365017102914932</v>
      </c>
      <c r="BI49">
        <v>11196.81484979179</v>
      </c>
      <c r="BJ49">
        <v>8.0522812850504728</v>
      </c>
      <c r="BK49">
        <v>7933.1075220317252</v>
      </c>
      <c r="BL49">
        <v>13.15263667582663</v>
      </c>
      <c r="BM49">
        <v>12957.977653024394</v>
      </c>
      <c r="BN49">
        <v>12.042879971590908</v>
      </c>
      <c r="BO49">
        <v>11864.645348011361</v>
      </c>
      <c r="BP49">
        <v>7</v>
      </c>
      <c r="BQ49">
        <v>6896.4</v>
      </c>
      <c r="BR49">
        <v>12.583158859869323</v>
      </c>
      <c r="BS49">
        <v>12396.928108743257</v>
      </c>
      <c r="BT49">
        <v>11.526308294766821</v>
      </c>
      <c r="BU49">
        <v>11355.718932004271</v>
      </c>
      <c r="BV49">
        <v>7.4420573474854068</v>
      </c>
      <c r="BW49">
        <v>7331.9148987426224</v>
      </c>
      <c r="BX49">
        <v>10.514954284098406</v>
      </c>
      <c r="BY49">
        <v>10359.33296069375</v>
      </c>
      <c r="BZ49">
        <v>13</v>
      </c>
      <c r="CA49">
        <v>12807.599999999999</v>
      </c>
      <c r="CB49">
        <v>7.1099935160863685</v>
      </c>
      <c r="CC49">
        <v>7004.7656120482898</v>
      </c>
      <c r="CD49">
        <v>12.737982695080916</v>
      </c>
      <c r="CE49">
        <v>12549.460551193717</v>
      </c>
      <c r="CF49">
        <v>9.5395167353530859</v>
      </c>
      <c r="CG49">
        <v>9398.3318876698595</v>
      </c>
      <c r="CH49">
        <v>11.659489587041652</v>
      </c>
      <c r="CI49">
        <v>11486.929141153434</v>
      </c>
      <c r="CJ49">
        <v>7.5976036815411616</v>
      </c>
      <c r="CK49">
        <v>7485.1591470543517</v>
      </c>
      <c r="CL49">
        <v>13.560041623309052</v>
      </c>
      <c r="CM49">
        <v>13359.353007284077</v>
      </c>
      <c r="CN49">
        <v>14.735704639117843</v>
      </c>
      <c r="CO49">
        <v>14517.616210458898</v>
      </c>
      <c r="CP49">
        <v>12.732186289454393</v>
      </c>
      <c r="CQ49">
        <v>12543.749932370467</v>
      </c>
      <c r="CR49">
        <v>10.044197297319304</v>
      </c>
      <c r="CS49">
        <v>9895.5431773189775</v>
      </c>
      <c r="CT49">
        <v>7.7704142011834314</v>
      </c>
      <c r="CU49">
        <v>7655.412071005916</v>
      </c>
    </row>
    <row r="50" spans="2:99" x14ac:dyDescent="0.2">
      <c r="C50" s="118" t="s">
        <v>216</v>
      </c>
      <c r="D50">
        <v>9</v>
      </c>
      <c r="E50">
        <v>2538</v>
      </c>
      <c r="F50">
        <v>15</v>
      </c>
      <c r="G50">
        <v>4230</v>
      </c>
      <c r="H50">
        <v>14</v>
      </c>
      <c r="I50">
        <v>3948</v>
      </c>
      <c r="J50">
        <v>9</v>
      </c>
      <c r="K50">
        <v>2538</v>
      </c>
      <c r="L50">
        <v>12</v>
      </c>
      <c r="M50">
        <v>3384</v>
      </c>
      <c r="N50">
        <v>13</v>
      </c>
      <c r="O50">
        <v>3666</v>
      </c>
      <c r="P50">
        <v>13</v>
      </c>
      <c r="Q50">
        <v>3666</v>
      </c>
      <c r="R50">
        <v>12</v>
      </c>
      <c r="S50">
        <v>3384</v>
      </c>
      <c r="T50">
        <v>15</v>
      </c>
      <c r="U50">
        <v>4230</v>
      </c>
      <c r="V50">
        <v>10</v>
      </c>
      <c r="W50">
        <v>2820</v>
      </c>
      <c r="X50">
        <v>12</v>
      </c>
      <c r="Y50">
        <v>3384</v>
      </c>
      <c r="Z50">
        <v>8</v>
      </c>
      <c r="AA50">
        <v>2256</v>
      </c>
      <c r="AB50">
        <v>11</v>
      </c>
      <c r="AC50">
        <v>3102</v>
      </c>
      <c r="AD50">
        <v>12</v>
      </c>
      <c r="AE50">
        <v>3384</v>
      </c>
      <c r="AF50">
        <v>13</v>
      </c>
      <c r="AG50">
        <v>3666</v>
      </c>
      <c r="AH50">
        <v>9</v>
      </c>
      <c r="AI50">
        <v>2538</v>
      </c>
      <c r="AJ50">
        <v>15</v>
      </c>
      <c r="AK50">
        <v>4230</v>
      </c>
      <c r="AL50">
        <v>11</v>
      </c>
      <c r="AM50">
        <v>3102</v>
      </c>
      <c r="AN50">
        <v>10</v>
      </c>
      <c r="AO50">
        <v>2820</v>
      </c>
      <c r="AP50">
        <v>13</v>
      </c>
      <c r="AQ50">
        <v>3666</v>
      </c>
      <c r="AR50">
        <v>10</v>
      </c>
      <c r="AS50">
        <v>2820</v>
      </c>
      <c r="AT50">
        <v>9</v>
      </c>
      <c r="AU50">
        <v>2538</v>
      </c>
      <c r="AV50">
        <v>8</v>
      </c>
      <c r="AW50">
        <v>2256</v>
      </c>
      <c r="AX50">
        <v>11</v>
      </c>
      <c r="AY50">
        <v>3102</v>
      </c>
      <c r="AZ50">
        <v>12</v>
      </c>
      <c r="BA50">
        <v>3384</v>
      </c>
      <c r="BB50">
        <v>13</v>
      </c>
      <c r="BC50">
        <v>3666</v>
      </c>
      <c r="BD50">
        <v>13</v>
      </c>
      <c r="BE50">
        <v>3666</v>
      </c>
      <c r="BF50">
        <v>15</v>
      </c>
      <c r="BG50">
        <v>4230</v>
      </c>
      <c r="BH50">
        <v>11</v>
      </c>
      <c r="BI50">
        <v>3102</v>
      </c>
      <c r="BJ50">
        <v>10</v>
      </c>
      <c r="BK50">
        <v>2820</v>
      </c>
      <c r="BL50">
        <v>14</v>
      </c>
      <c r="BM50">
        <v>3948</v>
      </c>
      <c r="BN50">
        <v>15</v>
      </c>
      <c r="BO50">
        <v>4230</v>
      </c>
      <c r="BP50">
        <v>9</v>
      </c>
      <c r="BQ50">
        <v>2538</v>
      </c>
      <c r="BR50">
        <v>12</v>
      </c>
      <c r="BS50">
        <v>3384</v>
      </c>
      <c r="BT50">
        <v>13</v>
      </c>
      <c r="BU50">
        <v>3666</v>
      </c>
      <c r="BV50">
        <v>8</v>
      </c>
      <c r="BW50">
        <v>2256</v>
      </c>
      <c r="BX50">
        <v>10</v>
      </c>
      <c r="BY50">
        <v>2820</v>
      </c>
      <c r="BZ50">
        <v>13</v>
      </c>
      <c r="CA50">
        <v>3666</v>
      </c>
      <c r="CB50">
        <v>9</v>
      </c>
      <c r="CC50">
        <v>2538</v>
      </c>
      <c r="CD50">
        <v>13</v>
      </c>
      <c r="CE50">
        <v>3666</v>
      </c>
      <c r="CF50">
        <v>9</v>
      </c>
      <c r="CG50">
        <v>2538</v>
      </c>
      <c r="CH50">
        <v>11</v>
      </c>
      <c r="CI50">
        <v>3102</v>
      </c>
      <c r="CJ50">
        <v>7</v>
      </c>
      <c r="CK50">
        <v>1974</v>
      </c>
      <c r="CL50">
        <v>15</v>
      </c>
      <c r="CM50">
        <v>4230</v>
      </c>
      <c r="CN50">
        <v>15</v>
      </c>
      <c r="CO50">
        <v>4230</v>
      </c>
      <c r="CP50">
        <v>13</v>
      </c>
      <c r="CQ50">
        <v>3666</v>
      </c>
      <c r="CR50">
        <v>12</v>
      </c>
      <c r="CS50">
        <v>3384</v>
      </c>
      <c r="CT50">
        <v>7</v>
      </c>
      <c r="CU50">
        <v>1974</v>
      </c>
    </row>
    <row r="51" spans="2:99" x14ac:dyDescent="0.2">
      <c r="C51" s="118" t="s">
        <v>217</v>
      </c>
      <c r="D51">
        <v>9</v>
      </c>
      <c r="E51">
        <v>7689.5999999999995</v>
      </c>
      <c r="F51">
        <v>15</v>
      </c>
      <c r="G51">
        <v>12816</v>
      </c>
      <c r="H51">
        <v>13</v>
      </c>
      <c r="I51">
        <v>11107.199999999999</v>
      </c>
      <c r="J51">
        <v>10</v>
      </c>
      <c r="K51">
        <v>8544</v>
      </c>
      <c r="L51">
        <v>11</v>
      </c>
      <c r="M51">
        <v>9398.4</v>
      </c>
      <c r="N51">
        <v>14</v>
      </c>
      <c r="O51">
        <v>11961.6</v>
      </c>
      <c r="P51">
        <v>14</v>
      </c>
      <c r="Q51">
        <v>11961.6</v>
      </c>
      <c r="R51">
        <v>12</v>
      </c>
      <c r="S51">
        <v>10252.799999999999</v>
      </c>
      <c r="T51">
        <v>13</v>
      </c>
      <c r="U51">
        <v>11107.199999999999</v>
      </c>
      <c r="V51">
        <v>9</v>
      </c>
      <c r="W51">
        <v>7689.5999999999995</v>
      </c>
      <c r="X51">
        <v>11</v>
      </c>
      <c r="Y51">
        <v>9398.4</v>
      </c>
      <c r="Z51">
        <v>9</v>
      </c>
      <c r="AA51">
        <v>7689.5999999999995</v>
      </c>
      <c r="AB51">
        <v>9</v>
      </c>
      <c r="AC51">
        <v>7689.5999999999995</v>
      </c>
      <c r="AD51">
        <v>11</v>
      </c>
      <c r="AE51">
        <v>9398.4</v>
      </c>
      <c r="AF51">
        <v>12</v>
      </c>
      <c r="AG51">
        <v>10252.799999999999</v>
      </c>
      <c r="AH51">
        <v>8</v>
      </c>
      <c r="AI51">
        <v>6835.2</v>
      </c>
      <c r="AJ51">
        <v>13</v>
      </c>
      <c r="AK51">
        <v>11107.199999999999</v>
      </c>
      <c r="AL51">
        <v>11</v>
      </c>
      <c r="AM51">
        <v>9398.4</v>
      </c>
      <c r="AN51">
        <v>10</v>
      </c>
      <c r="AO51">
        <v>8544</v>
      </c>
      <c r="AP51">
        <v>11</v>
      </c>
      <c r="AQ51">
        <v>9398.4</v>
      </c>
      <c r="AR51">
        <v>9</v>
      </c>
      <c r="AS51">
        <v>7689.5999999999995</v>
      </c>
      <c r="AT51">
        <v>7</v>
      </c>
      <c r="AU51">
        <v>5980.8</v>
      </c>
      <c r="AV51">
        <v>8</v>
      </c>
      <c r="AW51">
        <v>6835.2</v>
      </c>
      <c r="AX51">
        <v>10</v>
      </c>
      <c r="AY51">
        <v>8544</v>
      </c>
      <c r="AZ51">
        <v>12</v>
      </c>
      <c r="BA51">
        <v>10252.799999999999</v>
      </c>
      <c r="BB51">
        <v>13</v>
      </c>
      <c r="BC51">
        <v>11107.199999999999</v>
      </c>
      <c r="BD51">
        <v>11</v>
      </c>
      <c r="BE51">
        <v>9398.4</v>
      </c>
      <c r="BF51">
        <v>14</v>
      </c>
      <c r="BG51">
        <v>11961.6</v>
      </c>
      <c r="BH51">
        <v>11</v>
      </c>
      <c r="BI51">
        <v>9398.4</v>
      </c>
      <c r="BJ51">
        <v>8</v>
      </c>
      <c r="BK51">
        <v>6835.2</v>
      </c>
      <c r="BL51">
        <v>14</v>
      </c>
      <c r="BM51">
        <v>11961.6</v>
      </c>
      <c r="BN51">
        <v>14</v>
      </c>
      <c r="BO51">
        <v>11961.6</v>
      </c>
      <c r="BP51">
        <v>8</v>
      </c>
      <c r="BQ51">
        <v>6835.2</v>
      </c>
      <c r="BR51">
        <v>13</v>
      </c>
      <c r="BS51">
        <v>11107.199999999999</v>
      </c>
      <c r="BT51">
        <v>11</v>
      </c>
      <c r="BU51">
        <v>9398.4</v>
      </c>
      <c r="BV51">
        <v>9</v>
      </c>
      <c r="BW51">
        <v>7689.5999999999995</v>
      </c>
      <c r="BX51">
        <v>10</v>
      </c>
      <c r="BY51">
        <v>8544</v>
      </c>
      <c r="BZ51">
        <v>12</v>
      </c>
      <c r="CA51">
        <v>10252.799999999999</v>
      </c>
      <c r="CB51">
        <v>7</v>
      </c>
      <c r="CC51">
        <v>5980.8</v>
      </c>
      <c r="CD51">
        <v>13</v>
      </c>
      <c r="CE51">
        <v>11107.199999999999</v>
      </c>
      <c r="CF51">
        <v>9</v>
      </c>
      <c r="CG51">
        <v>7689.5999999999995</v>
      </c>
      <c r="CH51">
        <v>10</v>
      </c>
      <c r="CI51">
        <v>8544</v>
      </c>
      <c r="CJ51">
        <v>8</v>
      </c>
      <c r="CK51">
        <v>6835.2</v>
      </c>
      <c r="CL51">
        <v>15</v>
      </c>
      <c r="CM51">
        <v>12816</v>
      </c>
      <c r="CN51">
        <v>13</v>
      </c>
      <c r="CO51">
        <v>11107.199999999999</v>
      </c>
      <c r="CP51">
        <v>11</v>
      </c>
      <c r="CQ51">
        <v>9398.4</v>
      </c>
      <c r="CR51">
        <v>11</v>
      </c>
      <c r="CS51">
        <v>9398.4</v>
      </c>
      <c r="CT51">
        <v>8</v>
      </c>
      <c r="CU51">
        <v>6835.2</v>
      </c>
    </row>
    <row r="52" spans="2:99" x14ac:dyDescent="0.2">
      <c r="C52" s="118" t="s">
        <v>218</v>
      </c>
      <c r="D52">
        <v>9</v>
      </c>
      <c r="E52">
        <v>4860</v>
      </c>
      <c r="F52">
        <v>14</v>
      </c>
      <c r="G52">
        <v>7560</v>
      </c>
      <c r="H52">
        <v>12</v>
      </c>
      <c r="I52">
        <v>6480</v>
      </c>
      <c r="J52">
        <v>11</v>
      </c>
      <c r="K52">
        <v>5940</v>
      </c>
      <c r="L52">
        <v>11</v>
      </c>
      <c r="M52">
        <v>5940</v>
      </c>
      <c r="N52">
        <v>13</v>
      </c>
      <c r="O52">
        <v>7020</v>
      </c>
      <c r="P52">
        <v>13</v>
      </c>
      <c r="Q52">
        <v>7020</v>
      </c>
      <c r="R52">
        <v>12</v>
      </c>
      <c r="S52">
        <v>6480</v>
      </c>
      <c r="T52">
        <v>14</v>
      </c>
      <c r="U52">
        <v>7560</v>
      </c>
      <c r="V52">
        <v>10</v>
      </c>
      <c r="W52">
        <v>5400</v>
      </c>
      <c r="X52">
        <v>12</v>
      </c>
      <c r="Y52">
        <v>6480</v>
      </c>
      <c r="Z52">
        <v>9</v>
      </c>
      <c r="AA52">
        <v>4860</v>
      </c>
      <c r="AB52">
        <v>9</v>
      </c>
      <c r="AC52">
        <v>4860</v>
      </c>
      <c r="AD52">
        <v>10</v>
      </c>
      <c r="AE52">
        <v>5400</v>
      </c>
      <c r="AF52">
        <v>13</v>
      </c>
      <c r="AG52">
        <v>7020</v>
      </c>
      <c r="AH52">
        <v>8</v>
      </c>
      <c r="AI52">
        <v>4320</v>
      </c>
      <c r="AJ52">
        <v>14</v>
      </c>
      <c r="AK52">
        <v>7560</v>
      </c>
      <c r="AL52">
        <v>11</v>
      </c>
      <c r="AM52">
        <v>5940</v>
      </c>
      <c r="AN52">
        <v>10</v>
      </c>
      <c r="AO52">
        <v>5400</v>
      </c>
      <c r="AP52">
        <v>11</v>
      </c>
      <c r="AQ52">
        <v>5940</v>
      </c>
      <c r="AR52">
        <v>9</v>
      </c>
      <c r="AS52">
        <v>4860</v>
      </c>
      <c r="AT52">
        <v>8</v>
      </c>
      <c r="AU52">
        <v>4320</v>
      </c>
      <c r="AV52">
        <v>7</v>
      </c>
      <c r="AW52">
        <v>3780</v>
      </c>
      <c r="AX52">
        <v>12</v>
      </c>
      <c r="AY52">
        <v>6480</v>
      </c>
      <c r="AZ52">
        <v>12</v>
      </c>
      <c r="BA52">
        <v>6480</v>
      </c>
      <c r="BB52">
        <v>13</v>
      </c>
      <c r="BC52">
        <v>7020</v>
      </c>
      <c r="BD52">
        <v>11</v>
      </c>
      <c r="BE52">
        <v>5940</v>
      </c>
      <c r="BF52">
        <v>13</v>
      </c>
      <c r="BG52">
        <v>7020</v>
      </c>
      <c r="BH52">
        <v>11</v>
      </c>
      <c r="BI52">
        <v>5940</v>
      </c>
      <c r="BJ52">
        <v>9</v>
      </c>
      <c r="BK52">
        <v>4860</v>
      </c>
      <c r="BL52">
        <v>15</v>
      </c>
      <c r="BM52">
        <v>8100</v>
      </c>
      <c r="BN52">
        <v>12</v>
      </c>
      <c r="BO52">
        <v>6480</v>
      </c>
      <c r="BP52">
        <v>8</v>
      </c>
      <c r="BQ52">
        <v>4320</v>
      </c>
      <c r="BR52">
        <v>13</v>
      </c>
      <c r="BS52">
        <v>7020</v>
      </c>
      <c r="BT52">
        <v>13</v>
      </c>
      <c r="BU52">
        <v>7020</v>
      </c>
      <c r="BV52">
        <v>8</v>
      </c>
      <c r="BW52">
        <v>4320</v>
      </c>
      <c r="BX52">
        <v>10</v>
      </c>
      <c r="BY52">
        <v>5400</v>
      </c>
      <c r="BZ52">
        <v>14</v>
      </c>
      <c r="CA52">
        <v>7560</v>
      </c>
      <c r="CB52">
        <v>7</v>
      </c>
      <c r="CC52">
        <v>3780</v>
      </c>
      <c r="CD52">
        <v>12</v>
      </c>
      <c r="CE52">
        <v>6480</v>
      </c>
      <c r="CF52">
        <v>9</v>
      </c>
      <c r="CG52">
        <v>4860</v>
      </c>
      <c r="CH52">
        <v>11</v>
      </c>
      <c r="CI52">
        <v>5940</v>
      </c>
      <c r="CJ52">
        <v>8</v>
      </c>
      <c r="CK52">
        <v>4320</v>
      </c>
      <c r="CL52">
        <v>13</v>
      </c>
      <c r="CM52">
        <v>7020</v>
      </c>
      <c r="CN52">
        <v>15</v>
      </c>
      <c r="CO52">
        <v>8100</v>
      </c>
      <c r="CP52">
        <v>11</v>
      </c>
      <c r="CQ52">
        <v>5940</v>
      </c>
      <c r="CR52">
        <v>10</v>
      </c>
      <c r="CS52">
        <v>5400</v>
      </c>
      <c r="CT52">
        <v>8</v>
      </c>
      <c r="CU52">
        <v>4320</v>
      </c>
    </row>
    <row r="53" spans="2:99" x14ac:dyDescent="0.2">
      <c r="C53" s="118" t="s">
        <v>219</v>
      </c>
      <c r="D53">
        <v>9</v>
      </c>
      <c r="E53">
        <v>3661.2000000000003</v>
      </c>
      <c r="F53">
        <v>14</v>
      </c>
      <c r="G53">
        <v>5695.2</v>
      </c>
      <c r="H53">
        <v>12</v>
      </c>
      <c r="I53">
        <v>4881.6000000000004</v>
      </c>
      <c r="J53">
        <v>11</v>
      </c>
      <c r="K53">
        <v>4474.8</v>
      </c>
      <c r="L53">
        <v>10</v>
      </c>
      <c r="M53">
        <v>4068</v>
      </c>
      <c r="N53">
        <v>15</v>
      </c>
      <c r="O53">
        <v>6102</v>
      </c>
      <c r="P53">
        <v>14</v>
      </c>
      <c r="Q53">
        <v>5695.2</v>
      </c>
      <c r="R53">
        <v>13</v>
      </c>
      <c r="S53">
        <v>5288.4000000000005</v>
      </c>
      <c r="T53">
        <v>14</v>
      </c>
      <c r="U53">
        <v>5695.2</v>
      </c>
      <c r="V53">
        <v>11</v>
      </c>
      <c r="W53">
        <v>4474.8</v>
      </c>
      <c r="X53">
        <v>12</v>
      </c>
      <c r="Y53">
        <v>4881.6000000000004</v>
      </c>
      <c r="Z53">
        <v>8</v>
      </c>
      <c r="AA53">
        <v>3254.4</v>
      </c>
      <c r="AB53">
        <v>10</v>
      </c>
      <c r="AC53">
        <v>4068</v>
      </c>
      <c r="AD53">
        <v>11</v>
      </c>
      <c r="AE53">
        <v>4474.8</v>
      </c>
      <c r="AF53">
        <v>12</v>
      </c>
      <c r="AG53">
        <v>4881.6000000000004</v>
      </c>
      <c r="AH53">
        <v>9</v>
      </c>
      <c r="AI53">
        <v>3661.2000000000003</v>
      </c>
      <c r="AJ53">
        <v>16</v>
      </c>
      <c r="AK53">
        <v>6508.8</v>
      </c>
      <c r="AL53">
        <v>13</v>
      </c>
      <c r="AM53">
        <v>5288.4000000000005</v>
      </c>
      <c r="AN53">
        <v>11</v>
      </c>
      <c r="AO53">
        <v>4474.8</v>
      </c>
      <c r="AP53">
        <v>13</v>
      </c>
      <c r="AQ53">
        <v>5288.4000000000005</v>
      </c>
      <c r="AR53">
        <v>9</v>
      </c>
      <c r="AS53">
        <v>3661.2000000000003</v>
      </c>
      <c r="AT53">
        <v>8</v>
      </c>
      <c r="AU53">
        <v>3254.4</v>
      </c>
      <c r="AV53">
        <v>7</v>
      </c>
      <c r="AW53">
        <v>2847.6</v>
      </c>
      <c r="AX53">
        <v>11</v>
      </c>
      <c r="AY53">
        <v>4474.8</v>
      </c>
      <c r="AZ53">
        <v>12</v>
      </c>
      <c r="BA53">
        <v>4881.6000000000004</v>
      </c>
      <c r="BB53">
        <v>13</v>
      </c>
      <c r="BC53">
        <v>5288.4000000000005</v>
      </c>
      <c r="BD53">
        <v>13</v>
      </c>
      <c r="BE53">
        <v>5288.4000000000005</v>
      </c>
      <c r="BF53">
        <v>13</v>
      </c>
      <c r="BG53">
        <v>5288.4000000000005</v>
      </c>
      <c r="BH53">
        <v>12</v>
      </c>
      <c r="BI53">
        <v>4881.6000000000004</v>
      </c>
      <c r="BJ53">
        <v>9</v>
      </c>
      <c r="BK53">
        <v>3661.2000000000003</v>
      </c>
      <c r="BL53">
        <v>13</v>
      </c>
      <c r="BM53">
        <v>5288.4000000000005</v>
      </c>
      <c r="BN53">
        <v>14</v>
      </c>
      <c r="BO53">
        <v>5695.2</v>
      </c>
      <c r="BP53">
        <v>8</v>
      </c>
      <c r="BQ53">
        <v>3254.4</v>
      </c>
      <c r="BR53">
        <v>12</v>
      </c>
      <c r="BS53">
        <v>4881.6000000000004</v>
      </c>
      <c r="BT53">
        <v>12</v>
      </c>
      <c r="BU53">
        <v>4881.6000000000004</v>
      </c>
      <c r="BV53">
        <v>9</v>
      </c>
      <c r="BW53">
        <v>3661.2000000000003</v>
      </c>
      <c r="BX53">
        <v>11</v>
      </c>
      <c r="BY53">
        <v>4474.8</v>
      </c>
      <c r="BZ53">
        <v>14</v>
      </c>
      <c r="CA53">
        <v>5695.2</v>
      </c>
      <c r="CB53">
        <v>8</v>
      </c>
      <c r="CC53">
        <v>3254.4</v>
      </c>
      <c r="CD53">
        <v>12</v>
      </c>
      <c r="CE53">
        <v>4881.6000000000004</v>
      </c>
      <c r="CF53">
        <v>9</v>
      </c>
      <c r="CG53">
        <v>3661.2000000000003</v>
      </c>
      <c r="CH53">
        <v>11</v>
      </c>
      <c r="CI53">
        <v>4474.8</v>
      </c>
      <c r="CJ53">
        <v>8</v>
      </c>
      <c r="CK53">
        <v>3254.4</v>
      </c>
      <c r="CL53">
        <v>14</v>
      </c>
      <c r="CM53">
        <v>5695.2</v>
      </c>
      <c r="CN53">
        <v>15</v>
      </c>
      <c r="CO53">
        <v>6102</v>
      </c>
      <c r="CP53">
        <v>13</v>
      </c>
      <c r="CQ53">
        <v>5288.4000000000005</v>
      </c>
      <c r="CR53">
        <v>12</v>
      </c>
      <c r="CS53">
        <v>4881.6000000000004</v>
      </c>
      <c r="CT53">
        <v>7</v>
      </c>
      <c r="CU53">
        <v>2847.6</v>
      </c>
    </row>
    <row r="54" spans="2:99" x14ac:dyDescent="0.2">
      <c r="C54" s="118" t="s">
        <v>220</v>
      </c>
      <c r="D54">
        <v>10</v>
      </c>
      <c r="E54">
        <v>3348</v>
      </c>
      <c r="F54">
        <v>14</v>
      </c>
      <c r="G54">
        <v>4687.2</v>
      </c>
      <c r="H54">
        <v>12</v>
      </c>
      <c r="I54">
        <v>4017.6000000000004</v>
      </c>
      <c r="J54">
        <v>10</v>
      </c>
      <c r="K54">
        <v>3348</v>
      </c>
      <c r="L54">
        <v>11</v>
      </c>
      <c r="M54">
        <v>3682.8</v>
      </c>
      <c r="N54">
        <v>14</v>
      </c>
      <c r="O54">
        <v>4687.2</v>
      </c>
      <c r="P54">
        <v>13</v>
      </c>
      <c r="Q54">
        <v>4352.4000000000005</v>
      </c>
      <c r="R54">
        <v>13</v>
      </c>
      <c r="S54">
        <v>4352.4000000000005</v>
      </c>
      <c r="T54">
        <v>14</v>
      </c>
      <c r="U54">
        <v>4687.2</v>
      </c>
      <c r="V54">
        <v>10</v>
      </c>
      <c r="W54">
        <v>3348</v>
      </c>
      <c r="X54">
        <v>11</v>
      </c>
      <c r="Y54">
        <v>3682.8</v>
      </c>
      <c r="Z54">
        <v>8</v>
      </c>
      <c r="AA54">
        <v>2678.4</v>
      </c>
      <c r="AB54">
        <v>9</v>
      </c>
      <c r="AC54">
        <v>3013.2000000000003</v>
      </c>
      <c r="AD54">
        <v>11</v>
      </c>
      <c r="AE54">
        <v>3682.8</v>
      </c>
      <c r="AF54">
        <v>12</v>
      </c>
      <c r="AG54">
        <v>4017.6000000000004</v>
      </c>
      <c r="AH54">
        <v>9</v>
      </c>
      <c r="AI54">
        <v>3013.2000000000003</v>
      </c>
      <c r="AJ54">
        <v>13</v>
      </c>
      <c r="AK54">
        <v>4352.4000000000005</v>
      </c>
      <c r="AL54">
        <v>13</v>
      </c>
      <c r="AM54">
        <v>4352.4000000000005</v>
      </c>
      <c r="AN54">
        <v>10</v>
      </c>
      <c r="AO54">
        <v>3348</v>
      </c>
      <c r="AP54">
        <v>11</v>
      </c>
      <c r="AQ54">
        <v>3682.8</v>
      </c>
      <c r="AR54">
        <v>9</v>
      </c>
      <c r="AS54">
        <v>3013.2000000000003</v>
      </c>
      <c r="AT54">
        <v>8</v>
      </c>
      <c r="AU54">
        <v>2678.4</v>
      </c>
      <c r="AV54">
        <v>8</v>
      </c>
      <c r="AW54">
        <v>2678.4</v>
      </c>
      <c r="AX54">
        <v>11</v>
      </c>
      <c r="AY54">
        <v>3682.8</v>
      </c>
      <c r="AZ54">
        <v>13</v>
      </c>
      <c r="BA54">
        <v>4352.4000000000005</v>
      </c>
      <c r="BB54">
        <v>13</v>
      </c>
      <c r="BC54">
        <v>4352.4000000000005</v>
      </c>
      <c r="BD54">
        <v>12</v>
      </c>
      <c r="BE54">
        <v>4017.6000000000004</v>
      </c>
      <c r="BF54">
        <v>14</v>
      </c>
      <c r="BG54">
        <v>4687.2</v>
      </c>
      <c r="BH54">
        <v>11</v>
      </c>
      <c r="BI54">
        <v>3682.8</v>
      </c>
      <c r="BJ54">
        <v>10</v>
      </c>
      <c r="BK54">
        <v>3348</v>
      </c>
      <c r="BL54">
        <v>14</v>
      </c>
      <c r="BM54">
        <v>4687.2</v>
      </c>
      <c r="BN54">
        <v>14</v>
      </c>
      <c r="BO54">
        <v>4687.2</v>
      </c>
      <c r="BP54">
        <v>8</v>
      </c>
      <c r="BQ54">
        <v>2678.4</v>
      </c>
      <c r="BR54">
        <v>14</v>
      </c>
      <c r="BS54">
        <v>4687.2</v>
      </c>
      <c r="BT54">
        <v>14</v>
      </c>
      <c r="BU54">
        <v>4687.2</v>
      </c>
      <c r="BV54">
        <v>9</v>
      </c>
      <c r="BW54">
        <v>3013.2000000000003</v>
      </c>
      <c r="BX54">
        <v>10</v>
      </c>
      <c r="BY54">
        <v>3348</v>
      </c>
      <c r="BZ54">
        <v>13</v>
      </c>
      <c r="CA54">
        <v>4352.4000000000005</v>
      </c>
      <c r="CB54">
        <v>9</v>
      </c>
      <c r="CC54">
        <v>3013.2000000000003</v>
      </c>
      <c r="CD54">
        <v>14</v>
      </c>
      <c r="CE54">
        <v>4687.2</v>
      </c>
      <c r="CF54">
        <v>10</v>
      </c>
      <c r="CG54">
        <v>3348</v>
      </c>
      <c r="CH54">
        <v>11</v>
      </c>
      <c r="CI54">
        <v>3682.8</v>
      </c>
      <c r="CJ54">
        <v>7</v>
      </c>
      <c r="CK54">
        <v>2343.6</v>
      </c>
      <c r="CL54">
        <v>14</v>
      </c>
      <c r="CM54">
        <v>4687.2</v>
      </c>
      <c r="CN54">
        <v>13</v>
      </c>
      <c r="CO54">
        <v>4352.4000000000005</v>
      </c>
      <c r="CP54">
        <v>13</v>
      </c>
      <c r="CQ54">
        <v>4352.4000000000005</v>
      </c>
      <c r="CR54">
        <v>13</v>
      </c>
      <c r="CS54">
        <v>4352.4000000000005</v>
      </c>
      <c r="CT54">
        <v>8</v>
      </c>
      <c r="CU54">
        <v>2678.4</v>
      </c>
    </row>
    <row r="55" spans="2:99" x14ac:dyDescent="0.2">
      <c r="C55" s="118" t="s">
        <v>221</v>
      </c>
      <c r="D55">
        <v>9</v>
      </c>
      <c r="E55">
        <v>5972.4000000000005</v>
      </c>
      <c r="F55">
        <v>15</v>
      </c>
      <c r="G55">
        <v>9954</v>
      </c>
      <c r="H55">
        <v>12</v>
      </c>
      <c r="I55">
        <v>7963.2000000000007</v>
      </c>
      <c r="J55">
        <v>10</v>
      </c>
      <c r="K55">
        <v>6636</v>
      </c>
      <c r="L55">
        <v>12</v>
      </c>
      <c r="M55">
        <v>7963.2000000000007</v>
      </c>
      <c r="N55">
        <v>14</v>
      </c>
      <c r="O55">
        <v>9290.4</v>
      </c>
      <c r="P55">
        <v>13</v>
      </c>
      <c r="Q55">
        <v>8626.8000000000011</v>
      </c>
      <c r="R55">
        <v>11</v>
      </c>
      <c r="S55">
        <v>7299.6</v>
      </c>
      <c r="T55">
        <v>15</v>
      </c>
      <c r="U55">
        <v>9954</v>
      </c>
      <c r="V55">
        <v>9</v>
      </c>
      <c r="W55">
        <v>5972.4000000000005</v>
      </c>
      <c r="X55">
        <v>11</v>
      </c>
      <c r="Y55">
        <v>7299.6</v>
      </c>
      <c r="Z55">
        <v>9</v>
      </c>
      <c r="AA55">
        <v>5972.4000000000005</v>
      </c>
      <c r="AB55">
        <v>10</v>
      </c>
      <c r="AC55">
        <v>6636</v>
      </c>
      <c r="AD55">
        <v>11</v>
      </c>
      <c r="AE55">
        <v>7299.6</v>
      </c>
      <c r="AF55">
        <v>13</v>
      </c>
      <c r="AG55">
        <v>8626.8000000000011</v>
      </c>
      <c r="AH55">
        <v>8</v>
      </c>
      <c r="AI55">
        <v>5308.8</v>
      </c>
      <c r="AJ55">
        <v>15</v>
      </c>
      <c r="AK55">
        <v>9954</v>
      </c>
      <c r="AL55">
        <v>12</v>
      </c>
      <c r="AM55">
        <v>7963.2000000000007</v>
      </c>
      <c r="AN55">
        <v>10</v>
      </c>
      <c r="AO55">
        <v>6636</v>
      </c>
      <c r="AP55">
        <v>11</v>
      </c>
      <c r="AQ55">
        <v>7299.6</v>
      </c>
      <c r="AR55">
        <v>8</v>
      </c>
      <c r="AS55">
        <v>5308.8</v>
      </c>
      <c r="AT55">
        <v>8</v>
      </c>
      <c r="AU55">
        <v>5308.8</v>
      </c>
      <c r="AV55">
        <v>7</v>
      </c>
      <c r="AW55">
        <v>4645.2</v>
      </c>
      <c r="AX55">
        <v>11</v>
      </c>
      <c r="AY55">
        <v>7299.6</v>
      </c>
      <c r="AZ55">
        <v>11</v>
      </c>
      <c r="BA55">
        <v>7299.6</v>
      </c>
      <c r="BB55">
        <v>12</v>
      </c>
      <c r="BC55">
        <v>7963.2000000000007</v>
      </c>
      <c r="BD55">
        <v>11</v>
      </c>
      <c r="BE55">
        <v>7299.6</v>
      </c>
      <c r="BF55">
        <v>15</v>
      </c>
      <c r="BG55">
        <v>9954</v>
      </c>
      <c r="BH55">
        <v>11</v>
      </c>
      <c r="BI55">
        <v>7299.6</v>
      </c>
      <c r="BJ55">
        <v>9</v>
      </c>
      <c r="BK55">
        <v>5972.4000000000005</v>
      </c>
      <c r="BL55">
        <v>12</v>
      </c>
      <c r="BM55">
        <v>7963.2000000000007</v>
      </c>
      <c r="BN55">
        <v>14</v>
      </c>
      <c r="BO55">
        <v>9290.4</v>
      </c>
      <c r="BP55">
        <v>7</v>
      </c>
      <c r="BQ55">
        <v>4645.2</v>
      </c>
      <c r="BR55">
        <v>13</v>
      </c>
      <c r="BS55">
        <v>8626.8000000000011</v>
      </c>
      <c r="BT55">
        <v>12</v>
      </c>
      <c r="BU55">
        <v>7963.2000000000007</v>
      </c>
      <c r="BV55">
        <v>9</v>
      </c>
      <c r="BW55">
        <v>5972.4000000000005</v>
      </c>
      <c r="BX55">
        <v>11</v>
      </c>
      <c r="BY55">
        <v>7299.6</v>
      </c>
      <c r="BZ55">
        <v>13</v>
      </c>
      <c r="CA55">
        <v>8626.8000000000011</v>
      </c>
      <c r="CB55">
        <v>8</v>
      </c>
      <c r="CC55">
        <v>5308.8</v>
      </c>
      <c r="CD55">
        <v>14</v>
      </c>
      <c r="CE55">
        <v>9290.4</v>
      </c>
      <c r="CF55">
        <v>10</v>
      </c>
      <c r="CG55">
        <v>6636</v>
      </c>
      <c r="CH55">
        <v>11</v>
      </c>
      <c r="CI55">
        <v>7299.6</v>
      </c>
      <c r="CJ55">
        <v>8</v>
      </c>
      <c r="CK55">
        <v>5308.8</v>
      </c>
      <c r="CL55">
        <v>14</v>
      </c>
      <c r="CM55">
        <v>9290.4</v>
      </c>
      <c r="CN55">
        <v>13</v>
      </c>
      <c r="CO55">
        <v>8626.8000000000011</v>
      </c>
      <c r="CP55">
        <v>12</v>
      </c>
      <c r="CQ55">
        <v>7963.2000000000007</v>
      </c>
      <c r="CR55">
        <v>11</v>
      </c>
      <c r="CS55">
        <v>7299.6</v>
      </c>
      <c r="CT55">
        <v>8</v>
      </c>
      <c r="CU55">
        <v>5308.8</v>
      </c>
    </row>
    <row r="56" spans="2:99" x14ac:dyDescent="0.2">
      <c r="C56" s="118" t="s">
        <v>222</v>
      </c>
      <c r="D56">
        <v>6.5645831663467167</v>
      </c>
      <c r="E56">
        <v>7554.5223078318013</v>
      </c>
      <c r="F56">
        <v>14.527250279087955</v>
      </c>
      <c r="G56">
        <v>16717.959621174417</v>
      </c>
      <c r="H56">
        <v>11.761325904430239</v>
      </c>
      <c r="I56">
        <v>13534.933850818317</v>
      </c>
      <c r="J56">
        <v>9.5821734380600088</v>
      </c>
      <c r="K56">
        <v>11027.165192519458</v>
      </c>
      <c r="L56">
        <v>11.449992347752152</v>
      </c>
      <c r="M56">
        <v>13176.651193793177</v>
      </c>
      <c r="N56">
        <v>12</v>
      </c>
      <c r="O56">
        <v>13809.599999999999</v>
      </c>
      <c r="P56">
        <v>12</v>
      </c>
      <c r="Q56">
        <v>13809.599999999999</v>
      </c>
      <c r="R56">
        <v>11.388425975130195</v>
      </c>
      <c r="S56">
        <v>13105.800612179828</v>
      </c>
      <c r="T56">
        <v>12.442426588750912</v>
      </c>
      <c r="U56">
        <v>14318.74451833455</v>
      </c>
      <c r="V56">
        <v>10</v>
      </c>
      <c r="W56">
        <v>11508</v>
      </c>
      <c r="X56">
        <v>11</v>
      </c>
      <c r="Y56">
        <v>12658.8</v>
      </c>
      <c r="Z56">
        <v>8</v>
      </c>
      <c r="AA56">
        <v>9206.4</v>
      </c>
      <c r="AB56">
        <v>9.3499983531039277</v>
      </c>
      <c r="AC56">
        <v>10759.978104751999</v>
      </c>
      <c r="AD56">
        <v>10.672708832001298</v>
      </c>
      <c r="AE56">
        <v>12282.153323867093</v>
      </c>
      <c r="AF56">
        <v>13.36424341876597</v>
      </c>
      <c r="AG56">
        <v>15379.571326315878</v>
      </c>
      <c r="AH56">
        <v>8.5379286694101513</v>
      </c>
      <c r="AI56">
        <v>9825.4483127572021</v>
      </c>
      <c r="AJ56">
        <v>13</v>
      </c>
      <c r="AK56">
        <v>14960.4</v>
      </c>
      <c r="AL56">
        <v>12.239596219897315</v>
      </c>
      <c r="AM56">
        <v>14085.32732985783</v>
      </c>
      <c r="AN56">
        <v>9</v>
      </c>
      <c r="AO56">
        <v>10357.199999999999</v>
      </c>
      <c r="AP56">
        <v>10.595463137996219</v>
      </c>
      <c r="AQ56">
        <v>12193.258979206048</v>
      </c>
      <c r="AR56">
        <v>8.7858797288629447</v>
      </c>
      <c r="AS56">
        <v>10110.790391975477</v>
      </c>
      <c r="AT56">
        <v>8</v>
      </c>
      <c r="AU56">
        <v>9206.4</v>
      </c>
      <c r="AV56">
        <v>8.6499317639747382</v>
      </c>
      <c r="AW56">
        <v>9954.3414739821292</v>
      </c>
      <c r="AX56">
        <v>11.364581216431993</v>
      </c>
      <c r="AY56">
        <v>13078.360063869937</v>
      </c>
      <c r="AZ56">
        <v>12.644984934258582</v>
      </c>
      <c r="BA56">
        <v>14551.848662344777</v>
      </c>
      <c r="BB56">
        <v>12</v>
      </c>
      <c r="BC56">
        <v>13809.599999999999</v>
      </c>
      <c r="BD56">
        <v>12.3</v>
      </c>
      <c r="BE56">
        <v>14154.84</v>
      </c>
      <c r="BF56">
        <v>12.498789060078121</v>
      </c>
      <c r="BG56">
        <v>14383.6064503379</v>
      </c>
      <c r="BH56">
        <v>10.410644240779298</v>
      </c>
      <c r="BI56">
        <v>11980.569392288817</v>
      </c>
      <c r="BJ56">
        <v>8.0490137047348185</v>
      </c>
      <c r="BK56">
        <v>9262.8049714088284</v>
      </c>
      <c r="BL56">
        <v>11.133557091348301</v>
      </c>
      <c r="BM56">
        <v>12812.497500723624</v>
      </c>
      <c r="BN56">
        <v>12.046778150826446</v>
      </c>
      <c r="BO56">
        <v>13863.432295971073</v>
      </c>
      <c r="BP56">
        <v>7</v>
      </c>
      <c r="BQ56">
        <v>8055.5999999999995</v>
      </c>
      <c r="BR56">
        <v>13.583158859869323</v>
      </c>
      <c r="BS56">
        <v>15631.499215937616</v>
      </c>
      <c r="BT56">
        <v>12.478462086151655</v>
      </c>
      <c r="BU56">
        <v>14360.214168743325</v>
      </c>
      <c r="BV56">
        <v>8.3929398644314723</v>
      </c>
      <c r="BW56">
        <v>9658.5951959877384</v>
      </c>
      <c r="BX56">
        <v>8.5149542840984065</v>
      </c>
      <c r="BY56">
        <v>9799.0093901404452</v>
      </c>
      <c r="BZ56">
        <v>12</v>
      </c>
      <c r="CA56">
        <v>13809.599999999999</v>
      </c>
      <c r="CB56">
        <v>7.1099935160863685</v>
      </c>
      <c r="CC56">
        <v>8182.1805383121928</v>
      </c>
      <c r="CD56">
        <v>11.639585002403461</v>
      </c>
      <c r="CE56">
        <v>13394.834420765903</v>
      </c>
      <c r="CF56">
        <v>9.4904697594118961</v>
      </c>
      <c r="CG56">
        <v>10921.63259913121</v>
      </c>
      <c r="CH56">
        <v>10.565276788892845</v>
      </c>
      <c r="CI56">
        <v>12158.520528657886</v>
      </c>
      <c r="CJ56">
        <v>7.5976036815411616</v>
      </c>
      <c r="CK56">
        <v>8743.3223167175693</v>
      </c>
      <c r="CL56">
        <v>14.513371488033298</v>
      </c>
      <c r="CM56">
        <v>16701.98790842872</v>
      </c>
      <c r="CN56">
        <v>12.637610687235465</v>
      </c>
      <c r="CO56">
        <v>14543.362378870574</v>
      </c>
      <c r="CP56">
        <v>12.683373870157434</v>
      </c>
      <c r="CQ56">
        <v>14596.026649777174</v>
      </c>
      <c r="CR56">
        <v>10.044197297319304</v>
      </c>
      <c r="CS56">
        <v>11558.862249755055</v>
      </c>
      <c r="CT56">
        <v>7.7704142011834314</v>
      </c>
      <c r="CU56">
        <v>8942.1926627218927</v>
      </c>
    </row>
    <row r="57" spans="2:99" x14ac:dyDescent="0.2">
      <c r="C57" s="118" t="s">
        <v>223</v>
      </c>
      <c r="D57">
        <v>8</v>
      </c>
      <c r="E57">
        <v>11289.6</v>
      </c>
      <c r="F57">
        <v>14</v>
      </c>
      <c r="G57">
        <v>19756.8</v>
      </c>
      <c r="H57">
        <v>11</v>
      </c>
      <c r="I57">
        <v>15523.2</v>
      </c>
      <c r="J57">
        <v>9</v>
      </c>
      <c r="K57">
        <v>12700.800000000001</v>
      </c>
      <c r="L57">
        <v>11</v>
      </c>
      <c r="M57">
        <v>15523.2</v>
      </c>
      <c r="N57">
        <v>13</v>
      </c>
      <c r="O57">
        <v>18345.600000000002</v>
      </c>
      <c r="P57">
        <v>13</v>
      </c>
      <c r="Q57">
        <v>18345.600000000002</v>
      </c>
      <c r="R57">
        <v>11</v>
      </c>
      <c r="S57">
        <v>15523.2</v>
      </c>
      <c r="T57">
        <v>12</v>
      </c>
      <c r="U57">
        <v>16934.400000000001</v>
      </c>
      <c r="V57">
        <v>9</v>
      </c>
      <c r="W57">
        <v>12700.800000000001</v>
      </c>
      <c r="X57">
        <v>10</v>
      </c>
      <c r="Y57">
        <v>14112</v>
      </c>
      <c r="Z57">
        <v>7</v>
      </c>
      <c r="AA57">
        <v>9878.4</v>
      </c>
      <c r="AB57">
        <v>9</v>
      </c>
      <c r="AC57">
        <v>12700.800000000001</v>
      </c>
      <c r="AD57">
        <v>11</v>
      </c>
      <c r="AE57">
        <v>15523.2</v>
      </c>
      <c r="AF57">
        <v>11</v>
      </c>
      <c r="AG57">
        <v>15523.2</v>
      </c>
      <c r="AH57">
        <v>8</v>
      </c>
      <c r="AI57">
        <v>11289.6</v>
      </c>
      <c r="AJ57">
        <v>13</v>
      </c>
      <c r="AK57">
        <v>18345.600000000002</v>
      </c>
      <c r="AL57">
        <v>11</v>
      </c>
      <c r="AM57">
        <v>15523.2</v>
      </c>
      <c r="AN57">
        <v>10</v>
      </c>
      <c r="AO57">
        <v>14112</v>
      </c>
      <c r="AP57">
        <v>11</v>
      </c>
      <c r="AQ57">
        <v>15523.2</v>
      </c>
      <c r="AR57">
        <v>9</v>
      </c>
      <c r="AS57">
        <v>12700.800000000001</v>
      </c>
      <c r="AT57">
        <v>7</v>
      </c>
      <c r="AU57">
        <v>9878.4</v>
      </c>
      <c r="AV57">
        <v>6</v>
      </c>
      <c r="AW57">
        <v>8467.2000000000007</v>
      </c>
      <c r="AX57">
        <v>9</v>
      </c>
      <c r="AY57">
        <v>12700.800000000001</v>
      </c>
      <c r="AZ57">
        <v>10</v>
      </c>
      <c r="BA57">
        <v>14112</v>
      </c>
      <c r="BB57">
        <v>11</v>
      </c>
      <c r="BC57">
        <v>15523.2</v>
      </c>
      <c r="BD57">
        <v>11</v>
      </c>
      <c r="BE57">
        <v>15523.2</v>
      </c>
      <c r="BF57">
        <v>12</v>
      </c>
      <c r="BG57">
        <v>16934.400000000001</v>
      </c>
      <c r="BH57">
        <v>10</v>
      </c>
      <c r="BI57">
        <v>14112</v>
      </c>
      <c r="BJ57">
        <v>8</v>
      </c>
      <c r="BK57">
        <v>11289.6</v>
      </c>
      <c r="BL57">
        <v>13</v>
      </c>
      <c r="BM57">
        <v>18345.600000000002</v>
      </c>
      <c r="BN57">
        <v>14</v>
      </c>
      <c r="BO57">
        <v>19756.8</v>
      </c>
      <c r="BP57">
        <v>8</v>
      </c>
      <c r="BQ57">
        <v>11289.6</v>
      </c>
      <c r="BR57">
        <v>11</v>
      </c>
      <c r="BS57">
        <v>15523.2</v>
      </c>
      <c r="BT57">
        <v>12</v>
      </c>
      <c r="BU57">
        <v>16934.400000000001</v>
      </c>
      <c r="BV57">
        <v>8</v>
      </c>
      <c r="BW57">
        <v>11289.6</v>
      </c>
      <c r="BX57">
        <v>9</v>
      </c>
      <c r="BY57">
        <v>12700.800000000001</v>
      </c>
      <c r="BZ57">
        <v>13</v>
      </c>
      <c r="CA57">
        <v>18345.600000000002</v>
      </c>
      <c r="CB57">
        <v>8</v>
      </c>
      <c r="CC57">
        <v>11289.6</v>
      </c>
      <c r="CD57">
        <v>12</v>
      </c>
      <c r="CE57">
        <v>16934.400000000001</v>
      </c>
      <c r="CF57">
        <v>9</v>
      </c>
      <c r="CG57">
        <v>12700.800000000001</v>
      </c>
      <c r="CH57">
        <v>10</v>
      </c>
      <c r="CI57">
        <v>14112</v>
      </c>
      <c r="CJ57">
        <v>7</v>
      </c>
      <c r="CK57">
        <v>9878.4</v>
      </c>
      <c r="CL57">
        <v>13</v>
      </c>
      <c r="CM57">
        <v>18345.600000000002</v>
      </c>
      <c r="CN57">
        <v>12</v>
      </c>
      <c r="CO57">
        <v>16934.400000000001</v>
      </c>
      <c r="CP57">
        <v>11</v>
      </c>
      <c r="CQ57">
        <v>15523.2</v>
      </c>
      <c r="CR57">
        <v>10</v>
      </c>
      <c r="CS57">
        <v>14112</v>
      </c>
      <c r="CT57">
        <v>7</v>
      </c>
      <c r="CU57">
        <v>9878.4</v>
      </c>
    </row>
    <row r="58" spans="2:99" x14ac:dyDescent="0.2">
      <c r="C58" s="118" t="s">
        <v>224</v>
      </c>
      <c r="D58">
        <v>5.8735737752948749</v>
      </c>
      <c r="E58">
        <v>6914.3710482771266</v>
      </c>
      <c r="F58">
        <v>14.357555803633737</v>
      </c>
      <c r="G58">
        <v>16901.714692037636</v>
      </c>
      <c r="H58">
        <v>12.856491642484018</v>
      </c>
      <c r="I58">
        <v>15134.661961532187</v>
      </c>
      <c r="J58">
        <v>9.5821734380600088</v>
      </c>
      <c r="K58">
        <v>11280.134571284243</v>
      </c>
      <c r="L58">
        <v>11.449992347752152</v>
      </c>
      <c r="M58">
        <v>13478.930991773834</v>
      </c>
      <c r="N58">
        <v>12</v>
      </c>
      <c r="O58">
        <v>14126.400000000001</v>
      </c>
      <c r="P58">
        <v>12</v>
      </c>
      <c r="Q58">
        <v>14126.400000000001</v>
      </c>
      <c r="R58">
        <v>12.388425975130195</v>
      </c>
      <c r="S58">
        <v>14583.655057923266</v>
      </c>
      <c r="T58">
        <v>12.442426588750912</v>
      </c>
      <c r="U58">
        <v>14647.224580277574</v>
      </c>
      <c r="V58">
        <v>9</v>
      </c>
      <c r="W58">
        <v>10594.800000000001</v>
      </c>
      <c r="X58">
        <v>11</v>
      </c>
      <c r="Y58">
        <v>12949.2</v>
      </c>
      <c r="Z58">
        <v>8</v>
      </c>
      <c r="AA58">
        <v>9417.6</v>
      </c>
      <c r="AB58">
        <v>9.3999981178330607</v>
      </c>
      <c r="AC58">
        <v>11065.67778431308</v>
      </c>
      <c r="AD58">
        <v>10.672708832001298</v>
      </c>
      <c r="AE58">
        <v>12563.912837031929</v>
      </c>
      <c r="AF58">
        <v>12.36424341876597</v>
      </c>
      <c r="AG58">
        <v>14555.1873525713</v>
      </c>
      <c r="AH58">
        <v>8.5379286694101513</v>
      </c>
      <c r="AI58">
        <v>10050.849629629631</v>
      </c>
      <c r="AJ58">
        <v>14</v>
      </c>
      <c r="AK58">
        <v>16480.8</v>
      </c>
      <c r="AL58">
        <v>10.263555841887047</v>
      </c>
      <c r="AM58">
        <v>12082.257937069433</v>
      </c>
      <c r="AN58">
        <v>10</v>
      </c>
      <c r="AO58">
        <v>11772</v>
      </c>
      <c r="AP58">
        <v>10.545841209829868</v>
      </c>
      <c r="AQ58">
        <v>12414.564272211721</v>
      </c>
      <c r="AR58">
        <v>9.6385272797011439</v>
      </c>
      <c r="AS58">
        <v>11346.474313664186</v>
      </c>
      <c r="AT58">
        <v>8</v>
      </c>
      <c r="AU58">
        <v>9417.6</v>
      </c>
      <c r="AV58">
        <v>8.699926515049718</v>
      </c>
      <c r="AW58">
        <v>10241.553493516529</v>
      </c>
      <c r="AX58">
        <v>11.308491798519379</v>
      </c>
      <c r="AY58">
        <v>13312.356545217013</v>
      </c>
      <c r="AZ58">
        <v>12.694599159970782</v>
      </c>
      <c r="BA58">
        <v>14944.082131117604</v>
      </c>
      <c r="BB58">
        <v>12</v>
      </c>
      <c r="BC58">
        <v>14126.400000000001</v>
      </c>
      <c r="BD58">
        <v>12.3</v>
      </c>
      <c r="BE58">
        <v>14479.560000000001</v>
      </c>
      <c r="BF58">
        <v>12.548667966085931</v>
      </c>
      <c r="BG58">
        <v>14772.291929676359</v>
      </c>
      <c r="BH58">
        <v>10.410644240779298</v>
      </c>
      <c r="BI58">
        <v>12255.41040024539</v>
      </c>
      <c r="BJ58">
        <v>7.0490137047348185</v>
      </c>
      <c r="BK58">
        <v>8298.0989332138288</v>
      </c>
      <c r="BL58">
        <v>13.17171626030496</v>
      </c>
      <c r="BM58">
        <v>15505.744381630999</v>
      </c>
      <c r="BN58">
        <v>12.046778150826446</v>
      </c>
      <c r="BO58">
        <v>14181.467239152893</v>
      </c>
      <c r="BP58">
        <v>7</v>
      </c>
      <c r="BQ58">
        <v>8240.4</v>
      </c>
      <c r="BR58">
        <v>12.493442112197119</v>
      </c>
      <c r="BS58">
        <v>14707.28005447845</v>
      </c>
      <c r="BT58">
        <v>13.574154503381987</v>
      </c>
      <c r="BU58">
        <v>15979.494681381275</v>
      </c>
      <c r="BV58">
        <v>9.3929398644314723</v>
      </c>
      <c r="BW58">
        <v>11057.36880840873</v>
      </c>
      <c r="BX58">
        <v>10.514954284098406</v>
      </c>
      <c r="BY58">
        <v>12378.204183240645</v>
      </c>
      <c r="BZ58">
        <v>13</v>
      </c>
      <c r="CA58">
        <v>15303.6</v>
      </c>
      <c r="CB58">
        <v>7.0999941055330629</v>
      </c>
      <c r="CC58">
        <v>8358.1130610335222</v>
      </c>
      <c r="CD58">
        <v>13.787181541419644</v>
      </c>
      <c r="CE58">
        <v>16230.270110559206</v>
      </c>
      <c r="CF58">
        <v>9.4904697594118961</v>
      </c>
      <c r="CG58">
        <v>11172.181000779685</v>
      </c>
      <c r="CH58">
        <v>10.612383187967248</v>
      </c>
      <c r="CI58">
        <v>12492.897488875045</v>
      </c>
      <c r="CJ58">
        <v>7.4980030679509682</v>
      </c>
      <c r="CK58">
        <v>8826.6492115918809</v>
      </c>
      <c r="CL58">
        <v>14.560041623309052</v>
      </c>
      <c r="CM58">
        <v>17140.080998959416</v>
      </c>
      <c r="CN58">
        <v>13.637610687235465</v>
      </c>
      <c r="CO58">
        <v>16054.195301013591</v>
      </c>
      <c r="CP58">
        <v>12.634561450860474</v>
      </c>
      <c r="CQ58">
        <v>14873.40573995295</v>
      </c>
      <c r="CR58">
        <v>11.040797505217819</v>
      </c>
      <c r="CS58">
        <v>12997.226823142417</v>
      </c>
      <c r="CT58">
        <v>7.6741124260355029</v>
      </c>
      <c r="CU58">
        <v>9033.9651479289951</v>
      </c>
    </row>
    <row r="59" spans="2:99" x14ac:dyDescent="0.2">
      <c r="C59" s="118" t="s">
        <v>225</v>
      </c>
      <c r="D59">
        <v>9</v>
      </c>
      <c r="E59">
        <v>2732.3999999999996</v>
      </c>
      <c r="F59">
        <v>15</v>
      </c>
      <c r="G59">
        <v>4553.9999999999991</v>
      </c>
      <c r="H59">
        <v>13</v>
      </c>
      <c r="I59">
        <v>3946.7999999999997</v>
      </c>
      <c r="J59">
        <v>9</v>
      </c>
      <c r="K59">
        <v>2732.3999999999996</v>
      </c>
      <c r="L59">
        <v>10</v>
      </c>
      <c r="M59">
        <v>3035.9999999999995</v>
      </c>
      <c r="N59">
        <v>13</v>
      </c>
      <c r="O59">
        <v>3946.7999999999997</v>
      </c>
      <c r="P59">
        <v>15</v>
      </c>
      <c r="Q59">
        <v>4553.9999999999991</v>
      </c>
      <c r="R59">
        <v>12</v>
      </c>
      <c r="S59">
        <v>3643.2</v>
      </c>
      <c r="T59">
        <v>15</v>
      </c>
      <c r="U59">
        <v>4553.9999999999991</v>
      </c>
      <c r="V59">
        <v>9</v>
      </c>
      <c r="W59">
        <v>2732.3999999999996</v>
      </c>
      <c r="X59">
        <v>11</v>
      </c>
      <c r="Y59">
        <v>3339.5999999999995</v>
      </c>
      <c r="Z59">
        <v>8</v>
      </c>
      <c r="AA59">
        <v>2428.7999999999997</v>
      </c>
      <c r="AB59">
        <v>9</v>
      </c>
      <c r="AC59">
        <v>2732.3999999999996</v>
      </c>
      <c r="AD59">
        <v>11</v>
      </c>
      <c r="AE59">
        <v>3339.5999999999995</v>
      </c>
      <c r="AF59">
        <v>14</v>
      </c>
      <c r="AG59">
        <v>4250.3999999999996</v>
      </c>
      <c r="AH59">
        <v>9</v>
      </c>
      <c r="AI59">
        <v>2732.3999999999996</v>
      </c>
      <c r="AJ59">
        <v>13</v>
      </c>
      <c r="AK59">
        <v>3946.7999999999997</v>
      </c>
      <c r="AL59">
        <v>11</v>
      </c>
      <c r="AM59">
        <v>3339.5999999999995</v>
      </c>
      <c r="AN59">
        <v>10</v>
      </c>
      <c r="AO59">
        <v>3035.9999999999995</v>
      </c>
      <c r="AP59">
        <v>12</v>
      </c>
      <c r="AQ59">
        <v>3643.2</v>
      </c>
      <c r="AR59">
        <v>9</v>
      </c>
      <c r="AS59">
        <v>2732.3999999999996</v>
      </c>
      <c r="AT59">
        <v>8</v>
      </c>
      <c r="AU59">
        <v>2428.7999999999997</v>
      </c>
      <c r="AV59">
        <v>8</v>
      </c>
      <c r="AW59">
        <v>2428.7999999999997</v>
      </c>
      <c r="AX59">
        <v>11</v>
      </c>
      <c r="AY59">
        <v>3339.5999999999995</v>
      </c>
      <c r="AZ59">
        <v>12</v>
      </c>
      <c r="BA59">
        <v>3643.2</v>
      </c>
      <c r="BB59">
        <v>14</v>
      </c>
      <c r="BC59">
        <v>4250.3999999999996</v>
      </c>
      <c r="BD59">
        <v>13</v>
      </c>
      <c r="BE59">
        <v>3946.7999999999997</v>
      </c>
      <c r="BF59">
        <v>15</v>
      </c>
      <c r="BG59">
        <v>4553.9999999999991</v>
      </c>
      <c r="BH59">
        <v>13</v>
      </c>
      <c r="BI59">
        <v>3946.7999999999997</v>
      </c>
      <c r="BJ59">
        <v>9</v>
      </c>
      <c r="BK59">
        <v>2732.3999999999996</v>
      </c>
      <c r="BL59">
        <v>15</v>
      </c>
      <c r="BM59">
        <v>4553.9999999999991</v>
      </c>
      <c r="BN59">
        <v>15</v>
      </c>
      <c r="BO59">
        <v>4553.9999999999991</v>
      </c>
      <c r="BP59">
        <v>8</v>
      </c>
      <c r="BQ59">
        <v>2428.7999999999997</v>
      </c>
      <c r="BR59">
        <v>14</v>
      </c>
      <c r="BS59">
        <v>4250.3999999999996</v>
      </c>
      <c r="BT59">
        <v>14</v>
      </c>
      <c r="BU59">
        <v>4250.3999999999996</v>
      </c>
      <c r="BV59">
        <v>9</v>
      </c>
      <c r="BW59">
        <v>2732.3999999999996</v>
      </c>
      <c r="BX59">
        <v>10</v>
      </c>
      <c r="BY59">
        <v>3035.9999999999995</v>
      </c>
      <c r="BZ59">
        <v>13</v>
      </c>
      <c r="CA59">
        <v>3946.7999999999997</v>
      </c>
      <c r="CB59">
        <v>9</v>
      </c>
      <c r="CC59">
        <v>2732.3999999999996</v>
      </c>
      <c r="CD59">
        <v>13</v>
      </c>
      <c r="CE59">
        <v>3946.7999999999997</v>
      </c>
      <c r="CF59">
        <v>10</v>
      </c>
      <c r="CG59">
        <v>3035.9999999999995</v>
      </c>
      <c r="CH59">
        <v>10</v>
      </c>
      <c r="CI59">
        <v>3035.9999999999995</v>
      </c>
      <c r="CJ59">
        <v>9</v>
      </c>
      <c r="CK59">
        <v>2732.3999999999996</v>
      </c>
      <c r="CL59">
        <v>13</v>
      </c>
      <c r="CM59">
        <v>3946.7999999999997</v>
      </c>
      <c r="CN59">
        <v>14</v>
      </c>
      <c r="CO59">
        <v>4250.3999999999996</v>
      </c>
      <c r="CP59">
        <v>11</v>
      </c>
      <c r="CQ59">
        <v>3339.5999999999995</v>
      </c>
      <c r="CR59">
        <v>11</v>
      </c>
      <c r="CS59">
        <v>3339.5999999999995</v>
      </c>
      <c r="CT59">
        <v>8</v>
      </c>
      <c r="CU59">
        <v>2428.7999999999997</v>
      </c>
    </row>
    <row r="60" spans="2:99" x14ac:dyDescent="0.2">
      <c r="C60" s="118" t="s">
        <v>226</v>
      </c>
      <c r="D60">
        <v>9</v>
      </c>
      <c r="E60">
        <v>5864.4000000000005</v>
      </c>
      <c r="F60">
        <v>15</v>
      </c>
      <c r="G60">
        <v>9774</v>
      </c>
      <c r="H60">
        <v>12</v>
      </c>
      <c r="I60">
        <v>7819.2000000000007</v>
      </c>
      <c r="J60">
        <v>10</v>
      </c>
      <c r="K60">
        <v>6516</v>
      </c>
      <c r="L60">
        <v>11</v>
      </c>
      <c r="M60">
        <v>7167.6</v>
      </c>
      <c r="N60">
        <v>13</v>
      </c>
      <c r="O60">
        <v>8470.8000000000011</v>
      </c>
      <c r="P60">
        <v>14</v>
      </c>
      <c r="Q60">
        <v>9122.4</v>
      </c>
      <c r="R60">
        <v>11</v>
      </c>
      <c r="S60">
        <v>7167.6</v>
      </c>
      <c r="T60">
        <v>13</v>
      </c>
      <c r="U60">
        <v>8470.8000000000011</v>
      </c>
      <c r="V60">
        <v>9</v>
      </c>
      <c r="W60">
        <v>5864.4000000000005</v>
      </c>
      <c r="X60">
        <v>10</v>
      </c>
      <c r="Y60">
        <v>6516</v>
      </c>
      <c r="Z60">
        <v>8</v>
      </c>
      <c r="AA60">
        <v>5212.8</v>
      </c>
      <c r="AB60">
        <v>10</v>
      </c>
      <c r="AC60">
        <v>6516</v>
      </c>
      <c r="AD60">
        <v>10</v>
      </c>
      <c r="AE60">
        <v>6516</v>
      </c>
      <c r="AF60">
        <v>11</v>
      </c>
      <c r="AG60">
        <v>7167.6</v>
      </c>
      <c r="AH60">
        <v>8</v>
      </c>
      <c r="AI60">
        <v>5212.8</v>
      </c>
      <c r="AJ60">
        <v>15</v>
      </c>
      <c r="AK60">
        <v>9774</v>
      </c>
      <c r="AL60">
        <v>13</v>
      </c>
      <c r="AM60">
        <v>8470.8000000000011</v>
      </c>
      <c r="AN60">
        <v>11</v>
      </c>
      <c r="AO60">
        <v>7167.6</v>
      </c>
      <c r="AP60">
        <v>11</v>
      </c>
      <c r="AQ60">
        <v>7167.6</v>
      </c>
      <c r="AR60">
        <v>10</v>
      </c>
      <c r="AS60">
        <v>6516</v>
      </c>
      <c r="AT60">
        <v>8</v>
      </c>
      <c r="AU60">
        <v>5212.8</v>
      </c>
      <c r="AV60">
        <v>8</v>
      </c>
      <c r="AW60">
        <v>5212.8</v>
      </c>
      <c r="AX60">
        <v>11</v>
      </c>
      <c r="AY60">
        <v>7167.6</v>
      </c>
      <c r="AZ60">
        <v>10</v>
      </c>
      <c r="BA60">
        <v>6516</v>
      </c>
      <c r="BB60">
        <v>14</v>
      </c>
      <c r="BC60">
        <v>9122.4</v>
      </c>
      <c r="BD60">
        <v>12</v>
      </c>
      <c r="BE60">
        <v>7819.2000000000007</v>
      </c>
      <c r="BF60">
        <v>14</v>
      </c>
      <c r="BG60">
        <v>9122.4</v>
      </c>
      <c r="BH60">
        <v>11</v>
      </c>
      <c r="BI60">
        <v>7167.6</v>
      </c>
      <c r="BJ60">
        <v>9</v>
      </c>
      <c r="BK60">
        <v>5864.4000000000005</v>
      </c>
      <c r="BL60">
        <v>13</v>
      </c>
      <c r="BM60">
        <v>8470.8000000000011</v>
      </c>
      <c r="BN60">
        <v>12</v>
      </c>
      <c r="BO60">
        <v>7819.2000000000007</v>
      </c>
      <c r="BP60">
        <v>8</v>
      </c>
      <c r="BQ60">
        <v>5212.8</v>
      </c>
      <c r="BR60">
        <v>13</v>
      </c>
      <c r="BS60">
        <v>8470.8000000000011</v>
      </c>
      <c r="BT60">
        <v>12</v>
      </c>
      <c r="BU60">
        <v>7819.2000000000007</v>
      </c>
      <c r="BV60">
        <v>9</v>
      </c>
      <c r="BW60">
        <v>5864.4000000000005</v>
      </c>
      <c r="BX60">
        <v>10</v>
      </c>
      <c r="BY60">
        <v>6516</v>
      </c>
      <c r="BZ60">
        <v>14</v>
      </c>
      <c r="CA60">
        <v>9122.4</v>
      </c>
      <c r="CB60">
        <v>8</v>
      </c>
      <c r="CC60">
        <v>5212.8</v>
      </c>
      <c r="CD60">
        <v>13</v>
      </c>
      <c r="CE60">
        <v>8470.8000000000011</v>
      </c>
      <c r="CF60">
        <v>9</v>
      </c>
      <c r="CG60">
        <v>5864.4000000000005</v>
      </c>
      <c r="CH60">
        <v>12</v>
      </c>
      <c r="CI60">
        <v>7819.2000000000007</v>
      </c>
      <c r="CJ60">
        <v>8</v>
      </c>
      <c r="CK60">
        <v>5212.8</v>
      </c>
      <c r="CL60">
        <v>15</v>
      </c>
      <c r="CM60">
        <v>9774</v>
      </c>
      <c r="CN60">
        <v>15</v>
      </c>
      <c r="CO60">
        <v>9774</v>
      </c>
      <c r="CP60">
        <v>11</v>
      </c>
      <c r="CQ60">
        <v>7167.6</v>
      </c>
      <c r="CR60">
        <v>11</v>
      </c>
      <c r="CS60">
        <v>7167.6</v>
      </c>
      <c r="CT60">
        <v>7</v>
      </c>
      <c r="CU60">
        <v>4561.2</v>
      </c>
    </row>
    <row r="61" spans="2:99" x14ac:dyDescent="0.2">
      <c r="C61" s="118" t="s">
        <v>227</v>
      </c>
      <c r="D61">
        <v>9</v>
      </c>
      <c r="E61">
        <v>8564.4</v>
      </c>
      <c r="F61">
        <v>12</v>
      </c>
      <c r="G61">
        <v>11419.199999999999</v>
      </c>
      <c r="H61">
        <v>11</v>
      </c>
      <c r="I61">
        <v>10467.599999999999</v>
      </c>
      <c r="J61">
        <v>9</v>
      </c>
      <c r="K61">
        <v>8564.4</v>
      </c>
      <c r="L61">
        <v>11</v>
      </c>
      <c r="M61">
        <v>10467.599999999999</v>
      </c>
      <c r="N61">
        <v>12</v>
      </c>
      <c r="O61">
        <v>11419.199999999999</v>
      </c>
      <c r="P61">
        <v>13</v>
      </c>
      <c r="Q61">
        <v>12370.8</v>
      </c>
      <c r="R61">
        <v>11</v>
      </c>
      <c r="S61">
        <v>10467.599999999999</v>
      </c>
      <c r="T61">
        <v>12</v>
      </c>
      <c r="U61">
        <v>11419.199999999999</v>
      </c>
      <c r="V61">
        <v>10</v>
      </c>
      <c r="W61">
        <v>9516</v>
      </c>
      <c r="X61">
        <v>10</v>
      </c>
      <c r="Y61">
        <v>9516</v>
      </c>
      <c r="Z61">
        <v>8</v>
      </c>
      <c r="AA61">
        <v>7612.7999999999993</v>
      </c>
      <c r="AB61">
        <v>8</v>
      </c>
      <c r="AC61">
        <v>7612.7999999999993</v>
      </c>
      <c r="AD61">
        <v>11</v>
      </c>
      <c r="AE61">
        <v>10467.599999999999</v>
      </c>
      <c r="AF61">
        <v>12</v>
      </c>
      <c r="AG61">
        <v>11419.199999999999</v>
      </c>
      <c r="AH61">
        <v>7</v>
      </c>
      <c r="AI61">
        <v>6661.1999999999989</v>
      </c>
      <c r="AJ61">
        <v>13</v>
      </c>
      <c r="AK61">
        <v>12370.8</v>
      </c>
      <c r="AL61">
        <v>11</v>
      </c>
      <c r="AM61">
        <v>10467.599999999999</v>
      </c>
      <c r="AN61">
        <v>11</v>
      </c>
      <c r="AO61">
        <v>10467.599999999999</v>
      </c>
      <c r="AP61">
        <v>12</v>
      </c>
      <c r="AQ61">
        <v>11419.199999999999</v>
      </c>
      <c r="AR61">
        <v>8</v>
      </c>
      <c r="AS61">
        <v>7612.7999999999993</v>
      </c>
      <c r="AT61">
        <v>7</v>
      </c>
      <c r="AU61">
        <v>6661.1999999999989</v>
      </c>
      <c r="AV61">
        <v>8</v>
      </c>
      <c r="AW61">
        <v>7612.7999999999993</v>
      </c>
      <c r="AX61">
        <v>11</v>
      </c>
      <c r="AY61">
        <v>10467.599999999999</v>
      </c>
      <c r="AZ61">
        <v>11</v>
      </c>
      <c r="BA61">
        <v>10467.599999999999</v>
      </c>
      <c r="BB61">
        <v>12</v>
      </c>
      <c r="BC61">
        <v>11419.199999999999</v>
      </c>
      <c r="BD61">
        <v>11</v>
      </c>
      <c r="BE61">
        <v>10467.599999999999</v>
      </c>
      <c r="BF61">
        <v>12</v>
      </c>
      <c r="BG61">
        <v>11419.199999999999</v>
      </c>
      <c r="BH61">
        <v>11</v>
      </c>
      <c r="BI61">
        <v>10467.599999999999</v>
      </c>
      <c r="BJ61">
        <v>9</v>
      </c>
      <c r="BK61">
        <v>8564.4</v>
      </c>
      <c r="BL61">
        <v>12</v>
      </c>
      <c r="BM61">
        <v>11419.199999999999</v>
      </c>
      <c r="BN61">
        <v>12</v>
      </c>
      <c r="BO61">
        <v>11419.199999999999</v>
      </c>
      <c r="BP61">
        <v>8</v>
      </c>
      <c r="BQ61">
        <v>7612.7999999999993</v>
      </c>
      <c r="BR61">
        <v>13</v>
      </c>
      <c r="BS61">
        <v>12370.8</v>
      </c>
      <c r="BT61">
        <v>12</v>
      </c>
      <c r="BU61">
        <v>11419.199999999999</v>
      </c>
      <c r="BV61">
        <v>9</v>
      </c>
      <c r="BW61">
        <v>8564.4</v>
      </c>
      <c r="BX61">
        <v>9</v>
      </c>
      <c r="BY61">
        <v>8564.4</v>
      </c>
      <c r="BZ61">
        <v>12</v>
      </c>
      <c r="CA61">
        <v>11419.199999999999</v>
      </c>
      <c r="CB61">
        <v>8</v>
      </c>
      <c r="CC61">
        <v>7612.7999999999993</v>
      </c>
      <c r="CD61">
        <v>13</v>
      </c>
      <c r="CE61">
        <v>12370.8</v>
      </c>
      <c r="CF61">
        <v>10</v>
      </c>
      <c r="CG61">
        <v>9516</v>
      </c>
      <c r="CH61">
        <v>11</v>
      </c>
      <c r="CI61">
        <v>10467.599999999999</v>
      </c>
      <c r="CJ61">
        <v>8</v>
      </c>
      <c r="CK61">
        <v>7612.7999999999993</v>
      </c>
      <c r="CL61">
        <v>12</v>
      </c>
      <c r="CM61">
        <v>11419.199999999999</v>
      </c>
      <c r="CN61">
        <v>15</v>
      </c>
      <c r="CO61">
        <v>14273.999999999998</v>
      </c>
      <c r="CP61">
        <v>12</v>
      </c>
      <c r="CQ61">
        <v>11419.199999999999</v>
      </c>
      <c r="CR61">
        <v>10</v>
      </c>
      <c r="CS61">
        <v>9516</v>
      </c>
      <c r="CT61">
        <v>8</v>
      </c>
      <c r="CU61">
        <v>7612.7999999999993</v>
      </c>
    </row>
    <row r="62" spans="2:99" x14ac:dyDescent="0.2">
      <c r="C62" s="118" t="s">
        <v>228</v>
      </c>
      <c r="D62">
        <v>8</v>
      </c>
      <c r="E62">
        <v>13641.6</v>
      </c>
      <c r="F62">
        <v>12</v>
      </c>
      <c r="G62">
        <v>20462.400000000001</v>
      </c>
      <c r="H62">
        <v>12</v>
      </c>
      <c r="I62">
        <v>20462.400000000001</v>
      </c>
      <c r="J62">
        <v>8</v>
      </c>
      <c r="K62">
        <v>13641.6</v>
      </c>
      <c r="L62">
        <v>9</v>
      </c>
      <c r="M62">
        <v>15346.800000000001</v>
      </c>
      <c r="N62">
        <v>13</v>
      </c>
      <c r="O62">
        <v>22167.600000000002</v>
      </c>
      <c r="P62">
        <v>11</v>
      </c>
      <c r="Q62">
        <v>18757.2</v>
      </c>
      <c r="R62">
        <v>11</v>
      </c>
      <c r="S62">
        <v>18757.2</v>
      </c>
      <c r="T62">
        <v>11</v>
      </c>
      <c r="U62">
        <v>18757.2</v>
      </c>
      <c r="V62">
        <v>9</v>
      </c>
      <c r="W62">
        <v>15346.800000000001</v>
      </c>
      <c r="X62">
        <v>10</v>
      </c>
      <c r="Y62">
        <v>17052</v>
      </c>
      <c r="Z62">
        <v>7</v>
      </c>
      <c r="AA62">
        <v>11936.4</v>
      </c>
      <c r="AB62">
        <v>9</v>
      </c>
      <c r="AC62">
        <v>15346.800000000001</v>
      </c>
      <c r="AD62">
        <v>10</v>
      </c>
      <c r="AE62">
        <v>17052</v>
      </c>
      <c r="AF62">
        <v>10</v>
      </c>
      <c r="AG62">
        <v>17052</v>
      </c>
      <c r="AH62">
        <v>7</v>
      </c>
      <c r="AI62">
        <v>11936.4</v>
      </c>
      <c r="AJ62">
        <v>13</v>
      </c>
      <c r="AK62">
        <v>22167.600000000002</v>
      </c>
      <c r="AL62">
        <v>11</v>
      </c>
      <c r="AM62">
        <v>18757.2</v>
      </c>
      <c r="AN62">
        <v>9</v>
      </c>
      <c r="AO62">
        <v>15346.800000000001</v>
      </c>
      <c r="AP62">
        <v>11</v>
      </c>
      <c r="AQ62">
        <v>18757.2</v>
      </c>
      <c r="AR62">
        <v>8</v>
      </c>
      <c r="AS62">
        <v>13641.6</v>
      </c>
      <c r="AT62">
        <v>7</v>
      </c>
      <c r="AU62">
        <v>11936.4</v>
      </c>
      <c r="AV62">
        <v>7</v>
      </c>
      <c r="AW62">
        <v>11936.4</v>
      </c>
      <c r="AX62">
        <v>11</v>
      </c>
      <c r="AY62">
        <v>18757.2</v>
      </c>
      <c r="AZ62">
        <v>10</v>
      </c>
      <c r="BA62">
        <v>17052</v>
      </c>
      <c r="BB62">
        <v>11</v>
      </c>
      <c r="BC62">
        <v>18757.2</v>
      </c>
      <c r="BD62">
        <v>11</v>
      </c>
      <c r="BE62">
        <v>18757.2</v>
      </c>
      <c r="BF62">
        <v>13</v>
      </c>
      <c r="BG62">
        <v>22167.600000000002</v>
      </c>
      <c r="BH62">
        <v>9</v>
      </c>
      <c r="BI62">
        <v>15346.800000000001</v>
      </c>
      <c r="BJ62">
        <v>8</v>
      </c>
      <c r="BK62">
        <v>13641.6</v>
      </c>
      <c r="BL62">
        <v>11</v>
      </c>
      <c r="BM62">
        <v>18757.2</v>
      </c>
      <c r="BN62">
        <v>13</v>
      </c>
      <c r="BO62">
        <v>22167.600000000002</v>
      </c>
      <c r="BP62">
        <v>7</v>
      </c>
      <c r="BQ62">
        <v>11936.4</v>
      </c>
      <c r="BR62">
        <v>12</v>
      </c>
      <c r="BS62">
        <v>20462.400000000001</v>
      </c>
      <c r="BT62">
        <v>10</v>
      </c>
      <c r="BU62">
        <v>17052</v>
      </c>
      <c r="BV62">
        <v>7</v>
      </c>
      <c r="BW62">
        <v>11936.4</v>
      </c>
      <c r="BX62">
        <v>9</v>
      </c>
      <c r="BY62">
        <v>15346.800000000001</v>
      </c>
      <c r="BZ62">
        <v>12</v>
      </c>
      <c r="CA62">
        <v>20462.400000000001</v>
      </c>
      <c r="CB62">
        <v>7</v>
      </c>
      <c r="CC62">
        <v>11936.4</v>
      </c>
      <c r="CD62">
        <v>11</v>
      </c>
      <c r="CE62">
        <v>18757.2</v>
      </c>
      <c r="CF62">
        <v>9</v>
      </c>
      <c r="CG62">
        <v>15346.800000000001</v>
      </c>
      <c r="CH62">
        <v>9</v>
      </c>
      <c r="CI62">
        <v>15346.800000000001</v>
      </c>
      <c r="CJ62">
        <v>8</v>
      </c>
      <c r="CK62">
        <v>13641.6</v>
      </c>
      <c r="CL62">
        <v>13</v>
      </c>
      <c r="CM62">
        <v>22167.600000000002</v>
      </c>
      <c r="CN62">
        <v>14</v>
      </c>
      <c r="CO62">
        <v>23872.799999999999</v>
      </c>
      <c r="CP62">
        <v>10</v>
      </c>
      <c r="CQ62">
        <v>17052</v>
      </c>
      <c r="CR62">
        <v>9</v>
      </c>
      <c r="CS62">
        <v>15346.800000000001</v>
      </c>
      <c r="CT62">
        <v>7</v>
      </c>
      <c r="CU62">
        <v>11936.4</v>
      </c>
    </row>
    <row r="63" spans="2:99" x14ac:dyDescent="0.2">
      <c r="C63" s="118" t="s">
        <v>229</v>
      </c>
      <c r="D63">
        <v>9</v>
      </c>
      <c r="E63">
        <v>7160.4000000000005</v>
      </c>
      <c r="F63">
        <v>13</v>
      </c>
      <c r="G63">
        <v>10342.800000000001</v>
      </c>
      <c r="H63">
        <v>12</v>
      </c>
      <c r="I63">
        <v>9547.2000000000007</v>
      </c>
      <c r="J63">
        <v>9</v>
      </c>
      <c r="K63">
        <v>7160.4000000000005</v>
      </c>
      <c r="L63">
        <v>10</v>
      </c>
      <c r="M63">
        <v>7956</v>
      </c>
      <c r="N63">
        <v>13</v>
      </c>
      <c r="O63">
        <v>10342.800000000001</v>
      </c>
      <c r="P63">
        <v>14</v>
      </c>
      <c r="Q63">
        <v>11138.4</v>
      </c>
      <c r="R63">
        <v>13</v>
      </c>
      <c r="S63">
        <v>10342.800000000001</v>
      </c>
      <c r="T63">
        <v>14</v>
      </c>
      <c r="U63">
        <v>11138.4</v>
      </c>
      <c r="V63">
        <v>9</v>
      </c>
      <c r="W63">
        <v>7160.4000000000005</v>
      </c>
      <c r="X63">
        <v>11</v>
      </c>
      <c r="Y63">
        <v>8751.6</v>
      </c>
      <c r="Z63">
        <v>8</v>
      </c>
      <c r="AA63">
        <v>6364.8</v>
      </c>
      <c r="AB63">
        <v>8</v>
      </c>
      <c r="AC63">
        <v>6364.8</v>
      </c>
      <c r="AD63">
        <v>10</v>
      </c>
      <c r="AE63">
        <v>7956</v>
      </c>
      <c r="AF63">
        <v>11</v>
      </c>
      <c r="AG63">
        <v>8751.6</v>
      </c>
      <c r="AH63">
        <v>8</v>
      </c>
      <c r="AI63">
        <v>6364.8</v>
      </c>
      <c r="AJ63">
        <v>15</v>
      </c>
      <c r="AK63">
        <v>11934</v>
      </c>
      <c r="AL63">
        <v>11</v>
      </c>
      <c r="AM63">
        <v>8751.6</v>
      </c>
      <c r="AN63">
        <v>10</v>
      </c>
      <c r="AO63">
        <v>7956</v>
      </c>
      <c r="AP63">
        <v>12</v>
      </c>
      <c r="AQ63">
        <v>9547.2000000000007</v>
      </c>
      <c r="AR63">
        <v>8</v>
      </c>
      <c r="AS63">
        <v>6364.8</v>
      </c>
      <c r="AT63">
        <v>8</v>
      </c>
      <c r="AU63">
        <v>6364.8</v>
      </c>
      <c r="AV63">
        <v>8</v>
      </c>
      <c r="AW63">
        <v>6364.8</v>
      </c>
      <c r="AX63">
        <v>10</v>
      </c>
      <c r="AY63">
        <v>7956</v>
      </c>
      <c r="AZ63">
        <v>10</v>
      </c>
      <c r="BA63">
        <v>7956</v>
      </c>
      <c r="BB63">
        <v>12</v>
      </c>
      <c r="BC63">
        <v>9547.2000000000007</v>
      </c>
      <c r="BD63">
        <v>12</v>
      </c>
      <c r="BE63">
        <v>9547.2000000000007</v>
      </c>
      <c r="BF63">
        <v>15</v>
      </c>
      <c r="BG63">
        <v>11934</v>
      </c>
      <c r="BH63">
        <v>11</v>
      </c>
      <c r="BI63">
        <v>8751.6</v>
      </c>
      <c r="BJ63">
        <v>9</v>
      </c>
      <c r="BK63">
        <v>7160.4000000000005</v>
      </c>
      <c r="BL63">
        <v>13</v>
      </c>
      <c r="BM63">
        <v>10342.800000000001</v>
      </c>
      <c r="BN63">
        <v>13</v>
      </c>
      <c r="BO63">
        <v>10342.800000000001</v>
      </c>
      <c r="BP63">
        <v>8</v>
      </c>
      <c r="BQ63">
        <v>6364.8</v>
      </c>
      <c r="BR63">
        <v>12</v>
      </c>
      <c r="BS63">
        <v>9547.2000000000007</v>
      </c>
      <c r="BT63">
        <v>12</v>
      </c>
      <c r="BU63">
        <v>9547.2000000000007</v>
      </c>
      <c r="BV63">
        <v>9</v>
      </c>
      <c r="BW63">
        <v>7160.4000000000005</v>
      </c>
      <c r="BX63">
        <v>9</v>
      </c>
      <c r="BY63">
        <v>7160.4000000000005</v>
      </c>
      <c r="BZ63">
        <v>13</v>
      </c>
      <c r="CA63">
        <v>10342.800000000001</v>
      </c>
      <c r="CB63">
        <v>7</v>
      </c>
      <c r="CC63">
        <v>5569.2</v>
      </c>
      <c r="CD63">
        <v>13</v>
      </c>
      <c r="CE63">
        <v>10342.800000000001</v>
      </c>
      <c r="CF63">
        <v>10</v>
      </c>
      <c r="CG63">
        <v>7956</v>
      </c>
      <c r="CH63">
        <v>12</v>
      </c>
      <c r="CI63">
        <v>9547.2000000000007</v>
      </c>
      <c r="CJ63">
        <v>8</v>
      </c>
      <c r="CK63">
        <v>6364.8</v>
      </c>
      <c r="CL63">
        <v>13</v>
      </c>
      <c r="CM63">
        <v>10342.800000000001</v>
      </c>
      <c r="CN63">
        <v>14</v>
      </c>
      <c r="CO63">
        <v>11138.4</v>
      </c>
      <c r="CP63">
        <v>13</v>
      </c>
      <c r="CQ63">
        <v>10342.800000000001</v>
      </c>
      <c r="CR63">
        <v>12</v>
      </c>
      <c r="CS63">
        <v>9547.2000000000007</v>
      </c>
      <c r="CT63">
        <v>9</v>
      </c>
      <c r="CU63">
        <v>7160.4000000000005</v>
      </c>
    </row>
    <row r="64" spans="2:99" x14ac:dyDescent="0.2">
      <c r="C64" s="118" t="s">
        <v>230</v>
      </c>
      <c r="D64">
        <v>9</v>
      </c>
      <c r="E64">
        <v>9082.7999999999993</v>
      </c>
      <c r="F64">
        <v>12</v>
      </c>
      <c r="G64">
        <v>12110.399999999998</v>
      </c>
      <c r="H64">
        <v>12</v>
      </c>
      <c r="I64">
        <v>12110.399999999998</v>
      </c>
      <c r="J64">
        <v>9</v>
      </c>
      <c r="K64">
        <v>9082.7999999999993</v>
      </c>
      <c r="L64">
        <v>10</v>
      </c>
      <c r="M64">
        <v>10091.999999999998</v>
      </c>
      <c r="N64">
        <v>13</v>
      </c>
      <c r="O64">
        <v>13119.599999999999</v>
      </c>
      <c r="P64">
        <v>13</v>
      </c>
      <c r="Q64">
        <v>13119.599999999999</v>
      </c>
      <c r="R64">
        <v>12</v>
      </c>
      <c r="S64">
        <v>12110.399999999998</v>
      </c>
      <c r="T64">
        <v>13</v>
      </c>
      <c r="U64">
        <v>13119.599999999999</v>
      </c>
      <c r="V64">
        <v>9</v>
      </c>
      <c r="W64">
        <v>9082.7999999999993</v>
      </c>
      <c r="X64">
        <v>10</v>
      </c>
      <c r="Y64">
        <v>10091.999999999998</v>
      </c>
      <c r="Z64">
        <v>8</v>
      </c>
      <c r="AA64">
        <v>8073.5999999999985</v>
      </c>
      <c r="AB64">
        <v>10</v>
      </c>
      <c r="AC64">
        <v>10091.999999999998</v>
      </c>
      <c r="AD64">
        <v>10</v>
      </c>
      <c r="AE64">
        <v>10091.999999999998</v>
      </c>
      <c r="AF64">
        <v>12</v>
      </c>
      <c r="AG64">
        <v>12110.399999999998</v>
      </c>
      <c r="AH64">
        <v>8</v>
      </c>
      <c r="AI64">
        <v>8073.5999999999985</v>
      </c>
      <c r="AJ64">
        <v>13</v>
      </c>
      <c r="AK64">
        <v>13119.599999999999</v>
      </c>
      <c r="AL64">
        <v>11</v>
      </c>
      <c r="AM64">
        <v>11101.199999999997</v>
      </c>
      <c r="AN64">
        <v>10</v>
      </c>
      <c r="AO64">
        <v>10091.999999999998</v>
      </c>
      <c r="AP64">
        <v>12</v>
      </c>
      <c r="AQ64">
        <v>12110.399999999998</v>
      </c>
      <c r="AR64">
        <v>9</v>
      </c>
      <c r="AS64">
        <v>9082.7999999999993</v>
      </c>
      <c r="AT64">
        <v>8</v>
      </c>
      <c r="AU64">
        <v>8073.5999999999985</v>
      </c>
      <c r="AV64">
        <v>8</v>
      </c>
      <c r="AW64">
        <v>8073.5999999999985</v>
      </c>
      <c r="AX64">
        <v>11</v>
      </c>
      <c r="AY64">
        <v>11101.199999999997</v>
      </c>
      <c r="AZ64">
        <v>11</v>
      </c>
      <c r="BA64">
        <v>11101.199999999997</v>
      </c>
      <c r="BB64">
        <v>13</v>
      </c>
      <c r="BC64">
        <v>13119.599999999999</v>
      </c>
      <c r="BD64">
        <v>12</v>
      </c>
      <c r="BE64">
        <v>12110.399999999998</v>
      </c>
      <c r="BF64">
        <v>14</v>
      </c>
      <c r="BG64">
        <v>14128.799999999997</v>
      </c>
      <c r="BH64">
        <v>10</v>
      </c>
      <c r="BI64">
        <v>10091.999999999998</v>
      </c>
      <c r="BJ64">
        <v>8</v>
      </c>
      <c r="BK64">
        <v>8073.5999999999985</v>
      </c>
      <c r="BL64">
        <v>12</v>
      </c>
      <c r="BM64">
        <v>12110.399999999998</v>
      </c>
      <c r="BN64">
        <v>14</v>
      </c>
      <c r="BO64">
        <v>14128.799999999997</v>
      </c>
      <c r="BP64">
        <v>8</v>
      </c>
      <c r="BQ64">
        <v>8073.5999999999985</v>
      </c>
      <c r="BR64">
        <v>13</v>
      </c>
      <c r="BS64">
        <v>13119.599999999999</v>
      </c>
      <c r="BT64">
        <v>11</v>
      </c>
      <c r="BU64">
        <v>11101.199999999997</v>
      </c>
      <c r="BV64">
        <v>8</v>
      </c>
      <c r="BW64">
        <v>8073.5999999999985</v>
      </c>
      <c r="BX64">
        <v>10</v>
      </c>
      <c r="BY64">
        <v>10091.999999999998</v>
      </c>
      <c r="BZ64">
        <v>14</v>
      </c>
      <c r="CA64">
        <v>14128.799999999997</v>
      </c>
      <c r="CB64">
        <v>8</v>
      </c>
      <c r="CC64">
        <v>8073.5999999999985</v>
      </c>
      <c r="CD64">
        <v>12</v>
      </c>
      <c r="CE64">
        <v>12110.399999999998</v>
      </c>
      <c r="CF64">
        <v>8</v>
      </c>
      <c r="CG64">
        <v>8073.5999999999985</v>
      </c>
      <c r="CH64">
        <v>11</v>
      </c>
      <c r="CI64">
        <v>11101.199999999997</v>
      </c>
      <c r="CJ64">
        <v>8</v>
      </c>
      <c r="CK64">
        <v>8073.5999999999985</v>
      </c>
      <c r="CL64">
        <v>13</v>
      </c>
      <c r="CM64">
        <v>13119.599999999999</v>
      </c>
      <c r="CN64">
        <v>14</v>
      </c>
      <c r="CO64">
        <v>14128.799999999997</v>
      </c>
      <c r="CP64">
        <v>11</v>
      </c>
      <c r="CQ64">
        <v>11101.199999999997</v>
      </c>
      <c r="CR64">
        <v>11</v>
      </c>
      <c r="CS64">
        <v>11101.199999999997</v>
      </c>
      <c r="CT64">
        <v>7</v>
      </c>
      <c r="CU64">
        <v>7064.3999999999987</v>
      </c>
    </row>
    <row r="65" spans="2:99" x14ac:dyDescent="0.2">
      <c r="C65" s="118" t="s">
        <v>231</v>
      </c>
      <c r="D65">
        <v>8</v>
      </c>
      <c r="E65">
        <v>8208</v>
      </c>
      <c r="F65">
        <v>14</v>
      </c>
      <c r="G65">
        <v>14364</v>
      </c>
      <c r="H65">
        <v>12</v>
      </c>
      <c r="I65">
        <v>12312</v>
      </c>
      <c r="J65">
        <v>9</v>
      </c>
      <c r="K65">
        <v>9234</v>
      </c>
      <c r="L65">
        <v>11</v>
      </c>
      <c r="M65">
        <v>11286</v>
      </c>
      <c r="N65">
        <v>13</v>
      </c>
      <c r="O65">
        <v>13338</v>
      </c>
      <c r="P65">
        <v>14</v>
      </c>
      <c r="Q65">
        <v>14364</v>
      </c>
      <c r="R65">
        <v>11</v>
      </c>
      <c r="S65">
        <v>11286</v>
      </c>
      <c r="T65">
        <v>12</v>
      </c>
      <c r="U65">
        <v>12312</v>
      </c>
      <c r="V65">
        <v>9</v>
      </c>
      <c r="W65">
        <v>9234</v>
      </c>
      <c r="X65">
        <v>11</v>
      </c>
      <c r="Y65">
        <v>11286</v>
      </c>
      <c r="Z65">
        <v>8</v>
      </c>
      <c r="AA65">
        <v>8208</v>
      </c>
      <c r="AB65">
        <v>10</v>
      </c>
      <c r="AC65">
        <v>10260</v>
      </c>
      <c r="AD65">
        <v>11</v>
      </c>
      <c r="AE65">
        <v>11286</v>
      </c>
      <c r="AF65">
        <v>11</v>
      </c>
      <c r="AG65">
        <v>11286</v>
      </c>
      <c r="AH65">
        <v>8</v>
      </c>
      <c r="AI65">
        <v>8208</v>
      </c>
      <c r="AJ65">
        <v>14</v>
      </c>
      <c r="AK65">
        <v>14364</v>
      </c>
      <c r="AL65">
        <v>12</v>
      </c>
      <c r="AM65">
        <v>12312</v>
      </c>
      <c r="AN65">
        <v>10</v>
      </c>
      <c r="AO65">
        <v>10260</v>
      </c>
      <c r="AP65">
        <v>11</v>
      </c>
      <c r="AQ65">
        <v>11286</v>
      </c>
      <c r="AR65">
        <v>8</v>
      </c>
      <c r="AS65">
        <v>8208</v>
      </c>
      <c r="AT65">
        <v>7</v>
      </c>
      <c r="AU65">
        <v>7182</v>
      </c>
      <c r="AV65">
        <v>7</v>
      </c>
      <c r="AW65">
        <v>7182</v>
      </c>
      <c r="AX65">
        <v>11</v>
      </c>
      <c r="AY65">
        <v>11286</v>
      </c>
      <c r="AZ65">
        <v>12</v>
      </c>
      <c r="BA65">
        <v>12312</v>
      </c>
      <c r="BB65">
        <v>12</v>
      </c>
      <c r="BC65">
        <v>12312</v>
      </c>
      <c r="BD65">
        <v>10</v>
      </c>
      <c r="BE65">
        <v>10260</v>
      </c>
      <c r="BF65">
        <v>14</v>
      </c>
      <c r="BG65">
        <v>14364</v>
      </c>
      <c r="BH65">
        <v>10</v>
      </c>
      <c r="BI65">
        <v>10260</v>
      </c>
      <c r="BJ65">
        <v>7</v>
      </c>
      <c r="BK65">
        <v>7182</v>
      </c>
      <c r="BL65">
        <v>13</v>
      </c>
      <c r="BM65">
        <v>13338</v>
      </c>
      <c r="BN65">
        <v>13</v>
      </c>
      <c r="BO65">
        <v>13338</v>
      </c>
      <c r="BP65">
        <v>8</v>
      </c>
      <c r="BQ65">
        <v>8208</v>
      </c>
      <c r="BR65">
        <v>12</v>
      </c>
      <c r="BS65">
        <v>12312</v>
      </c>
      <c r="BT65">
        <v>12</v>
      </c>
      <c r="BU65">
        <v>12312</v>
      </c>
      <c r="BV65">
        <v>8</v>
      </c>
      <c r="BW65">
        <v>8208</v>
      </c>
      <c r="BX65">
        <v>10</v>
      </c>
      <c r="BY65">
        <v>10260</v>
      </c>
      <c r="BZ65">
        <v>13</v>
      </c>
      <c r="CA65">
        <v>13338</v>
      </c>
      <c r="CB65">
        <v>8</v>
      </c>
      <c r="CC65">
        <v>8208</v>
      </c>
      <c r="CD65">
        <v>13</v>
      </c>
      <c r="CE65">
        <v>13338</v>
      </c>
      <c r="CF65">
        <v>8</v>
      </c>
      <c r="CG65">
        <v>8208</v>
      </c>
      <c r="CH65">
        <v>12</v>
      </c>
      <c r="CI65">
        <v>12312</v>
      </c>
      <c r="CJ65">
        <v>7</v>
      </c>
      <c r="CK65">
        <v>7182</v>
      </c>
      <c r="CL65">
        <v>13</v>
      </c>
      <c r="CM65">
        <v>13338</v>
      </c>
      <c r="CN65">
        <v>14</v>
      </c>
      <c r="CO65">
        <v>14364</v>
      </c>
      <c r="CP65">
        <v>12</v>
      </c>
      <c r="CQ65">
        <v>12312</v>
      </c>
      <c r="CR65">
        <v>10</v>
      </c>
      <c r="CS65">
        <v>10260</v>
      </c>
      <c r="CT65">
        <v>8</v>
      </c>
      <c r="CU65">
        <v>8208</v>
      </c>
    </row>
    <row r="66" spans="2:99" x14ac:dyDescent="0.2">
      <c r="C66" s="118" t="s">
        <v>232</v>
      </c>
      <c r="D66">
        <v>10</v>
      </c>
      <c r="E66">
        <v>11903.999999999998</v>
      </c>
      <c r="F66">
        <v>12</v>
      </c>
      <c r="G66">
        <v>14284.8</v>
      </c>
      <c r="H66">
        <v>11</v>
      </c>
      <c r="I66">
        <v>13094.399999999998</v>
      </c>
      <c r="J66">
        <v>10</v>
      </c>
      <c r="K66">
        <v>11903.999999999998</v>
      </c>
      <c r="L66">
        <v>11</v>
      </c>
      <c r="M66">
        <v>13094.399999999998</v>
      </c>
      <c r="N66">
        <v>12</v>
      </c>
      <c r="O66">
        <v>14284.8</v>
      </c>
      <c r="P66">
        <v>12</v>
      </c>
      <c r="Q66">
        <v>14284.8</v>
      </c>
      <c r="R66">
        <v>11</v>
      </c>
      <c r="S66">
        <v>13094.399999999998</v>
      </c>
      <c r="T66">
        <v>14</v>
      </c>
      <c r="U66">
        <v>16665.599999999999</v>
      </c>
      <c r="V66">
        <v>9</v>
      </c>
      <c r="W66">
        <v>10713.599999999999</v>
      </c>
      <c r="X66">
        <v>10</v>
      </c>
      <c r="Y66">
        <v>11903.999999999998</v>
      </c>
      <c r="Z66">
        <v>8</v>
      </c>
      <c r="AA66">
        <v>9523.1999999999989</v>
      </c>
      <c r="AB66">
        <v>9</v>
      </c>
      <c r="AC66">
        <v>10713.599999999999</v>
      </c>
      <c r="AD66">
        <v>10</v>
      </c>
      <c r="AE66">
        <v>11903.999999999998</v>
      </c>
      <c r="AF66">
        <v>12</v>
      </c>
      <c r="AG66">
        <v>14284.8</v>
      </c>
      <c r="AH66">
        <v>7</v>
      </c>
      <c r="AI66">
        <v>8332.7999999999993</v>
      </c>
      <c r="AJ66">
        <v>14</v>
      </c>
      <c r="AK66">
        <v>16665.599999999999</v>
      </c>
      <c r="AL66">
        <v>10</v>
      </c>
      <c r="AM66">
        <v>11903.999999999998</v>
      </c>
      <c r="AN66">
        <v>9</v>
      </c>
      <c r="AO66">
        <v>10713.599999999999</v>
      </c>
      <c r="AP66">
        <v>12</v>
      </c>
      <c r="AQ66">
        <v>14284.8</v>
      </c>
      <c r="AR66">
        <v>9</v>
      </c>
      <c r="AS66">
        <v>10713.599999999999</v>
      </c>
      <c r="AT66">
        <v>8</v>
      </c>
      <c r="AU66">
        <v>9523.1999999999989</v>
      </c>
      <c r="AV66">
        <v>7</v>
      </c>
      <c r="AW66">
        <v>8332.7999999999993</v>
      </c>
      <c r="AX66">
        <v>10</v>
      </c>
      <c r="AY66">
        <v>11903.999999999998</v>
      </c>
      <c r="AZ66">
        <v>10</v>
      </c>
      <c r="BA66">
        <v>11903.999999999998</v>
      </c>
      <c r="BB66">
        <v>11</v>
      </c>
      <c r="BC66">
        <v>13094.399999999998</v>
      </c>
      <c r="BD66">
        <v>10</v>
      </c>
      <c r="BE66">
        <v>11903.999999999998</v>
      </c>
      <c r="BF66">
        <v>13</v>
      </c>
      <c r="BG66">
        <v>15475.199999999999</v>
      </c>
      <c r="BH66">
        <v>11</v>
      </c>
      <c r="BI66">
        <v>13094.399999999998</v>
      </c>
      <c r="BJ66">
        <v>9</v>
      </c>
      <c r="BK66">
        <v>10713.599999999999</v>
      </c>
      <c r="BL66">
        <v>13</v>
      </c>
      <c r="BM66">
        <v>15475.199999999999</v>
      </c>
      <c r="BN66">
        <v>12</v>
      </c>
      <c r="BO66">
        <v>14284.8</v>
      </c>
      <c r="BP66">
        <v>8</v>
      </c>
      <c r="BQ66">
        <v>9523.1999999999989</v>
      </c>
      <c r="BR66">
        <v>13</v>
      </c>
      <c r="BS66">
        <v>15475.199999999999</v>
      </c>
      <c r="BT66">
        <v>12</v>
      </c>
      <c r="BU66">
        <v>14284.8</v>
      </c>
      <c r="BV66">
        <v>7</v>
      </c>
      <c r="BW66">
        <v>8332.7999999999993</v>
      </c>
      <c r="BX66">
        <v>9</v>
      </c>
      <c r="BY66">
        <v>10713.599999999999</v>
      </c>
      <c r="BZ66">
        <v>13</v>
      </c>
      <c r="CA66">
        <v>15475.199999999999</v>
      </c>
      <c r="CB66">
        <v>8</v>
      </c>
      <c r="CC66">
        <v>9523.1999999999989</v>
      </c>
      <c r="CD66">
        <v>13</v>
      </c>
      <c r="CE66">
        <v>15475.199999999999</v>
      </c>
      <c r="CF66">
        <v>8</v>
      </c>
      <c r="CG66">
        <v>9523.1999999999989</v>
      </c>
      <c r="CH66">
        <v>10</v>
      </c>
      <c r="CI66">
        <v>11903.999999999998</v>
      </c>
      <c r="CJ66">
        <v>8</v>
      </c>
      <c r="CK66">
        <v>9523.1999999999989</v>
      </c>
      <c r="CL66">
        <v>12</v>
      </c>
      <c r="CM66">
        <v>14284.8</v>
      </c>
      <c r="CN66">
        <v>13</v>
      </c>
      <c r="CO66">
        <v>15475.199999999999</v>
      </c>
      <c r="CP66">
        <v>11</v>
      </c>
      <c r="CQ66">
        <v>13094.399999999998</v>
      </c>
      <c r="CR66">
        <v>11</v>
      </c>
      <c r="CS66">
        <v>13094.399999999998</v>
      </c>
      <c r="CT66">
        <v>7</v>
      </c>
      <c r="CU66">
        <v>8332.7999999999993</v>
      </c>
    </row>
    <row r="67" spans="2:99" x14ac:dyDescent="0.2">
      <c r="C67" s="118" t="s">
        <v>233</v>
      </c>
      <c r="D67">
        <v>9</v>
      </c>
      <c r="E67">
        <v>10108.800000000001</v>
      </c>
      <c r="F67">
        <v>12</v>
      </c>
      <c r="G67">
        <v>13478.400000000001</v>
      </c>
      <c r="H67">
        <v>11</v>
      </c>
      <c r="I67">
        <v>12355.2</v>
      </c>
      <c r="J67">
        <v>9</v>
      </c>
      <c r="K67">
        <v>10108.800000000001</v>
      </c>
      <c r="L67">
        <v>11</v>
      </c>
      <c r="M67">
        <v>12355.2</v>
      </c>
      <c r="N67">
        <v>13</v>
      </c>
      <c r="O67">
        <v>14601.6</v>
      </c>
      <c r="P67">
        <v>14</v>
      </c>
      <c r="Q67">
        <v>15724.800000000001</v>
      </c>
      <c r="R67">
        <v>11</v>
      </c>
      <c r="S67">
        <v>12355.2</v>
      </c>
      <c r="T67">
        <v>13</v>
      </c>
      <c r="U67">
        <v>14601.6</v>
      </c>
      <c r="V67">
        <v>10</v>
      </c>
      <c r="W67">
        <v>11232</v>
      </c>
      <c r="X67">
        <v>10</v>
      </c>
      <c r="Y67">
        <v>11232</v>
      </c>
      <c r="Z67">
        <v>7</v>
      </c>
      <c r="AA67">
        <v>7862.4000000000005</v>
      </c>
      <c r="AB67">
        <v>10</v>
      </c>
      <c r="AC67">
        <v>11232</v>
      </c>
      <c r="AD67">
        <v>11</v>
      </c>
      <c r="AE67">
        <v>12355.2</v>
      </c>
      <c r="AF67">
        <v>13</v>
      </c>
      <c r="AG67">
        <v>14601.6</v>
      </c>
      <c r="AH67">
        <v>7</v>
      </c>
      <c r="AI67">
        <v>7862.4000000000005</v>
      </c>
      <c r="AJ67">
        <v>14</v>
      </c>
      <c r="AK67">
        <v>15724.800000000001</v>
      </c>
      <c r="AL67">
        <v>11</v>
      </c>
      <c r="AM67">
        <v>12355.2</v>
      </c>
      <c r="AN67">
        <v>9</v>
      </c>
      <c r="AO67">
        <v>10108.800000000001</v>
      </c>
      <c r="AP67">
        <v>12</v>
      </c>
      <c r="AQ67">
        <v>13478.400000000001</v>
      </c>
      <c r="AR67">
        <v>8</v>
      </c>
      <c r="AS67">
        <v>8985.6</v>
      </c>
      <c r="AT67">
        <v>7</v>
      </c>
      <c r="AU67">
        <v>7862.4000000000005</v>
      </c>
      <c r="AV67">
        <v>8</v>
      </c>
      <c r="AW67">
        <v>8985.6</v>
      </c>
      <c r="AX67">
        <v>9</v>
      </c>
      <c r="AY67">
        <v>10108.800000000001</v>
      </c>
      <c r="AZ67">
        <v>11</v>
      </c>
      <c r="BA67">
        <v>12355.2</v>
      </c>
      <c r="BB67">
        <v>12</v>
      </c>
      <c r="BC67">
        <v>13478.400000000001</v>
      </c>
      <c r="BD67">
        <v>10</v>
      </c>
      <c r="BE67">
        <v>11232</v>
      </c>
      <c r="BF67">
        <v>13</v>
      </c>
      <c r="BG67">
        <v>14601.6</v>
      </c>
      <c r="BH67">
        <v>10</v>
      </c>
      <c r="BI67">
        <v>11232</v>
      </c>
      <c r="BJ67">
        <v>8</v>
      </c>
      <c r="BK67">
        <v>8985.6</v>
      </c>
      <c r="BL67">
        <v>12</v>
      </c>
      <c r="BM67">
        <v>13478.400000000001</v>
      </c>
      <c r="BN67">
        <v>12</v>
      </c>
      <c r="BO67">
        <v>13478.400000000001</v>
      </c>
      <c r="BP67">
        <v>8</v>
      </c>
      <c r="BQ67">
        <v>8985.6</v>
      </c>
      <c r="BR67">
        <v>12</v>
      </c>
      <c r="BS67">
        <v>13478.400000000001</v>
      </c>
      <c r="BT67">
        <v>11</v>
      </c>
      <c r="BU67">
        <v>12355.2</v>
      </c>
      <c r="BV67">
        <v>8</v>
      </c>
      <c r="BW67">
        <v>8985.6</v>
      </c>
      <c r="BX67">
        <v>10</v>
      </c>
      <c r="BY67">
        <v>11232</v>
      </c>
      <c r="BZ67">
        <v>13</v>
      </c>
      <c r="CA67">
        <v>14601.6</v>
      </c>
      <c r="CB67">
        <v>8</v>
      </c>
      <c r="CC67">
        <v>8985.6</v>
      </c>
      <c r="CD67">
        <v>12</v>
      </c>
      <c r="CE67">
        <v>13478.400000000001</v>
      </c>
      <c r="CF67">
        <v>9</v>
      </c>
      <c r="CG67">
        <v>10108.800000000001</v>
      </c>
      <c r="CH67">
        <v>11</v>
      </c>
      <c r="CI67">
        <v>12355.2</v>
      </c>
      <c r="CJ67">
        <v>8</v>
      </c>
      <c r="CK67">
        <v>8985.6</v>
      </c>
      <c r="CL67">
        <v>12</v>
      </c>
      <c r="CM67">
        <v>13478.400000000001</v>
      </c>
      <c r="CN67">
        <v>12</v>
      </c>
      <c r="CO67">
        <v>13478.400000000001</v>
      </c>
      <c r="CP67">
        <v>11</v>
      </c>
      <c r="CQ67">
        <v>12355.2</v>
      </c>
      <c r="CR67">
        <v>10</v>
      </c>
      <c r="CS67">
        <v>11232</v>
      </c>
      <c r="CT67">
        <v>7</v>
      </c>
      <c r="CU67">
        <v>7862.4000000000005</v>
      </c>
    </row>
    <row r="68" spans="2:99" x14ac:dyDescent="0.2">
      <c r="C68" s="118" t="s">
        <v>234</v>
      </c>
      <c r="D68">
        <v>8</v>
      </c>
      <c r="E68">
        <v>8265.6</v>
      </c>
      <c r="F68">
        <v>14</v>
      </c>
      <c r="G68">
        <v>14464.800000000001</v>
      </c>
      <c r="H68">
        <v>12</v>
      </c>
      <c r="I68">
        <v>12398.400000000001</v>
      </c>
      <c r="J68">
        <v>9</v>
      </c>
      <c r="K68">
        <v>9298.8000000000011</v>
      </c>
      <c r="L68">
        <v>10</v>
      </c>
      <c r="M68">
        <v>10332</v>
      </c>
      <c r="N68">
        <v>12</v>
      </c>
      <c r="O68">
        <v>12398.400000000001</v>
      </c>
      <c r="P68">
        <v>12</v>
      </c>
      <c r="Q68">
        <v>12398.400000000001</v>
      </c>
      <c r="R68">
        <v>11</v>
      </c>
      <c r="S68">
        <v>11365.2</v>
      </c>
      <c r="T68">
        <v>14</v>
      </c>
      <c r="U68">
        <v>14464.800000000001</v>
      </c>
      <c r="V68">
        <v>9</v>
      </c>
      <c r="W68">
        <v>9298.8000000000011</v>
      </c>
      <c r="X68">
        <v>10</v>
      </c>
      <c r="Y68">
        <v>10332</v>
      </c>
      <c r="Z68">
        <v>8</v>
      </c>
      <c r="AA68">
        <v>8265.6</v>
      </c>
      <c r="AB68">
        <v>9</v>
      </c>
      <c r="AC68">
        <v>9298.8000000000011</v>
      </c>
      <c r="AD68">
        <v>9</v>
      </c>
      <c r="AE68">
        <v>9298.8000000000011</v>
      </c>
      <c r="AF68">
        <v>12</v>
      </c>
      <c r="AG68">
        <v>12398.400000000001</v>
      </c>
      <c r="AH68">
        <v>8</v>
      </c>
      <c r="AI68">
        <v>8265.6</v>
      </c>
      <c r="AJ68">
        <v>13</v>
      </c>
      <c r="AK68">
        <v>13431.6</v>
      </c>
      <c r="AL68">
        <v>12</v>
      </c>
      <c r="AM68">
        <v>12398.400000000001</v>
      </c>
      <c r="AN68">
        <v>11</v>
      </c>
      <c r="AO68">
        <v>11365.2</v>
      </c>
      <c r="AP68">
        <v>12</v>
      </c>
      <c r="AQ68">
        <v>12398.400000000001</v>
      </c>
      <c r="AR68">
        <v>8</v>
      </c>
      <c r="AS68">
        <v>8265.6</v>
      </c>
      <c r="AT68">
        <v>8</v>
      </c>
      <c r="AU68">
        <v>8265.6</v>
      </c>
      <c r="AV68">
        <v>8</v>
      </c>
      <c r="AW68">
        <v>8265.6</v>
      </c>
      <c r="AX68">
        <v>12</v>
      </c>
      <c r="AY68">
        <v>12398.400000000001</v>
      </c>
      <c r="AZ68">
        <v>12</v>
      </c>
      <c r="BA68">
        <v>12398.400000000001</v>
      </c>
      <c r="BB68">
        <v>13</v>
      </c>
      <c r="BC68">
        <v>13431.6</v>
      </c>
      <c r="BD68">
        <v>12</v>
      </c>
      <c r="BE68">
        <v>12398.400000000001</v>
      </c>
      <c r="BF68">
        <v>13</v>
      </c>
      <c r="BG68">
        <v>13431.6</v>
      </c>
      <c r="BH68">
        <v>10</v>
      </c>
      <c r="BI68">
        <v>10332</v>
      </c>
      <c r="BJ68">
        <v>8</v>
      </c>
      <c r="BK68">
        <v>8265.6</v>
      </c>
      <c r="BL68">
        <v>13</v>
      </c>
      <c r="BM68">
        <v>13431.6</v>
      </c>
      <c r="BN68">
        <v>14</v>
      </c>
      <c r="BO68">
        <v>14464.800000000001</v>
      </c>
      <c r="BP68">
        <v>8</v>
      </c>
      <c r="BQ68">
        <v>8265.6</v>
      </c>
      <c r="BR68">
        <v>12</v>
      </c>
      <c r="BS68">
        <v>12398.400000000001</v>
      </c>
      <c r="BT68">
        <v>12</v>
      </c>
      <c r="BU68">
        <v>12398.400000000001</v>
      </c>
      <c r="BV68">
        <v>8</v>
      </c>
      <c r="BW68">
        <v>8265.6</v>
      </c>
      <c r="BX68">
        <v>9</v>
      </c>
      <c r="BY68">
        <v>9298.8000000000011</v>
      </c>
      <c r="BZ68">
        <v>13</v>
      </c>
      <c r="CA68">
        <v>13431.6</v>
      </c>
      <c r="CB68">
        <v>7</v>
      </c>
      <c r="CC68">
        <v>7232.4000000000005</v>
      </c>
      <c r="CD68">
        <v>13</v>
      </c>
      <c r="CE68">
        <v>13431.6</v>
      </c>
      <c r="CF68">
        <v>9</v>
      </c>
      <c r="CG68">
        <v>9298.8000000000011</v>
      </c>
      <c r="CH68">
        <v>10</v>
      </c>
      <c r="CI68">
        <v>10332</v>
      </c>
      <c r="CJ68">
        <v>8</v>
      </c>
      <c r="CK68">
        <v>8265.6</v>
      </c>
      <c r="CL68">
        <v>13</v>
      </c>
      <c r="CM68">
        <v>13431.6</v>
      </c>
      <c r="CN68">
        <v>13</v>
      </c>
      <c r="CO68">
        <v>13431.6</v>
      </c>
      <c r="CP68">
        <v>12</v>
      </c>
      <c r="CQ68">
        <v>12398.400000000001</v>
      </c>
      <c r="CR68">
        <v>10</v>
      </c>
      <c r="CS68">
        <v>10332</v>
      </c>
      <c r="CT68">
        <v>8</v>
      </c>
      <c r="CU68">
        <v>8265.6</v>
      </c>
    </row>
    <row r="69" spans="2:99" x14ac:dyDescent="0.2">
      <c r="C69" s="118" t="s">
        <v>235</v>
      </c>
      <c r="D69">
        <v>8</v>
      </c>
      <c r="E69">
        <v>6067.2</v>
      </c>
      <c r="F69">
        <v>13</v>
      </c>
      <c r="G69">
        <v>9859.1999999999989</v>
      </c>
      <c r="H69">
        <v>13</v>
      </c>
      <c r="I69">
        <v>9859.1999999999989</v>
      </c>
      <c r="J69">
        <v>9</v>
      </c>
      <c r="K69">
        <v>6825.5999999999995</v>
      </c>
      <c r="L69">
        <v>10</v>
      </c>
      <c r="M69">
        <v>7584</v>
      </c>
      <c r="N69">
        <v>12</v>
      </c>
      <c r="O69">
        <v>9100.7999999999993</v>
      </c>
      <c r="P69">
        <v>14</v>
      </c>
      <c r="Q69">
        <v>10617.6</v>
      </c>
      <c r="R69">
        <v>12</v>
      </c>
      <c r="S69">
        <v>9100.7999999999993</v>
      </c>
      <c r="T69">
        <v>12</v>
      </c>
      <c r="U69">
        <v>9100.7999999999993</v>
      </c>
      <c r="V69">
        <v>10</v>
      </c>
      <c r="W69">
        <v>7584</v>
      </c>
      <c r="X69">
        <v>11</v>
      </c>
      <c r="Y69">
        <v>8342.4</v>
      </c>
      <c r="Z69">
        <v>8</v>
      </c>
      <c r="AA69">
        <v>6067.2</v>
      </c>
      <c r="AB69">
        <v>9</v>
      </c>
      <c r="AC69">
        <v>6825.5999999999995</v>
      </c>
      <c r="AD69">
        <v>11</v>
      </c>
      <c r="AE69">
        <v>8342.4</v>
      </c>
      <c r="AF69">
        <v>12</v>
      </c>
      <c r="AG69">
        <v>9100.7999999999993</v>
      </c>
      <c r="AH69">
        <v>8</v>
      </c>
      <c r="AI69">
        <v>6067.2</v>
      </c>
      <c r="AJ69">
        <v>13</v>
      </c>
      <c r="AK69">
        <v>9859.1999999999989</v>
      </c>
      <c r="AL69">
        <v>12</v>
      </c>
      <c r="AM69">
        <v>9100.7999999999993</v>
      </c>
      <c r="AN69">
        <v>11</v>
      </c>
      <c r="AO69">
        <v>8342.4</v>
      </c>
      <c r="AP69">
        <v>12</v>
      </c>
      <c r="AQ69">
        <v>9100.7999999999993</v>
      </c>
      <c r="AR69">
        <v>9</v>
      </c>
      <c r="AS69">
        <v>6825.5999999999995</v>
      </c>
      <c r="AT69">
        <v>8</v>
      </c>
      <c r="AU69">
        <v>6067.2</v>
      </c>
      <c r="AV69">
        <v>8</v>
      </c>
      <c r="AW69">
        <v>6067.2</v>
      </c>
      <c r="AX69">
        <v>10</v>
      </c>
      <c r="AY69">
        <v>7584</v>
      </c>
      <c r="AZ69">
        <v>11</v>
      </c>
      <c r="BA69">
        <v>8342.4</v>
      </c>
      <c r="BB69">
        <v>12</v>
      </c>
      <c r="BC69">
        <v>9100.7999999999993</v>
      </c>
      <c r="BD69">
        <v>11</v>
      </c>
      <c r="BE69">
        <v>8342.4</v>
      </c>
      <c r="BF69">
        <v>14</v>
      </c>
      <c r="BG69">
        <v>10617.6</v>
      </c>
      <c r="BH69">
        <v>12</v>
      </c>
      <c r="BI69">
        <v>9100.7999999999993</v>
      </c>
      <c r="BJ69">
        <v>8</v>
      </c>
      <c r="BK69">
        <v>6067.2</v>
      </c>
      <c r="BL69">
        <v>14</v>
      </c>
      <c r="BM69">
        <v>10617.6</v>
      </c>
      <c r="BN69">
        <v>13</v>
      </c>
      <c r="BO69">
        <v>9859.1999999999989</v>
      </c>
      <c r="BP69">
        <v>8</v>
      </c>
      <c r="BQ69">
        <v>6067.2</v>
      </c>
      <c r="BR69">
        <v>13</v>
      </c>
      <c r="BS69">
        <v>9859.1999999999989</v>
      </c>
      <c r="BT69">
        <v>13</v>
      </c>
      <c r="BU69">
        <v>9859.1999999999989</v>
      </c>
      <c r="BV69">
        <v>8</v>
      </c>
      <c r="BW69">
        <v>6067.2</v>
      </c>
      <c r="BX69">
        <v>9</v>
      </c>
      <c r="BY69">
        <v>6825.5999999999995</v>
      </c>
      <c r="BZ69">
        <v>14</v>
      </c>
      <c r="CA69">
        <v>10617.6</v>
      </c>
      <c r="CB69">
        <v>8</v>
      </c>
      <c r="CC69">
        <v>6067.2</v>
      </c>
      <c r="CD69">
        <v>12</v>
      </c>
      <c r="CE69">
        <v>9100.7999999999993</v>
      </c>
      <c r="CF69">
        <v>9</v>
      </c>
      <c r="CG69">
        <v>6825.5999999999995</v>
      </c>
      <c r="CH69">
        <v>11</v>
      </c>
      <c r="CI69">
        <v>8342.4</v>
      </c>
      <c r="CJ69">
        <v>7</v>
      </c>
      <c r="CK69">
        <v>5308.8</v>
      </c>
      <c r="CL69">
        <v>14</v>
      </c>
      <c r="CM69">
        <v>10617.6</v>
      </c>
      <c r="CN69">
        <v>14</v>
      </c>
      <c r="CO69">
        <v>10617.6</v>
      </c>
      <c r="CP69">
        <v>13</v>
      </c>
      <c r="CQ69">
        <v>9859.1999999999989</v>
      </c>
      <c r="CR69">
        <v>10</v>
      </c>
      <c r="CS69">
        <v>7584</v>
      </c>
      <c r="CT69">
        <v>8</v>
      </c>
      <c r="CU69">
        <v>6067.2</v>
      </c>
    </row>
    <row r="70" spans="2:99" x14ac:dyDescent="0.2">
      <c r="C70" s="118" t="s">
        <v>236</v>
      </c>
      <c r="D70">
        <v>10</v>
      </c>
      <c r="E70">
        <v>5351.9999999999991</v>
      </c>
      <c r="F70">
        <v>15</v>
      </c>
      <c r="G70">
        <v>8027.9999999999991</v>
      </c>
      <c r="H70">
        <v>11</v>
      </c>
      <c r="I70">
        <v>5887.1999999999989</v>
      </c>
      <c r="J70">
        <v>10</v>
      </c>
      <c r="K70">
        <v>5351.9999999999991</v>
      </c>
      <c r="L70">
        <v>11</v>
      </c>
      <c r="M70">
        <v>5887.1999999999989</v>
      </c>
      <c r="N70">
        <v>15</v>
      </c>
      <c r="O70">
        <v>8027.9999999999991</v>
      </c>
      <c r="P70">
        <v>12</v>
      </c>
      <c r="Q70">
        <v>6422.4</v>
      </c>
      <c r="R70">
        <v>13</v>
      </c>
      <c r="S70">
        <v>6957.5999999999995</v>
      </c>
      <c r="T70">
        <v>13</v>
      </c>
      <c r="U70">
        <v>6957.5999999999995</v>
      </c>
      <c r="V70">
        <v>11</v>
      </c>
      <c r="W70">
        <v>5887.1999999999989</v>
      </c>
      <c r="X70">
        <v>11</v>
      </c>
      <c r="Y70">
        <v>5887.1999999999989</v>
      </c>
      <c r="Z70">
        <v>9</v>
      </c>
      <c r="AA70">
        <v>4816.7999999999993</v>
      </c>
      <c r="AB70">
        <v>10</v>
      </c>
      <c r="AC70">
        <v>5351.9999999999991</v>
      </c>
      <c r="AD70">
        <v>10</v>
      </c>
      <c r="AE70">
        <v>5351.9999999999991</v>
      </c>
      <c r="AF70">
        <v>12</v>
      </c>
      <c r="AG70">
        <v>6422.4</v>
      </c>
      <c r="AH70">
        <v>8</v>
      </c>
      <c r="AI70">
        <v>4281.5999999999995</v>
      </c>
      <c r="AJ70">
        <v>13</v>
      </c>
      <c r="AK70">
        <v>6957.5999999999995</v>
      </c>
      <c r="AL70">
        <v>11</v>
      </c>
      <c r="AM70">
        <v>5887.1999999999989</v>
      </c>
      <c r="AN70">
        <v>11</v>
      </c>
      <c r="AO70">
        <v>5887.1999999999989</v>
      </c>
      <c r="AP70">
        <v>11</v>
      </c>
      <c r="AQ70">
        <v>5887.1999999999989</v>
      </c>
      <c r="AR70">
        <v>9</v>
      </c>
      <c r="AS70">
        <v>4816.7999999999993</v>
      </c>
      <c r="AT70">
        <v>9</v>
      </c>
      <c r="AU70">
        <v>4816.7999999999993</v>
      </c>
      <c r="AV70">
        <v>8</v>
      </c>
      <c r="AW70">
        <v>4281.5999999999995</v>
      </c>
      <c r="AX70">
        <v>11</v>
      </c>
      <c r="AY70">
        <v>5887.1999999999989</v>
      </c>
      <c r="AZ70">
        <v>12</v>
      </c>
      <c r="BA70">
        <v>6422.4</v>
      </c>
      <c r="BB70">
        <v>13</v>
      </c>
      <c r="BC70">
        <v>6957.5999999999995</v>
      </c>
      <c r="BD70">
        <v>11</v>
      </c>
      <c r="BE70">
        <v>5887.1999999999989</v>
      </c>
      <c r="BF70">
        <v>15</v>
      </c>
      <c r="BG70">
        <v>8027.9999999999991</v>
      </c>
      <c r="BH70">
        <v>12</v>
      </c>
      <c r="BI70">
        <v>6422.4</v>
      </c>
      <c r="BJ70">
        <v>9</v>
      </c>
      <c r="BK70">
        <v>4816.7999999999993</v>
      </c>
      <c r="BL70">
        <v>14</v>
      </c>
      <c r="BM70">
        <v>7492.7999999999993</v>
      </c>
      <c r="BN70">
        <v>12</v>
      </c>
      <c r="BO70">
        <v>6422.4</v>
      </c>
      <c r="BP70">
        <v>9</v>
      </c>
      <c r="BQ70">
        <v>4816.7999999999993</v>
      </c>
      <c r="BR70">
        <v>13</v>
      </c>
      <c r="BS70">
        <v>6957.5999999999995</v>
      </c>
      <c r="BT70">
        <v>12</v>
      </c>
      <c r="BU70">
        <v>6422.4</v>
      </c>
      <c r="BV70">
        <v>9</v>
      </c>
      <c r="BW70">
        <v>4816.7999999999993</v>
      </c>
      <c r="BX70">
        <v>9</v>
      </c>
      <c r="BY70">
        <v>4816.7999999999993</v>
      </c>
      <c r="BZ70">
        <v>13</v>
      </c>
      <c r="CA70">
        <v>6957.5999999999995</v>
      </c>
      <c r="CB70">
        <v>8</v>
      </c>
      <c r="CC70">
        <v>4281.5999999999995</v>
      </c>
      <c r="CD70">
        <v>14</v>
      </c>
      <c r="CE70">
        <v>7492.7999999999993</v>
      </c>
      <c r="CF70">
        <v>9</v>
      </c>
      <c r="CG70">
        <v>4816.7999999999993</v>
      </c>
      <c r="CH70">
        <v>12</v>
      </c>
      <c r="CI70">
        <v>6422.4</v>
      </c>
      <c r="CJ70">
        <v>7</v>
      </c>
      <c r="CK70">
        <v>3746.3999999999996</v>
      </c>
      <c r="CL70">
        <v>14</v>
      </c>
      <c r="CM70">
        <v>7492.7999999999993</v>
      </c>
      <c r="CN70">
        <v>13</v>
      </c>
      <c r="CO70">
        <v>6957.5999999999995</v>
      </c>
      <c r="CP70">
        <v>13</v>
      </c>
      <c r="CQ70">
        <v>6957.5999999999995</v>
      </c>
      <c r="CR70">
        <v>10</v>
      </c>
      <c r="CS70">
        <v>5351.9999999999991</v>
      </c>
      <c r="CT70">
        <v>7</v>
      </c>
      <c r="CU70">
        <v>3746.3999999999996</v>
      </c>
    </row>
    <row r="71" spans="2:99" x14ac:dyDescent="0.2">
      <c r="B71" s="118" t="s">
        <v>130</v>
      </c>
      <c r="C71" s="118" t="s">
        <v>237</v>
      </c>
      <c r="D71">
        <v>14.06661976346882</v>
      </c>
      <c r="E71">
        <v>7933.5735465964144</v>
      </c>
      <c r="F71">
        <v>12.018166852725303</v>
      </c>
      <c r="G71">
        <v>6778.2461049370704</v>
      </c>
      <c r="H71">
        <v>14.761325904430239</v>
      </c>
      <c r="I71">
        <v>8325.3878100986549</v>
      </c>
      <c r="J71">
        <v>20.679202344403343</v>
      </c>
      <c r="K71">
        <v>11663.070122243485</v>
      </c>
      <c r="L71">
        <v>17.849985545754066</v>
      </c>
      <c r="M71">
        <v>10067.391847805293</v>
      </c>
      <c r="N71">
        <v>20</v>
      </c>
      <c r="O71">
        <v>11280</v>
      </c>
      <c r="P71">
        <v>19</v>
      </c>
      <c r="Q71">
        <v>10716</v>
      </c>
      <c r="R71">
        <v>20.068171431608036</v>
      </c>
      <c r="S71">
        <v>11318.448687426931</v>
      </c>
      <c r="T71">
        <v>13</v>
      </c>
      <c r="U71">
        <v>7332</v>
      </c>
      <c r="V71">
        <v>14</v>
      </c>
      <c r="W71">
        <v>7896</v>
      </c>
      <c r="X71">
        <v>14</v>
      </c>
      <c r="Y71">
        <v>7896</v>
      </c>
      <c r="Z71">
        <v>15</v>
      </c>
      <c r="AA71">
        <v>8460</v>
      </c>
      <c r="AB71">
        <v>18</v>
      </c>
      <c r="AC71">
        <v>10152</v>
      </c>
      <c r="AD71">
        <v>19.105164509716417</v>
      </c>
      <c r="AE71">
        <v>10775.31278348006</v>
      </c>
      <c r="AF71">
        <v>15.274851965680895</v>
      </c>
      <c r="AG71">
        <v>8615.0165086440247</v>
      </c>
      <c r="AH71">
        <v>11.075857338820301</v>
      </c>
      <c r="AI71">
        <v>6246.7835390946493</v>
      </c>
      <c r="AJ71">
        <v>18</v>
      </c>
      <c r="AK71">
        <v>10152</v>
      </c>
      <c r="AL71">
        <v>13.383353951835705</v>
      </c>
      <c r="AM71">
        <v>7548.2116288353373</v>
      </c>
      <c r="AN71">
        <v>15</v>
      </c>
      <c r="AO71">
        <v>8460</v>
      </c>
      <c r="AP71">
        <v>11.843572778827976</v>
      </c>
      <c r="AQ71">
        <v>6679.7750472589787</v>
      </c>
      <c r="AR71">
        <v>10.982349661078683</v>
      </c>
      <c r="AS71">
        <v>6194.0452088483771</v>
      </c>
      <c r="AT71">
        <v>11</v>
      </c>
      <c r="AU71">
        <v>6204</v>
      </c>
      <c r="AV71">
        <v>13</v>
      </c>
      <c r="AW71">
        <v>7332</v>
      </c>
      <c r="AX71">
        <v>11</v>
      </c>
      <c r="AY71">
        <v>6204</v>
      </c>
      <c r="AZ71">
        <v>17.744213385682979</v>
      </c>
      <c r="BA71">
        <v>10007.736349525199</v>
      </c>
      <c r="BB71">
        <v>14</v>
      </c>
      <c r="BC71">
        <v>7896</v>
      </c>
      <c r="BD71">
        <v>17</v>
      </c>
      <c r="BE71">
        <v>9588</v>
      </c>
      <c r="BF71">
        <v>16.748183590117179</v>
      </c>
      <c r="BG71">
        <v>9445.9755448260894</v>
      </c>
      <c r="BH71">
        <v>17</v>
      </c>
      <c r="BI71">
        <v>9588</v>
      </c>
      <c r="BJ71">
        <v>16.075154347260053</v>
      </c>
      <c r="BK71">
        <v>9066.3870518546701</v>
      </c>
      <c r="BL71">
        <v>18</v>
      </c>
      <c r="BM71">
        <v>10152</v>
      </c>
      <c r="BN71">
        <v>13.058472688533058</v>
      </c>
      <c r="BO71">
        <v>7364.9785963326449</v>
      </c>
      <c r="BP71">
        <v>22</v>
      </c>
      <c r="BQ71">
        <v>12408</v>
      </c>
      <c r="BR71">
        <v>16.166317719738647</v>
      </c>
      <c r="BS71">
        <v>9117.8031939325974</v>
      </c>
      <c r="BT71">
        <v>20</v>
      </c>
      <c r="BU71">
        <v>11280</v>
      </c>
      <c r="BV71">
        <v>20.08058462718655</v>
      </c>
      <c r="BW71">
        <v>11325.449729733215</v>
      </c>
      <c r="BX71">
        <v>16.983094542369685</v>
      </c>
      <c r="BY71">
        <v>9578.4653218965013</v>
      </c>
      <c r="BZ71">
        <v>20</v>
      </c>
      <c r="CA71">
        <v>11280</v>
      </c>
      <c r="CB71">
        <v>17</v>
      </c>
      <c r="CC71">
        <v>9588</v>
      </c>
      <c r="CD71">
        <v>19.885579234097101</v>
      </c>
      <c r="CE71">
        <v>11215.466688030765</v>
      </c>
      <c r="CF71">
        <v>16.735704639117845</v>
      </c>
      <c r="CG71">
        <v>9438.9374164624642</v>
      </c>
      <c r="CH71">
        <v>21.177659976860092</v>
      </c>
      <c r="CI71">
        <v>11944.200226949091</v>
      </c>
      <c r="CJ71">
        <v>16.896405522311742</v>
      </c>
      <c r="CK71">
        <v>9529.5727145838227</v>
      </c>
      <c r="CL71">
        <v>18.353433922996878</v>
      </c>
      <c r="CM71">
        <v>10351.336732570238</v>
      </c>
      <c r="CN71">
        <v>14.882845566941413</v>
      </c>
      <c r="CO71">
        <v>8393.9248997549566</v>
      </c>
      <c r="CP71">
        <v>17.073873224533109</v>
      </c>
      <c r="CQ71">
        <v>9629.6644986366737</v>
      </c>
      <c r="CR71">
        <v>15.074795426232667</v>
      </c>
      <c r="CS71">
        <v>8502.1846203952246</v>
      </c>
      <c r="CT71">
        <v>19.914866863905324</v>
      </c>
      <c r="CU71">
        <v>11231.984911242604</v>
      </c>
    </row>
    <row r="72" spans="2:99" x14ac:dyDescent="0.2">
      <c r="C72" s="118" t="s">
        <v>238</v>
      </c>
      <c r="D72">
        <v>13.375610372416975</v>
      </c>
      <c r="E72">
        <v>995.14541170782286</v>
      </c>
      <c r="F72">
        <v>13.018166852725303</v>
      </c>
      <c r="G72">
        <v>968.55161384276244</v>
      </c>
      <c r="H72">
        <v>16.76132590443024</v>
      </c>
      <c r="I72">
        <v>1247.0426472896097</v>
      </c>
      <c r="J72">
        <v>18</v>
      </c>
      <c r="K72">
        <v>1339.1999999999998</v>
      </c>
      <c r="L72">
        <v>18</v>
      </c>
      <c r="M72">
        <v>1339.1999999999998</v>
      </c>
      <c r="N72">
        <v>19</v>
      </c>
      <c r="O72">
        <v>1413.6</v>
      </c>
      <c r="P72">
        <v>20</v>
      </c>
      <c r="Q72">
        <v>1487.9999999999998</v>
      </c>
      <c r="R72">
        <v>22.068171431608036</v>
      </c>
      <c r="S72">
        <v>1641.8719545116378</v>
      </c>
      <c r="T72">
        <v>14</v>
      </c>
      <c r="U72">
        <v>1041.5999999999999</v>
      </c>
      <c r="V72">
        <v>17</v>
      </c>
      <c r="W72">
        <v>1264.8</v>
      </c>
      <c r="X72">
        <v>15</v>
      </c>
      <c r="Y72">
        <v>1115.9999999999998</v>
      </c>
      <c r="Z72">
        <v>16</v>
      </c>
      <c r="AA72">
        <v>1190.3999999999999</v>
      </c>
      <c r="AB72">
        <v>20</v>
      </c>
      <c r="AC72">
        <v>1487.9999999999998</v>
      </c>
      <c r="AD72">
        <v>20.20126577143089</v>
      </c>
      <c r="AE72">
        <v>1502.9741733944581</v>
      </c>
      <c r="AF72">
        <v>13.229321538335148</v>
      </c>
      <c r="AG72">
        <v>984.26152245213484</v>
      </c>
      <c r="AH72">
        <v>10</v>
      </c>
      <c r="AI72">
        <v>743.99999999999989</v>
      </c>
      <c r="AJ72">
        <v>19</v>
      </c>
      <c r="AK72">
        <v>1413.6</v>
      </c>
      <c r="AL72">
        <v>14.383353951835705</v>
      </c>
      <c r="AM72">
        <v>1070.1215340165763</v>
      </c>
      <c r="AN72">
        <v>16</v>
      </c>
      <c r="AO72">
        <v>1190.3999999999999</v>
      </c>
      <c r="AP72">
        <v>13.843572778827976</v>
      </c>
      <c r="AQ72">
        <v>1029.9618147448014</v>
      </c>
      <c r="AR72">
        <v>11.982349661078683</v>
      </c>
      <c r="AS72">
        <v>891.48681478425385</v>
      </c>
      <c r="AT72">
        <v>10</v>
      </c>
      <c r="AU72">
        <v>743.99999999999989</v>
      </c>
      <c r="AV72">
        <v>13.799916017199678</v>
      </c>
      <c r="AW72">
        <v>1026.7137516796558</v>
      </c>
      <c r="AX72">
        <v>12</v>
      </c>
      <c r="AY72">
        <v>892.8</v>
      </c>
      <c r="AZ72">
        <v>17.644984934258584</v>
      </c>
      <c r="BA72">
        <v>1312.7868791088385</v>
      </c>
      <c r="BB72">
        <v>15</v>
      </c>
      <c r="BC72">
        <v>1115.9999999999998</v>
      </c>
      <c r="BD72">
        <v>18</v>
      </c>
      <c r="BE72">
        <v>1339.1999999999998</v>
      </c>
      <c r="BF72">
        <v>18.847941402132804</v>
      </c>
      <c r="BG72">
        <v>1402.2868403186806</v>
      </c>
      <c r="BH72">
        <v>21.095051308744793</v>
      </c>
      <c r="BI72">
        <v>1569.4718173706124</v>
      </c>
      <c r="BJ72">
        <v>17.094759829153983</v>
      </c>
      <c r="BK72">
        <v>1271.8501312890562</v>
      </c>
      <c r="BL72">
        <v>19</v>
      </c>
      <c r="BM72">
        <v>1413.6</v>
      </c>
      <c r="BN72">
        <v>14.058472688533058</v>
      </c>
      <c r="BO72">
        <v>1045.9503680268595</v>
      </c>
      <c r="BP72">
        <v>22</v>
      </c>
      <c r="BQ72">
        <v>1636.7999999999997</v>
      </c>
      <c r="BR72">
        <v>19.166317719738647</v>
      </c>
      <c r="BS72">
        <v>1425.974038348555</v>
      </c>
      <c r="BT72">
        <v>19.291847632609468</v>
      </c>
      <c r="BU72">
        <v>1435.3134638661443</v>
      </c>
      <c r="BV72">
        <v>21.031467144132616</v>
      </c>
      <c r="BW72">
        <v>1564.7411555234664</v>
      </c>
      <c r="BX72">
        <v>17.076722594023941</v>
      </c>
      <c r="BY72">
        <v>1270.5081609953811</v>
      </c>
      <c r="BZ72">
        <v>20</v>
      </c>
      <c r="CA72">
        <v>1487.9999999999998</v>
      </c>
      <c r="CB72">
        <v>20</v>
      </c>
      <c r="CC72">
        <v>1487.9999999999998</v>
      </c>
      <c r="CD72">
        <v>19.983976926774556</v>
      </c>
      <c r="CE72">
        <v>1486.8078833520267</v>
      </c>
      <c r="CF72">
        <v>15.882845566941413</v>
      </c>
      <c r="CG72">
        <v>1181.683710180441</v>
      </c>
      <c r="CH72">
        <v>22.366085573157708</v>
      </c>
      <c r="CI72">
        <v>1664.0367666429333</v>
      </c>
      <c r="CJ72">
        <v>18.095606749492131</v>
      </c>
      <c r="CK72">
        <v>1346.3131421622143</v>
      </c>
      <c r="CL72">
        <v>19.26009365244537</v>
      </c>
      <c r="CM72">
        <v>1432.9509677419353</v>
      </c>
      <c r="CN72">
        <v>12.833798591000223</v>
      </c>
      <c r="CO72">
        <v>954.83461517041644</v>
      </c>
      <c r="CP72">
        <v>19.122685643830071</v>
      </c>
      <c r="CQ72">
        <v>1422.727811900957</v>
      </c>
      <c r="CR72">
        <v>15.081595010435636</v>
      </c>
      <c r="CS72">
        <v>1122.0706687764111</v>
      </c>
      <c r="CT72">
        <v>23.011168639053253</v>
      </c>
      <c r="CU72">
        <v>1712.0309467455618</v>
      </c>
    </row>
    <row r="73" spans="2:99" x14ac:dyDescent="0.2">
      <c r="C73" s="118" t="s">
        <v>239</v>
      </c>
      <c r="D73">
        <v>14.056027373658607</v>
      </c>
      <c r="E73">
        <v>7860.1305073498916</v>
      </c>
      <c r="F73">
        <v>12.018166852725303</v>
      </c>
      <c r="G73">
        <v>6720.5589040439882</v>
      </c>
      <c r="H73">
        <v>13.761325904430239</v>
      </c>
      <c r="I73">
        <v>7695.3334457573883</v>
      </c>
      <c r="J73">
        <v>19.679202344403343</v>
      </c>
      <c r="K73">
        <v>11004.609950990349</v>
      </c>
      <c r="L73">
        <v>19</v>
      </c>
      <c r="M73">
        <v>10624.8</v>
      </c>
      <c r="N73">
        <v>18</v>
      </c>
      <c r="O73">
        <v>10065.599999999999</v>
      </c>
      <c r="P73">
        <v>19</v>
      </c>
      <c r="Q73">
        <v>10624.8</v>
      </c>
      <c r="R73">
        <v>20.971064937825485</v>
      </c>
      <c r="S73">
        <v>11727.01951323201</v>
      </c>
      <c r="T73">
        <v>13.983170197224251</v>
      </c>
      <c r="U73">
        <v>7819.3887742877996</v>
      </c>
      <c r="V73">
        <v>16</v>
      </c>
      <c r="W73">
        <v>8947.1999999999989</v>
      </c>
      <c r="X73">
        <v>13</v>
      </c>
      <c r="Y73">
        <v>7269.5999999999995</v>
      </c>
      <c r="Z73">
        <v>15</v>
      </c>
      <c r="AA73">
        <v>8387.9999999999982</v>
      </c>
      <c r="AB73">
        <v>18</v>
      </c>
      <c r="AC73">
        <v>10065.599999999999</v>
      </c>
      <c r="AD73">
        <v>18.105164509716417</v>
      </c>
      <c r="AE73">
        <v>10124.40799383342</v>
      </c>
      <c r="AF73">
        <v>13.229321538335148</v>
      </c>
      <c r="AG73">
        <v>7397.8366042370135</v>
      </c>
      <c r="AH73">
        <v>11.026954732510287</v>
      </c>
      <c r="AI73">
        <v>6166.273086419752</v>
      </c>
      <c r="AJ73">
        <v>17</v>
      </c>
      <c r="AK73">
        <v>9506.4</v>
      </c>
      <c r="AL73">
        <v>12.407313573825437</v>
      </c>
      <c r="AM73">
        <v>6938.1697504831836</v>
      </c>
      <c r="AN73">
        <v>15</v>
      </c>
      <c r="AO73">
        <v>8387.9999999999982</v>
      </c>
      <c r="AP73">
        <v>12.843572778827976</v>
      </c>
      <c r="AQ73">
        <v>7182.1258979206032</v>
      </c>
      <c r="AR73">
        <v>11.982349661078683</v>
      </c>
      <c r="AS73">
        <v>6700.5299304751989</v>
      </c>
      <c r="AT73">
        <v>10</v>
      </c>
      <c r="AU73">
        <v>5591.9999999999991</v>
      </c>
      <c r="AV73">
        <v>12</v>
      </c>
      <c r="AW73">
        <v>6710.4</v>
      </c>
      <c r="AX73">
        <v>12</v>
      </c>
      <c r="AY73">
        <v>6710.4</v>
      </c>
      <c r="AZ73">
        <v>17.644984934258584</v>
      </c>
      <c r="BA73">
        <v>9867.0755752373989</v>
      </c>
      <c r="BB73">
        <v>14</v>
      </c>
      <c r="BC73">
        <v>7828.7999999999993</v>
      </c>
      <c r="BD73">
        <v>17</v>
      </c>
      <c r="BE73">
        <v>9506.4</v>
      </c>
      <c r="BF73">
        <v>16.798062496124992</v>
      </c>
      <c r="BG73">
        <v>9393.4765478330937</v>
      </c>
      <c r="BH73">
        <v>17</v>
      </c>
      <c r="BI73">
        <v>9506.4</v>
      </c>
      <c r="BJ73">
        <v>17.088224668522674</v>
      </c>
      <c r="BK73">
        <v>9555.7352346378775</v>
      </c>
      <c r="BL73">
        <v>20</v>
      </c>
      <c r="BM73">
        <v>11183.999999999998</v>
      </c>
      <c r="BN73">
        <v>12.050676330061984</v>
      </c>
      <c r="BO73">
        <v>6738.7382037706611</v>
      </c>
      <c r="BP73">
        <v>22</v>
      </c>
      <c r="BQ73">
        <v>12302.399999999998</v>
      </c>
      <c r="BR73">
        <v>18.076600972066441</v>
      </c>
      <c r="BS73">
        <v>10108.435263579553</v>
      </c>
      <c r="BT73">
        <v>19.148309006763974</v>
      </c>
      <c r="BU73">
        <v>10707.734396582413</v>
      </c>
      <c r="BV73">
        <v>19.982349661078683</v>
      </c>
      <c r="BW73">
        <v>11174.129930475197</v>
      </c>
      <c r="BX73">
        <v>16.93628051654256</v>
      </c>
      <c r="BY73">
        <v>9470.7680648505975</v>
      </c>
      <c r="BZ73">
        <v>17</v>
      </c>
      <c r="CA73">
        <v>9506.4</v>
      </c>
      <c r="CB73">
        <v>19</v>
      </c>
      <c r="CC73">
        <v>10624.8</v>
      </c>
      <c r="CD73">
        <v>20.836380387758371</v>
      </c>
      <c r="CE73">
        <v>11651.70391283448</v>
      </c>
      <c r="CF73">
        <v>16.833798591000221</v>
      </c>
      <c r="CG73">
        <v>9413.4601720873216</v>
      </c>
      <c r="CH73">
        <v>23.271872775008902</v>
      </c>
      <c r="CI73">
        <v>13013.631255784976</v>
      </c>
      <c r="CJ73">
        <v>17.946205829106837</v>
      </c>
      <c r="CK73">
        <v>10035.518299636542</v>
      </c>
      <c r="CL73">
        <v>18.120083246618105</v>
      </c>
      <c r="CM73">
        <v>10132.750551508843</v>
      </c>
      <c r="CN73">
        <v>14.833798591000223</v>
      </c>
      <c r="CO73">
        <v>8295.0601720873237</v>
      </c>
      <c r="CP73">
        <v>15.976248385939192</v>
      </c>
      <c r="CQ73">
        <v>8933.9180974171941</v>
      </c>
      <c r="CR73">
        <v>16.071395634131182</v>
      </c>
      <c r="CS73">
        <v>8987.1244386061553</v>
      </c>
      <c r="CT73">
        <v>23.011168639053253</v>
      </c>
      <c r="CU73">
        <v>12867.845502958577</v>
      </c>
    </row>
    <row r="74" spans="2:99" x14ac:dyDescent="0.2">
      <c r="C74" s="118" t="s">
        <v>240</v>
      </c>
      <c r="D74">
        <v>14.172545515980945</v>
      </c>
      <c r="E74">
        <v>5714.3703520435165</v>
      </c>
      <c r="F74">
        <v>13.018166852725303</v>
      </c>
      <c r="G74">
        <v>5248.9248750188417</v>
      </c>
      <c r="H74">
        <v>16.76132590443024</v>
      </c>
      <c r="I74">
        <v>6758.1666046662731</v>
      </c>
      <c r="J74">
        <v>17.679202344403343</v>
      </c>
      <c r="K74">
        <v>7128.254385263428</v>
      </c>
      <c r="L74">
        <v>19</v>
      </c>
      <c r="M74">
        <v>7660.8</v>
      </c>
      <c r="N74">
        <v>21</v>
      </c>
      <c r="O74">
        <v>8467.1999999999989</v>
      </c>
      <c r="P74">
        <v>17</v>
      </c>
      <c r="Q74">
        <v>6854.4</v>
      </c>
      <c r="R74">
        <v>18.971064937825485</v>
      </c>
      <c r="S74">
        <v>7649.1333829312352</v>
      </c>
      <c r="T74">
        <v>13.983170197224251</v>
      </c>
      <c r="U74">
        <v>5638.0142235208177</v>
      </c>
      <c r="V74">
        <v>15</v>
      </c>
      <c r="W74">
        <v>6048</v>
      </c>
      <c r="X74">
        <v>14</v>
      </c>
      <c r="Y74">
        <v>5644.8</v>
      </c>
      <c r="Z74">
        <v>18</v>
      </c>
      <c r="AA74">
        <v>7257.5999999999995</v>
      </c>
      <c r="AB74">
        <v>17</v>
      </c>
      <c r="AC74">
        <v>6854.4</v>
      </c>
      <c r="AD74">
        <v>16.153215140573653</v>
      </c>
      <c r="AE74">
        <v>6512.9763446792967</v>
      </c>
      <c r="AF74">
        <v>14.138260683643656</v>
      </c>
      <c r="AG74">
        <v>5700.5467076451223</v>
      </c>
      <c r="AH74">
        <v>10</v>
      </c>
      <c r="AI74">
        <v>4032</v>
      </c>
      <c r="AJ74">
        <v>18</v>
      </c>
      <c r="AK74">
        <v>7257.5999999999995</v>
      </c>
      <c r="AL74">
        <v>12.359394329845973</v>
      </c>
      <c r="AM74">
        <v>4983.3077937938961</v>
      </c>
      <c r="AN74">
        <v>15</v>
      </c>
      <c r="AO74">
        <v>6048</v>
      </c>
      <c r="AP74">
        <v>12.793950850661625</v>
      </c>
      <c r="AQ74">
        <v>5158.5209829867672</v>
      </c>
      <c r="AR74">
        <v>10.982349661078683</v>
      </c>
      <c r="AS74">
        <v>4428.0833833469251</v>
      </c>
      <c r="AT74">
        <v>10</v>
      </c>
      <c r="AU74">
        <v>4032</v>
      </c>
      <c r="AV74">
        <v>13.699926515049718</v>
      </c>
      <c r="AW74">
        <v>5523.8103708680464</v>
      </c>
      <c r="AX74">
        <v>11</v>
      </c>
      <c r="AY74">
        <v>4435.2</v>
      </c>
      <c r="AZ74">
        <v>17.644984934258584</v>
      </c>
      <c r="BA74">
        <v>7114.4579254930613</v>
      </c>
      <c r="BB74">
        <v>14</v>
      </c>
      <c r="BC74">
        <v>5644.8</v>
      </c>
      <c r="BD74">
        <v>19</v>
      </c>
      <c r="BE74">
        <v>7660.8</v>
      </c>
      <c r="BF74">
        <v>17.798062496124992</v>
      </c>
      <c r="BG74">
        <v>7176.178798437596</v>
      </c>
      <c r="BH74">
        <v>20.095051308744793</v>
      </c>
      <c r="BI74">
        <v>8102.3246876859002</v>
      </c>
      <c r="BJ74">
        <v>17.078421927575707</v>
      </c>
      <c r="BK74">
        <v>6886.0197211985251</v>
      </c>
      <c r="BL74">
        <v>21</v>
      </c>
      <c r="BM74">
        <v>8467.1999999999989</v>
      </c>
      <c r="BN74">
        <v>14.05457450929752</v>
      </c>
      <c r="BO74">
        <v>5666.8044421487602</v>
      </c>
      <c r="BP74">
        <v>21</v>
      </c>
      <c r="BQ74">
        <v>8467.1999999999989</v>
      </c>
      <c r="BR74">
        <v>17.076600972066441</v>
      </c>
      <c r="BS74">
        <v>6885.2855119371889</v>
      </c>
      <c r="BT74">
        <v>20.148309006763974</v>
      </c>
      <c r="BU74">
        <v>8123.7981915272339</v>
      </c>
      <c r="BV74">
        <v>20.982349661078683</v>
      </c>
      <c r="BW74">
        <v>8460.0833833469242</v>
      </c>
      <c r="BX74">
        <v>17.93628051654256</v>
      </c>
      <c r="BY74">
        <v>7231.9083042699604</v>
      </c>
      <c r="BZ74">
        <v>19</v>
      </c>
      <c r="CA74">
        <v>7660.8</v>
      </c>
      <c r="CB74">
        <v>18</v>
      </c>
      <c r="CC74">
        <v>7257.5999999999995</v>
      </c>
      <c r="CD74">
        <v>18.836380387758371</v>
      </c>
      <c r="CE74">
        <v>7594.828572344175</v>
      </c>
      <c r="CF74">
        <v>17.735704639117845</v>
      </c>
      <c r="CG74">
        <v>7151.0361104923149</v>
      </c>
      <c r="CH74">
        <v>21</v>
      </c>
      <c r="CI74">
        <v>8467.1999999999989</v>
      </c>
      <c r="CJ74">
        <v>17.095606749492131</v>
      </c>
      <c r="CK74">
        <v>6892.9486413952272</v>
      </c>
      <c r="CL74">
        <v>17.166753381893862</v>
      </c>
      <c r="CM74">
        <v>6921.634963579605</v>
      </c>
      <c r="CN74">
        <v>12.735704639117843</v>
      </c>
      <c r="CO74">
        <v>5135.036110492314</v>
      </c>
      <c r="CP74">
        <v>18.073873224533109</v>
      </c>
      <c r="CQ74">
        <v>7287.3856841317493</v>
      </c>
      <c r="CR74">
        <v>14.084994802537121</v>
      </c>
      <c r="CS74">
        <v>5679.0699043829673</v>
      </c>
      <c r="CT74">
        <v>22.011168639053253</v>
      </c>
      <c r="CU74">
        <v>8874.9031952662717</v>
      </c>
    </row>
    <row r="75" spans="2:99" x14ac:dyDescent="0.2">
      <c r="C75" s="118" t="s">
        <v>241</v>
      </c>
      <c r="D75">
        <v>13.370314177511869</v>
      </c>
      <c r="E75">
        <v>8599.7860789756323</v>
      </c>
      <c r="F75">
        <v>12.018166852725303</v>
      </c>
      <c r="G75">
        <v>7730.0849196729141</v>
      </c>
      <c r="H75">
        <v>15.666160166376459</v>
      </c>
      <c r="I75">
        <v>10076.474219013337</v>
      </c>
      <c r="J75">
        <v>18.679202344403343</v>
      </c>
      <c r="K75">
        <v>12014.462947920229</v>
      </c>
      <c r="L75">
        <v>19</v>
      </c>
      <c r="M75">
        <v>12220.8</v>
      </c>
      <c r="N75">
        <v>20</v>
      </c>
      <c r="O75">
        <v>12863.999999999998</v>
      </c>
      <c r="P75">
        <v>16</v>
      </c>
      <c r="Q75">
        <v>10291.199999999999</v>
      </c>
      <c r="R75">
        <v>19</v>
      </c>
      <c r="S75">
        <v>12220.8</v>
      </c>
      <c r="T75">
        <v>13.983170197224251</v>
      </c>
      <c r="U75">
        <v>8993.9750708546362</v>
      </c>
      <c r="V75">
        <v>15</v>
      </c>
      <c r="W75">
        <v>9647.9999999999982</v>
      </c>
      <c r="X75">
        <v>14</v>
      </c>
      <c r="Y75">
        <v>9004.7999999999993</v>
      </c>
      <c r="Z75">
        <v>17</v>
      </c>
      <c r="AA75">
        <v>10934.4</v>
      </c>
      <c r="AB75">
        <v>18.799996235666121</v>
      </c>
      <c r="AC75">
        <v>12092.157578780449</v>
      </c>
      <c r="AD75">
        <v>18.20126577143089</v>
      </c>
      <c r="AE75">
        <v>11707.054144184347</v>
      </c>
      <c r="AF75">
        <v>13.274851965680895</v>
      </c>
      <c r="AG75">
        <v>8538.38478432595</v>
      </c>
      <c r="AH75">
        <v>11.124759945130315</v>
      </c>
      <c r="AI75">
        <v>7155.4455967078175</v>
      </c>
      <c r="AJ75">
        <v>16</v>
      </c>
      <c r="AK75">
        <v>10291.199999999999</v>
      </c>
      <c r="AL75">
        <v>11.407313573825437</v>
      </c>
      <c r="AM75">
        <v>7337.18409068452</v>
      </c>
      <c r="AN75">
        <v>13</v>
      </c>
      <c r="AO75">
        <v>8361.5999999999985</v>
      </c>
      <c r="AP75">
        <v>11.843572778827976</v>
      </c>
      <c r="AQ75">
        <v>7617.7860113421539</v>
      </c>
      <c r="AR75">
        <v>10.982349661078683</v>
      </c>
      <c r="AS75">
        <v>7063.8473020058082</v>
      </c>
      <c r="AT75">
        <v>11</v>
      </c>
      <c r="AU75">
        <v>7075.1999999999989</v>
      </c>
      <c r="AV75">
        <v>12</v>
      </c>
      <c r="AW75">
        <v>7718.4</v>
      </c>
      <c r="AX75">
        <v>11</v>
      </c>
      <c r="AY75">
        <v>7075.1999999999989</v>
      </c>
      <c r="AZ75">
        <v>16.694599159970782</v>
      </c>
      <c r="BA75">
        <v>10737.966179693205</v>
      </c>
      <c r="BB75">
        <v>13</v>
      </c>
      <c r="BC75">
        <v>8361.5999999999985</v>
      </c>
      <c r="BD75">
        <v>19</v>
      </c>
      <c r="BE75">
        <v>12220.8</v>
      </c>
      <c r="BF75">
        <v>15.748183590117179</v>
      </c>
      <c r="BG75">
        <v>10129.231685163368</v>
      </c>
      <c r="BH75">
        <v>18</v>
      </c>
      <c r="BI75">
        <v>11577.599999999999</v>
      </c>
      <c r="BJ75">
        <v>17.081689507891365</v>
      </c>
      <c r="BK75">
        <v>10986.942691475724</v>
      </c>
      <c r="BL75">
        <v>20</v>
      </c>
      <c r="BM75">
        <v>12863.999999999998</v>
      </c>
      <c r="BN75">
        <v>13.050676330061984</v>
      </c>
      <c r="BO75">
        <v>8394.1950154958668</v>
      </c>
      <c r="BP75">
        <v>22</v>
      </c>
      <c r="BQ75">
        <v>14150.399999999998</v>
      </c>
      <c r="BR75">
        <v>18.031742598230341</v>
      </c>
      <c r="BS75">
        <v>11598.016839181755</v>
      </c>
      <c r="BT75">
        <v>21.004770380918476</v>
      </c>
      <c r="BU75">
        <v>13510.268309006762</v>
      </c>
      <c r="BV75">
        <v>19.08058462718655</v>
      </c>
      <c r="BW75">
        <v>12272.632032206388</v>
      </c>
      <c r="BX75">
        <v>18.983094542369685</v>
      </c>
      <c r="BY75">
        <v>12209.92640965218</v>
      </c>
      <c r="BZ75">
        <v>17</v>
      </c>
      <c r="CA75">
        <v>10934.4</v>
      </c>
      <c r="CB75">
        <v>19</v>
      </c>
      <c r="CC75">
        <v>12220.8</v>
      </c>
      <c r="CD75">
        <v>19.885579234097101</v>
      </c>
      <c r="CE75">
        <v>12790.404563371254</v>
      </c>
      <c r="CF75">
        <v>16.784751615059033</v>
      </c>
      <c r="CG75">
        <v>10795.952238805969</v>
      </c>
      <c r="CH75">
        <v>22.177659976860092</v>
      </c>
      <c r="CI75">
        <v>14264.67089711641</v>
      </c>
      <c r="CJ75">
        <v>14.946205829106839</v>
      </c>
      <c r="CK75">
        <v>9613.3995892815183</v>
      </c>
      <c r="CL75">
        <v>19.166753381893862</v>
      </c>
      <c r="CM75">
        <v>12328.05577523413</v>
      </c>
      <c r="CN75">
        <v>14.833798591000223</v>
      </c>
      <c r="CO75">
        <v>9541.0992537313432</v>
      </c>
      <c r="CP75">
        <v>16.025060805236151</v>
      </c>
      <c r="CQ75">
        <v>10307.319109927892</v>
      </c>
      <c r="CR75">
        <v>14.071395634131182</v>
      </c>
      <c r="CS75">
        <v>9050.7216718731761</v>
      </c>
      <c r="CT75">
        <v>21.963017751479288</v>
      </c>
      <c r="CU75">
        <v>14126.613017751477</v>
      </c>
    </row>
    <row r="76" spans="2:99" x14ac:dyDescent="0.2">
      <c r="C76" s="118" t="s">
        <v>242</v>
      </c>
      <c r="D76">
        <v>13.370314177511869</v>
      </c>
      <c r="E76">
        <v>10412.800681446242</v>
      </c>
      <c r="F76">
        <v>12.018166852725303</v>
      </c>
      <c r="G76">
        <v>9359.7483449024658</v>
      </c>
      <c r="H76">
        <v>15.666160166376459</v>
      </c>
      <c r="I76">
        <v>12200.805537573986</v>
      </c>
      <c r="J76">
        <v>16</v>
      </c>
      <c r="K76">
        <v>12460.8</v>
      </c>
      <c r="L76">
        <v>16</v>
      </c>
      <c r="M76">
        <v>12460.8</v>
      </c>
      <c r="N76">
        <v>20</v>
      </c>
      <c r="O76">
        <v>15576</v>
      </c>
      <c r="P76">
        <v>16</v>
      </c>
      <c r="Q76">
        <v>12460.8</v>
      </c>
      <c r="R76">
        <v>17</v>
      </c>
      <c r="S76">
        <v>13239.599999999999</v>
      </c>
      <c r="T76">
        <v>14</v>
      </c>
      <c r="U76">
        <v>10903.199999999999</v>
      </c>
      <c r="V76">
        <v>13</v>
      </c>
      <c r="W76">
        <v>10124.4</v>
      </c>
      <c r="X76">
        <v>12</v>
      </c>
      <c r="Y76">
        <v>9345.5999999999985</v>
      </c>
      <c r="Z76">
        <v>17</v>
      </c>
      <c r="AA76">
        <v>13239.599999999999</v>
      </c>
      <c r="AB76">
        <v>16</v>
      </c>
      <c r="AC76">
        <v>12460.8</v>
      </c>
      <c r="AD76">
        <v>17.153215140573653</v>
      </c>
      <c r="AE76">
        <v>13358.923951478761</v>
      </c>
      <c r="AF76">
        <v>12.229321538335148</v>
      </c>
      <c r="AG76">
        <v>9524.1956140554121</v>
      </c>
      <c r="AH76">
        <v>11.124759945130315</v>
      </c>
      <c r="AI76">
        <v>8663.9630452674883</v>
      </c>
      <c r="AJ76">
        <v>16</v>
      </c>
      <c r="AK76">
        <v>12460.8</v>
      </c>
      <c r="AL76">
        <v>13.383353951835705</v>
      </c>
      <c r="AM76">
        <v>10422.956057689646</v>
      </c>
      <c r="AN76">
        <v>14</v>
      </c>
      <c r="AO76">
        <v>10903.199999999999</v>
      </c>
      <c r="AP76">
        <v>12.744328922495274</v>
      </c>
      <c r="AQ76">
        <v>9925.2833648393189</v>
      </c>
      <c r="AR76">
        <v>10.933232178024747</v>
      </c>
      <c r="AS76">
        <v>8514.8012202456721</v>
      </c>
      <c r="AT76">
        <v>9</v>
      </c>
      <c r="AU76">
        <v>7009.2</v>
      </c>
      <c r="AV76">
        <v>13.649931763974738</v>
      </c>
      <c r="AW76">
        <v>10630.566857783526</v>
      </c>
      <c r="AX76">
        <v>11</v>
      </c>
      <c r="AY76">
        <v>8566.7999999999993</v>
      </c>
      <c r="AZ76">
        <v>16.694599159970782</v>
      </c>
      <c r="BA76">
        <v>13001.753825785245</v>
      </c>
      <c r="BB76">
        <v>12</v>
      </c>
      <c r="BC76">
        <v>9345.5999999999985</v>
      </c>
      <c r="BD76">
        <v>18</v>
      </c>
      <c r="BE76">
        <v>14018.4</v>
      </c>
      <c r="BF76">
        <v>17.748183590117179</v>
      </c>
      <c r="BG76">
        <v>13822.285379983259</v>
      </c>
      <c r="BH76">
        <v>16</v>
      </c>
      <c r="BI76">
        <v>12460.8</v>
      </c>
      <c r="BJ76">
        <v>17.078421927575707</v>
      </c>
      <c r="BK76">
        <v>13300.67499719596</v>
      </c>
      <c r="BL76">
        <v>18</v>
      </c>
      <c r="BM76">
        <v>14018.4</v>
      </c>
      <c r="BN76">
        <v>14.050676330061984</v>
      </c>
      <c r="BO76">
        <v>10942.666725852272</v>
      </c>
      <c r="BP76">
        <v>19</v>
      </c>
      <c r="BQ76">
        <v>14797.199999999999</v>
      </c>
      <c r="BR76">
        <v>16.121459345902544</v>
      </c>
      <c r="BS76">
        <v>12555.3925385889</v>
      </c>
      <c r="BT76">
        <v>20.004770380918476</v>
      </c>
      <c r="BU76">
        <v>15579.715172659307</v>
      </c>
      <c r="BV76">
        <v>18.982349661078683</v>
      </c>
      <c r="BW76">
        <v>14783.453916048076</v>
      </c>
      <c r="BX76">
        <v>17.983094542369685</v>
      </c>
      <c r="BY76">
        <v>14005.23402959751</v>
      </c>
      <c r="BZ76">
        <v>18</v>
      </c>
      <c r="CA76">
        <v>14018.4</v>
      </c>
      <c r="CB76">
        <v>20</v>
      </c>
      <c r="CC76">
        <v>15576</v>
      </c>
      <c r="CD76">
        <v>18.885579234097101</v>
      </c>
      <c r="CE76">
        <v>14708.089107514821</v>
      </c>
      <c r="CF76">
        <v>17.735704639117845</v>
      </c>
      <c r="CG76">
        <v>13812.566772944976</v>
      </c>
      <c r="CH76">
        <v>20.318979174083303</v>
      </c>
      <c r="CI76">
        <v>15824.420980776076</v>
      </c>
      <c r="CJ76">
        <v>14.946205829106839</v>
      </c>
      <c r="CK76">
        <v>11640.105099708406</v>
      </c>
      <c r="CL76">
        <v>17.120083246618105</v>
      </c>
      <c r="CM76">
        <v>13333.120832466178</v>
      </c>
      <c r="CN76">
        <v>12.735704639117843</v>
      </c>
      <c r="CO76">
        <v>9918.566772944976</v>
      </c>
      <c r="CP76">
        <v>15.976248385939192</v>
      </c>
      <c r="CQ76">
        <v>12442.302242969441</v>
      </c>
      <c r="CR76">
        <v>13.071395634131182</v>
      </c>
      <c r="CS76">
        <v>10180.002919861365</v>
      </c>
      <c r="CT76">
        <v>19.818565088757396</v>
      </c>
      <c r="CU76">
        <v>15434.698491124258</v>
      </c>
    </row>
    <row r="77" spans="2:99" x14ac:dyDescent="0.2">
      <c r="C77" s="118" t="s">
        <v>243</v>
      </c>
      <c r="D77">
        <v>14.762925349425766</v>
      </c>
      <c r="E77">
        <v>4109.9984172801333</v>
      </c>
      <c r="F77">
        <v>13.018166852725303</v>
      </c>
      <c r="G77">
        <v>3624.2576517987241</v>
      </c>
      <c r="H77">
        <v>13.761325904430239</v>
      </c>
      <c r="I77">
        <v>3831.1531317933782</v>
      </c>
      <c r="J77">
        <v>21</v>
      </c>
      <c r="K77">
        <v>5846.4</v>
      </c>
      <c r="L77">
        <v>17</v>
      </c>
      <c r="M77">
        <v>4732.7999999999993</v>
      </c>
      <c r="N77">
        <v>20</v>
      </c>
      <c r="O77">
        <v>5568</v>
      </c>
      <c r="P77">
        <v>18</v>
      </c>
      <c r="Q77">
        <v>5011.2</v>
      </c>
      <c r="R77">
        <v>20</v>
      </c>
      <c r="S77">
        <v>5568</v>
      </c>
      <c r="T77">
        <v>14.934011687363039</v>
      </c>
      <c r="U77">
        <v>4157.6288537618702</v>
      </c>
      <c r="V77">
        <v>16</v>
      </c>
      <c r="W77">
        <v>4454.3999999999996</v>
      </c>
      <c r="X77">
        <v>13</v>
      </c>
      <c r="Y77">
        <v>3619.2</v>
      </c>
      <c r="Z77">
        <v>15</v>
      </c>
      <c r="AA77">
        <v>4176</v>
      </c>
      <c r="AB77">
        <v>20</v>
      </c>
      <c r="AC77">
        <v>5568</v>
      </c>
      <c r="AD77">
        <v>18.249316402288127</v>
      </c>
      <c r="AE77">
        <v>5080.6096863970142</v>
      </c>
      <c r="AF77">
        <v>15.320382393026641</v>
      </c>
      <c r="AG77">
        <v>4265.1944582186161</v>
      </c>
      <c r="AH77">
        <v>11.124759945130315</v>
      </c>
      <c r="AI77">
        <v>3097.1331687242791</v>
      </c>
      <c r="AJ77">
        <v>19</v>
      </c>
      <c r="AK77">
        <v>5289.5999999999995</v>
      </c>
      <c r="AL77">
        <v>13.359394329845973</v>
      </c>
      <c r="AM77">
        <v>3719.2553814291186</v>
      </c>
      <c r="AN77">
        <v>15</v>
      </c>
      <c r="AO77">
        <v>4176</v>
      </c>
      <c r="AP77">
        <v>12.893194706994329</v>
      </c>
      <c r="AQ77">
        <v>3589.4654064272208</v>
      </c>
      <c r="AR77">
        <v>11.933232178024747</v>
      </c>
      <c r="AS77">
        <v>3322.2118383620896</v>
      </c>
      <c r="AT77">
        <v>10</v>
      </c>
      <c r="AU77">
        <v>2784</v>
      </c>
      <c r="AV77">
        <v>12.699926515049718</v>
      </c>
      <c r="AW77">
        <v>3535.6595417898411</v>
      </c>
      <c r="AX77">
        <v>12</v>
      </c>
      <c r="AY77">
        <v>3340.7999999999997</v>
      </c>
      <c r="AZ77">
        <v>15.644984934258582</v>
      </c>
      <c r="BA77">
        <v>4355.5638056975886</v>
      </c>
      <c r="BB77">
        <v>13</v>
      </c>
      <c r="BC77">
        <v>3619.2</v>
      </c>
      <c r="BD77">
        <v>17</v>
      </c>
      <c r="BE77">
        <v>4732.7999999999993</v>
      </c>
      <c r="BF77">
        <v>19.847941402132804</v>
      </c>
      <c r="BG77">
        <v>5525.6668863537725</v>
      </c>
      <c r="BH77">
        <v>21.140678446609162</v>
      </c>
      <c r="BI77">
        <v>5885.5648795359903</v>
      </c>
      <c r="BJ77">
        <v>15.084957088207018</v>
      </c>
      <c r="BK77">
        <v>4199.6520533568337</v>
      </c>
      <c r="BL77">
        <v>19</v>
      </c>
      <c r="BM77">
        <v>5289.5999999999995</v>
      </c>
      <c r="BN77">
        <v>13.050676330061984</v>
      </c>
      <c r="BO77">
        <v>3633.3082902892561</v>
      </c>
      <c r="BP77">
        <v>23</v>
      </c>
      <c r="BQ77">
        <v>6403.2</v>
      </c>
      <c r="BR77">
        <v>18.166317719738647</v>
      </c>
      <c r="BS77">
        <v>5057.5028531752387</v>
      </c>
      <c r="BT77">
        <v>22.244001423994305</v>
      </c>
      <c r="BU77">
        <v>6192.7299964400145</v>
      </c>
      <c r="BV77">
        <v>21.129702110240483</v>
      </c>
      <c r="BW77">
        <v>5882.5090674909497</v>
      </c>
      <c r="BX77">
        <v>18.12353661985107</v>
      </c>
      <c r="BY77">
        <v>5045.592594966537</v>
      </c>
      <c r="BZ77">
        <v>20</v>
      </c>
      <c r="CA77">
        <v>5568</v>
      </c>
      <c r="CB77">
        <v>20</v>
      </c>
      <c r="CC77">
        <v>5568</v>
      </c>
      <c r="CD77">
        <v>19.885579234097101</v>
      </c>
      <c r="CE77">
        <v>5536.1452587726326</v>
      </c>
      <c r="CF77">
        <v>17.833798591000221</v>
      </c>
      <c r="CG77">
        <v>4964.9295277344609</v>
      </c>
      <c r="CH77">
        <v>21.224766375934497</v>
      </c>
      <c r="CI77">
        <v>5908.9749590601632</v>
      </c>
      <c r="CJ77">
        <v>18.045806442697032</v>
      </c>
      <c r="CK77">
        <v>5023.9525136468528</v>
      </c>
      <c r="CL77">
        <v>17.213423517169616</v>
      </c>
      <c r="CM77">
        <v>4792.2171071800203</v>
      </c>
      <c r="CN77">
        <v>14.735704639117843</v>
      </c>
      <c r="CO77">
        <v>4102.4201715304071</v>
      </c>
      <c r="CP77">
        <v>18.122685643830071</v>
      </c>
      <c r="CQ77">
        <v>5045.355683242291</v>
      </c>
      <c r="CR77">
        <v>16.084994802537121</v>
      </c>
      <c r="CS77">
        <v>4478.0625530263342</v>
      </c>
      <c r="CT77">
        <v>24.963017751479288</v>
      </c>
      <c r="CU77">
        <v>6949.704142011833</v>
      </c>
    </row>
    <row r="78" spans="2:99" x14ac:dyDescent="0.2">
      <c r="C78" s="118" t="s">
        <v>244</v>
      </c>
      <c r="D78">
        <v>14.06661976346882</v>
      </c>
      <c r="E78">
        <v>7764.7741094347884</v>
      </c>
      <c r="F78">
        <v>11.018166852725303</v>
      </c>
      <c r="G78">
        <v>6082.0281027043675</v>
      </c>
      <c r="H78">
        <v>15.666160166376459</v>
      </c>
      <c r="I78">
        <v>8647.7204118398058</v>
      </c>
      <c r="J78">
        <v>18</v>
      </c>
      <c r="K78">
        <v>9936</v>
      </c>
      <c r="L78">
        <v>19</v>
      </c>
      <c r="M78">
        <v>10488</v>
      </c>
      <c r="N78">
        <v>20</v>
      </c>
      <c r="O78">
        <v>11040</v>
      </c>
      <c r="P78">
        <v>17</v>
      </c>
      <c r="Q78">
        <v>9384</v>
      </c>
      <c r="R78">
        <v>20.11672467849931</v>
      </c>
      <c r="S78">
        <v>11104.432022531619</v>
      </c>
      <c r="T78">
        <v>14</v>
      </c>
      <c r="U78">
        <v>7728</v>
      </c>
      <c r="V78">
        <v>16</v>
      </c>
      <c r="W78">
        <v>8832</v>
      </c>
      <c r="X78">
        <v>13</v>
      </c>
      <c r="Y78">
        <v>7176</v>
      </c>
      <c r="Z78">
        <v>18</v>
      </c>
      <c r="AA78">
        <v>9936</v>
      </c>
      <c r="AB78">
        <v>19</v>
      </c>
      <c r="AC78">
        <v>10488</v>
      </c>
      <c r="AD78">
        <v>17.20126577143089</v>
      </c>
      <c r="AE78">
        <v>9495.0987058298506</v>
      </c>
      <c r="AF78">
        <v>14.092730256297909</v>
      </c>
      <c r="AG78">
        <v>7779.1871014764456</v>
      </c>
      <c r="AH78">
        <v>11</v>
      </c>
      <c r="AI78">
        <v>6072</v>
      </c>
      <c r="AJ78">
        <v>19</v>
      </c>
      <c r="AK78">
        <v>10488</v>
      </c>
      <c r="AL78">
        <v>13.359394329845973</v>
      </c>
      <c r="AM78">
        <v>7374.3856700749766</v>
      </c>
      <c r="AN78">
        <v>16</v>
      </c>
      <c r="AO78">
        <v>8832</v>
      </c>
      <c r="AP78">
        <v>11.793950850661625</v>
      </c>
      <c r="AQ78">
        <v>6510.260869565217</v>
      </c>
      <c r="AR78">
        <v>11.884114694970814</v>
      </c>
      <c r="AS78">
        <v>6560.0313116238895</v>
      </c>
      <c r="AT78">
        <v>11</v>
      </c>
      <c r="AU78">
        <v>6072</v>
      </c>
      <c r="AV78">
        <v>12.699926515049718</v>
      </c>
      <c r="AW78">
        <v>7010.3594363074444</v>
      </c>
      <c r="AX78">
        <v>12</v>
      </c>
      <c r="AY78">
        <v>6624</v>
      </c>
      <c r="AZ78">
        <v>15.644984934258582</v>
      </c>
      <c r="BA78">
        <v>8636.0316837107384</v>
      </c>
      <c r="BB78">
        <v>12</v>
      </c>
      <c r="BC78">
        <v>6624</v>
      </c>
      <c r="BD78">
        <v>18</v>
      </c>
      <c r="BE78">
        <v>9936</v>
      </c>
      <c r="BF78">
        <v>15.748183590117179</v>
      </c>
      <c r="BG78">
        <v>8692.9973417446836</v>
      </c>
      <c r="BH78">
        <v>19.095051308744793</v>
      </c>
      <c r="BI78">
        <v>10540.468322427127</v>
      </c>
      <c r="BJ78">
        <v>16.078421927575707</v>
      </c>
      <c r="BK78">
        <v>8875.2889040217906</v>
      </c>
      <c r="BL78">
        <v>19</v>
      </c>
      <c r="BM78">
        <v>10488</v>
      </c>
      <c r="BN78">
        <v>13.05457450929752</v>
      </c>
      <c r="BO78">
        <v>7206.1251291322315</v>
      </c>
      <c r="BP78">
        <v>21</v>
      </c>
      <c r="BQ78">
        <v>11592</v>
      </c>
      <c r="BR78">
        <v>19.121459345902544</v>
      </c>
      <c r="BS78">
        <v>10555.045558938204</v>
      </c>
      <c r="BT78">
        <v>19.100462798148808</v>
      </c>
      <c r="BU78">
        <v>10543.455464578143</v>
      </c>
      <c r="BV78">
        <v>20.031467144132616</v>
      </c>
      <c r="BW78">
        <v>11057.369863561204</v>
      </c>
      <c r="BX78">
        <v>16.983094542369685</v>
      </c>
      <c r="BY78">
        <v>9374.6681873880661</v>
      </c>
      <c r="BZ78">
        <v>17</v>
      </c>
      <c r="CA78">
        <v>9384</v>
      </c>
      <c r="CB78">
        <v>19</v>
      </c>
      <c r="CC78">
        <v>10488</v>
      </c>
      <c r="CD78">
        <v>19.885579234097101</v>
      </c>
      <c r="CE78">
        <v>10976.8397372216</v>
      </c>
      <c r="CF78">
        <v>16.882845566941413</v>
      </c>
      <c r="CG78">
        <v>9319.3307529516605</v>
      </c>
      <c r="CH78">
        <v>22.271872775008902</v>
      </c>
      <c r="CI78">
        <v>12294.073771804913</v>
      </c>
      <c r="CJ78">
        <v>16.045806442697032</v>
      </c>
      <c r="CK78">
        <v>8857.2851563687618</v>
      </c>
      <c r="CL78">
        <v>17.166753381893862</v>
      </c>
      <c r="CM78">
        <v>9476.0478668054111</v>
      </c>
      <c r="CN78">
        <v>12.833798591000223</v>
      </c>
      <c r="CO78">
        <v>7084.2568222321233</v>
      </c>
      <c r="CP78">
        <v>17.171498063127029</v>
      </c>
      <c r="CQ78">
        <v>9478.6669308461205</v>
      </c>
      <c r="CR78">
        <v>14.071395634131182</v>
      </c>
      <c r="CS78">
        <v>7767.4103900404125</v>
      </c>
      <c r="CT78">
        <v>21.914866863905324</v>
      </c>
      <c r="CU78">
        <v>12097.006508875738</v>
      </c>
    </row>
    <row r="79" spans="2:99" x14ac:dyDescent="0.2">
      <c r="C79" s="118" t="s">
        <v>245</v>
      </c>
      <c r="D79">
        <v>14.635814817293213</v>
      </c>
      <c r="E79">
        <v>11082.238979654419</v>
      </c>
      <c r="F79">
        <v>11.018166852725303</v>
      </c>
      <c r="G79">
        <v>8342.9559408835976</v>
      </c>
      <c r="H79">
        <v>15.666160166376459</v>
      </c>
      <c r="I79">
        <v>11862.416477980254</v>
      </c>
      <c r="J79">
        <v>19</v>
      </c>
      <c r="K79">
        <v>14386.8</v>
      </c>
      <c r="L79">
        <v>17</v>
      </c>
      <c r="M79">
        <v>12872.4</v>
      </c>
      <c r="N79">
        <v>20</v>
      </c>
      <c r="O79">
        <v>15143.999999999998</v>
      </c>
      <c r="P79">
        <v>18</v>
      </c>
      <c r="Q79">
        <v>13629.599999999999</v>
      </c>
      <c r="R79">
        <v>20.019618184716759</v>
      </c>
      <c r="S79">
        <v>15158.854889467528</v>
      </c>
      <c r="T79">
        <v>14.884853177501826</v>
      </c>
      <c r="U79">
        <v>11270.810826004381</v>
      </c>
      <c r="V79">
        <v>15</v>
      </c>
      <c r="W79">
        <v>11357.999999999998</v>
      </c>
      <c r="X79">
        <v>14</v>
      </c>
      <c r="Y79">
        <v>10600.8</v>
      </c>
      <c r="Z79">
        <v>15</v>
      </c>
      <c r="AA79">
        <v>11357.999999999998</v>
      </c>
      <c r="AB79">
        <v>16</v>
      </c>
      <c r="AC79">
        <v>12115.199999999999</v>
      </c>
      <c r="AD79">
        <v>17.057113878859184</v>
      </c>
      <c r="AE79">
        <v>12915.646629072173</v>
      </c>
      <c r="AF79">
        <v>14.229321538335148</v>
      </c>
      <c r="AG79">
        <v>10774.442268827373</v>
      </c>
      <c r="AH79">
        <v>12.075857338820301</v>
      </c>
      <c r="AI79">
        <v>9143.8391769547306</v>
      </c>
      <c r="AJ79">
        <v>19</v>
      </c>
      <c r="AK79">
        <v>14386.8</v>
      </c>
      <c r="AL79">
        <v>12.359394329845973</v>
      </c>
      <c r="AM79">
        <v>9358.5333865593693</v>
      </c>
      <c r="AN79">
        <v>14</v>
      </c>
      <c r="AO79">
        <v>10600.8</v>
      </c>
      <c r="AP79">
        <v>11.793950850661625</v>
      </c>
      <c r="AQ79">
        <v>8930.3795841209812</v>
      </c>
      <c r="AR79">
        <v>10.933232178024747</v>
      </c>
      <c r="AS79">
        <v>8278.6434052003387</v>
      </c>
      <c r="AT79">
        <v>10</v>
      </c>
      <c r="AU79">
        <v>7571.9999999999991</v>
      </c>
      <c r="AV79">
        <v>13.699926515049718</v>
      </c>
      <c r="AW79">
        <v>10373.584357195645</v>
      </c>
      <c r="AX79">
        <v>11</v>
      </c>
      <c r="AY79">
        <v>8329.1999999999989</v>
      </c>
      <c r="AZ79">
        <v>16.595370708546383</v>
      </c>
      <c r="BA79">
        <v>12566.014700511319</v>
      </c>
      <c r="BB79">
        <v>11</v>
      </c>
      <c r="BC79">
        <v>8329.1999999999989</v>
      </c>
      <c r="BD79">
        <v>17</v>
      </c>
      <c r="BE79">
        <v>12872.4</v>
      </c>
      <c r="BF79">
        <v>15.748183590117179</v>
      </c>
      <c r="BG79">
        <v>11924.524614436727</v>
      </c>
      <c r="BH79">
        <v>19</v>
      </c>
      <c r="BI79">
        <v>14386.8</v>
      </c>
      <c r="BJ79">
        <v>16.078421927575707</v>
      </c>
      <c r="BK79">
        <v>12174.581083560324</v>
      </c>
      <c r="BL79">
        <v>18</v>
      </c>
      <c r="BM79">
        <v>13629.599999999999</v>
      </c>
      <c r="BN79">
        <v>13.050676330061984</v>
      </c>
      <c r="BO79">
        <v>9881.9721171229339</v>
      </c>
      <c r="BP79">
        <v>20</v>
      </c>
      <c r="BQ79">
        <v>15143.999999999998</v>
      </c>
      <c r="BR79">
        <v>16.211176093574746</v>
      </c>
      <c r="BS79">
        <v>12275.102538054796</v>
      </c>
      <c r="BT79">
        <v>18.196155215379139</v>
      </c>
      <c r="BU79">
        <v>13778.128729085083</v>
      </c>
      <c r="BV79">
        <v>19.031467144132616</v>
      </c>
      <c r="BW79">
        <v>14410.626921537216</v>
      </c>
      <c r="BX79">
        <v>18.029908568196813</v>
      </c>
      <c r="BY79">
        <v>13652.246767838626</v>
      </c>
      <c r="BZ79">
        <v>18</v>
      </c>
      <c r="CA79">
        <v>13629.599999999999</v>
      </c>
      <c r="CB79">
        <v>19</v>
      </c>
      <c r="CC79">
        <v>14386.8</v>
      </c>
      <c r="CD79">
        <v>20.934778080435827</v>
      </c>
      <c r="CE79">
        <v>15851.813962506007</v>
      </c>
      <c r="CF79">
        <v>15.784751615059033</v>
      </c>
      <c r="CG79">
        <v>11952.2139229227</v>
      </c>
      <c r="CH79">
        <v>21.224766375934497</v>
      </c>
      <c r="CI79">
        <v>16071.3930998576</v>
      </c>
      <c r="CJ79">
        <v>15.946205829106839</v>
      </c>
      <c r="CK79">
        <v>12074.467053799697</v>
      </c>
      <c r="CL79">
        <v>18.306763787721124</v>
      </c>
      <c r="CM79">
        <v>13861.881540062433</v>
      </c>
      <c r="CN79">
        <v>14.833798591000223</v>
      </c>
      <c r="CO79">
        <v>11232.152293105368</v>
      </c>
      <c r="CP79">
        <v>17.025060805236151</v>
      </c>
      <c r="CQ79">
        <v>12891.376041724812</v>
      </c>
      <c r="CR79">
        <v>15.071395634131182</v>
      </c>
      <c r="CS79">
        <v>11412.060774164131</v>
      </c>
      <c r="CT79">
        <v>22.86671597633136</v>
      </c>
      <c r="CU79">
        <v>17314.677337278103</v>
      </c>
    </row>
    <row r="80" spans="2:99" x14ac:dyDescent="0.2">
      <c r="C80" s="118" t="s">
        <v>246</v>
      </c>
      <c r="D80">
        <v>12.668712396649811</v>
      </c>
      <c r="E80">
        <v>10200.847221782427</v>
      </c>
      <c r="F80">
        <v>11.848472377271086</v>
      </c>
      <c r="G80">
        <v>9540.3899581786773</v>
      </c>
      <c r="H80">
        <v>13.666160166376459</v>
      </c>
      <c r="I80">
        <v>11003.992165966323</v>
      </c>
      <c r="J80">
        <v>17.630687891231677</v>
      </c>
      <c r="K80">
        <v>14196.229890019746</v>
      </c>
      <c r="L80">
        <v>18</v>
      </c>
      <c r="M80">
        <v>14493.599999999999</v>
      </c>
      <c r="N80">
        <v>18</v>
      </c>
      <c r="O80">
        <v>14493.599999999999</v>
      </c>
      <c r="P80">
        <v>18</v>
      </c>
      <c r="Q80">
        <v>14493.599999999999</v>
      </c>
      <c r="R80">
        <v>18.971064937825485</v>
      </c>
      <c r="S80">
        <v>15275.501487937079</v>
      </c>
      <c r="T80">
        <v>12</v>
      </c>
      <c r="U80">
        <v>9662.4</v>
      </c>
      <c r="V80">
        <v>14</v>
      </c>
      <c r="W80">
        <v>11272.8</v>
      </c>
      <c r="X80">
        <v>12</v>
      </c>
      <c r="Y80">
        <v>9662.4</v>
      </c>
      <c r="Z80">
        <v>15</v>
      </c>
      <c r="AA80">
        <v>12077.999999999998</v>
      </c>
      <c r="AB80">
        <v>16</v>
      </c>
      <c r="AC80">
        <v>12883.199999999999</v>
      </c>
      <c r="AD80">
        <v>18.153215140573653</v>
      </c>
      <c r="AE80">
        <v>14616.968831189904</v>
      </c>
      <c r="AF80">
        <v>13.183791110989402</v>
      </c>
      <c r="AG80">
        <v>10615.588602568665</v>
      </c>
      <c r="AH80">
        <v>11.026954732510287</v>
      </c>
      <c r="AI80">
        <v>8878.903950617283</v>
      </c>
      <c r="AJ80">
        <v>17</v>
      </c>
      <c r="AK80">
        <v>13688.4</v>
      </c>
      <c r="AL80">
        <v>12.407313573825437</v>
      </c>
      <c r="AM80">
        <v>9990.3688896442418</v>
      </c>
      <c r="AN80">
        <v>15</v>
      </c>
      <c r="AO80">
        <v>12077.999999999998</v>
      </c>
      <c r="AP80">
        <v>11.744328922495274</v>
      </c>
      <c r="AQ80">
        <v>9456.5336483931933</v>
      </c>
      <c r="AR80">
        <v>11.83499721191688</v>
      </c>
      <c r="AS80">
        <v>9529.5397550354719</v>
      </c>
      <c r="AT80">
        <v>11</v>
      </c>
      <c r="AU80">
        <v>8857.1999999999989</v>
      </c>
      <c r="AV80">
        <v>13.699926515049718</v>
      </c>
      <c r="AW80">
        <v>11031.180829918032</v>
      </c>
      <c r="AX80">
        <v>12</v>
      </c>
      <c r="AY80">
        <v>9662.4</v>
      </c>
      <c r="AZ80">
        <v>15.694599159970782</v>
      </c>
      <c r="BA80">
        <v>12637.291243608472</v>
      </c>
      <c r="BB80">
        <v>11</v>
      </c>
      <c r="BC80">
        <v>8857.1999999999989</v>
      </c>
      <c r="BD80">
        <v>16</v>
      </c>
      <c r="BE80">
        <v>12883.199999999999</v>
      </c>
      <c r="BF80">
        <v>18.698304684109367</v>
      </c>
      <c r="BG80">
        <v>15055.874931644861</v>
      </c>
      <c r="BH80">
        <v>18</v>
      </c>
      <c r="BI80">
        <v>14493.599999999999</v>
      </c>
      <c r="BJ80">
        <v>16.091492248838328</v>
      </c>
      <c r="BK80">
        <v>12956.869558764622</v>
      </c>
      <c r="BL80">
        <v>20</v>
      </c>
      <c r="BM80">
        <v>16103.999999999998</v>
      </c>
      <c r="BN80">
        <v>12.046778150826446</v>
      </c>
      <c r="BO80">
        <v>9700.065767045453</v>
      </c>
      <c r="BP80">
        <v>20</v>
      </c>
      <c r="BQ80">
        <v>16103.999999999998</v>
      </c>
      <c r="BR80">
        <v>16.986884224394238</v>
      </c>
      <c r="BS80">
        <v>13677.839177482239</v>
      </c>
      <c r="BT80">
        <v>17.148309006763974</v>
      </c>
      <c r="BU80">
        <v>13807.81841224635</v>
      </c>
      <c r="BV80">
        <v>19.031467144132616</v>
      </c>
      <c r="BW80">
        <v>15324.137344455581</v>
      </c>
      <c r="BX80">
        <v>15.983094542369686</v>
      </c>
      <c r="BY80">
        <v>12869.58772551607</v>
      </c>
      <c r="BZ80">
        <v>20</v>
      </c>
      <c r="CA80">
        <v>16103.999999999998</v>
      </c>
      <c r="CB80">
        <v>20</v>
      </c>
      <c r="CC80">
        <v>16103.999999999998</v>
      </c>
      <c r="CD80">
        <v>18.787181541419645</v>
      </c>
      <c r="CE80">
        <v>15127.438577151097</v>
      </c>
      <c r="CF80">
        <v>17.735704639117845</v>
      </c>
      <c r="CG80">
        <v>14280.789375417688</v>
      </c>
      <c r="CH80">
        <v>19.318979174083303</v>
      </c>
      <c r="CI80">
        <v>15555.642030971874</v>
      </c>
      <c r="CJ80">
        <v>15.996006135901936</v>
      </c>
      <c r="CK80">
        <v>12879.984140628238</v>
      </c>
      <c r="CL80">
        <v>17.166753381893862</v>
      </c>
      <c r="CM80">
        <v>13822.669823100936</v>
      </c>
      <c r="CN80">
        <v>12.735704639117843</v>
      </c>
      <c r="CO80">
        <v>10254.789375417686</v>
      </c>
      <c r="CP80">
        <v>17.025060805236151</v>
      </c>
      <c r="CQ80">
        <v>13708.578960376148</v>
      </c>
      <c r="CR80">
        <v>16.078195218334152</v>
      </c>
      <c r="CS80">
        <v>12946.162789802658</v>
      </c>
      <c r="CT80">
        <v>22.963017751479288</v>
      </c>
      <c r="CU80">
        <v>18489.82189349112</v>
      </c>
    </row>
    <row r="81" spans="2:99" x14ac:dyDescent="0.2">
      <c r="C81" s="118" t="s">
        <v>247</v>
      </c>
      <c r="D81">
        <v>13.955397816051585</v>
      </c>
      <c r="E81">
        <v>10516.787794176475</v>
      </c>
      <c r="F81">
        <v>12.018166852725303</v>
      </c>
      <c r="G81">
        <v>9056.890540213788</v>
      </c>
      <c r="H81">
        <v>13.666160166376459</v>
      </c>
      <c r="I81">
        <v>10298.8183013813</v>
      </c>
      <c r="J81">
        <v>19.679202344403343</v>
      </c>
      <c r="K81">
        <v>14830.246886742359</v>
      </c>
      <c r="L81">
        <v>17</v>
      </c>
      <c r="M81">
        <v>12811.2</v>
      </c>
      <c r="N81">
        <v>18</v>
      </c>
      <c r="O81">
        <v>13564.800000000001</v>
      </c>
      <c r="P81">
        <v>16</v>
      </c>
      <c r="Q81">
        <v>12057.6</v>
      </c>
      <c r="R81">
        <v>19.971064937825485</v>
      </c>
      <c r="S81">
        <v>15050.194537145286</v>
      </c>
      <c r="T81">
        <v>13.934011687363039</v>
      </c>
      <c r="U81">
        <v>10500.671207596786</v>
      </c>
      <c r="V81">
        <v>14</v>
      </c>
      <c r="W81">
        <v>10550.4</v>
      </c>
      <c r="X81">
        <v>13</v>
      </c>
      <c r="Y81">
        <v>9796.8000000000011</v>
      </c>
      <c r="Z81">
        <v>17</v>
      </c>
      <c r="AA81">
        <v>12811.2</v>
      </c>
      <c r="AB81">
        <v>18</v>
      </c>
      <c r="AC81">
        <v>13564.800000000001</v>
      </c>
      <c r="AD81">
        <v>17.153215140573653</v>
      </c>
      <c r="AE81">
        <v>12926.662929936305</v>
      </c>
      <c r="AF81">
        <v>12.092730256297909</v>
      </c>
      <c r="AG81">
        <v>9113.0815211461049</v>
      </c>
      <c r="AH81">
        <v>10</v>
      </c>
      <c r="AI81">
        <v>7536</v>
      </c>
      <c r="AJ81">
        <v>17</v>
      </c>
      <c r="AK81">
        <v>12811.2</v>
      </c>
      <c r="AL81">
        <v>12.359394329845973</v>
      </c>
      <c r="AM81">
        <v>9314.0395669719255</v>
      </c>
      <c r="AN81">
        <v>14</v>
      </c>
      <c r="AO81">
        <v>10550.4</v>
      </c>
      <c r="AP81">
        <v>12.843572778827976</v>
      </c>
      <c r="AQ81">
        <v>9678.9164461247638</v>
      </c>
      <c r="AR81">
        <v>10.884114694970814</v>
      </c>
      <c r="AS81">
        <v>8202.2688341300054</v>
      </c>
      <c r="AT81">
        <v>11</v>
      </c>
      <c r="AU81">
        <v>8289.6</v>
      </c>
      <c r="AV81">
        <v>13.699926515049718</v>
      </c>
      <c r="AW81">
        <v>10324.264621741468</v>
      </c>
      <c r="AX81">
        <v>11</v>
      </c>
      <c r="AY81">
        <v>8289.6</v>
      </c>
      <c r="AZ81">
        <v>14.694599159970782</v>
      </c>
      <c r="BA81">
        <v>11073.849926953981</v>
      </c>
      <c r="BB81">
        <v>13</v>
      </c>
      <c r="BC81">
        <v>9796.8000000000011</v>
      </c>
      <c r="BD81">
        <v>18</v>
      </c>
      <c r="BE81">
        <v>13564.800000000001</v>
      </c>
      <c r="BF81">
        <v>16.698304684109367</v>
      </c>
      <c r="BG81">
        <v>12583.842409944818</v>
      </c>
      <c r="BH81">
        <v>16</v>
      </c>
      <c r="BI81">
        <v>12057.6</v>
      </c>
      <c r="BJ81">
        <v>16.078421927575707</v>
      </c>
      <c r="BK81">
        <v>12116.698764621053</v>
      </c>
      <c r="BL81">
        <v>18</v>
      </c>
      <c r="BM81">
        <v>13564.800000000001</v>
      </c>
      <c r="BN81">
        <v>14.05457450929752</v>
      </c>
      <c r="BO81">
        <v>10591.527350206612</v>
      </c>
      <c r="BP81">
        <v>21</v>
      </c>
      <c r="BQ81">
        <v>15825.6</v>
      </c>
      <c r="BR81">
        <v>17.986884224394238</v>
      </c>
      <c r="BS81">
        <v>13554.915951503499</v>
      </c>
      <c r="BT81">
        <v>20.004770380918476</v>
      </c>
      <c r="BU81">
        <v>15075.594959060163</v>
      </c>
      <c r="BV81">
        <v>20.982349661078683</v>
      </c>
      <c r="BW81">
        <v>15812.298704588895</v>
      </c>
      <c r="BX81">
        <v>15.983094542369686</v>
      </c>
      <c r="BY81">
        <v>12044.860047129796</v>
      </c>
      <c r="BZ81">
        <v>19</v>
      </c>
      <c r="CA81">
        <v>14318.4</v>
      </c>
      <c r="CB81">
        <v>18</v>
      </c>
      <c r="CC81">
        <v>13564.800000000001</v>
      </c>
      <c r="CD81">
        <v>18.885579234097101</v>
      </c>
      <c r="CE81">
        <v>14232.172510815575</v>
      </c>
      <c r="CF81">
        <v>14.784751615059033</v>
      </c>
      <c r="CG81">
        <v>11141.788817108487</v>
      </c>
      <c r="CH81">
        <v>23.224766375934497</v>
      </c>
      <c r="CI81">
        <v>17502.183940904237</v>
      </c>
      <c r="CJ81">
        <v>14.946205829106839</v>
      </c>
      <c r="CK81">
        <v>11263.460712814915</v>
      </c>
      <c r="CL81">
        <v>16.166753381893862</v>
      </c>
      <c r="CM81">
        <v>12183.265348595214</v>
      </c>
      <c r="CN81">
        <v>13.735704639117843</v>
      </c>
      <c r="CO81">
        <v>10351.227016039207</v>
      </c>
      <c r="CP81">
        <v>16.122685643830071</v>
      </c>
      <c r="CQ81">
        <v>12150.055901190342</v>
      </c>
      <c r="CR81">
        <v>13.078195218334152</v>
      </c>
      <c r="CS81">
        <v>9855.7279165366162</v>
      </c>
      <c r="CT81">
        <v>21.914866863905324</v>
      </c>
      <c r="CU81">
        <v>16515.043668639053</v>
      </c>
    </row>
    <row r="82" spans="2:99" x14ac:dyDescent="0.2">
      <c r="C82" s="118" t="s">
        <v>248</v>
      </c>
      <c r="D82">
        <v>13.481536124929104</v>
      </c>
      <c r="E82">
        <v>6859.4055803639267</v>
      </c>
      <c r="F82">
        <v>12.187861328179521</v>
      </c>
      <c r="G82">
        <v>6201.1838437777387</v>
      </c>
      <c r="H82">
        <v>14.761325904430239</v>
      </c>
      <c r="I82">
        <v>7510.5626201741043</v>
      </c>
      <c r="J82">
        <v>20.72771679757501</v>
      </c>
      <c r="K82">
        <v>10546.262306606162</v>
      </c>
      <c r="L82">
        <v>19</v>
      </c>
      <c r="M82">
        <v>9667.1999999999989</v>
      </c>
      <c r="N82">
        <v>19</v>
      </c>
      <c r="O82">
        <v>9667.1999999999989</v>
      </c>
      <c r="P82">
        <v>18</v>
      </c>
      <c r="Q82">
        <v>9158.3999999999978</v>
      </c>
      <c r="R82">
        <v>20.165277925390583</v>
      </c>
      <c r="S82">
        <v>10260.093408438726</v>
      </c>
      <c r="T82">
        <v>14</v>
      </c>
      <c r="U82">
        <v>7123.1999999999989</v>
      </c>
      <c r="V82">
        <v>15</v>
      </c>
      <c r="W82">
        <v>7631.9999999999982</v>
      </c>
      <c r="X82">
        <v>14</v>
      </c>
      <c r="Y82">
        <v>7123.1999999999989</v>
      </c>
      <c r="Z82">
        <v>18</v>
      </c>
      <c r="AA82">
        <v>9158.3999999999978</v>
      </c>
      <c r="AB82">
        <v>20</v>
      </c>
      <c r="AC82">
        <v>10175.999999999998</v>
      </c>
      <c r="AD82">
        <v>16.057113878859184</v>
      </c>
      <c r="AE82">
        <v>8169.8595415635509</v>
      </c>
      <c r="AF82">
        <v>15.229321538335148</v>
      </c>
      <c r="AG82">
        <v>7748.678798704922</v>
      </c>
      <c r="AH82">
        <v>9</v>
      </c>
      <c r="AI82">
        <v>4579.1999999999989</v>
      </c>
      <c r="AJ82">
        <v>17</v>
      </c>
      <c r="AK82">
        <v>8649.5999999999985</v>
      </c>
      <c r="AL82">
        <v>13.407313573825437</v>
      </c>
      <c r="AM82">
        <v>6821.6411463623808</v>
      </c>
      <c r="AN82">
        <v>14</v>
      </c>
      <c r="AO82">
        <v>7123.1999999999989</v>
      </c>
      <c r="AP82">
        <v>11.893194706994329</v>
      </c>
      <c r="AQ82">
        <v>6051.2574669187134</v>
      </c>
      <c r="AR82">
        <v>11.982349661078683</v>
      </c>
      <c r="AS82">
        <v>6096.6195075568321</v>
      </c>
      <c r="AT82">
        <v>10</v>
      </c>
      <c r="AU82">
        <v>5087.9999999999991</v>
      </c>
      <c r="AV82">
        <v>14.699926515049718</v>
      </c>
      <c r="AW82">
        <v>7479.3226108572953</v>
      </c>
      <c r="AX82">
        <v>13</v>
      </c>
      <c r="AY82">
        <v>6614.3999999999987</v>
      </c>
      <c r="AZ82">
        <v>15.644984934258582</v>
      </c>
      <c r="BA82">
        <v>7960.1683345507654</v>
      </c>
      <c r="BB82">
        <v>12</v>
      </c>
      <c r="BC82">
        <v>6105.5999999999985</v>
      </c>
      <c r="BD82">
        <v>19</v>
      </c>
      <c r="BE82">
        <v>9667.1999999999989</v>
      </c>
      <c r="BF82">
        <v>17.748183590117179</v>
      </c>
      <c r="BG82">
        <v>9030.2758106516194</v>
      </c>
      <c r="BH82">
        <v>20</v>
      </c>
      <c r="BI82">
        <v>10175.999999999998</v>
      </c>
      <c r="BJ82">
        <v>16.088224668522674</v>
      </c>
      <c r="BK82">
        <v>8185.6887113443345</v>
      </c>
      <c r="BL82">
        <v>20</v>
      </c>
      <c r="BM82">
        <v>10175.999999999998</v>
      </c>
      <c r="BN82">
        <v>14.050676330061984</v>
      </c>
      <c r="BO82">
        <v>7148.9841167355362</v>
      </c>
      <c r="BP82">
        <v>19</v>
      </c>
      <c r="BQ82">
        <v>9667.1999999999989</v>
      </c>
      <c r="BR82">
        <v>18.211176093574746</v>
      </c>
      <c r="BS82">
        <v>9265.8463964108287</v>
      </c>
      <c r="BT82">
        <v>19.244001423994305</v>
      </c>
      <c r="BU82">
        <v>9791.3479245282997</v>
      </c>
      <c r="BV82">
        <v>18.08058462718655</v>
      </c>
      <c r="BW82">
        <v>9199.4014583125154</v>
      </c>
      <c r="BX82">
        <v>18.983094542369685</v>
      </c>
      <c r="BY82">
        <v>9658.5985031576929</v>
      </c>
      <c r="BZ82">
        <v>17</v>
      </c>
      <c r="CA82">
        <v>8649.5999999999985</v>
      </c>
      <c r="CB82">
        <v>19</v>
      </c>
      <c r="CC82">
        <v>9667.1999999999989</v>
      </c>
      <c r="CD82">
        <v>19.934778080435827</v>
      </c>
      <c r="CE82">
        <v>10142.815087325747</v>
      </c>
      <c r="CF82">
        <v>17.784751615059033</v>
      </c>
      <c r="CG82">
        <v>9048.8816217420335</v>
      </c>
      <c r="CH82">
        <v>23.224766375934497</v>
      </c>
      <c r="CI82">
        <v>11816.76113207547</v>
      </c>
      <c r="CJ82">
        <v>17.095606749492131</v>
      </c>
      <c r="CK82">
        <v>8698.2447141415942</v>
      </c>
      <c r="CL82">
        <v>19.26009365244537</v>
      </c>
      <c r="CM82">
        <v>9799.5356503642015</v>
      </c>
      <c r="CN82">
        <v>14.784751615059033</v>
      </c>
      <c r="CO82">
        <v>7522.4816217420348</v>
      </c>
      <c r="CP82">
        <v>15.976248385939192</v>
      </c>
      <c r="CQ82">
        <v>8128.7151787658595</v>
      </c>
      <c r="CR82">
        <v>14.074795426232667</v>
      </c>
      <c r="CS82">
        <v>7161.2559128671792</v>
      </c>
      <c r="CT82">
        <v>23.963017751479288</v>
      </c>
      <c r="CU82">
        <v>12192.38343195266</v>
      </c>
    </row>
    <row r="83" spans="2:99" x14ac:dyDescent="0.2">
      <c r="C83" s="118" t="s">
        <v>249</v>
      </c>
      <c r="D83">
        <v>13.612876535617193</v>
      </c>
      <c r="E83">
        <v>11712.518971245032</v>
      </c>
      <c r="F83">
        <v>10.848472377271086</v>
      </c>
      <c r="G83">
        <v>9334.0256334040423</v>
      </c>
      <c r="H83">
        <v>15.666160166376459</v>
      </c>
      <c r="I83">
        <v>13479.164207150305</v>
      </c>
      <c r="J83">
        <v>17</v>
      </c>
      <c r="K83">
        <v>14626.8</v>
      </c>
      <c r="L83">
        <v>19</v>
      </c>
      <c r="M83">
        <v>16347.6</v>
      </c>
      <c r="N83">
        <v>19</v>
      </c>
      <c r="O83">
        <v>16347.6</v>
      </c>
      <c r="P83">
        <v>18</v>
      </c>
      <c r="Q83">
        <v>15487.199999999999</v>
      </c>
      <c r="R83">
        <v>20.971064937825485</v>
      </c>
      <c r="S83">
        <v>18043.504272505048</v>
      </c>
      <c r="T83">
        <v>13</v>
      </c>
      <c r="U83">
        <v>11185.199999999999</v>
      </c>
      <c r="V83">
        <v>14</v>
      </c>
      <c r="W83">
        <v>12045.6</v>
      </c>
      <c r="X83">
        <v>13</v>
      </c>
      <c r="Y83">
        <v>11185.199999999999</v>
      </c>
      <c r="Z83">
        <v>17</v>
      </c>
      <c r="AA83">
        <v>14626.8</v>
      </c>
      <c r="AB83">
        <v>17</v>
      </c>
      <c r="AC83">
        <v>14626.8</v>
      </c>
      <c r="AD83">
        <v>16.057113878859184</v>
      </c>
      <c r="AE83">
        <v>13815.540781370441</v>
      </c>
      <c r="AF83">
        <v>13.229321538335148</v>
      </c>
      <c r="AG83">
        <v>11382.50825158356</v>
      </c>
      <c r="AH83">
        <v>11.075857338820301</v>
      </c>
      <c r="AI83">
        <v>9529.6676543209869</v>
      </c>
      <c r="AJ83">
        <v>15</v>
      </c>
      <c r="AK83">
        <v>12906</v>
      </c>
      <c r="AL83">
        <v>11.407313573825437</v>
      </c>
      <c r="AM83">
        <v>9814.8525989194059</v>
      </c>
      <c r="AN83">
        <v>14</v>
      </c>
      <c r="AO83">
        <v>12045.6</v>
      </c>
      <c r="AP83">
        <v>11.744328922495274</v>
      </c>
      <c r="AQ83">
        <v>10104.820604914934</v>
      </c>
      <c r="AR83">
        <v>11.982349661078683</v>
      </c>
      <c r="AS83">
        <v>10309.613648392098</v>
      </c>
      <c r="AT83">
        <v>10</v>
      </c>
      <c r="AU83">
        <v>8604</v>
      </c>
      <c r="AV83">
        <v>11.699926515049718</v>
      </c>
      <c r="AW83">
        <v>10066.616773548778</v>
      </c>
      <c r="AX83">
        <v>12</v>
      </c>
      <c r="AY83">
        <v>10324.799999999999</v>
      </c>
      <c r="AZ83">
        <v>15.644984934258582</v>
      </c>
      <c r="BA83">
        <v>13460.945037436084</v>
      </c>
      <c r="BB83">
        <v>13</v>
      </c>
      <c r="BC83">
        <v>11185.199999999999</v>
      </c>
      <c r="BD83">
        <v>19</v>
      </c>
      <c r="BE83">
        <v>16347.6</v>
      </c>
      <c r="BF83">
        <v>16.798062496124992</v>
      </c>
      <c r="BG83">
        <v>14453.052971665942</v>
      </c>
      <c r="BH83">
        <v>16</v>
      </c>
      <c r="BI83">
        <v>13766.4</v>
      </c>
      <c r="BJ83">
        <v>16.078421927575707</v>
      </c>
      <c r="BK83">
        <v>13833.874226486138</v>
      </c>
      <c r="BL83">
        <v>20</v>
      </c>
      <c r="BM83">
        <v>17208</v>
      </c>
      <c r="BN83">
        <v>12.050676330061984</v>
      </c>
      <c r="BO83">
        <v>10368.401914385331</v>
      </c>
      <c r="BP83">
        <v>20</v>
      </c>
      <c r="BQ83">
        <v>17208</v>
      </c>
      <c r="BR83">
        <v>16.166317719738647</v>
      </c>
      <c r="BS83">
        <v>13909.499766063131</v>
      </c>
      <c r="BT83">
        <v>18.052616589533642</v>
      </c>
      <c r="BU83">
        <v>15532.471313634745</v>
      </c>
      <c r="BV83">
        <v>20.08058462718655</v>
      </c>
      <c r="BW83">
        <v>17277.335013231306</v>
      </c>
      <c r="BX83">
        <v>16.029908568196813</v>
      </c>
      <c r="BY83">
        <v>13792.133332076537</v>
      </c>
      <c r="BZ83">
        <v>17</v>
      </c>
      <c r="CA83">
        <v>14626.8</v>
      </c>
      <c r="CB83">
        <v>18</v>
      </c>
      <c r="CC83">
        <v>15487.199999999999</v>
      </c>
      <c r="CD83">
        <v>19.836380387758371</v>
      </c>
      <c r="CE83">
        <v>17067.221685627301</v>
      </c>
      <c r="CF83">
        <v>16.784751615059033</v>
      </c>
      <c r="CG83">
        <v>14441.600289596792</v>
      </c>
      <c r="CH83">
        <v>20.224766375934497</v>
      </c>
      <c r="CI83">
        <v>17401.38898985404</v>
      </c>
      <c r="CJ83">
        <v>14.896405522311742</v>
      </c>
      <c r="CK83">
        <v>12816.867311397022</v>
      </c>
      <c r="CL83">
        <v>18.213423517169616</v>
      </c>
      <c r="CM83">
        <v>15670.829594172737</v>
      </c>
      <c r="CN83">
        <v>12.784751615059033</v>
      </c>
      <c r="CO83">
        <v>11000.000289596792</v>
      </c>
      <c r="CP83">
        <v>17.025060805236151</v>
      </c>
      <c r="CQ83">
        <v>14648.362316825183</v>
      </c>
      <c r="CR83">
        <v>15.081595010435636</v>
      </c>
      <c r="CS83">
        <v>12976.20434697882</v>
      </c>
      <c r="CT83">
        <v>18.963017751479288</v>
      </c>
      <c r="CU83">
        <v>16315.780473372779</v>
      </c>
    </row>
    <row r="84" spans="2:99" x14ac:dyDescent="0.2">
      <c r="C84" s="118" t="s">
        <v>250</v>
      </c>
      <c r="D84">
        <v>12.674008591554921</v>
      </c>
      <c r="E84">
        <v>9900.9355117227042</v>
      </c>
      <c r="F84">
        <v>12.018166852725303</v>
      </c>
      <c r="G84">
        <v>9388.591945349006</v>
      </c>
      <c r="H84">
        <v>14.666160166376459</v>
      </c>
      <c r="I84">
        <v>11457.20432197329</v>
      </c>
      <c r="J84">
        <v>19</v>
      </c>
      <c r="K84">
        <v>14842.8</v>
      </c>
      <c r="L84">
        <v>17</v>
      </c>
      <c r="M84">
        <v>13280.4</v>
      </c>
      <c r="N84">
        <v>18</v>
      </c>
      <c r="O84">
        <v>14061.599999999999</v>
      </c>
      <c r="P84">
        <v>18</v>
      </c>
      <c r="Q84">
        <v>14061.599999999999</v>
      </c>
      <c r="R84">
        <v>21.068171431608036</v>
      </c>
      <c r="S84">
        <v>16458.455522372195</v>
      </c>
      <c r="T84">
        <v>12</v>
      </c>
      <c r="U84">
        <v>9374.4</v>
      </c>
      <c r="V84">
        <v>14</v>
      </c>
      <c r="W84">
        <v>10936.8</v>
      </c>
      <c r="X84">
        <v>12</v>
      </c>
      <c r="Y84">
        <v>9374.4</v>
      </c>
      <c r="Z84">
        <v>17</v>
      </c>
      <c r="AA84">
        <v>13280.4</v>
      </c>
      <c r="AB84">
        <v>17</v>
      </c>
      <c r="AC84">
        <v>13280.4</v>
      </c>
      <c r="AD84">
        <v>17.057113878859184</v>
      </c>
      <c r="AE84">
        <v>13325.017362164794</v>
      </c>
      <c r="AF84">
        <v>13.138260683643656</v>
      </c>
      <c r="AG84">
        <v>10263.609246062424</v>
      </c>
      <c r="AH84">
        <v>11</v>
      </c>
      <c r="AI84">
        <v>8593.1999999999989</v>
      </c>
      <c r="AJ84">
        <v>16</v>
      </c>
      <c r="AK84">
        <v>12499.199999999999</v>
      </c>
      <c r="AL84">
        <v>12.383353951835705</v>
      </c>
      <c r="AM84">
        <v>9673.8761071740519</v>
      </c>
      <c r="AN84">
        <v>15</v>
      </c>
      <c r="AO84">
        <v>11717.999999999998</v>
      </c>
      <c r="AP84">
        <v>11.893194706994329</v>
      </c>
      <c r="AQ84">
        <v>9290.9637051039699</v>
      </c>
      <c r="AR84">
        <v>12.884114694970814</v>
      </c>
      <c r="AS84">
        <v>10065.0703997112</v>
      </c>
      <c r="AT84">
        <v>10</v>
      </c>
      <c r="AU84">
        <v>7811.9999999999991</v>
      </c>
      <c r="AV84">
        <v>12.649931763974738</v>
      </c>
      <c r="AW84">
        <v>9882.1266940170644</v>
      </c>
      <c r="AX84">
        <v>11</v>
      </c>
      <c r="AY84">
        <v>8593.1999999999989</v>
      </c>
      <c r="AZ84">
        <v>17.694599159970782</v>
      </c>
      <c r="BA84">
        <v>13823.020863769174</v>
      </c>
      <c r="BB84">
        <v>12</v>
      </c>
      <c r="BC84">
        <v>9374.4</v>
      </c>
      <c r="BD84">
        <v>19</v>
      </c>
      <c r="BE84">
        <v>14842.8</v>
      </c>
      <c r="BF84">
        <v>15.698304684109369</v>
      </c>
      <c r="BG84">
        <v>12263.515619226238</v>
      </c>
      <c r="BH84">
        <v>19</v>
      </c>
      <c r="BI84">
        <v>14842.8</v>
      </c>
      <c r="BJ84">
        <v>16.075154347260053</v>
      </c>
      <c r="BK84">
        <v>12557.910576079552</v>
      </c>
      <c r="BL84">
        <v>21</v>
      </c>
      <c r="BM84">
        <v>16405.199999999997</v>
      </c>
      <c r="BN84">
        <v>13.050676330061984</v>
      </c>
      <c r="BO84">
        <v>10195.188349044422</v>
      </c>
      <c r="BP84">
        <v>20</v>
      </c>
      <c r="BQ84">
        <v>15623.999999999998</v>
      </c>
      <c r="BR84">
        <v>17.076600972066441</v>
      </c>
      <c r="BS84">
        <v>13340.240679378303</v>
      </c>
      <c r="BT84">
        <v>19.100462798148808</v>
      </c>
      <c r="BU84">
        <v>14921.281537913846</v>
      </c>
      <c r="BV84">
        <v>20.982349661078683</v>
      </c>
      <c r="BW84">
        <v>16391.411555234667</v>
      </c>
      <c r="BX84">
        <v>16.889466490715431</v>
      </c>
      <c r="BY84">
        <v>13194.051222546894</v>
      </c>
      <c r="BZ84">
        <v>19</v>
      </c>
      <c r="CA84">
        <v>14842.8</v>
      </c>
      <c r="CB84">
        <v>17</v>
      </c>
      <c r="CC84">
        <v>13280.4</v>
      </c>
      <c r="CD84">
        <v>20.885579234097101</v>
      </c>
      <c r="CE84">
        <v>16315.814497676654</v>
      </c>
      <c r="CF84">
        <v>14.833798591000223</v>
      </c>
      <c r="CG84">
        <v>11588.163459289373</v>
      </c>
      <c r="CH84">
        <v>20.224766375934497</v>
      </c>
      <c r="CI84">
        <v>15799.587492880028</v>
      </c>
      <c r="CJ84">
        <v>15.045806442697033</v>
      </c>
      <c r="CK84">
        <v>11753.783993034922</v>
      </c>
      <c r="CL84">
        <v>18.166753381893862</v>
      </c>
      <c r="CM84">
        <v>14191.867741935484</v>
      </c>
      <c r="CN84">
        <v>12.833798591000223</v>
      </c>
      <c r="CO84">
        <v>10025.763459289374</v>
      </c>
      <c r="CP84">
        <v>14.976248385939192</v>
      </c>
      <c r="CQ84">
        <v>11699.445239095696</v>
      </c>
      <c r="CR84">
        <v>15.084994802537121</v>
      </c>
      <c r="CS84">
        <v>11784.397939741999</v>
      </c>
      <c r="CT84">
        <v>20.86671597633136</v>
      </c>
      <c r="CU84">
        <v>16301.078520710056</v>
      </c>
    </row>
    <row r="85" spans="2:99" x14ac:dyDescent="0.2">
      <c r="C85" s="118" t="s">
        <v>251</v>
      </c>
      <c r="D85">
        <v>13.370314177511869</v>
      </c>
      <c r="E85">
        <v>2005.5471266267803</v>
      </c>
      <c r="F85">
        <v>13.187861328179521</v>
      </c>
      <c r="G85">
        <v>1978.1791992269282</v>
      </c>
      <c r="H85">
        <v>14.761325904430239</v>
      </c>
      <c r="I85">
        <v>2214.1988856645357</v>
      </c>
      <c r="J85">
        <v>20</v>
      </c>
      <c r="K85">
        <v>3000</v>
      </c>
      <c r="L85">
        <v>20</v>
      </c>
      <c r="M85">
        <v>3000</v>
      </c>
      <c r="N85">
        <v>22</v>
      </c>
      <c r="O85">
        <v>3300</v>
      </c>
      <c r="P85">
        <v>19</v>
      </c>
      <c r="Q85">
        <v>2850</v>
      </c>
      <c r="R85">
        <v>20.019618184716759</v>
      </c>
      <c r="S85">
        <v>3002.9427277075138</v>
      </c>
      <c r="T85">
        <v>15</v>
      </c>
      <c r="U85">
        <v>2250</v>
      </c>
      <c r="V85">
        <v>17</v>
      </c>
      <c r="W85">
        <v>2550</v>
      </c>
      <c r="X85">
        <v>13</v>
      </c>
      <c r="Y85">
        <v>1950</v>
      </c>
      <c r="Z85">
        <v>18</v>
      </c>
      <c r="AA85">
        <v>2700</v>
      </c>
      <c r="AB85">
        <v>20</v>
      </c>
      <c r="AC85">
        <v>3000</v>
      </c>
      <c r="AD85">
        <v>20.20126577143089</v>
      </c>
      <c r="AE85">
        <v>3030.1898657146335</v>
      </c>
      <c r="AF85">
        <v>15.138260683643656</v>
      </c>
      <c r="AG85">
        <v>2270.7391025465486</v>
      </c>
      <c r="AH85">
        <v>11.222565157750342</v>
      </c>
      <c r="AI85">
        <v>1683.3847736625512</v>
      </c>
      <c r="AJ85">
        <v>18</v>
      </c>
      <c r="AK85">
        <v>2700</v>
      </c>
      <c r="AL85">
        <v>14.407313573825437</v>
      </c>
      <c r="AM85">
        <v>2161.0970360738156</v>
      </c>
      <c r="AN85">
        <v>17</v>
      </c>
      <c r="AO85">
        <v>2550</v>
      </c>
      <c r="AP85">
        <v>13.893194706994329</v>
      </c>
      <c r="AQ85">
        <v>2083.9792060491495</v>
      </c>
      <c r="AR85">
        <v>11.933232178024747</v>
      </c>
      <c r="AS85">
        <v>1789.9848267037121</v>
      </c>
      <c r="AT85">
        <v>10</v>
      </c>
      <c r="AU85">
        <v>1500</v>
      </c>
      <c r="AV85">
        <v>14.699926515049718</v>
      </c>
      <c r="AW85">
        <v>2204.9889772574579</v>
      </c>
      <c r="AX85">
        <v>13</v>
      </c>
      <c r="AY85">
        <v>1950</v>
      </c>
      <c r="AZ85">
        <v>18.744213385682979</v>
      </c>
      <c r="BA85">
        <v>2811.6320078524468</v>
      </c>
      <c r="BB85">
        <v>12</v>
      </c>
      <c r="BC85">
        <v>1800</v>
      </c>
      <c r="BD85">
        <v>20</v>
      </c>
      <c r="BE85">
        <v>3000</v>
      </c>
      <c r="BF85">
        <v>19.748183590117179</v>
      </c>
      <c r="BG85">
        <v>2962.2275385175767</v>
      </c>
      <c r="BH85">
        <v>21.27755986020226</v>
      </c>
      <c r="BI85">
        <v>3191.6339790303391</v>
      </c>
      <c r="BJ85">
        <v>16.091492248838328</v>
      </c>
      <c r="BK85">
        <v>2413.7238373257492</v>
      </c>
      <c r="BL85">
        <v>20</v>
      </c>
      <c r="BM85">
        <v>3000</v>
      </c>
      <c r="BN85">
        <v>13.058472688533058</v>
      </c>
      <c r="BO85">
        <v>1958.7709032799587</v>
      </c>
      <c r="BP85">
        <v>20</v>
      </c>
      <c r="BQ85">
        <v>3000</v>
      </c>
      <c r="BR85">
        <v>18.256034467410849</v>
      </c>
      <c r="BS85">
        <v>2738.4051701116273</v>
      </c>
      <c r="BT85">
        <v>20.100462798148808</v>
      </c>
      <c r="BU85">
        <v>3015.0694197223211</v>
      </c>
      <c r="BV85">
        <v>20.129702110240483</v>
      </c>
      <c r="BW85">
        <v>3019.4553165360726</v>
      </c>
      <c r="BX85">
        <v>20.076722594023941</v>
      </c>
      <c r="BY85">
        <v>3011.5083891035911</v>
      </c>
      <c r="BZ85">
        <v>20</v>
      </c>
      <c r="CA85">
        <v>3000</v>
      </c>
      <c r="CB85">
        <v>19</v>
      </c>
      <c r="CC85">
        <v>2850</v>
      </c>
      <c r="CD85">
        <v>22.983976926774556</v>
      </c>
      <c r="CE85">
        <v>3447.5965390161832</v>
      </c>
      <c r="CF85">
        <v>18.784751615059033</v>
      </c>
      <c r="CG85">
        <v>2817.7127422588551</v>
      </c>
      <c r="CH85">
        <v>24.318979174083303</v>
      </c>
      <c r="CI85">
        <v>3647.8468761124955</v>
      </c>
      <c r="CJ85">
        <v>15.996006135901936</v>
      </c>
      <c r="CK85">
        <v>2399.4009203852906</v>
      </c>
      <c r="CL85">
        <v>20.306763787721124</v>
      </c>
      <c r="CM85">
        <v>3046.0145681581685</v>
      </c>
      <c r="CN85">
        <v>12.833798591000223</v>
      </c>
      <c r="CO85">
        <v>1925.0697886500334</v>
      </c>
      <c r="CP85">
        <v>16.122685643830071</v>
      </c>
      <c r="CQ85">
        <v>2418.4028465745105</v>
      </c>
      <c r="CR85">
        <v>14.081595010435636</v>
      </c>
      <c r="CS85">
        <v>2112.2392515653455</v>
      </c>
      <c r="CT85">
        <v>24.914866863905324</v>
      </c>
      <c r="CU85">
        <v>3737.2300295857985</v>
      </c>
    </row>
    <row r="86" spans="2:99" x14ac:dyDescent="0.2">
      <c r="C86" s="118" t="s">
        <v>252</v>
      </c>
      <c r="D86">
        <v>12.679304786460028</v>
      </c>
      <c r="E86">
        <v>6846.8245846884147</v>
      </c>
      <c r="F86">
        <v>12.018166852725303</v>
      </c>
      <c r="G86">
        <v>6489.8101004716636</v>
      </c>
      <c r="H86">
        <v>15.666160166376459</v>
      </c>
      <c r="I86">
        <v>8459.7264898432877</v>
      </c>
      <c r="J86">
        <v>16.72771679757501</v>
      </c>
      <c r="K86">
        <v>9032.9670706905054</v>
      </c>
      <c r="L86">
        <v>16</v>
      </c>
      <c r="M86">
        <v>8640</v>
      </c>
      <c r="N86">
        <v>18</v>
      </c>
      <c r="O86">
        <v>9720</v>
      </c>
      <c r="P86">
        <v>20</v>
      </c>
      <c r="Q86">
        <v>10800</v>
      </c>
      <c r="R86">
        <v>18.165277925390583</v>
      </c>
      <c r="S86">
        <v>9809.2500797109151</v>
      </c>
      <c r="T86">
        <v>14</v>
      </c>
      <c r="U86">
        <v>7560</v>
      </c>
      <c r="V86">
        <v>16</v>
      </c>
      <c r="W86">
        <v>8640</v>
      </c>
      <c r="X86">
        <v>13</v>
      </c>
      <c r="Y86">
        <v>7020</v>
      </c>
      <c r="Z86">
        <v>18</v>
      </c>
      <c r="AA86">
        <v>9720</v>
      </c>
      <c r="AB86">
        <v>18</v>
      </c>
      <c r="AC86">
        <v>9720</v>
      </c>
      <c r="AD86">
        <v>17.153215140573653</v>
      </c>
      <c r="AE86">
        <v>9262.736175909773</v>
      </c>
      <c r="AF86">
        <v>14.183791110989402</v>
      </c>
      <c r="AG86">
        <v>7659.247199934277</v>
      </c>
      <c r="AH86">
        <v>10</v>
      </c>
      <c r="AI86">
        <v>5400</v>
      </c>
      <c r="AJ86">
        <v>18</v>
      </c>
      <c r="AK86">
        <v>9720</v>
      </c>
      <c r="AL86">
        <v>13.383353951835705</v>
      </c>
      <c r="AM86">
        <v>7227.011133991281</v>
      </c>
      <c r="AN86">
        <v>15</v>
      </c>
      <c r="AO86">
        <v>8100</v>
      </c>
      <c r="AP86">
        <v>12.843572778827976</v>
      </c>
      <c r="AQ86">
        <v>6935.5293005671074</v>
      </c>
      <c r="AR86">
        <v>10.83499721191688</v>
      </c>
      <c r="AS86">
        <v>5850.898494435115</v>
      </c>
      <c r="AT86">
        <v>11</v>
      </c>
      <c r="AU86">
        <v>5940</v>
      </c>
      <c r="AV86">
        <v>13.699926515049718</v>
      </c>
      <c r="AW86">
        <v>7397.9603181268476</v>
      </c>
      <c r="AX86">
        <v>11</v>
      </c>
      <c r="AY86">
        <v>5940</v>
      </c>
      <c r="AZ86">
        <v>17.694599159970782</v>
      </c>
      <c r="BA86">
        <v>9555.0835463842213</v>
      </c>
      <c r="BB86">
        <v>12</v>
      </c>
      <c r="BC86">
        <v>6480</v>
      </c>
      <c r="BD86">
        <v>16</v>
      </c>
      <c r="BE86">
        <v>8640</v>
      </c>
      <c r="BF86">
        <v>17.698304684109367</v>
      </c>
      <c r="BG86">
        <v>9557.0845294190585</v>
      </c>
      <c r="BH86">
        <v>17</v>
      </c>
      <c r="BI86">
        <v>9180</v>
      </c>
      <c r="BJ86">
        <v>18.078421927575707</v>
      </c>
      <c r="BK86">
        <v>9762.3478408908813</v>
      </c>
      <c r="BL86">
        <v>20</v>
      </c>
      <c r="BM86">
        <v>10800</v>
      </c>
      <c r="BN86">
        <v>14.050676330061984</v>
      </c>
      <c r="BO86">
        <v>7587.3652182334718</v>
      </c>
      <c r="BP86">
        <v>22</v>
      </c>
      <c r="BQ86">
        <v>11880</v>
      </c>
      <c r="BR86">
        <v>19.166317719738647</v>
      </c>
      <c r="BS86">
        <v>10349.81156865887</v>
      </c>
      <c r="BT86">
        <v>18.244001423994305</v>
      </c>
      <c r="BU86">
        <v>9851.7607689569249</v>
      </c>
      <c r="BV86">
        <v>20.031467144132616</v>
      </c>
      <c r="BW86">
        <v>10816.992257831613</v>
      </c>
      <c r="BX86">
        <v>16.889466490715431</v>
      </c>
      <c r="BY86">
        <v>9120.3119049863326</v>
      </c>
      <c r="BZ86">
        <v>18</v>
      </c>
      <c r="CA86">
        <v>9720</v>
      </c>
      <c r="CB86">
        <v>17</v>
      </c>
      <c r="CC86">
        <v>9180</v>
      </c>
      <c r="CD86">
        <v>19.934778080435827</v>
      </c>
      <c r="CE86">
        <v>10764.780163435345</v>
      </c>
      <c r="CF86">
        <v>17.784751615059033</v>
      </c>
      <c r="CG86">
        <v>9603.7658721318785</v>
      </c>
      <c r="CH86">
        <v>23.224766375934497</v>
      </c>
      <c r="CI86">
        <v>12541.373843004629</v>
      </c>
      <c r="CJ86">
        <v>15.996006135901936</v>
      </c>
      <c r="CK86">
        <v>8637.8433133870458</v>
      </c>
      <c r="CL86">
        <v>19.353433922996878</v>
      </c>
      <c r="CM86">
        <v>10450.854318418315</v>
      </c>
      <c r="CN86">
        <v>12.784751615059033</v>
      </c>
      <c r="CO86">
        <v>6903.7658721318776</v>
      </c>
      <c r="CP86">
        <v>17.97624838593919</v>
      </c>
      <c r="CQ86">
        <v>9707.1741284071632</v>
      </c>
      <c r="CR86">
        <v>15.074795426232667</v>
      </c>
      <c r="CS86">
        <v>8140.3895301656403</v>
      </c>
      <c r="CT86">
        <v>23.914866863905324</v>
      </c>
      <c r="CU86">
        <v>12914.028106508875</v>
      </c>
    </row>
    <row r="87" spans="2:99" x14ac:dyDescent="0.2">
      <c r="B87" s="118" t="s">
        <v>131</v>
      </c>
      <c r="C87" s="118" t="s">
        <v>253</v>
      </c>
      <c r="D87">
        <v>6.5991330310347314</v>
      </c>
      <c r="E87">
        <v>12899.985249066693</v>
      </c>
      <c r="F87">
        <v>10.018166852725303</v>
      </c>
      <c r="G87">
        <v>19583.51256370742</v>
      </c>
      <c r="H87">
        <v>12.761325904430239</v>
      </c>
      <c r="I87">
        <v>24945.83987798023</v>
      </c>
      <c r="J87">
        <v>9.4851445317166743</v>
      </c>
      <c r="K87">
        <v>18541.560530599756</v>
      </c>
      <c r="L87">
        <v>13.399993198001914</v>
      </c>
      <c r="M87">
        <v>26194.306703454142</v>
      </c>
      <c r="N87">
        <v>12</v>
      </c>
      <c r="O87">
        <v>23457.599999999999</v>
      </c>
      <c r="P87">
        <v>11</v>
      </c>
      <c r="Q87">
        <v>21502.799999999999</v>
      </c>
      <c r="R87">
        <v>8.7768519502603883</v>
      </c>
      <c r="S87">
        <v>17156.990192369005</v>
      </c>
      <c r="T87">
        <v>11.737377647918189</v>
      </c>
      <c r="U87">
        <v>22944.225826150476</v>
      </c>
      <c r="V87">
        <v>12</v>
      </c>
      <c r="W87">
        <v>23457.599999999999</v>
      </c>
      <c r="X87">
        <v>14.03784756657484</v>
      </c>
      <c r="Y87">
        <v>27441.184423140498</v>
      </c>
      <c r="Z87">
        <v>14</v>
      </c>
      <c r="AA87">
        <v>27367.200000000001</v>
      </c>
      <c r="AB87">
        <v>8.4999976472913268</v>
      </c>
      <c r="AC87">
        <v>16615.795400925086</v>
      </c>
      <c r="AD87">
        <v>10.576607570286827</v>
      </c>
      <c r="AE87">
        <v>20675.152478396689</v>
      </c>
      <c r="AF87">
        <v>16.637425982840448</v>
      </c>
      <c r="AG87">
        <v>32522.840311256507</v>
      </c>
      <c r="AH87">
        <v>11.489026063100138</v>
      </c>
      <c r="AI87">
        <v>22458.748148148148</v>
      </c>
      <c r="AJ87">
        <v>8</v>
      </c>
      <c r="AK87">
        <v>15638.4</v>
      </c>
      <c r="AL87">
        <v>14.191676975917852</v>
      </c>
      <c r="AM87">
        <v>27741.890152524218</v>
      </c>
      <c r="AN87">
        <v>14</v>
      </c>
      <c r="AO87">
        <v>27367.200000000001</v>
      </c>
      <c r="AP87">
        <v>15.545841209829868</v>
      </c>
      <c r="AQ87">
        <v>30389.010396975427</v>
      </c>
      <c r="AR87">
        <v>14.442057347485406</v>
      </c>
      <c r="AS87">
        <v>28231.333702864471</v>
      </c>
      <c r="AT87">
        <v>11</v>
      </c>
      <c r="AU87">
        <v>21502.799999999999</v>
      </c>
      <c r="AV87">
        <v>9</v>
      </c>
      <c r="AW87">
        <v>17593.2</v>
      </c>
      <c r="AX87">
        <v>12</v>
      </c>
      <c r="AY87">
        <v>23457.599999999999</v>
      </c>
      <c r="AZ87">
        <v>9.4465280314097875</v>
      </c>
      <c r="BA87">
        <v>18466.072995799852</v>
      </c>
      <c r="BB87">
        <v>15</v>
      </c>
      <c r="BC87">
        <v>29322</v>
      </c>
      <c r="BD87">
        <v>16</v>
      </c>
      <c r="BE87">
        <v>31276.799999999999</v>
      </c>
      <c r="BF87">
        <v>9</v>
      </c>
      <c r="BG87">
        <v>17593.2</v>
      </c>
      <c r="BH87">
        <v>10.593152792236763</v>
      </c>
      <c r="BI87">
        <v>20707.495078264423</v>
      </c>
      <c r="BJ87">
        <v>9.0326758031565451</v>
      </c>
      <c r="BK87">
        <v>17657.074660010414</v>
      </c>
      <c r="BL87">
        <v>12</v>
      </c>
      <c r="BM87">
        <v>23457.599999999999</v>
      </c>
      <c r="BN87">
        <v>12.066269047004132</v>
      </c>
      <c r="BO87">
        <v>23587.142733083678</v>
      </c>
      <c r="BP87">
        <v>11.474881852551984</v>
      </c>
      <c r="BQ87">
        <v>22431.099045368617</v>
      </c>
      <c r="BR87">
        <v>14.76259235521373</v>
      </c>
      <c r="BS87">
        <v>28857.915535971799</v>
      </c>
      <c r="BT87">
        <v>14.765539337842648</v>
      </c>
      <c r="BU87">
        <v>28863.676297614809</v>
      </c>
      <c r="BV87">
        <v>12.687644762755077</v>
      </c>
      <c r="BW87">
        <v>24801.807982233626</v>
      </c>
      <c r="BX87">
        <v>11.514954284098406</v>
      </c>
      <c r="BY87">
        <v>22509.432634555564</v>
      </c>
      <c r="BZ87">
        <v>17</v>
      </c>
      <c r="CA87">
        <v>33231.599999999999</v>
      </c>
      <c r="CB87">
        <v>11</v>
      </c>
      <c r="CC87">
        <v>21502.799999999999</v>
      </c>
      <c r="CD87">
        <v>11.737982695080916</v>
      </c>
      <c r="CE87">
        <v>22945.408572344175</v>
      </c>
      <c r="CF87">
        <v>17.784751615059033</v>
      </c>
      <c r="CG87">
        <v>34765.632457117397</v>
      </c>
      <c r="CH87">
        <v>11.471063990744037</v>
      </c>
      <c r="CI87">
        <v>22423.635889106445</v>
      </c>
      <c r="CJ87">
        <v>10.448202761155871</v>
      </c>
      <c r="CK87">
        <v>20424.146757507497</v>
      </c>
      <c r="CL87">
        <v>9.4667013527575445</v>
      </c>
      <c r="CM87">
        <v>18505.507804370449</v>
      </c>
      <c r="CN87">
        <v>17.539516735353086</v>
      </c>
      <c r="CO87">
        <v>34286.247314268214</v>
      </c>
      <c r="CP87">
        <v>13.439311773672635</v>
      </c>
      <c r="CQ87">
        <v>26271.166655175268</v>
      </c>
      <c r="CR87">
        <v>15.030598128913363</v>
      </c>
      <c r="CS87">
        <v>29381.81322239984</v>
      </c>
      <c r="CT87">
        <v>9.4333579881656799</v>
      </c>
      <c r="CU87">
        <v>18440.328195266269</v>
      </c>
    </row>
    <row r="88" spans="2:99" x14ac:dyDescent="0.2">
      <c r="C88" s="118" t="s">
        <v>254</v>
      </c>
      <c r="D88">
        <v>7.0241191259127405</v>
      </c>
      <c r="E88">
        <v>13292.443033877269</v>
      </c>
      <c r="F88">
        <v>10.187861328179521</v>
      </c>
      <c r="G88">
        <v>19279.508777446925</v>
      </c>
      <c r="H88">
        <v>14.761325904430239</v>
      </c>
      <c r="I88">
        <v>27934.333141543782</v>
      </c>
      <c r="J88">
        <v>8.5336589848883406</v>
      </c>
      <c r="K88">
        <v>16149.096263002695</v>
      </c>
      <c r="L88">
        <v>14.499991497502391</v>
      </c>
      <c r="M88">
        <v>27439.783909873524</v>
      </c>
      <c r="N88">
        <v>11</v>
      </c>
      <c r="O88">
        <v>20816.399999999998</v>
      </c>
      <c r="P88">
        <v>12</v>
      </c>
      <c r="Q88">
        <v>22708.799999999999</v>
      </c>
      <c r="R88">
        <v>8.6797454564778409</v>
      </c>
      <c r="S88">
        <v>16425.550301838666</v>
      </c>
      <c r="T88">
        <v>11.737377647918189</v>
      </c>
      <c r="U88">
        <v>22211.813460920381</v>
      </c>
      <c r="V88">
        <v>13</v>
      </c>
      <c r="W88">
        <v>24601.199999999997</v>
      </c>
      <c r="X88">
        <v>14.042578512396695</v>
      </c>
      <c r="Y88">
        <v>26574.175576859503</v>
      </c>
      <c r="Z88">
        <v>14</v>
      </c>
      <c r="AA88">
        <v>26493.599999999999</v>
      </c>
      <c r="AB88">
        <v>9.4999976472913268</v>
      </c>
      <c r="AC88">
        <v>17977.795547734106</v>
      </c>
      <c r="AD88">
        <v>10.528556939429592</v>
      </c>
      <c r="AE88">
        <v>19924.241152176557</v>
      </c>
      <c r="AF88">
        <v>14.637425982840448</v>
      </c>
      <c r="AG88">
        <v>27699.864929927262</v>
      </c>
      <c r="AH88">
        <v>11.537928669410151</v>
      </c>
      <c r="AI88">
        <v>21834.376213991767</v>
      </c>
      <c r="AJ88">
        <v>8</v>
      </c>
      <c r="AK88">
        <v>15139.199999999999</v>
      </c>
      <c r="AL88">
        <v>12.215636597907585</v>
      </c>
      <c r="AM88">
        <v>23116.870697880313</v>
      </c>
      <c r="AN88">
        <v>15</v>
      </c>
      <c r="AO88">
        <v>28385.999999999996</v>
      </c>
      <c r="AP88">
        <v>14.496219281663516</v>
      </c>
      <c r="AQ88">
        <v>27432.645368620037</v>
      </c>
      <c r="AR88">
        <v>15.442057347485406</v>
      </c>
      <c r="AS88">
        <v>29222.54932438138</v>
      </c>
      <c r="AT88">
        <v>10</v>
      </c>
      <c r="AU88">
        <v>18924</v>
      </c>
      <c r="AV88">
        <v>9</v>
      </c>
      <c r="AW88">
        <v>17031.599999999999</v>
      </c>
      <c r="AX88">
        <v>10</v>
      </c>
      <c r="AY88">
        <v>18924</v>
      </c>
      <c r="AZ88">
        <v>10.545756482834186</v>
      </c>
      <c r="BA88">
        <v>19956.789568115411</v>
      </c>
      <c r="BB88">
        <v>14</v>
      </c>
      <c r="BC88">
        <v>26493.599999999999</v>
      </c>
      <c r="BD88">
        <v>17</v>
      </c>
      <c r="BE88">
        <v>32170.799999999999</v>
      </c>
      <c r="BF88">
        <v>11</v>
      </c>
      <c r="BG88">
        <v>20816.399999999998</v>
      </c>
      <c r="BH88">
        <v>11.63877993010113</v>
      </c>
      <c r="BI88">
        <v>22025.227139723378</v>
      </c>
      <c r="BJ88">
        <v>9.0294082228408907</v>
      </c>
      <c r="BK88">
        <v>17087.252120904101</v>
      </c>
      <c r="BL88">
        <v>12</v>
      </c>
      <c r="BM88">
        <v>22708.799999999999</v>
      </c>
      <c r="BN88">
        <v>11.066269047004132</v>
      </c>
      <c r="BO88">
        <v>20941.807544550618</v>
      </c>
      <c r="BP88">
        <v>10.518052930056712</v>
      </c>
      <c r="BQ88">
        <v>19904.363364839319</v>
      </c>
      <c r="BR88">
        <v>15.76259235521373</v>
      </c>
      <c r="BS88">
        <v>29829.129773006462</v>
      </c>
      <c r="BT88">
        <v>14.669846920612317</v>
      </c>
      <c r="BU88">
        <v>27761.218312566747</v>
      </c>
      <c r="BV88">
        <v>13.687644762755077</v>
      </c>
      <c r="BW88">
        <v>25902.498949037708</v>
      </c>
      <c r="BX88">
        <v>11.561768309925535</v>
      </c>
      <c r="BY88">
        <v>21879.490349703079</v>
      </c>
      <c r="BZ88">
        <v>16</v>
      </c>
      <c r="CA88">
        <v>30278.399999999998</v>
      </c>
      <c r="CB88">
        <v>12</v>
      </c>
      <c r="CC88">
        <v>22708.799999999999</v>
      </c>
      <c r="CD88">
        <v>11.737982695080916</v>
      </c>
      <c r="CE88">
        <v>22212.958452171122</v>
      </c>
      <c r="CF88">
        <v>15.735704639117843</v>
      </c>
      <c r="CG88">
        <v>29778.247459066606</v>
      </c>
      <c r="CH88">
        <v>11.51817038981844</v>
      </c>
      <c r="CI88">
        <v>21796.985645692414</v>
      </c>
      <c r="CJ88">
        <v>11.448202761155871</v>
      </c>
      <c r="CK88">
        <v>21664.578905211369</v>
      </c>
      <c r="CL88">
        <v>9.4667013527575445</v>
      </c>
      <c r="CM88">
        <v>17914.785639958376</v>
      </c>
      <c r="CN88">
        <v>17.588563711294274</v>
      </c>
      <c r="CO88">
        <v>33284.597967253285</v>
      </c>
      <c r="CP88">
        <v>13.488124192969595</v>
      </c>
      <c r="CQ88">
        <v>25524.926222775659</v>
      </c>
      <c r="CR88">
        <v>17.033997921014848</v>
      </c>
      <c r="CS88">
        <v>32235.137665728496</v>
      </c>
      <c r="CT88">
        <v>9.4815088757396442</v>
      </c>
      <c r="CU88">
        <v>17942.807396449702</v>
      </c>
    </row>
    <row r="89" spans="2:99" x14ac:dyDescent="0.2">
      <c r="C89" s="118" t="s">
        <v>255</v>
      </c>
      <c r="D89">
        <v>6.2218877874436664</v>
      </c>
      <c r="E89">
        <v>14917.598159174933</v>
      </c>
      <c r="F89">
        <v>9.1878613281795207</v>
      </c>
      <c r="G89">
        <v>22028.816320443217</v>
      </c>
      <c r="H89">
        <v>13.761325904430239</v>
      </c>
      <c r="I89">
        <v>32994.154988461938</v>
      </c>
      <c r="J89">
        <v>8.4851445317166743</v>
      </c>
      <c r="K89">
        <v>20343.982529243898</v>
      </c>
      <c r="L89">
        <v>14.499991497502391</v>
      </c>
      <c r="M89">
        <v>34765.179614411732</v>
      </c>
      <c r="N89">
        <v>11</v>
      </c>
      <c r="O89">
        <v>26373.599999999999</v>
      </c>
      <c r="P89">
        <v>12</v>
      </c>
      <c r="Q89">
        <v>28771.199999999997</v>
      </c>
      <c r="R89">
        <v>8.7768519502603883</v>
      </c>
      <c r="S89">
        <v>21043.380235944307</v>
      </c>
      <c r="T89">
        <v>9.6882191380569758</v>
      </c>
      <c r="U89">
        <v>23228.474205405404</v>
      </c>
      <c r="V89">
        <v>12</v>
      </c>
      <c r="W89">
        <v>28771.199999999997</v>
      </c>
      <c r="X89">
        <v>13.03784756657484</v>
      </c>
      <c r="Y89">
        <v>31259.543325619834</v>
      </c>
      <c r="Z89">
        <v>13</v>
      </c>
      <c r="AA89">
        <v>31168.799999999999</v>
      </c>
      <c r="AB89">
        <v>8.4499978825621938</v>
      </c>
      <c r="AC89">
        <v>20259.714923231117</v>
      </c>
      <c r="AD89">
        <v>10.528556939429592</v>
      </c>
      <c r="AE89">
        <v>25243.268117976389</v>
      </c>
      <c r="AF89">
        <v>13.591895555494702</v>
      </c>
      <c r="AG89">
        <v>32587.928783854095</v>
      </c>
      <c r="AH89">
        <v>10.440123456790124</v>
      </c>
      <c r="AI89">
        <v>25031.24</v>
      </c>
      <c r="AJ89">
        <v>7</v>
      </c>
      <c r="AK89">
        <v>16783.2</v>
      </c>
      <c r="AL89">
        <v>13.215636597907585</v>
      </c>
      <c r="AM89">
        <v>31685.810307143223</v>
      </c>
      <c r="AN89">
        <v>12</v>
      </c>
      <c r="AO89">
        <v>28771.199999999997</v>
      </c>
      <c r="AP89">
        <v>12.496219281663516</v>
      </c>
      <c r="AQ89">
        <v>29960.935349716445</v>
      </c>
      <c r="AR89">
        <v>13.442057347485406</v>
      </c>
      <c r="AS89">
        <v>32228.676696331007</v>
      </c>
      <c r="AT89">
        <v>10</v>
      </c>
      <c r="AU89">
        <v>23976</v>
      </c>
      <c r="AV89">
        <v>7.5999370128997583</v>
      </c>
      <c r="AW89">
        <v>18221.608982128459</v>
      </c>
      <c r="AX89">
        <v>10</v>
      </c>
      <c r="AY89">
        <v>23976</v>
      </c>
      <c r="AZ89">
        <v>8.4465280314097875</v>
      </c>
      <c r="BA89">
        <v>20251.395608108105</v>
      </c>
      <c r="BB89">
        <v>14</v>
      </c>
      <c r="BC89">
        <v>33566.400000000001</v>
      </c>
      <c r="BD89">
        <v>15</v>
      </c>
      <c r="BE89">
        <v>35964</v>
      </c>
      <c r="BF89">
        <v>9</v>
      </c>
      <c r="BG89">
        <v>21578.399999999998</v>
      </c>
      <c r="BH89">
        <v>10.547525654372397</v>
      </c>
      <c r="BI89">
        <v>25288.747508923258</v>
      </c>
      <c r="BJ89">
        <v>8.0261406425252364</v>
      </c>
      <c r="BK89">
        <v>19243.474804518508</v>
      </c>
      <c r="BL89">
        <v>12</v>
      </c>
      <c r="BM89">
        <v>28771.199999999997</v>
      </c>
      <c r="BN89">
        <v>11.062370867768594</v>
      </c>
      <c r="BO89">
        <v>26523.140392561982</v>
      </c>
      <c r="BP89">
        <v>10.431710775047259</v>
      </c>
      <c r="BQ89">
        <v>25011.069754253309</v>
      </c>
      <c r="BR89">
        <v>13.672875607541526</v>
      </c>
      <c r="BS89">
        <v>32782.08655664156</v>
      </c>
      <c r="BT89">
        <v>15.622000711997153</v>
      </c>
      <c r="BU89">
        <v>37455.308907084371</v>
      </c>
      <c r="BV89">
        <v>12.589409796647208</v>
      </c>
      <c r="BW89">
        <v>30184.368928441345</v>
      </c>
      <c r="BX89">
        <v>10.46814025827128</v>
      </c>
      <c r="BY89">
        <v>25098.413083231218</v>
      </c>
      <c r="BZ89">
        <v>15</v>
      </c>
      <c r="CA89">
        <v>35964</v>
      </c>
      <c r="CB89">
        <v>11</v>
      </c>
      <c r="CC89">
        <v>26373.599999999999</v>
      </c>
      <c r="CD89">
        <v>10.688783848742188</v>
      </c>
      <c r="CE89">
        <v>25627.42815574427</v>
      </c>
      <c r="CF89">
        <v>14.784751615059033</v>
      </c>
      <c r="CG89">
        <v>35447.920472265534</v>
      </c>
      <c r="CH89">
        <v>12.51817038981844</v>
      </c>
      <c r="CI89">
        <v>30013.56532662869</v>
      </c>
      <c r="CJ89">
        <v>9.4980030679509682</v>
      </c>
      <c r="CK89">
        <v>22772.412155719241</v>
      </c>
      <c r="CL89">
        <v>9.4200312174817888</v>
      </c>
      <c r="CM89">
        <v>22585.466847034335</v>
      </c>
      <c r="CN89">
        <v>15.490469759411896</v>
      </c>
      <c r="CO89">
        <v>37139.95029516596</v>
      </c>
      <c r="CP89">
        <v>13.439311773672635</v>
      </c>
      <c r="CQ89">
        <v>32222.093908557508</v>
      </c>
      <c r="CR89">
        <v>16.033997921014848</v>
      </c>
      <c r="CS89">
        <v>38443.113415425199</v>
      </c>
      <c r="CT89">
        <v>9.4333579881656799</v>
      </c>
      <c r="CU89">
        <v>22617.419112426032</v>
      </c>
    </row>
    <row r="90" spans="2:99" x14ac:dyDescent="0.2">
      <c r="C90" s="118" t="s">
        <v>256</v>
      </c>
      <c r="D90">
        <v>6.3331097348608987</v>
      </c>
      <c r="E90">
        <v>13915.108709436365</v>
      </c>
      <c r="F90">
        <v>9.1878613281795207</v>
      </c>
      <c r="G90">
        <v>20187.568910276041</v>
      </c>
      <c r="H90">
        <v>12.761325904430239</v>
      </c>
      <c r="I90">
        <v>28039.185277214117</v>
      </c>
      <c r="J90">
        <v>8.5336589848883406</v>
      </c>
      <c r="K90">
        <v>18750.155521596662</v>
      </c>
      <c r="L90">
        <v>15.449992347752152</v>
      </c>
      <c r="M90">
        <v>33946.723186481024</v>
      </c>
      <c r="N90">
        <v>12</v>
      </c>
      <c r="O90">
        <v>26366.399999999998</v>
      </c>
      <c r="P90">
        <v>10</v>
      </c>
      <c r="Q90">
        <v>21972</v>
      </c>
      <c r="R90">
        <v>8.6797454564778409</v>
      </c>
      <c r="S90">
        <v>19071.136716973109</v>
      </c>
      <c r="T90">
        <v>11.688219138056976</v>
      </c>
      <c r="U90">
        <v>25681.355090138786</v>
      </c>
      <c r="V90">
        <v>12</v>
      </c>
      <c r="W90">
        <v>26366.399999999998</v>
      </c>
      <c r="X90">
        <v>15.03784756657484</v>
      </c>
      <c r="Y90">
        <v>33041.158673278238</v>
      </c>
      <c r="Z90">
        <v>13</v>
      </c>
      <c r="AA90">
        <v>28563.599999999999</v>
      </c>
      <c r="AB90">
        <v>8.4499978825621938</v>
      </c>
      <c r="AC90">
        <v>18566.335347565651</v>
      </c>
      <c r="AD90">
        <v>9.5285569394295919</v>
      </c>
      <c r="AE90">
        <v>20936.145307314699</v>
      </c>
      <c r="AF90">
        <v>14.591895555494702</v>
      </c>
      <c r="AG90">
        <v>32061.312914532955</v>
      </c>
      <c r="AH90">
        <v>11.440123456790124</v>
      </c>
      <c r="AI90">
        <v>25136.239259259259</v>
      </c>
      <c r="AJ90">
        <v>8</v>
      </c>
      <c r="AK90">
        <v>17577.599999999999</v>
      </c>
      <c r="AL90">
        <v>11.215636597907585</v>
      </c>
      <c r="AM90">
        <v>24642.996732922544</v>
      </c>
      <c r="AN90">
        <v>13</v>
      </c>
      <c r="AO90">
        <v>28563.599999999999</v>
      </c>
      <c r="AP90">
        <v>14.545841209829868</v>
      </c>
      <c r="AQ90">
        <v>31960.122306238183</v>
      </c>
      <c r="AR90">
        <v>13.392939864431472</v>
      </c>
      <c r="AS90">
        <v>29426.967470128828</v>
      </c>
      <c r="AT90">
        <v>11</v>
      </c>
      <c r="AU90">
        <v>24169.199999999997</v>
      </c>
      <c r="AV90">
        <v>7</v>
      </c>
      <c r="AW90">
        <v>15380.399999999998</v>
      </c>
      <c r="AX90">
        <v>10</v>
      </c>
      <c r="AY90">
        <v>21972</v>
      </c>
      <c r="AZ90">
        <v>9.4465280314097875</v>
      </c>
      <c r="BA90">
        <v>20755.911390613583</v>
      </c>
      <c r="BB90">
        <v>15</v>
      </c>
      <c r="BC90">
        <v>32958</v>
      </c>
      <c r="BD90">
        <v>14</v>
      </c>
      <c r="BE90">
        <v>30760.799999999996</v>
      </c>
      <c r="BF90">
        <v>10</v>
      </c>
      <c r="BG90">
        <v>21972</v>
      </c>
      <c r="BH90">
        <v>10.547525654372397</v>
      </c>
      <c r="BI90">
        <v>23175.023367787027</v>
      </c>
      <c r="BJ90">
        <v>8.0294082228408907</v>
      </c>
      <c r="BK90">
        <v>17642.215747226004</v>
      </c>
      <c r="BL90">
        <v>12</v>
      </c>
      <c r="BM90">
        <v>26366.399999999998</v>
      </c>
      <c r="BN90">
        <v>11.058472688533058</v>
      </c>
      <c r="BO90">
        <v>24297.676191244835</v>
      </c>
      <c r="BP90">
        <v>10.431710775047259</v>
      </c>
      <c r="BQ90">
        <v>22920.554914933837</v>
      </c>
      <c r="BR90">
        <v>13.717733981377629</v>
      </c>
      <c r="BS90">
        <v>30140.605103882925</v>
      </c>
      <c r="BT90">
        <v>14.622000711997153</v>
      </c>
      <c r="BU90">
        <v>32127.459964400143</v>
      </c>
      <c r="BV90">
        <v>12.638527279701144</v>
      </c>
      <c r="BW90">
        <v>27769.372138959352</v>
      </c>
      <c r="BX90">
        <v>11.514954284098406</v>
      </c>
      <c r="BY90">
        <v>25300.657553021018</v>
      </c>
      <c r="BZ90">
        <v>17</v>
      </c>
      <c r="CA90">
        <v>37352.399999999994</v>
      </c>
      <c r="CB90">
        <v>10</v>
      </c>
      <c r="CC90">
        <v>21972</v>
      </c>
      <c r="CD90">
        <v>10.688783848742188</v>
      </c>
      <c r="CE90">
        <v>23485.395872456334</v>
      </c>
      <c r="CF90">
        <v>15.833798591000223</v>
      </c>
      <c r="CG90">
        <v>34790.022264145686</v>
      </c>
      <c r="CH90">
        <v>10.565276788892845</v>
      </c>
      <c r="CI90">
        <v>23214.026160555357</v>
      </c>
      <c r="CJ90">
        <v>10.498003067950968</v>
      </c>
      <c r="CK90">
        <v>23066.212340901864</v>
      </c>
      <c r="CL90">
        <v>9.4667013527575445</v>
      </c>
      <c r="CM90">
        <v>20800.236212278876</v>
      </c>
      <c r="CN90">
        <v>16.490469759411894</v>
      </c>
      <c r="CO90">
        <v>36232.860155379814</v>
      </c>
      <c r="CP90">
        <v>12.439311773672635</v>
      </c>
      <c r="CQ90">
        <v>27331.655829113512</v>
      </c>
      <c r="CR90">
        <v>17.033997921014848</v>
      </c>
      <c r="CS90">
        <v>37427.100232053817</v>
      </c>
      <c r="CT90">
        <v>10.43335798816568</v>
      </c>
      <c r="CU90">
        <v>22924.174171597631</v>
      </c>
    </row>
    <row r="91" spans="2:99" x14ac:dyDescent="0.2">
      <c r="C91" s="118" t="s">
        <v>257</v>
      </c>
      <c r="D91">
        <v>6.2218877874436664</v>
      </c>
      <c r="E91">
        <v>14290.431870200611</v>
      </c>
      <c r="F91">
        <v>11.187861328179521</v>
      </c>
      <c r="G91">
        <v>25696.27989856272</v>
      </c>
      <c r="H91">
        <v>11.761325904430239</v>
      </c>
      <c r="I91">
        <v>27013.413337295369</v>
      </c>
      <c r="J91">
        <v>8.5336589848883406</v>
      </c>
      <c r="K91">
        <v>19600.107956491538</v>
      </c>
      <c r="L91">
        <v>14.449992347752152</v>
      </c>
      <c r="M91">
        <v>33188.742424317141</v>
      </c>
      <c r="N91">
        <v>12</v>
      </c>
      <c r="O91">
        <v>27561.599999999999</v>
      </c>
      <c r="P91">
        <v>11</v>
      </c>
      <c r="Q91">
        <v>25264.799999999996</v>
      </c>
      <c r="R91">
        <v>8.6797454564778409</v>
      </c>
      <c r="S91">
        <v>19935.639364438302</v>
      </c>
      <c r="T91">
        <v>10.688219138056976</v>
      </c>
      <c r="U91">
        <v>24548.701716289259</v>
      </c>
      <c r="V91">
        <v>12</v>
      </c>
      <c r="W91">
        <v>27561.599999999999</v>
      </c>
      <c r="X91">
        <v>14</v>
      </c>
      <c r="Y91">
        <v>32155.199999999997</v>
      </c>
      <c r="Z91">
        <v>13</v>
      </c>
      <c r="AA91">
        <v>29858.399999999998</v>
      </c>
      <c r="AB91">
        <v>8.4999976472913268</v>
      </c>
      <c r="AC91">
        <v>19522.794596298718</v>
      </c>
      <c r="AD91">
        <v>9.5766075702868267</v>
      </c>
      <c r="AE91">
        <v>21995.552267434781</v>
      </c>
      <c r="AF91">
        <v>13.591895555494702</v>
      </c>
      <c r="AG91">
        <v>31217.865711860228</v>
      </c>
      <c r="AH91">
        <v>10.440123456790124</v>
      </c>
      <c r="AI91">
        <v>23978.875555555554</v>
      </c>
      <c r="AJ91">
        <v>7</v>
      </c>
      <c r="AK91">
        <v>16077.599999999999</v>
      </c>
      <c r="AL91">
        <v>13.191676975917852</v>
      </c>
      <c r="AM91">
        <v>30298.643678288121</v>
      </c>
      <c r="AN91">
        <v>13</v>
      </c>
      <c r="AO91">
        <v>29858.399999999998</v>
      </c>
      <c r="AP91">
        <v>13.545841209829868</v>
      </c>
      <c r="AQ91">
        <v>31112.088090737238</v>
      </c>
      <c r="AR91">
        <v>14.442057347485406</v>
      </c>
      <c r="AS91">
        <v>33170.517315704477</v>
      </c>
      <c r="AT91">
        <v>11</v>
      </c>
      <c r="AU91">
        <v>25264.799999999996</v>
      </c>
      <c r="AV91">
        <v>8</v>
      </c>
      <c r="AW91">
        <v>18374.399999999998</v>
      </c>
      <c r="AX91">
        <v>11</v>
      </c>
      <c r="AY91">
        <v>25264.799999999996</v>
      </c>
      <c r="AZ91">
        <v>8.4465280314097875</v>
      </c>
      <c r="BA91">
        <v>19399.985582541998</v>
      </c>
      <c r="BB91">
        <v>13</v>
      </c>
      <c r="BC91">
        <v>29858.399999999998</v>
      </c>
      <c r="BD91">
        <v>15</v>
      </c>
      <c r="BE91">
        <v>34451.999999999993</v>
      </c>
      <c r="BF91">
        <v>10</v>
      </c>
      <c r="BG91">
        <v>22967.999999999996</v>
      </c>
      <c r="BH91">
        <v>10.593152792236763</v>
      </c>
      <c r="BI91">
        <v>24330.353333209394</v>
      </c>
      <c r="BJ91">
        <v>9.0294082228408907</v>
      </c>
      <c r="BK91">
        <v>20738.744806220955</v>
      </c>
      <c r="BL91">
        <v>12</v>
      </c>
      <c r="BM91">
        <v>27561.599999999999</v>
      </c>
      <c r="BN91">
        <v>12.062370867768594</v>
      </c>
      <c r="BO91">
        <v>27704.853409090905</v>
      </c>
      <c r="BP91">
        <v>10.474881852551984</v>
      </c>
      <c r="BQ91">
        <v>24058.708638941396</v>
      </c>
      <c r="BR91">
        <v>13.717733981377629</v>
      </c>
      <c r="BS91">
        <v>31506.891408428135</v>
      </c>
      <c r="BT91">
        <v>15.717693129227483</v>
      </c>
      <c r="BU91">
        <v>36100.397579209675</v>
      </c>
      <c r="BV91">
        <v>11.687644762755077</v>
      </c>
      <c r="BW91">
        <v>26844.18249109586</v>
      </c>
      <c r="BX91">
        <v>10.46814025827128</v>
      </c>
      <c r="BY91">
        <v>24043.224545197474</v>
      </c>
      <c r="BZ91">
        <v>17</v>
      </c>
      <c r="CA91">
        <v>39045.599999999999</v>
      </c>
      <c r="CB91">
        <v>10</v>
      </c>
      <c r="CC91">
        <v>22967.999999999996</v>
      </c>
      <c r="CD91">
        <v>9.6395850024034608</v>
      </c>
      <c r="CE91">
        <v>22140.198833520266</v>
      </c>
      <c r="CF91">
        <v>15.735704639117843</v>
      </c>
      <c r="CG91">
        <v>36141.766415125858</v>
      </c>
      <c r="CH91">
        <v>12.565276788892845</v>
      </c>
      <c r="CI91">
        <v>28859.927728729082</v>
      </c>
      <c r="CJ91">
        <v>10.498003067950968</v>
      </c>
      <c r="CK91">
        <v>24111.81344646978</v>
      </c>
      <c r="CL91">
        <v>9.4200312174817888</v>
      </c>
      <c r="CM91">
        <v>21635.927700312172</v>
      </c>
      <c r="CN91">
        <v>14.588563711294276</v>
      </c>
      <c r="CO91">
        <v>33507.013132100685</v>
      </c>
      <c r="CP91">
        <v>13.488124192969595</v>
      </c>
      <c r="CQ91">
        <v>30979.523646412563</v>
      </c>
      <c r="CR91">
        <v>15.030598128913363</v>
      </c>
      <c r="CS91">
        <v>34522.277782488207</v>
      </c>
      <c r="CT91">
        <v>9.4333579881656799</v>
      </c>
      <c r="CU91">
        <v>21666.536627218931</v>
      </c>
    </row>
    <row r="92" spans="2:99" x14ac:dyDescent="0.2">
      <c r="C92" s="118" t="s">
        <v>258</v>
      </c>
      <c r="D92">
        <v>7.0241191259127405</v>
      </c>
      <c r="E92">
        <v>9979.8684540968206</v>
      </c>
      <c r="F92">
        <v>11.187861328179521</v>
      </c>
      <c r="G92">
        <v>15895.713375077463</v>
      </c>
      <c r="H92">
        <v>12.856491642484018</v>
      </c>
      <c r="I92">
        <v>18266.503325641293</v>
      </c>
      <c r="J92">
        <v>9.4851445317166743</v>
      </c>
      <c r="K92">
        <v>13476.49335066305</v>
      </c>
      <c r="L92">
        <v>14.499991497502391</v>
      </c>
      <c r="M92">
        <v>20601.587919651396</v>
      </c>
      <c r="N92">
        <v>13</v>
      </c>
      <c r="O92">
        <v>18470.399999999998</v>
      </c>
      <c r="P92">
        <v>13.205301873609027</v>
      </c>
      <c r="Q92">
        <v>18762.092902023705</v>
      </c>
      <c r="R92">
        <v>10.825405197151664</v>
      </c>
      <c r="S92">
        <v>15380.735704113084</v>
      </c>
      <c r="T92">
        <v>12.835694667640613</v>
      </c>
      <c r="U92">
        <v>18236.954983783784</v>
      </c>
      <c r="V92">
        <v>12</v>
      </c>
      <c r="W92">
        <v>17049.599999999999</v>
      </c>
      <c r="X92">
        <v>15.03784756657484</v>
      </c>
      <c r="Y92">
        <v>21365.77382258953</v>
      </c>
      <c r="Z92">
        <v>13</v>
      </c>
      <c r="AA92">
        <v>18470.399999999998</v>
      </c>
      <c r="AB92">
        <v>9.5499974120204598</v>
      </c>
      <c r="AC92">
        <v>13568.636322998669</v>
      </c>
      <c r="AD92">
        <v>11.624658201144063</v>
      </c>
      <c r="AE92">
        <v>16516.314372185483</v>
      </c>
      <c r="AF92">
        <v>15.637425982840448</v>
      </c>
      <c r="AG92">
        <v>22217.654836419708</v>
      </c>
      <c r="AH92">
        <v>11.537928669410151</v>
      </c>
      <c r="AI92">
        <v>16393.089053497941</v>
      </c>
      <c r="AJ92">
        <v>8</v>
      </c>
      <c r="AK92">
        <v>11366.4</v>
      </c>
      <c r="AL92">
        <v>15.239596219897315</v>
      </c>
      <c r="AM92">
        <v>21652.418309230106</v>
      </c>
      <c r="AN92">
        <v>14</v>
      </c>
      <c r="AO92">
        <v>19891.2</v>
      </c>
      <c r="AP92">
        <v>15.595463137996219</v>
      </c>
      <c r="AQ92">
        <v>22158.034026465029</v>
      </c>
      <c r="AR92">
        <v>16.442057347485406</v>
      </c>
      <c r="AS92">
        <v>23360.875079307265</v>
      </c>
      <c r="AT92">
        <v>13</v>
      </c>
      <c r="AU92">
        <v>18470.399999999998</v>
      </c>
      <c r="AV92">
        <v>9</v>
      </c>
      <c r="AW92">
        <v>12787.199999999999</v>
      </c>
      <c r="AX92">
        <v>12</v>
      </c>
      <c r="AY92">
        <v>17049.599999999999</v>
      </c>
      <c r="AZ92">
        <v>10.496142257121987</v>
      </c>
      <c r="BA92">
        <v>14912.918918918918</v>
      </c>
      <c r="BB92">
        <v>18</v>
      </c>
      <c r="BC92">
        <v>25574.399999999998</v>
      </c>
      <c r="BD92">
        <v>18</v>
      </c>
      <c r="BE92">
        <v>25574.399999999998</v>
      </c>
      <c r="BF92">
        <v>11</v>
      </c>
      <c r="BG92">
        <v>15628.8</v>
      </c>
      <c r="BH92">
        <v>11.63877993010113</v>
      </c>
      <c r="BI92">
        <v>16536.378524687683</v>
      </c>
      <c r="BJ92">
        <v>8.0326758031565451</v>
      </c>
      <c r="BK92">
        <v>11412.825781124819</v>
      </c>
      <c r="BL92">
        <v>14</v>
      </c>
      <c r="BM92">
        <v>19891.2</v>
      </c>
      <c r="BN92">
        <v>11.062370867768594</v>
      </c>
      <c r="BO92">
        <v>15717.416528925618</v>
      </c>
      <c r="BP92">
        <v>11.561224007561437</v>
      </c>
      <c r="BQ92">
        <v>16426.187069943287</v>
      </c>
      <c r="BR92">
        <v>16.76259235521373</v>
      </c>
      <c r="BS92">
        <v>23816.291218287668</v>
      </c>
      <c r="BT92">
        <v>16.717693129227484</v>
      </c>
      <c r="BU92">
        <v>23752.49839800641</v>
      </c>
      <c r="BV92">
        <v>13.687644762755077</v>
      </c>
      <c r="BW92">
        <v>19447.405678922412</v>
      </c>
      <c r="BX92">
        <v>10.514954284098406</v>
      </c>
      <c r="BY92">
        <v>14939.647046847016</v>
      </c>
      <c r="BZ92">
        <v>16</v>
      </c>
      <c r="CA92">
        <v>22732.799999999999</v>
      </c>
      <c r="CB92">
        <v>12</v>
      </c>
      <c r="CC92">
        <v>17049.599999999999</v>
      </c>
      <c r="CD92">
        <v>11.787181541419644</v>
      </c>
      <c r="CE92">
        <v>16747.227534049031</v>
      </c>
      <c r="CF92">
        <v>16.882845566941413</v>
      </c>
      <c r="CG92">
        <v>23987.146981510359</v>
      </c>
      <c r="CH92">
        <v>12.51817038981844</v>
      </c>
      <c r="CI92">
        <v>17785.816489854038</v>
      </c>
      <c r="CJ92">
        <v>12.498003067950968</v>
      </c>
      <c r="CK92">
        <v>17757.162758944734</v>
      </c>
      <c r="CL92">
        <v>10.466701352757545</v>
      </c>
      <c r="CM92">
        <v>14871.089281997918</v>
      </c>
      <c r="CN92">
        <v>16.637610687235465</v>
      </c>
      <c r="CO92">
        <v>23638.717264424147</v>
      </c>
      <c r="CP92">
        <v>14.439311773672635</v>
      </c>
      <c r="CQ92">
        <v>20515.374168034079</v>
      </c>
      <c r="CR92">
        <v>18.033997921014848</v>
      </c>
      <c r="CS92">
        <v>25622.704246177895</v>
      </c>
      <c r="CT92">
        <v>10.43335798816568</v>
      </c>
      <c r="CU92">
        <v>14823.715029585797</v>
      </c>
    </row>
    <row r="93" spans="2:99" x14ac:dyDescent="0.2">
      <c r="C93" s="118" t="s">
        <v>259</v>
      </c>
      <c r="D93">
        <v>5.9081236399828887</v>
      </c>
      <c r="E93">
        <v>10471.558339505671</v>
      </c>
      <c r="F93">
        <v>9.1878613281795207</v>
      </c>
      <c r="G93">
        <v>16284.565418065382</v>
      </c>
      <c r="H93">
        <v>12.761325904430239</v>
      </c>
      <c r="I93">
        <v>22618.174033012154</v>
      </c>
      <c r="J93">
        <v>9.5336589848883406</v>
      </c>
      <c r="K93">
        <v>16897.457184816092</v>
      </c>
      <c r="L93">
        <v>15.499991497502391</v>
      </c>
      <c r="M93">
        <v>27472.184930173236</v>
      </c>
      <c r="N93">
        <v>12</v>
      </c>
      <c r="O93">
        <v>21268.799999999999</v>
      </c>
      <c r="P93">
        <v>13</v>
      </c>
      <c r="Q93">
        <v>23041.199999999997</v>
      </c>
      <c r="R93">
        <v>9.8254051971516638</v>
      </c>
      <c r="S93">
        <v>17414.548171431608</v>
      </c>
      <c r="T93">
        <v>9.7865361577794019</v>
      </c>
      <c r="U93">
        <v>17345.656686048209</v>
      </c>
      <c r="V93">
        <v>12</v>
      </c>
      <c r="W93">
        <v>21268.799999999999</v>
      </c>
      <c r="X93">
        <v>14.042578512396695</v>
      </c>
      <c r="Y93">
        <v>24889.0661553719</v>
      </c>
      <c r="Z93">
        <v>14</v>
      </c>
      <c r="AA93">
        <v>24813.599999999999</v>
      </c>
      <c r="AB93">
        <v>8.4999976472913268</v>
      </c>
      <c r="AC93">
        <v>15065.395830059146</v>
      </c>
      <c r="AD93">
        <v>11.576607570286827</v>
      </c>
      <c r="AE93">
        <v>20518.379257576369</v>
      </c>
      <c r="AF93">
        <v>15.591895555494702</v>
      </c>
      <c r="AG93">
        <v>27635.075682558807</v>
      </c>
      <c r="AH93">
        <v>11.489026063100138</v>
      </c>
      <c r="AI93">
        <v>20363.149794238681</v>
      </c>
      <c r="AJ93">
        <v>8</v>
      </c>
      <c r="AK93">
        <v>14179.199999999999</v>
      </c>
      <c r="AL93">
        <v>12.215636597907585</v>
      </c>
      <c r="AM93">
        <v>21650.994306131401</v>
      </c>
      <c r="AN93">
        <v>15</v>
      </c>
      <c r="AO93">
        <v>26585.999999999996</v>
      </c>
      <c r="AP93">
        <v>15.545841209829868</v>
      </c>
      <c r="AQ93">
        <v>27553.448960302456</v>
      </c>
      <c r="AR93">
        <v>16.442057347485406</v>
      </c>
      <c r="AS93">
        <v>29141.902442683131</v>
      </c>
      <c r="AT93">
        <v>11</v>
      </c>
      <c r="AU93">
        <v>19496.399999999998</v>
      </c>
      <c r="AV93">
        <v>9</v>
      </c>
      <c r="AW93">
        <v>15951.599999999999</v>
      </c>
      <c r="AX93">
        <v>13</v>
      </c>
      <c r="AY93">
        <v>23041.199999999997</v>
      </c>
      <c r="AZ93">
        <v>9.4465280314097875</v>
      </c>
      <c r="BA93">
        <v>16743.026282870705</v>
      </c>
      <c r="BB93">
        <v>15</v>
      </c>
      <c r="BC93">
        <v>26585.999999999996</v>
      </c>
      <c r="BD93">
        <v>18</v>
      </c>
      <c r="BE93">
        <v>31903.199999999997</v>
      </c>
      <c r="BF93">
        <v>10</v>
      </c>
      <c r="BG93">
        <v>17724</v>
      </c>
      <c r="BH93">
        <v>12.593152792236763</v>
      </c>
      <c r="BI93">
        <v>22320.104008960436</v>
      </c>
      <c r="BJ93">
        <v>9.0261406425252364</v>
      </c>
      <c r="BK93">
        <v>15997.931674811727</v>
      </c>
      <c r="BL93">
        <v>13</v>
      </c>
      <c r="BM93">
        <v>23041.199999999997</v>
      </c>
      <c r="BN93">
        <v>12.062370867768594</v>
      </c>
      <c r="BO93">
        <v>21379.346126033055</v>
      </c>
      <c r="BP93">
        <v>10.431710775047259</v>
      </c>
      <c r="BQ93">
        <v>18489.164177693761</v>
      </c>
      <c r="BR93">
        <v>16.672875607541528</v>
      </c>
      <c r="BS93">
        <v>29551.004726806601</v>
      </c>
      <c r="BT93">
        <v>17.717693129227484</v>
      </c>
      <c r="BU93">
        <v>31402.839302242792</v>
      </c>
      <c r="BV93">
        <v>12.638527279701144</v>
      </c>
      <c r="BW93">
        <v>22400.525750542307</v>
      </c>
      <c r="BX93">
        <v>11.561768309925535</v>
      </c>
      <c r="BY93">
        <v>20492.078152512015</v>
      </c>
      <c r="BZ93">
        <v>17</v>
      </c>
      <c r="CA93">
        <v>30130.799999999999</v>
      </c>
      <c r="CB93">
        <v>12</v>
      </c>
      <c r="CC93">
        <v>21268.799999999999</v>
      </c>
      <c r="CD93">
        <v>11.688783848742188</v>
      </c>
      <c r="CE93">
        <v>20717.200493510652</v>
      </c>
      <c r="CF93">
        <v>16.784751615059033</v>
      </c>
      <c r="CG93">
        <v>29749.293762530629</v>
      </c>
      <c r="CH93">
        <v>13.51817038981844</v>
      </c>
      <c r="CI93">
        <v>23959.605198914203</v>
      </c>
      <c r="CJ93">
        <v>10.398402454360774</v>
      </c>
      <c r="CK93">
        <v>18430.128510109033</v>
      </c>
      <c r="CL93">
        <v>10.466701352757545</v>
      </c>
      <c r="CM93">
        <v>18551.18147762747</v>
      </c>
      <c r="CN93">
        <v>15.539516735353086</v>
      </c>
      <c r="CO93">
        <v>27542.239461739806</v>
      </c>
      <c r="CP93">
        <v>14.536936612266555</v>
      </c>
      <c r="CQ93">
        <v>25765.266451581239</v>
      </c>
      <c r="CR93">
        <v>19.030598128913365</v>
      </c>
      <c r="CS93">
        <v>33729.832123686043</v>
      </c>
      <c r="CT93">
        <v>10.481508875739644</v>
      </c>
      <c r="CU93">
        <v>18577.426331360944</v>
      </c>
    </row>
    <row r="94" spans="2:99" x14ac:dyDescent="0.2">
      <c r="C94" s="118" t="s">
        <v>260</v>
      </c>
      <c r="D94">
        <v>6.2218877874436664</v>
      </c>
      <c r="E94">
        <v>14902.665628485069</v>
      </c>
      <c r="F94">
        <v>9.0181668527253027</v>
      </c>
      <c r="G94">
        <v>21600.313245647645</v>
      </c>
      <c r="H94">
        <v>12.666160166376459</v>
      </c>
      <c r="I94">
        <v>30337.986830504891</v>
      </c>
      <c r="J94">
        <v>7.4851445317166743</v>
      </c>
      <c r="K94">
        <v>17928.418182367775</v>
      </c>
      <c r="L94">
        <v>14.449992347752152</v>
      </c>
      <c r="M94">
        <v>34610.621671335954</v>
      </c>
      <c r="N94">
        <v>11</v>
      </c>
      <c r="O94">
        <v>26347.199999999997</v>
      </c>
      <c r="P94">
        <v>11</v>
      </c>
      <c r="Q94">
        <v>26347.199999999997</v>
      </c>
      <c r="R94">
        <v>9.7282987033691146</v>
      </c>
      <c r="S94">
        <v>23301.221054309703</v>
      </c>
      <c r="T94">
        <v>9.7373776479181888</v>
      </c>
      <c r="U94">
        <v>23322.966942293646</v>
      </c>
      <c r="V94">
        <v>11</v>
      </c>
      <c r="W94">
        <v>26347.199999999997</v>
      </c>
      <c r="X94">
        <v>14.03784756657484</v>
      </c>
      <c r="Y94">
        <v>33623.452491460055</v>
      </c>
      <c r="Z94">
        <v>12</v>
      </c>
      <c r="AA94">
        <v>28742.399999999998</v>
      </c>
      <c r="AB94">
        <v>9.4499978825621938</v>
      </c>
      <c r="AC94">
        <v>22634.634928312964</v>
      </c>
      <c r="AD94">
        <v>10.576607570286827</v>
      </c>
      <c r="AE94">
        <v>25333.090452351007</v>
      </c>
      <c r="AF94">
        <v>13.637425982840448</v>
      </c>
      <c r="AG94">
        <v>32664.362714099436</v>
      </c>
      <c r="AH94">
        <v>11.440123456790124</v>
      </c>
      <c r="AI94">
        <v>27401.383703703701</v>
      </c>
      <c r="AJ94">
        <v>8</v>
      </c>
      <c r="AK94">
        <v>19161.599999999999</v>
      </c>
      <c r="AL94">
        <v>12.215636597907585</v>
      </c>
      <c r="AM94">
        <v>29258.892779308244</v>
      </c>
      <c r="AN94">
        <v>12</v>
      </c>
      <c r="AO94">
        <v>28742.399999999998</v>
      </c>
      <c r="AP94">
        <v>13.545841209829868</v>
      </c>
      <c r="AQ94">
        <v>32444.998865784499</v>
      </c>
      <c r="AR94">
        <v>15.392939864431472</v>
      </c>
      <c r="AS94">
        <v>36869.169563286261</v>
      </c>
      <c r="AT94">
        <v>10</v>
      </c>
      <c r="AU94">
        <v>23952</v>
      </c>
      <c r="AV94">
        <v>8</v>
      </c>
      <c r="AW94">
        <v>19161.599999999999</v>
      </c>
      <c r="AX94">
        <v>11</v>
      </c>
      <c r="AY94">
        <v>26347.199999999997</v>
      </c>
      <c r="AZ94">
        <v>9.4961422571219867</v>
      </c>
      <c r="BA94">
        <v>22745.15993425858</v>
      </c>
      <c r="BB94">
        <v>16</v>
      </c>
      <c r="BC94">
        <v>38323.199999999997</v>
      </c>
      <c r="BD94">
        <v>15</v>
      </c>
      <c r="BE94">
        <v>35928</v>
      </c>
      <c r="BF94">
        <v>9</v>
      </c>
      <c r="BG94">
        <v>21556.799999999999</v>
      </c>
      <c r="BH94">
        <v>10.593152792236763</v>
      </c>
      <c r="BI94">
        <v>25372.719567965494</v>
      </c>
      <c r="BJ94">
        <v>8.0294082228408907</v>
      </c>
      <c r="BK94">
        <v>19232.038575348499</v>
      </c>
      <c r="BL94">
        <v>12</v>
      </c>
      <c r="BM94">
        <v>28742.399999999998</v>
      </c>
      <c r="BN94">
        <v>11.062370867768594</v>
      </c>
      <c r="BO94">
        <v>26496.590702479334</v>
      </c>
      <c r="BP94">
        <v>9.4317107750472591</v>
      </c>
      <c r="BQ94">
        <v>22590.833648393193</v>
      </c>
      <c r="BR94">
        <v>14.628017233705425</v>
      </c>
      <c r="BS94">
        <v>35037.026878171229</v>
      </c>
      <c r="BT94">
        <v>15.717693129227483</v>
      </c>
      <c r="BU94">
        <v>37647.01858312566</v>
      </c>
      <c r="BV94">
        <v>14.589409796647208</v>
      </c>
      <c r="BW94">
        <v>34944.554344929391</v>
      </c>
      <c r="BX94">
        <v>11.514954284098406</v>
      </c>
      <c r="BY94">
        <v>27580.6185012725</v>
      </c>
      <c r="BZ94">
        <v>15</v>
      </c>
      <c r="CA94">
        <v>35928</v>
      </c>
      <c r="CB94">
        <v>10</v>
      </c>
      <c r="CC94">
        <v>23952</v>
      </c>
      <c r="CD94">
        <v>11.639585002403461</v>
      </c>
      <c r="CE94">
        <v>27879.133997756766</v>
      </c>
      <c r="CF94">
        <v>15.784751615059033</v>
      </c>
      <c r="CG94">
        <v>37807.637068389391</v>
      </c>
      <c r="CH94">
        <v>12.51817038981844</v>
      </c>
      <c r="CI94">
        <v>29983.521717693126</v>
      </c>
      <c r="CJ94">
        <v>11.448202761155871</v>
      </c>
      <c r="CK94">
        <v>27420.735253520539</v>
      </c>
      <c r="CL94">
        <v>8.4667013527575445</v>
      </c>
      <c r="CM94">
        <v>20279.443080124871</v>
      </c>
      <c r="CN94">
        <v>16.490469759411894</v>
      </c>
      <c r="CO94">
        <v>39497.973167743367</v>
      </c>
      <c r="CP94">
        <v>12.488124192969595</v>
      </c>
      <c r="CQ94">
        <v>29911.555067000772</v>
      </c>
      <c r="CR94">
        <v>15.030598128913363</v>
      </c>
      <c r="CS94">
        <v>36001.288638373284</v>
      </c>
      <c r="CT94">
        <v>10.481508875739644</v>
      </c>
      <c r="CU94">
        <v>25105.310059171596</v>
      </c>
    </row>
    <row r="95" spans="2:99" x14ac:dyDescent="0.2">
      <c r="B95" s="118" t="s">
        <v>132</v>
      </c>
      <c r="C95" s="118" t="s">
        <v>261</v>
      </c>
      <c r="D95">
        <v>12.749117821125278</v>
      </c>
      <c r="E95">
        <v>22091.671360445882</v>
      </c>
      <c r="F95">
        <v>14.37572265635904</v>
      </c>
      <c r="G95">
        <v>24910.252218938942</v>
      </c>
      <c r="H95">
        <v>9</v>
      </c>
      <c r="I95">
        <v>15595.199999999999</v>
      </c>
      <c r="J95">
        <v>11.582173438060009</v>
      </c>
      <c r="K95">
        <v>20069.590133470381</v>
      </c>
      <c r="L95">
        <v>14.449992347752152</v>
      </c>
      <c r="M95">
        <v>25038.946740184929</v>
      </c>
      <c r="N95">
        <v>17</v>
      </c>
      <c r="O95">
        <v>29457.599999999999</v>
      </c>
      <c r="P95">
        <v>17</v>
      </c>
      <c r="Q95">
        <v>29457.599999999999</v>
      </c>
      <c r="R95">
        <v>15.388425975130195</v>
      </c>
      <c r="S95">
        <v>26665.0645297056</v>
      </c>
      <c r="T95">
        <v>11.442426588750912</v>
      </c>
      <c r="U95">
        <v>19827.436792987581</v>
      </c>
      <c r="V95">
        <v>17</v>
      </c>
      <c r="W95">
        <v>29457.599999999999</v>
      </c>
      <c r="X95">
        <v>17</v>
      </c>
      <c r="Y95">
        <v>29457.599999999999</v>
      </c>
      <c r="Z95">
        <v>13</v>
      </c>
      <c r="AA95">
        <v>22526.399999999998</v>
      </c>
      <c r="AB95">
        <v>9.4499978825621938</v>
      </c>
      <c r="AC95">
        <v>16374.956330903769</v>
      </c>
      <c r="AD95">
        <v>17.528556939429592</v>
      </c>
      <c r="AE95">
        <v>30373.483464643596</v>
      </c>
      <c r="AF95">
        <v>9.5463651281489543</v>
      </c>
      <c r="AG95">
        <v>16541.941494056508</v>
      </c>
      <c r="AH95">
        <v>11.440123456790124</v>
      </c>
      <c r="AI95">
        <v>19823.445925925927</v>
      </c>
      <c r="AJ95">
        <v>15</v>
      </c>
      <c r="AK95">
        <v>25992</v>
      </c>
      <c r="AL95">
        <v>12.359394329845973</v>
      </c>
      <c r="AM95">
        <v>21416.3584947571</v>
      </c>
      <c r="AN95">
        <v>11</v>
      </c>
      <c r="AO95">
        <v>19060.8</v>
      </c>
      <c r="AP95">
        <v>11.694706994328921</v>
      </c>
      <c r="AQ95">
        <v>20264.588279773154</v>
      </c>
      <c r="AR95">
        <v>11.589409796647208</v>
      </c>
      <c r="AS95">
        <v>20082.129295630282</v>
      </c>
      <c r="AT95">
        <v>11</v>
      </c>
      <c r="AU95">
        <v>19060.8</v>
      </c>
      <c r="AV95">
        <v>13.549942261824778</v>
      </c>
      <c r="AW95">
        <v>23479.339951289974</v>
      </c>
      <c r="AX95">
        <v>11</v>
      </c>
      <c r="AY95">
        <v>19060.8</v>
      </c>
      <c r="AZ95">
        <v>13.545756482834186</v>
      </c>
      <c r="BA95">
        <v>23472.086833455076</v>
      </c>
      <c r="BB95">
        <v>18</v>
      </c>
      <c r="BC95">
        <v>31190.399999999998</v>
      </c>
      <c r="BD95">
        <v>12.3</v>
      </c>
      <c r="BE95">
        <v>21313.440000000002</v>
      </c>
      <c r="BF95">
        <v>14.498789060078121</v>
      </c>
      <c r="BG95">
        <v>25123.501683303366</v>
      </c>
      <c r="BH95">
        <v>14.456271378643665</v>
      </c>
      <c r="BI95">
        <v>25049.827044913742</v>
      </c>
      <c r="BJ95">
        <v>14.035943383472199</v>
      </c>
      <c r="BK95">
        <v>24321.482694880626</v>
      </c>
      <c r="BL95">
        <v>11</v>
      </c>
      <c r="BM95">
        <v>19060.8</v>
      </c>
      <c r="BN95">
        <v>16.05457450929752</v>
      </c>
      <c r="BO95">
        <v>27819.366709710743</v>
      </c>
      <c r="BP95">
        <v>17.561224007561435</v>
      </c>
      <c r="BQ95">
        <v>30430.088960302455</v>
      </c>
      <c r="BR95">
        <v>17.583158859869322</v>
      </c>
      <c r="BS95">
        <v>30468.097672381558</v>
      </c>
      <c r="BT95">
        <v>18.478462086151655</v>
      </c>
      <c r="BU95">
        <v>32019.479102883586</v>
      </c>
      <c r="BV95">
        <v>11.392939864431472</v>
      </c>
      <c r="BW95">
        <v>19741.686197086856</v>
      </c>
      <c r="BX95">
        <v>14.702210387406918</v>
      </c>
      <c r="BY95">
        <v>25475.990159298708</v>
      </c>
      <c r="BZ95">
        <v>18</v>
      </c>
      <c r="CA95">
        <v>31190.399999999998</v>
      </c>
      <c r="CB95">
        <v>16</v>
      </c>
      <c r="CC95">
        <v>27724.799999999999</v>
      </c>
      <c r="CD95">
        <v>20.491988463387276</v>
      </c>
      <c r="CE95">
        <v>35508.51760935747</v>
      </c>
      <c r="CF95">
        <v>10.539516735353086</v>
      </c>
      <c r="CG95">
        <v>18262.874599019826</v>
      </c>
      <c r="CH95">
        <v>16.329744793520828</v>
      </c>
      <c r="CI95">
        <v>28296.181778212889</v>
      </c>
      <c r="CJ95">
        <v>18.498003067950968</v>
      </c>
      <c r="CK95">
        <v>32053.339716145438</v>
      </c>
      <c r="CL95">
        <v>14.513371488033298</v>
      </c>
      <c r="CM95">
        <v>25148.7701144641</v>
      </c>
      <c r="CN95">
        <v>18</v>
      </c>
      <c r="CO95">
        <v>31190.399999999998</v>
      </c>
      <c r="CP95">
        <v>15.488124192969595</v>
      </c>
      <c r="CQ95">
        <v>26837.821601577714</v>
      </c>
      <c r="CR95">
        <v>14.044197297319304</v>
      </c>
      <c r="CS95">
        <v>24335.785076794888</v>
      </c>
      <c r="CT95">
        <v>14.577810650887574</v>
      </c>
      <c r="CU95">
        <v>25260.43029585799</v>
      </c>
    </row>
    <row r="96" spans="2:99" x14ac:dyDescent="0.2">
      <c r="C96" s="118" t="s">
        <v>262</v>
      </c>
      <c r="D96">
        <v>13.474677076865133</v>
      </c>
      <c r="E96">
        <v>11092.354169675376</v>
      </c>
      <c r="F96">
        <v>14.545417131813258</v>
      </c>
      <c r="G96">
        <v>11973.787382908673</v>
      </c>
      <c r="H96">
        <v>11</v>
      </c>
      <c r="I96">
        <v>9055.1999999999989</v>
      </c>
      <c r="J96">
        <v>11.630687891231677</v>
      </c>
      <c r="K96">
        <v>9574.3822720619155</v>
      </c>
      <c r="L96">
        <v>15.449992347752152</v>
      </c>
      <c r="M96">
        <v>12718.433700669571</v>
      </c>
      <c r="N96">
        <v>19</v>
      </c>
      <c r="O96">
        <v>15640.8</v>
      </c>
      <c r="P96">
        <v>18</v>
      </c>
      <c r="Q96">
        <v>14817.599999999999</v>
      </c>
      <c r="R96">
        <v>16.388425975130193</v>
      </c>
      <c r="S96">
        <v>13490.952262727174</v>
      </c>
      <c r="T96">
        <v>14.442426588750912</v>
      </c>
      <c r="U96">
        <v>11889.005567859749</v>
      </c>
      <c r="V96">
        <v>18</v>
      </c>
      <c r="W96">
        <v>14817.599999999999</v>
      </c>
      <c r="X96">
        <v>19.03784756657484</v>
      </c>
      <c r="Y96">
        <v>15671.956116804407</v>
      </c>
      <c r="Z96">
        <v>16</v>
      </c>
      <c r="AA96">
        <v>13171.199999999999</v>
      </c>
      <c r="AB96">
        <v>11.449997882562194</v>
      </c>
      <c r="AC96">
        <v>9425.6382569251964</v>
      </c>
      <c r="AD96">
        <v>21.528556939429592</v>
      </c>
      <c r="AE96">
        <v>17722.308072538439</v>
      </c>
      <c r="AF96">
        <v>10.591895555494702</v>
      </c>
      <c r="AG96">
        <v>8719.2484212832387</v>
      </c>
      <c r="AH96">
        <v>11.489026063100138</v>
      </c>
      <c r="AI96">
        <v>9457.7662551440317</v>
      </c>
      <c r="AJ96">
        <v>17</v>
      </c>
      <c r="AK96">
        <v>13994.4</v>
      </c>
      <c r="AL96">
        <v>13.31147508586651</v>
      </c>
      <c r="AM96">
        <v>10958.006290685311</v>
      </c>
      <c r="AN96">
        <v>12</v>
      </c>
      <c r="AO96">
        <v>9878.4</v>
      </c>
      <c r="AP96">
        <v>13.694706994328921</v>
      </c>
      <c r="AQ96">
        <v>11273.482797731567</v>
      </c>
      <c r="AR96">
        <v>12.687644762755077</v>
      </c>
      <c r="AS96">
        <v>10444.469168699979</v>
      </c>
      <c r="AT96">
        <v>11</v>
      </c>
      <c r="AU96">
        <v>9055.1999999999989</v>
      </c>
      <c r="AV96">
        <v>12.599937012899758</v>
      </c>
      <c r="AW96">
        <v>10372.268149019081</v>
      </c>
      <c r="AX96">
        <v>11</v>
      </c>
      <c r="AY96">
        <v>9055.1999999999989</v>
      </c>
      <c r="AZ96">
        <v>15.595370708546385</v>
      </c>
      <c r="BA96">
        <v>12838.109167275383</v>
      </c>
      <c r="BB96">
        <v>18</v>
      </c>
      <c r="BC96">
        <v>14817.599999999999</v>
      </c>
      <c r="BD96">
        <v>13.3</v>
      </c>
      <c r="BE96">
        <v>10948.56</v>
      </c>
      <c r="BF96">
        <v>14.548667966085931</v>
      </c>
      <c r="BG96">
        <v>11976.463469681938</v>
      </c>
      <c r="BH96">
        <v>15.456271378643665</v>
      </c>
      <c r="BI96">
        <v>12723.602598899464</v>
      </c>
      <c r="BJ96">
        <v>17.039210963787855</v>
      </c>
      <c r="BK96">
        <v>14026.678465390161</v>
      </c>
      <c r="BL96">
        <v>11</v>
      </c>
      <c r="BM96">
        <v>9055.1999999999989</v>
      </c>
      <c r="BN96">
        <v>19.058472688533058</v>
      </c>
      <c r="BO96">
        <v>15688.934717200413</v>
      </c>
      <c r="BP96">
        <v>18.518052930056712</v>
      </c>
      <c r="BQ96">
        <v>15244.061172022684</v>
      </c>
      <c r="BR96">
        <v>18.628017233705425</v>
      </c>
      <c r="BS96">
        <v>15334.583786786305</v>
      </c>
      <c r="BT96">
        <v>18.478462086151655</v>
      </c>
      <c r="BU96">
        <v>15211.469989320041</v>
      </c>
      <c r="BV96">
        <v>12.392939864431472</v>
      </c>
      <c r="BW96">
        <v>10201.868096399987</v>
      </c>
      <c r="BX96">
        <v>16.702210387406918</v>
      </c>
      <c r="BY96">
        <v>13749.259590913374</v>
      </c>
      <c r="BZ96">
        <v>18</v>
      </c>
      <c r="CA96">
        <v>14817.599999999999</v>
      </c>
      <c r="CB96">
        <v>19</v>
      </c>
      <c r="CC96">
        <v>15640.8</v>
      </c>
      <c r="CD96">
        <v>22.44278961704855</v>
      </c>
      <c r="CE96">
        <v>18474.904412754364</v>
      </c>
      <c r="CF96">
        <v>12.539516735353086</v>
      </c>
      <c r="CG96">
        <v>10322.530176542659</v>
      </c>
      <c r="CH96">
        <v>16.329744793520828</v>
      </c>
      <c r="CI96">
        <v>13442.645914026343</v>
      </c>
      <c r="CJ96">
        <v>19.498003067950968</v>
      </c>
      <c r="CK96">
        <v>16050.756125537235</v>
      </c>
      <c r="CL96">
        <v>17.560041623309054</v>
      </c>
      <c r="CM96">
        <v>14455.426264308013</v>
      </c>
      <c r="CN96">
        <v>21.686657663176653</v>
      </c>
      <c r="CO96">
        <v>17852.456588327019</v>
      </c>
      <c r="CP96">
        <v>16.488124192969597</v>
      </c>
      <c r="CQ96">
        <v>13573.023835652572</v>
      </c>
      <c r="CR96">
        <v>15.037397713116334</v>
      </c>
      <c r="CS96">
        <v>12378.785797437366</v>
      </c>
      <c r="CT96">
        <v>16.722263313609467</v>
      </c>
      <c r="CU96">
        <v>13765.767159763313</v>
      </c>
    </row>
    <row r="97" spans="2:99" x14ac:dyDescent="0.2">
      <c r="C97" s="118" t="s">
        <v>263</v>
      </c>
      <c r="D97">
        <v>13.474677076865133</v>
      </c>
      <c r="E97">
        <v>24642.489438170953</v>
      </c>
      <c r="F97">
        <v>14.37572265635904</v>
      </c>
      <c r="G97">
        <v>26290.321593949411</v>
      </c>
      <c r="H97">
        <v>8</v>
      </c>
      <c r="I97">
        <v>14630.4</v>
      </c>
      <c r="J97">
        <v>11.582173438060009</v>
      </c>
      <c r="K97">
        <v>21181.478783524144</v>
      </c>
      <c r="L97">
        <v>13.399993198001914</v>
      </c>
      <c r="M97">
        <v>24505.907560505901</v>
      </c>
      <c r="N97">
        <v>16</v>
      </c>
      <c r="O97">
        <v>29260.799999999999</v>
      </c>
      <c r="P97">
        <v>15</v>
      </c>
      <c r="Q97">
        <v>27432</v>
      </c>
      <c r="R97">
        <v>15.388425975130195</v>
      </c>
      <c r="S97">
        <v>28142.353423318102</v>
      </c>
      <c r="T97">
        <v>11.393268078889701</v>
      </c>
      <c r="U97">
        <v>20836.008662673485</v>
      </c>
      <c r="V97">
        <v>17</v>
      </c>
      <c r="W97">
        <v>31089.599999999999</v>
      </c>
      <c r="X97">
        <v>15</v>
      </c>
      <c r="Y97">
        <v>27432</v>
      </c>
      <c r="Z97">
        <v>13</v>
      </c>
      <c r="AA97">
        <v>23774.399999999998</v>
      </c>
      <c r="AB97">
        <v>10.449997882562194</v>
      </c>
      <c r="AC97">
        <v>19110.956127629739</v>
      </c>
      <c r="AD97">
        <v>17.480506308572355</v>
      </c>
      <c r="AE97">
        <v>31968.349937117124</v>
      </c>
      <c r="AF97">
        <v>10.591895555494702</v>
      </c>
      <c r="AG97">
        <v>19370.45859188871</v>
      </c>
      <c r="AH97">
        <v>11.39122085048011</v>
      </c>
      <c r="AI97">
        <v>20832.264691358025</v>
      </c>
      <c r="AJ97">
        <v>15</v>
      </c>
      <c r="AK97">
        <v>27432</v>
      </c>
      <c r="AL97">
        <v>13.31147508586651</v>
      </c>
      <c r="AM97">
        <v>24344.025637032672</v>
      </c>
      <c r="AN97">
        <v>10</v>
      </c>
      <c r="AO97">
        <v>18288</v>
      </c>
      <c r="AP97">
        <v>12.595463137996219</v>
      </c>
      <c r="AQ97">
        <v>23034.582986767484</v>
      </c>
      <c r="AR97">
        <v>11.638527279701144</v>
      </c>
      <c r="AS97">
        <v>21284.538689117453</v>
      </c>
      <c r="AT97">
        <v>11</v>
      </c>
      <c r="AU97">
        <v>20116.8</v>
      </c>
      <c r="AV97">
        <v>12.549942261824778</v>
      </c>
      <c r="AW97">
        <v>22951.334408425155</v>
      </c>
      <c r="AX97">
        <v>11</v>
      </c>
      <c r="AY97">
        <v>20116.8</v>
      </c>
      <c r="AZ97">
        <v>12.446528031409787</v>
      </c>
      <c r="BA97">
        <v>22762.210463842217</v>
      </c>
      <c r="BB97">
        <v>16</v>
      </c>
      <c r="BC97">
        <v>29260.799999999999</v>
      </c>
      <c r="BD97">
        <v>14.262499999999999</v>
      </c>
      <c r="BE97">
        <v>26083.26</v>
      </c>
      <c r="BF97">
        <v>12.448910154070308</v>
      </c>
      <c r="BG97">
        <v>22766.566889763781</v>
      </c>
      <c r="BH97">
        <v>14.501898516508032</v>
      </c>
      <c r="BI97">
        <v>26521.072006989889</v>
      </c>
      <c r="BJ97">
        <v>13.029408222840891</v>
      </c>
      <c r="BK97">
        <v>23828.181757931419</v>
      </c>
      <c r="BL97">
        <v>9</v>
      </c>
      <c r="BM97">
        <v>16459.2</v>
      </c>
      <c r="BN97">
        <v>16.058472688533058</v>
      </c>
      <c r="BO97">
        <v>29367.734852789257</v>
      </c>
      <c r="BP97">
        <v>18.474881852551984</v>
      </c>
      <c r="BQ97">
        <v>33786.863931947068</v>
      </c>
      <c r="BR97">
        <v>14.583158859869323</v>
      </c>
      <c r="BS97">
        <v>26669.680922929019</v>
      </c>
      <c r="BT97">
        <v>16.478462086151655</v>
      </c>
      <c r="BU97">
        <v>30135.811463154147</v>
      </c>
      <c r="BV97">
        <v>11.442057347485406</v>
      </c>
      <c r="BW97">
        <v>20925.234477081311</v>
      </c>
      <c r="BX97">
        <v>14.608582335752663</v>
      </c>
      <c r="BY97">
        <v>26716.175375624469</v>
      </c>
      <c r="BZ97">
        <v>17</v>
      </c>
      <c r="CA97">
        <v>31089.599999999999</v>
      </c>
      <c r="CB97">
        <v>16</v>
      </c>
      <c r="CC97">
        <v>29260.799999999999</v>
      </c>
      <c r="CD97">
        <v>20.491988463387276</v>
      </c>
      <c r="CE97">
        <v>37475.748501842652</v>
      </c>
      <c r="CF97">
        <v>11.539516735353086</v>
      </c>
      <c r="CG97">
        <v>21103.468205613724</v>
      </c>
      <c r="CH97">
        <v>15.329744793520826</v>
      </c>
      <c r="CI97">
        <v>28035.037278390886</v>
      </c>
      <c r="CJ97">
        <v>16.498003067950968</v>
      </c>
      <c r="CK97">
        <v>30171.548010668728</v>
      </c>
      <c r="CL97">
        <v>17.5133714880333</v>
      </c>
      <c r="CM97">
        <v>32028.453777315299</v>
      </c>
      <c r="CN97">
        <v>17</v>
      </c>
      <c r="CO97">
        <v>31089.599999999999</v>
      </c>
      <c r="CP97">
        <v>16.488124192969597</v>
      </c>
      <c r="CQ97">
        <v>30153.481524102797</v>
      </c>
      <c r="CR97">
        <v>12.037397713116334</v>
      </c>
      <c r="CS97">
        <v>22013.992937747153</v>
      </c>
      <c r="CT97">
        <v>15</v>
      </c>
      <c r="CU97">
        <v>27432</v>
      </c>
    </row>
    <row r="98" spans="2:99" x14ac:dyDescent="0.2">
      <c r="C98" s="118" t="s">
        <v>264</v>
      </c>
      <c r="D98">
        <v>13.474677076865133</v>
      </c>
      <c r="E98">
        <v>17026.601954326779</v>
      </c>
      <c r="F98">
        <v>14.37572265635904</v>
      </c>
      <c r="G98">
        <v>18165.163148575281</v>
      </c>
      <c r="H98">
        <v>9</v>
      </c>
      <c r="I98">
        <v>11372.4</v>
      </c>
      <c r="J98">
        <v>12.630687891231677</v>
      </c>
      <c r="K98">
        <v>15960.137219360346</v>
      </c>
      <c r="L98">
        <v>15.449992347752152</v>
      </c>
      <c r="M98">
        <v>19522.61033061962</v>
      </c>
      <c r="N98">
        <v>16</v>
      </c>
      <c r="O98">
        <v>20217.599999999999</v>
      </c>
      <c r="P98">
        <v>18</v>
      </c>
      <c r="Q98">
        <v>22744.799999999999</v>
      </c>
      <c r="R98">
        <v>13.436979222021469</v>
      </c>
      <c r="S98">
        <v>16978.966944946325</v>
      </c>
      <c r="T98">
        <v>11.393268078889701</v>
      </c>
      <c r="U98">
        <v>14396.533544485024</v>
      </c>
      <c r="V98">
        <v>16</v>
      </c>
      <c r="W98">
        <v>20217.599999999999</v>
      </c>
      <c r="X98">
        <v>16.03784756657484</v>
      </c>
      <c r="Y98">
        <v>20265.424185123968</v>
      </c>
      <c r="Z98">
        <v>15</v>
      </c>
      <c r="AA98">
        <v>18954</v>
      </c>
      <c r="AB98">
        <v>9.4499978825621938</v>
      </c>
      <c r="AC98">
        <v>11941.017324405588</v>
      </c>
      <c r="AD98">
        <v>19.528556939429592</v>
      </c>
      <c r="AE98">
        <v>24676.284548663232</v>
      </c>
      <c r="AF98">
        <v>10.546365128148954</v>
      </c>
      <c r="AG98">
        <v>13326.386975929017</v>
      </c>
      <c r="AH98">
        <v>12.440123456790124</v>
      </c>
      <c r="AI98">
        <v>15719.34</v>
      </c>
      <c r="AJ98">
        <v>15</v>
      </c>
      <c r="AK98">
        <v>18954</v>
      </c>
      <c r="AL98">
        <v>14.335434707856242</v>
      </c>
      <c r="AM98">
        <v>18114.255296847146</v>
      </c>
      <c r="AN98">
        <v>10</v>
      </c>
      <c r="AO98">
        <v>12636</v>
      </c>
      <c r="AP98">
        <v>12.595463137996219</v>
      </c>
      <c r="AQ98">
        <v>15915.627221172022</v>
      </c>
      <c r="AR98">
        <v>10.687644762755077</v>
      </c>
      <c r="AS98">
        <v>13504.907922217315</v>
      </c>
      <c r="AT98">
        <v>11</v>
      </c>
      <c r="AU98">
        <v>13899.599999999999</v>
      </c>
      <c r="AV98">
        <v>13.549942261824778</v>
      </c>
      <c r="AW98">
        <v>17121.707042041788</v>
      </c>
      <c r="AX98">
        <v>12</v>
      </c>
      <c r="AY98">
        <v>15163.199999999999</v>
      </c>
      <c r="AZ98">
        <v>15.545756482834186</v>
      </c>
      <c r="BA98">
        <v>19643.617891709277</v>
      </c>
      <c r="BB98">
        <v>17</v>
      </c>
      <c r="BC98">
        <v>21481.199999999997</v>
      </c>
      <c r="BD98">
        <v>13.3</v>
      </c>
      <c r="BE98">
        <v>16805.88</v>
      </c>
      <c r="BF98">
        <v>12.498789060078121</v>
      </c>
      <c r="BG98">
        <v>15793.469856314712</v>
      </c>
      <c r="BH98">
        <v>13.501898516508032</v>
      </c>
      <c r="BI98">
        <v>17060.998965459548</v>
      </c>
      <c r="BJ98">
        <v>15.035943383472199</v>
      </c>
      <c r="BK98">
        <v>18999.41805935547</v>
      </c>
      <c r="BL98">
        <v>10</v>
      </c>
      <c r="BM98">
        <v>12636</v>
      </c>
      <c r="BN98">
        <v>17.058472688533058</v>
      </c>
      <c r="BO98">
        <v>21555.086089230372</v>
      </c>
      <c r="BP98">
        <v>20.561224007561435</v>
      </c>
      <c r="BQ98">
        <v>25981.162655954628</v>
      </c>
      <c r="BR98">
        <v>16.628017233705425</v>
      </c>
      <c r="BS98">
        <v>21011.162576510174</v>
      </c>
      <c r="BT98">
        <v>19.526308294766821</v>
      </c>
      <c r="BU98">
        <v>24673.443161267354</v>
      </c>
      <c r="BV98">
        <v>11.392939864431472</v>
      </c>
      <c r="BW98">
        <v>14396.118812695608</v>
      </c>
      <c r="BX98">
        <v>14.655396361579792</v>
      </c>
      <c r="BY98">
        <v>18518.558842492224</v>
      </c>
      <c r="BZ98">
        <v>17</v>
      </c>
      <c r="CA98">
        <v>21481.199999999997</v>
      </c>
      <c r="CB98">
        <v>18</v>
      </c>
      <c r="CC98">
        <v>22744.799999999999</v>
      </c>
      <c r="CD98">
        <v>20.491988463387276</v>
      </c>
      <c r="CE98">
        <v>25893.676622336159</v>
      </c>
      <c r="CF98">
        <v>10.490469759411896</v>
      </c>
      <c r="CG98">
        <v>13255.757587992872</v>
      </c>
      <c r="CH98">
        <v>15.376851192595229</v>
      </c>
      <c r="CI98">
        <v>19430.18916696333</v>
      </c>
      <c r="CJ98">
        <v>19.547803374746064</v>
      </c>
      <c r="CK98">
        <v>24700.604344329124</v>
      </c>
      <c r="CL98">
        <v>17.5133714880333</v>
      </c>
      <c r="CM98">
        <v>22129.896212278876</v>
      </c>
      <c r="CN98">
        <v>18</v>
      </c>
      <c r="CO98">
        <v>22744.799999999999</v>
      </c>
      <c r="CP98">
        <v>17.585749031563516</v>
      </c>
      <c r="CQ98">
        <v>22221.352476283657</v>
      </c>
      <c r="CR98">
        <v>14.044197297319304</v>
      </c>
      <c r="CS98">
        <v>17746.24770489267</v>
      </c>
      <c r="CT98">
        <v>16.577810650887574</v>
      </c>
      <c r="CU98">
        <v>20947.721538461537</v>
      </c>
    </row>
    <row r="99" spans="2:99" x14ac:dyDescent="0.2">
      <c r="C99" s="118" t="s">
        <v>265</v>
      </c>
      <c r="D99">
        <v>7.8429523543863588</v>
      </c>
      <c r="E99">
        <v>42991.927625804259</v>
      </c>
      <c r="F99">
        <v>10.527250279087955</v>
      </c>
      <c r="G99">
        <v>57706.175129848525</v>
      </c>
      <c r="H99">
        <v>7</v>
      </c>
      <c r="I99">
        <v>38371.199999999997</v>
      </c>
      <c r="J99">
        <v>8.4366300785450061</v>
      </c>
      <c r="K99">
        <v>46246.231438552299</v>
      </c>
      <c r="L99">
        <v>10.349994048251673</v>
      </c>
      <c r="M99">
        <v>56734.527374896366</v>
      </c>
      <c r="N99">
        <v>11</v>
      </c>
      <c r="O99">
        <v>60297.599999999991</v>
      </c>
      <c r="P99">
        <v>12</v>
      </c>
      <c r="Q99">
        <v>65779.199999999997</v>
      </c>
      <c r="R99">
        <v>10.291319481347646</v>
      </c>
      <c r="S99">
        <v>56412.896868955249</v>
      </c>
      <c r="T99">
        <v>8.2949510591672748</v>
      </c>
      <c r="U99">
        <v>45469.603725931331</v>
      </c>
      <c r="V99">
        <v>11</v>
      </c>
      <c r="W99">
        <v>60297.599999999991</v>
      </c>
      <c r="X99">
        <v>11</v>
      </c>
      <c r="Y99">
        <v>60297.599999999991</v>
      </c>
      <c r="Z99">
        <v>10</v>
      </c>
      <c r="AA99">
        <v>54815.999999999993</v>
      </c>
      <c r="AB99">
        <v>6.3499983531039286</v>
      </c>
      <c r="AC99">
        <v>34808.150972374489</v>
      </c>
      <c r="AD99">
        <v>12.384405046857884</v>
      </c>
      <c r="AE99">
        <v>67886.354704856174</v>
      </c>
      <c r="AF99">
        <v>7.5008347008032086</v>
      </c>
      <c r="AG99">
        <v>41116.575495922865</v>
      </c>
      <c r="AH99">
        <v>8.3423182441700963</v>
      </c>
      <c r="AI99">
        <v>45729.251687242795</v>
      </c>
      <c r="AJ99">
        <v>10</v>
      </c>
      <c r="AK99">
        <v>54815.999999999993</v>
      </c>
      <c r="AL99">
        <v>10.239596219897315</v>
      </c>
      <c r="AM99">
        <v>56129.370638989116</v>
      </c>
      <c r="AN99">
        <v>8</v>
      </c>
      <c r="AO99">
        <v>43852.799999999996</v>
      </c>
      <c r="AP99">
        <v>8.4962192816635156</v>
      </c>
      <c r="AQ99">
        <v>46572.87561436672</v>
      </c>
      <c r="AR99">
        <v>8.4911748305393413</v>
      </c>
      <c r="AS99">
        <v>46545.223951084452</v>
      </c>
      <c r="AT99">
        <v>7</v>
      </c>
      <c r="AU99">
        <v>38371.199999999997</v>
      </c>
      <c r="AV99">
        <v>8.3999580085998389</v>
      </c>
      <c r="AW99">
        <v>46045.209819940872</v>
      </c>
      <c r="AX99">
        <v>8</v>
      </c>
      <c r="AY99">
        <v>43852.799999999996</v>
      </c>
      <c r="AZ99">
        <v>9.3472995799853908</v>
      </c>
      <c r="BA99">
        <v>51238.157377647913</v>
      </c>
      <c r="BB99">
        <v>12</v>
      </c>
      <c r="BC99">
        <v>65779.199999999997</v>
      </c>
      <c r="BD99">
        <v>9.2249999999999996</v>
      </c>
      <c r="BE99">
        <v>50567.759999999995</v>
      </c>
      <c r="BF99">
        <v>9.3491523420546834</v>
      </c>
      <c r="BG99">
        <v>51248.313478206946</v>
      </c>
      <c r="BH99">
        <v>11.319389965050565</v>
      </c>
      <c r="BI99">
        <v>62048.368032421167</v>
      </c>
      <c r="BJ99">
        <v>11.026140642525236</v>
      </c>
      <c r="BK99">
        <v>60440.89254606633</v>
      </c>
      <c r="BL99">
        <v>8</v>
      </c>
      <c r="BM99">
        <v>43852.799999999996</v>
      </c>
      <c r="BN99">
        <v>11.038981792355372</v>
      </c>
      <c r="BO99">
        <v>60511.2825929752</v>
      </c>
      <c r="BP99">
        <v>14.431710775047259</v>
      </c>
      <c r="BQ99">
        <v>79108.865784499052</v>
      </c>
      <c r="BR99">
        <v>10.448583738361018</v>
      </c>
      <c r="BS99">
        <v>57274.956620199751</v>
      </c>
      <c r="BT99">
        <v>13.382769668921325</v>
      </c>
      <c r="BU99">
        <v>73358.990217159124</v>
      </c>
      <c r="BV99">
        <v>8.2947048983236051</v>
      </c>
      <c r="BW99">
        <v>45468.254370650669</v>
      </c>
      <c r="BX99">
        <v>10.561768309925535</v>
      </c>
      <c r="BY99">
        <v>57895.389167687805</v>
      </c>
      <c r="BZ99">
        <v>11</v>
      </c>
      <c r="CA99">
        <v>60297.599999999991</v>
      </c>
      <c r="CB99">
        <v>11</v>
      </c>
      <c r="CC99">
        <v>60297.599999999991</v>
      </c>
      <c r="CD99">
        <v>12.393590770709823</v>
      </c>
      <c r="CE99">
        <v>67936.707168722962</v>
      </c>
      <c r="CF99">
        <v>8.4414227834707063</v>
      </c>
      <c r="CG99">
        <v>46272.503129873017</v>
      </c>
      <c r="CH99">
        <v>11.282638394446423</v>
      </c>
      <c r="CI99">
        <v>61846.9106229975</v>
      </c>
      <c r="CJ99">
        <v>12.398402454360774</v>
      </c>
      <c r="CK99">
        <v>67963.082893824016</v>
      </c>
      <c r="CL99">
        <v>12.420031217481789</v>
      </c>
      <c r="CM99">
        <v>68081.643121748173</v>
      </c>
      <c r="CN99">
        <v>13.490469759411896</v>
      </c>
      <c r="CO99">
        <v>73949.359033192246</v>
      </c>
      <c r="CP99">
        <v>11.341686935078718</v>
      </c>
      <c r="CQ99">
        <v>62170.59110332749</v>
      </c>
      <c r="CR99">
        <v>10.030598128913363</v>
      </c>
      <c r="CS99">
        <v>54983.726703451488</v>
      </c>
      <c r="CT99">
        <v>10.481508875739644</v>
      </c>
      <c r="CU99">
        <v>57455.439053254428</v>
      </c>
    </row>
    <row r="100" spans="2:99" x14ac:dyDescent="0.2">
      <c r="C100" s="118" t="s">
        <v>266</v>
      </c>
      <c r="D100">
        <v>11.367099039021594</v>
      </c>
      <c r="E100">
        <v>18441.981480908635</v>
      </c>
      <c r="F100">
        <v>13.37572265635904</v>
      </c>
      <c r="G100">
        <v>21700.772437676904</v>
      </c>
      <c r="H100">
        <v>10</v>
      </c>
      <c r="I100">
        <v>16223.999999999998</v>
      </c>
      <c r="J100">
        <v>11.533658984888341</v>
      </c>
      <c r="K100">
        <v>18712.20833708284</v>
      </c>
      <c r="L100">
        <v>13.499991497502391</v>
      </c>
      <c r="M100">
        <v>21902.386205547878</v>
      </c>
      <c r="N100">
        <v>17</v>
      </c>
      <c r="O100">
        <v>27580.799999999999</v>
      </c>
      <c r="P100">
        <v>15</v>
      </c>
      <c r="Q100">
        <v>24335.999999999996</v>
      </c>
      <c r="R100">
        <v>14.388425975130195</v>
      </c>
      <c r="S100">
        <v>23343.782302051226</v>
      </c>
      <c r="T100">
        <v>11.393268078889701</v>
      </c>
      <c r="U100">
        <v>18484.438131190651</v>
      </c>
      <c r="V100">
        <v>18</v>
      </c>
      <c r="W100">
        <v>29203.199999999997</v>
      </c>
      <c r="X100">
        <v>16</v>
      </c>
      <c r="Y100">
        <v>25958.399999999998</v>
      </c>
      <c r="Z100">
        <v>14</v>
      </c>
      <c r="AA100">
        <v>22713.599999999999</v>
      </c>
      <c r="AB100">
        <v>10.399998117833061</v>
      </c>
      <c r="AC100">
        <v>16872.956946372356</v>
      </c>
      <c r="AD100">
        <v>17.528556939429592</v>
      </c>
      <c r="AE100">
        <v>28438.330778530566</v>
      </c>
      <c r="AF100">
        <v>11.546365128148954</v>
      </c>
      <c r="AG100">
        <v>18732.822783908861</v>
      </c>
      <c r="AH100">
        <v>11.440123456790124</v>
      </c>
      <c r="AI100">
        <v>18560.456296296295</v>
      </c>
      <c r="AJ100">
        <v>15</v>
      </c>
      <c r="AK100">
        <v>24335.999999999996</v>
      </c>
      <c r="AL100">
        <v>12.335434707856242</v>
      </c>
      <c r="AM100">
        <v>20013.009270025967</v>
      </c>
      <c r="AN100">
        <v>10</v>
      </c>
      <c r="AO100">
        <v>16223.999999999998</v>
      </c>
      <c r="AP100">
        <v>10.694706994328921</v>
      </c>
      <c r="AQ100">
        <v>17351.092627599242</v>
      </c>
      <c r="AR100">
        <v>10.687644762755077</v>
      </c>
      <c r="AS100">
        <v>17339.634863093837</v>
      </c>
      <c r="AT100">
        <v>11</v>
      </c>
      <c r="AU100">
        <v>17846.399999999998</v>
      </c>
      <c r="AV100">
        <v>13.449952759674819</v>
      </c>
      <c r="AW100">
        <v>21821.203357296425</v>
      </c>
      <c r="AX100">
        <v>10</v>
      </c>
      <c r="AY100">
        <v>16223.999999999998</v>
      </c>
      <c r="AZ100">
        <v>14.545756482834186</v>
      </c>
      <c r="BA100">
        <v>23599.035317750182</v>
      </c>
      <c r="BB100">
        <v>16</v>
      </c>
      <c r="BC100">
        <v>25958.399999999998</v>
      </c>
      <c r="BD100">
        <v>13.262499999999999</v>
      </c>
      <c r="BE100">
        <v>21517.079999999998</v>
      </c>
      <c r="BF100">
        <v>14.448910154070308</v>
      </c>
      <c r="BG100">
        <v>23441.911833963666</v>
      </c>
      <c r="BH100">
        <v>14.410644240779298</v>
      </c>
      <c r="BI100">
        <v>23379.82921624033</v>
      </c>
      <c r="BJ100">
        <v>14.029408222840891</v>
      </c>
      <c r="BK100">
        <v>22761.311900737059</v>
      </c>
      <c r="BL100">
        <v>10</v>
      </c>
      <c r="BM100">
        <v>16223.999999999998</v>
      </c>
      <c r="BN100">
        <v>17.058472688533058</v>
      </c>
      <c r="BO100">
        <v>27675.666089876031</v>
      </c>
      <c r="BP100">
        <v>17</v>
      </c>
      <c r="BQ100">
        <v>27580.799999999999</v>
      </c>
      <c r="BR100">
        <v>17.583158859869322</v>
      </c>
      <c r="BS100">
        <v>28526.916934251985</v>
      </c>
      <c r="BT100">
        <v>17.430615877536489</v>
      </c>
      <c r="BU100">
        <v>28279.431199715196</v>
      </c>
      <c r="BV100">
        <v>13.392939864431472</v>
      </c>
      <c r="BW100">
        <v>21728.705636053619</v>
      </c>
      <c r="BX100">
        <v>15.749024413234046</v>
      </c>
      <c r="BY100">
        <v>25551.217208030914</v>
      </c>
      <c r="BZ100">
        <v>16</v>
      </c>
      <c r="CA100">
        <v>25958.399999999998</v>
      </c>
      <c r="CB100">
        <v>16</v>
      </c>
      <c r="CC100">
        <v>25958.399999999998</v>
      </c>
      <c r="CD100">
        <v>21.491988463387276</v>
      </c>
      <c r="CE100">
        <v>34868.60208299951</v>
      </c>
      <c r="CF100">
        <v>11.539516735353086</v>
      </c>
      <c r="CG100">
        <v>18721.711951436846</v>
      </c>
      <c r="CH100">
        <v>17.376851192595229</v>
      </c>
      <c r="CI100">
        <v>28192.203374866498</v>
      </c>
      <c r="CJ100">
        <v>18.547803374746064</v>
      </c>
      <c r="CK100">
        <v>30091.95619518801</v>
      </c>
      <c r="CL100">
        <v>17.560041623309054</v>
      </c>
      <c r="CM100">
        <v>28489.411529656609</v>
      </c>
      <c r="CN100">
        <v>17.686657663176653</v>
      </c>
      <c r="CO100">
        <v>28694.833392737801</v>
      </c>
      <c r="CP100">
        <v>14.536936612266555</v>
      </c>
      <c r="CQ100">
        <v>23584.725959741256</v>
      </c>
      <c r="CR100">
        <v>12.037397713116334</v>
      </c>
      <c r="CS100">
        <v>19529.474049759938</v>
      </c>
      <c r="CT100">
        <v>15.577810650887574</v>
      </c>
      <c r="CU100">
        <v>25273.439999999999</v>
      </c>
    </row>
    <row r="101" spans="2:99" x14ac:dyDescent="0.2">
      <c r="C101" s="118" t="s">
        <v>267</v>
      </c>
      <c r="D101">
        <v>12.783667685813294</v>
      </c>
      <c r="E101">
        <v>15217.678013192142</v>
      </c>
      <c r="F101">
        <v>15.37572265635904</v>
      </c>
      <c r="G101">
        <v>18303.260250129799</v>
      </c>
      <c r="H101">
        <v>10</v>
      </c>
      <c r="I101">
        <v>11903.999999999998</v>
      </c>
      <c r="J101">
        <v>11.630687891231677</v>
      </c>
      <c r="K101">
        <v>13845.170865722186</v>
      </c>
      <c r="L101">
        <v>15.499991497502391</v>
      </c>
      <c r="M101">
        <v>18451.189878626843</v>
      </c>
      <c r="N101">
        <v>17</v>
      </c>
      <c r="O101">
        <v>20236.8</v>
      </c>
      <c r="P101">
        <v>18</v>
      </c>
      <c r="Q101">
        <v>21427.199999999997</v>
      </c>
      <c r="R101">
        <v>14.388425975130195</v>
      </c>
      <c r="S101">
        <v>17127.982280794982</v>
      </c>
      <c r="T101">
        <v>12.491585098612125</v>
      </c>
      <c r="U101">
        <v>14869.982901387872</v>
      </c>
      <c r="V101">
        <v>17</v>
      </c>
      <c r="W101">
        <v>20236.8</v>
      </c>
      <c r="X101">
        <v>17</v>
      </c>
      <c r="Y101">
        <v>20236.8</v>
      </c>
      <c r="Z101">
        <v>16</v>
      </c>
      <c r="AA101">
        <v>19046.399999999998</v>
      </c>
      <c r="AB101">
        <v>11.449997882562194</v>
      </c>
      <c r="AC101">
        <v>13630.077479402034</v>
      </c>
      <c r="AD101">
        <v>19.528556939429592</v>
      </c>
      <c r="AE101">
        <v>23246.794180696983</v>
      </c>
      <c r="AF101">
        <v>10.637425982840448</v>
      </c>
      <c r="AG101">
        <v>12662.791889973267</v>
      </c>
      <c r="AH101">
        <v>12.39122085048011</v>
      </c>
      <c r="AI101">
        <v>14750.509300411521</v>
      </c>
      <c r="AJ101">
        <v>16</v>
      </c>
      <c r="AK101">
        <v>19046.399999999998</v>
      </c>
      <c r="AL101">
        <v>13.335434707856242</v>
      </c>
      <c r="AM101">
        <v>15874.50147623207</v>
      </c>
      <c r="AN101">
        <v>12</v>
      </c>
      <c r="AO101">
        <v>14284.8</v>
      </c>
      <c r="AP101">
        <v>12.744328922495274</v>
      </c>
      <c r="AQ101">
        <v>15170.849149338374</v>
      </c>
      <c r="AR101">
        <v>12.687644762755077</v>
      </c>
      <c r="AS101">
        <v>15103.372325583643</v>
      </c>
      <c r="AT101">
        <v>12</v>
      </c>
      <c r="AU101">
        <v>14284.8</v>
      </c>
      <c r="AV101">
        <v>13.549942261824778</v>
      </c>
      <c r="AW101">
        <v>16129.851268476214</v>
      </c>
      <c r="AX101">
        <v>11.336536507475685</v>
      </c>
      <c r="AY101">
        <v>13495.013058499055</v>
      </c>
      <c r="AZ101">
        <v>15.545756482834186</v>
      </c>
      <c r="BA101">
        <v>18505.668517165814</v>
      </c>
      <c r="BB101">
        <v>17</v>
      </c>
      <c r="BC101">
        <v>20236.8</v>
      </c>
      <c r="BD101">
        <v>13.3</v>
      </c>
      <c r="BE101">
        <v>15832.32</v>
      </c>
      <c r="BF101">
        <v>14.448910154070308</v>
      </c>
      <c r="BG101">
        <v>17199.982647405293</v>
      </c>
      <c r="BH101">
        <v>16.456271378643663</v>
      </c>
      <c r="BI101">
        <v>19589.545449137415</v>
      </c>
      <c r="BJ101">
        <v>16.032675803156547</v>
      </c>
      <c r="BK101">
        <v>19085.297276077552</v>
      </c>
      <c r="BL101">
        <v>10</v>
      </c>
      <c r="BM101">
        <v>11903.999999999998</v>
      </c>
      <c r="BN101">
        <v>17.050676330061982</v>
      </c>
      <c r="BO101">
        <v>20297.125103305782</v>
      </c>
      <c r="BP101">
        <v>18.561224007561435</v>
      </c>
      <c r="BQ101">
        <v>22095.281058601129</v>
      </c>
      <c r="BR101">
        <v>18.628017233705425</v>
      </c>
      <c r="BS101">
        <v>22174.791715002935</v>
      </c>
      <c r="BT101">
        <v>16.478462086151655</v>
      </c>
      <c r="BU101">
        <v>19615.961267354927</v>
      </c>
      <c r="BV101">
        <v>13.442057347485406</v>
      </c>
      <c r="BW101">
        <v>16001.425066446625</v>
      </c>
      <c r="BX101">
        <v>14.749024413234046</v>
      </c>
      <c r="BY101">
        <v>17557.238661513806</v>
      </c>
      <c r="BZ101">
        <v>17</v>
      </c>
      <c r="CA101">
        <v>20236.8</v>
      </c>
      <c r="CB101">
        <v>15</v>
      </c>
      <c r="CC101">
        <v>17855.999999999996</v>
      </c>
      <c r="CD101">
        <v>19.44278961704855</v>
      </c>
      <c r="CE101">
        <v>23144.696760134593</v>
      </c>
      <c r="CF101">
        <v>10.588563711294276</v>
      </c>
      <c r="CG101">
        <v>12604.626241924705</v>
      </c>
      <c r="CH101">
        <v>17.329744793520828</v>
      </c>
      <c r="CI101">
        <v>20629.328202207191</v>
      </c>
      <c r="CJ101">
        <v>17.547803374746064</v>
      </c>
      <c r="CK101">
        <v>20888.905137297712</v>
      </c>
      <c r="CL101">
        <v>15.513371488033298</v>
      </c>
      <c r="CM101">
        <v>18467.117419354836</v>
      </c>
      <c r="CN101">
        <v>21.686657663176653</v>
      </c>
      <c r="CO101">
        <v>25815.797282245487</v>
      </c>
      <c r="CP101">
        <v>15.536936612266555</v>
      </c>
      <c r="CQ101">
        <v>18495.169343242105</v>
      </c>
      <c r="CR101">
        <v>15.040797505217819</v>
      </c>
      <c r="CS101">
        <v>17904.565350211291</v>
      </c>
      <c r="CT101">
        <v>14.625961538461539</v>
      </c>
      <c r="CU101">
        <v>17410.744615384614</v>
      </c>
    </row>
    <row r="102" spans="2:99" x14ac:dyDescent="0.2">
      <c r="C102" s="118" t="s">
        <v>268</v>
      </c>
      <c r="D102">
        <v>12.749117821125278</v>
      </c>
      <c r="E102">
        <v>24723.089278726136</v>
      </c>
      <c r="F102">
        <v>13.036333705450605</v>
      </c>
      <c r="G102">
        <v>25280.058321609813</v>
      </c>
      <c r="H102">
        <v>10</v>
      </c>
      <c r="I102">
        <v>19392</v>
      </c>
      <c r="J102">
        <v>11.533658984888341</v>
      </c>
      <c r="K102">
        <v>22366.071503495466</v>
      </c>
      <c r="L102">
        <v>13.449992347752152</v>
      </c>
      <c r="M102">
        <v>26082.225160760972</v>
      </c>
      <c r="N102">
        <v>15</v>
      </c>
      <c r="O102">
        <v>29087.999999999996</v>
      </c>
      <c r="P102">
        <v>16</v>
      </c>
      <c r="Q102">
        <v>31027.199999999997</v>
      </c>
      <c r="R102">
        <v>13.33987272823892</v>
      </c>
      <c r="S102">
        <v>25868.681194600911</v>
      </c>
      <c r="T102">
        <v>12.393268078889701</v>
      </c>
      <c r="U102">
        <v>24033.025458582906</v>
      </c>
      <c r="V102">
        <v>14</v>
      </c>
      <c r="W102">
        <v>27148.799999999996</v>
      </c>
      <c r="X102">
        <v>18</v>
      </c>
      <c r="Y102">
        <v>34905.599999999999</v>
      </c>
      <c r="Z102">
        <v>13</v>
      </c>
      <c r="AA102">
        <v>25209.599999999999</v>
      </c>
      <c r="AB102">
        <v>10.449997882562194</v>
      </c>
      <c r="AC102">
        <v>20264.635893864604</v>
      </c>
      <c r="AD102">
        <v>16.480506308572355</v>
      </c>
      <c r="AE102">
        <v>31958.997833583508</v>
      </c>
      <c r="AF102">
        <v>10.546365128148954</v>
      </c>
      <c r="AG102">
        <v>20451.511256506452</v>
      </c>
      <c r="AH102">
        <v>10.39122085048011</v>
      </c>
      <c r="AI102">
        <v>20150.655473251027</v>
      </c>
      <c r="AJ102">
        <v>16</v>
      </c>
      <c r="AK102">
        <v>31027.199999999997</v>
      </c>
      <c r="AL102">
        <v>11.28751546387678</v>
      </c>
      <c r="AM102">
        <v>21888.749987549851</v>
      </c>
      <c r="AN102">
        <v>10</v>
      </c>
      <c r="AO102">
        <v>19392</v>
      </c>
      <c r="AP102">
        <v>12.595463137996219</v>
      </c>
      <c r="AQ102">
        <v>24425.122117202267</v>
      </c>
      <c r="AR102">
        <v>10</v>
      </c>
      <c r="AS102">
        <v>19392</v>
      </c>
      <c r="AT102">
        <v>11</v>
      </c>
      <c r="AU102">
        <v>21331.199999999997</v>
      </c>
      <c r="AV102">
        <v>11.549942261824778</v>
      </c>
      <c r="AW102">
        <v>22397.648034130609</v>
      </c>
      <c r="AX102">
        <v>11</v>
      </c>
      <c r="AY102">
        <v>21331.199999999997</v>
      </c>
      <c r="AZ102">
        <v>12.446528031409787</v>
      </c>
      <c r="BA102">
        <v>24136.307158509859</v>
      </c>
      <c r="BB102">
        <v>17</v>
      </c>
      <c r="BC102">
        <v>32966.399999999994</v>
      </c>
      <c r="BD102">
        <v>14.262499999999999</v>
      </c>
      <c r="BE102">
        <v>27657.839999999997</v>
      </c>
      <c r="BF102">
        <v>12.498789060078121</v>
      </c>
      <c r="BG102">
        <v>24237.65174530349</v>
      </c>
      <c r="BH102">
        <v>14.456271378643665</v>
      </c>
      <c r="BI102">
        <v>28033.601457465793</v>
      </c>
      <c r="BJ102">
        <v>14.035943383472199</v>
      </c>
      <c r="BK102">
        <v>27218.501409229288</v>
      </c>
      <c r="BL102">
        <v>11</v>
      </c>
      <c r="BM102">
        <v>21331.199999999997</v>
      </c>
      <c r="BN102">
        <v>14.050676330061984</v>
      </c>
      <c r="BO102">
        <v>27247.071539256198</v>
      </c>
      <c r="BP102">
        <v>18.518052930056712</v>
      </c>
      <c r="BQ102">
        <v>35910.208241965971</v>
      </c>
      <c r="BR102">
        <v>15.628017233705425</v>
      </c>
      <c r="BS102">
        <v>30305.851019601556</v>
      </c>
      <c r="BT102">
        <v>15.430615877536489</v>
      </c>
      <c r="BU102">
        <v>29923.050309718757</v>
      </c>
      <c r="BV102">
        <v>13.442057347485406</v>
      </c>
      <c r="BW102">
        <v>26066.837608243695</v>
      </c>
      <c r="BX102">
        <v>13.655396361579792</v>
      </c>
      <c r="BY102">
        <v>26480.544624375529</v>
      </c>
      <c r="BZ102">
        <v>18</v>
      </c>
      <c r="CA102">
        <v>34905.599999999999</v>
      </c>
      <c r="CB102">
        <v>16</v>
      </c>
      <c r="CC102">
        <v>31027.199999999997</v>
      </c>
      <c r="CD102">
        <v>19.491988463387276</v>
      </c>
      <c r="CE102">
        <v>37798.864028200602</v>
      </c>
      <c r="CF102">
        <v>10.539516735353086</v>
      </c>
      <c r="CG102">
        <v>20438.230853196703</v>
      </c>
      <c r="CH102">
        <v>14.376851192595229</v>
      </c>
      <c r="CI102">
        <v>27879.589832680664</v>
      </c>
      <c r="CJ102">
        <v>16.498003067950968</v>
      </c>
      <c r="CK102">
        <v>31992.927549370514</v>
      </c>
      <c r="CL102">
        <v>17.5133714880333</v>
      </c>
      <c r="CM102">
        <v>33961.929989594173</v>
      </c>
      <c r="CN102">
        <v>16.686657663176653</v>
      </c>
      <c r="CO102">
        <v>32358.766540432163</v>
      </c>
      <c r="CP102">
        <v>14.439311773672635</v>
      </c>
      <c r="CQ102">
        <v>28000.713391505971</v>
      </c>
      <c r="CR102">
        <v>13.044197297319304</v>
      </c>
      <c r="CS102">
        <v>25295.307398961591</v>
      </c>
      <c r="CT102">
        <v>15.674112426035503</v>
      </c>
      <c r="CU102">
        <v>30395.238816568046</v>
      </c>
    </row>
    <row r="103" spans="2:99" x14ac:dyDescent="0.2">
      <c r="C103" s="118" t="s">
        <v>269</v>
      </c>
      <c r="D103">
        <v>12.749117821125278</v>
      </c>
      <c r="E103">
        <v>25855.210941242065</v>
      </c>
      <c r="F103">
        <v>13.036333705450605</v>
      </c>
      <c r="G103">
        <v>26437.684754653827</v>
      </c>
      <c r="H103">
        <v>10</v>
      </c>
      <c r="I103">
        <v>20280</v>
      </c>
      <c r="J103">
        <v>10.582173438060009</v>
      </c>
      <c r="K103">
        <v>21460.647732385696</v>
      </c>
      <c r="L103">
        <v>14.399993198001914</v>
      </c>
      <c r="M103">
        <v>29203.186205547881</v>
      </c>
      <c r="N103">
        <v>17</v>
      </c>
      <c r="O103">
        <v>34476</v>
      </c>
      <c r="P103">
        <v>16</v>
      </c>
      <c r="Q103">
        <v>32448</v>
      </c>
      <c r="R103">
        <v>14.388425975130195</v>
      </c>
      <c r="S103">
        <v>29179.727877564037</v>
      </c>
      <c r="T103">
        <v>11.442426588750912</v>
      </c>
      <c r="U103">
        <v>23205.241121986852</v>
      </c>
      <c r="V103">
        <v>14</v>
      </c>
      <c r="W103">
        <v>28392</v>
      </c>
      <c r="X103">
        <v>17.033116620752985</v>
      </c>
      <c r="Y103">
        <v>34543.160506887056</v>
      </c>
      <c r="Z103">
        <v>14</v>
      </c>
      <c r="AA103">
        <v>28392</v>
      </c>
      <c r="AB103">
        <v>10.349998353103928</v>
      </c>
      <c r="AC103">
        <v>20989.796660094766</v>
      </c>
      <c r="AD103">
        <v>16.432455677715119</v>
      </c>
      <c r="AE103">
        <v>33325.020114406259</v>
      </c>
      <c r="AF103">
        <v>9.5008347008032086</v>
      </c>
      <c r="AG103">
        <v>19267.692773228908</v>
      </c>
      <c r="AH103">
        <v>10.440123456790124</v>
      </c>
      <c r="AI103">
        <v>21172.570370370369</v>
      </c>
      <c r="AJ103">
        <v>16</v>
      </c>
      <c r="AK103">
        <v>32448</v>
      </c>
      <c r="AL103">
        <v>13.28751546387678</v>
      </c>
      <c r="AM103">
        <v>26947.081360742108</v>
      </c>
      <c r="AN103">
        <v>11</v>
      </c>
      <c r="AO103">
        <v>22308</v>
      </c>
      <c r="AP103">
        <v>10.595463137996219</v>
      </c>
      <c r="AQ103">
        <v>21487.599243856333</v>
      </c>
      <c r="AR103">
        <v>9.5402923135932749</v>
      </c>
      <c r="AS103">
        <v>19347.712811967162</v>
      </c>
      <c r="AT103">
        <v>10</v>
      </c>
      <c r="AU103">
        <v>20280</v>
      </c>
      <c r="AV103">
        <v>11.499947510749799</v>
      </c>
      <c r="AW103">
        <v>23321.893551800593</v>
      </c>
      <c r="AX103">
        <v>9.3365365074756852</v>
      </c>
      <c r="AY103">
        <v>18934.49603716069</v>
      </c>
      <c r="AZ103">
        <v>12.496142257121987</v>
      </c>
      <c r="BA103">
        <v>25342.17649744339</v>
      </c>
      <c r="BB103">
        <v>16</v>
      </c>
      <c r="BC103">
        <v>32448</v>
      </c>
      <c r="BD103">
        <v>14.3</v>
      </c>
      <c r="BE103">
        <v>29000.400000000001</v>
      </c>
      <c r="BF103">
        <v>12.448910154070308</v>
      </c>
      <c r="BG103">
        <v>25246.389792454585</v>
      </c>
      <c r="BH103">
        <v>14.456271378643665</v>
      </c>
      <c r="BI103">
        <v>29317.318355889354</v>
      </c>
      <c r="BJ103">
        <v>14.032675803156545</v>
      </c>
      <c r="BK103">
        <v>28458.266528801472</v>
      </c>
      <c r="BL103">
        <v>9</v>
      </c>
      <c r="BM103">
        <v>18252</v>
      </c>
      <c r="BN103">
        <v>16.046778150826448</v>
      </c>
      <c r="BO103">
        <v>32542.866089876035</v>
      </c>
      <c r="BP103">
        <v>17</v>
      </c>
      <c r="BQ103">
        <v>34476</v>
      </c>
      <c r="BR103">
        <v>16.583158859869322</v>
      </c>
      <c r="BS103">
        <v>33630.646167814986</v>
      </c>
      <c r="BT103">
        <v>15.478462086151655</v>
      </c>
      <c r="BU103">
        <v>31390.321110715555</v>
      </c>
      <c r="BV103">
        <v>11.392939864431472</v>
      </c>
      <c r="BW103">
        <v>23104.882045067025</v>
      </c>
      <c r="BX103">
        <v>15.702210387406918</v>
      </c>
      <c r="BY103">
        <v>31844.08266566123</v>
      </c>
      <c r="BZ103">
        <v>16</v>
      </c>
      <c r="CA103">
        <v>32448</v>
      </c>
      <c r="CB103">
        <v>17</v>
      </c>
      <c r="CC103">
        <v>34476</v>
      </c>
      <c r="CD103">
        <v>17.491988463387276</v>
      </c>
      <c r="CE103">
        <v>35473.752603749395</v>
      </c>
      <c r="CF103">
        <v>11.539516735353086</v>
      </c>
      <c r="CG103">
        <v>23402.139939296059</v>
      </c>
      <c r="CH103">
        <v>16.376851192595229</v>
      </c>
      <c r="CI103">
        <v>33212.254218583126</v>
      </c>
      <c r="CJ103">
        <v>16.448202761155873</v>
      </c>
      <c r="CK103">
        <v>33356.955199624113</v>
      </c>
      <c r="CL103">
        <v>16.466701352757543</v>
      </c>
      <c r="CM103">
        <v>33394.470343392299</v>
      </c>
      <c r="CN103">
        <v>17.588563711294274</v>
      </c>
      <c r="CO103">
        <v>35669.607206504785</v>
      </c>
      <c r="CP103">
        <v>13.439311773672635</v>
      </c>
      <c r="CQ103">
        <v>27254.924277008104</v>
      </c>
      <c r="CR103">
        <v>13.040797505217819</v>
      </c>
      <c r="CS103">
        <v>26446.737340581738</v>
      </c>
      <c r="CT103">
        <v>15</v>
      </c>
      <c r="CU103">
        <v>30420</v>
      </c>
    </row>
    <row r="104" spans="2:99" x14ac:dyDescent="0.2">
      <c r="C104" s="118" t="s">
        <v>270</v>
      </c>
      <c r="D104">
        <v>10.676089647969754</v>
      </c>
      <c r="E104">
        <v>22125.128186452519</v>
      </c>
      <c r="F104">
        <v>15.206028180904823</v>
      </c>
      <c r="G104">
        <v>31512.972802107157</v>
      </c>
      <c r="H104">
        <v>8</v>
      </c>
      <c r="I104">
        <v>16579.2</v>
      </c>
      <c r="J104">
        <v>10.582173438060009</v>
      </c>
      <c r="K104">
        <v>21930.496233035563</v>
      </c>
      <c r="L104">
        <v>14.399993198001914</v>
      </c>
      <c r="M104">
        <v>29842.545903539169</v>
      </c>
      <c r="N104">
        <v>16</v>
      </c>
      <c r="O104">
        <v>33158.400000000001</v>
      </c>
      <c r="P104">
        <v>16</v>
      </c>
      <c r="Q104">
        <v>33158.400000000001</v>
      </c>
      <c r="R104">
        <v>12.33987272823892</v>
      </c>
      <c r="S104">
        <v>25573.152242002339</v>
      </c>
      <c r="T104">
        <v>11.442426588750912</v>
      </c>
      <c r="U104">
        <v>23713.284862527391</v>
      </c>
      <c r="V104">
        <v>17</v>
      </c>
      <c r="W104">
        <v>35230.800000000003</v>
      </c>
      <c r="X104">
        <v>15</v>
      </c>
      <c r="Y104">
        <v>31086</v>
      </c>
      <c r="Z104">
        <v>13</v>
      </c>
      <c r="AA104">
        <v>26941.200000000001</v>
      </c>
      <c r="AB104">
        <v>8.3499983531039277</v>
      </c>
      <c r="AC104">
        <v>17304.536586972579</v>
      </c>
      <c r="AD104">
        <v>19.528556939429592</v>
      </c>
      <c r="AE104">
        <v>40470.981401273886</v>
      </c>
      <c r="AF104">
        <v>10.591895555494702</v>
      </c>
      <c r="AG104">
        <v>21950.644349207221</v>
      </c>
      <c r="AH104">
        <v>10.39122085048011</v>
      </c>
      <c r="AI104">
        <v>21534.76609053498</v>
      </c>
      <c r="AJ104">
        <v>16</v>
      </c>
      <c r="AK104">
        <v>33158.400000000001</v>
      </c>
      <c r="AL104">
        <v>12.335434707856242</v>
      </c>
      <c r="AM104">
        <v>25563.954888561278</v>
      </c>
      <c r="AN104">
        <v>10</v>
      </c>
      <c r="AO104">
        <v>20724</v>
      </c>
      <c r="AP104">
        <v>10.64508506616257</v>
      </c>
      <c r="AQ104">
        <v>22060.874291115313</v>
      </c>
      <c r="AR104">
        <v>11</v>
      </c>
      <c r="AS104">
        <v>22796.400000000001</v>
      </c>
      <c r="AT104">
        <v>11</v>
      </c>
      <c r="AU104">
        <v>22796.400000000001</v>
      </c>
      <c r="AV104">
        <v>12.499947510749799</v>
      </c>
      <c r="AW104">
        <v>25904.891221277885</v>
      </c>
      <c r="AX104">
        <v>9.3084917985193787</v>
      </c>
      <c r="AY104">
        <v>19290.918403251562</v>
      </c>
      <c r="AZ104">
        <v>13.496142257121987</v>
      </c>
      <c r="BA104">
        <v>27969.405213659607</v>
      </c>
      <c r="BB104">
        <v>18</v>
      </c>
      <c r="BC104">
        <v>37303.200000000004</v>
      </c>
      <c r="BD104">
        <v>13.262499999999999</v>
      </c>
      <c r="BE104">
        <v>27485.204999999998</v>
      </c>
      <c r="BF104">
        <v>12.448910154070308</v>
      </c>
      <c r="BG104">
        <v>25799.121403295307</v>
      </c>
      <c r="BH104">
        <v>15.410644240779298</v>
      </c>
      <c r="BI104">
        <v>31937.019124591021</v>
      </c>
      <c r="BJ104">
        <v>13.032675803156545</v>
      </c>
      <c r="BK104">
        <v>27008.917334461625</v>
      </c>
      <c r="BL104">
        <v>11</v>
      </c>
      <c r="BM104">
        <v>22796.400000000001</v>
      </c>
      <c r="BN104">
        <v>16.046778150826448</v>
      </c>
      <c r="BO104">
        <v>33255.343039772735</v>
      </c>
      <c r="BP104">
        <v>17.518052930056712</v>
      </c>
      <c r="BQ104">
        <v>36304.412892249529</v>
      </c>
      <c r="BR104">
        <v>16.628017233705425</v>
      </c>
      <c r="BS104">
        <v>34459.902915131126</v>
      </c>
      <c r="BT104">
        <v>15.430615877536489</v>
      </c>
      <c r="BU104">
        <v>31978.408344606622</v>
      </c>
      <c r="BV104">
        <v>11.343822381377539</v>
      </c>
      <c r="BW104">
        <v>23508.937503166813</v>
      </c>
      <c r="BX104">
        <v>14</v>
      </c>
      <c r="BY104">
        <v>29013.600000000002</v>
      </c>
      <c r="BZ104">
        <v>18</v>
      </c>
      <c r="CA104">
        <v>37303.200000000004</v>
      </c>
      <c r="CB104">
        <v>15</v>
      </c>
      <c r="CC104">
        <v>31086</v>
      </c>
      <c r="CD104">
        <v>20.44278961704855</v>
      </c>
      <c r="CE104">
        <v>42365.637202371421</v>
      </c>
      <c r="CF104">
        <v>11.490469759411896</v>
      </c>
      <c r="CG104">
        <v>23812.849529405215</v>
      </c>
      <c r="CH104">
        <v>13.376851192595229</v>
      </c>
      <c r="CI104">
        <v>27722.186411534352</v>
      </c>
      <c r="CJ104">
        <v>18.448202761155873</v>
      </c>
      <c r="CK104">
        <v>38232.055402219434</v>
      </c>
      <c r="CL104">
        <v>15.513371488033298</v>
      </c>
      <c r="CM104">
        <v>32149.911071800208</v>
      </c>
      <c r="CN104">
        <v>18.588563711294274</v>
      </c>
      <c r="CO104">
        <v>38522.939435286258</v>
      </c>
      <c r="CP104">
        <v>13.439311773672635</v>
      </c>
      <c r="CQ104">
        <v>27851.62971975917</v>
      </c>
      <c r="CR104">
        <v>12.040797505217819</v>
      </c>
      <c r="CS104">
        <v>24953.348749813409</v>
      </c>
      <c r="CT104">
        <v>12.52965976331361</v>
      </c>
      <c r="CU104">
        <v>25966.466893491128</v>
      </c>
    </row>
    <row r="105" spans="2:99" x14ac:dyDescent="0.2">
      <c r="C105" s="118" t="s">
        <v>271</v>
      </c>
      <c r="D105">
        <v>12.058108430073437</v>
      </c>
      <c r="E105">
        <v>24092.100643286729</v>
      </c>
      <c r="F105">
        <v>15.206028180904823</v>
      </c>
      <c r="G105">
        <v>30381.644305447837</v>
      </c>
      <c r="H105">
        <v>9</v>
      </c>
      <c r="I105">
        <v>17982</v>
      </c>
      <c r="J105">
        <v>11.582173438060009</v>
      </c>
      <c r="K105">
        <v>23141.182529243899</v>
      </c>
      <c r="L105">
        <v>13.449992347752152</v>
      </c>
      <c r="M105">
        <v>26873.084710808802</v>
      </c>
      <c r="N105">
        <v>17</v>
      </c>
      <c r="O105">
        <v>33966</v>
      </c>
      <c r="P105">
        <v>16</v>
      </c>
      <c r="Q105">
        <v>31968</v>
      </c>
      <c r="R105">
        <v>14.388425975130195</v>
      </c>
      <c r="S105">
        <v>28748.075098310128</v>
      </c>
      <c r="T105">
        <v>11.393268078889701</v>
      </c>
      <c r="U105">
        <v>22763.749621621624</v>
      </c>
      <c r="V105">
        <v>16</v>
      </c>
      <c r="W105">
        <v>31968</v>
      </c>
      <c r="X105">
        <v>16</v>
      </c>
      <c r="Y105">
        <v>31968</v>
      </c>
      <c r="Z105">
        <v>13</v>
      </c>
      <c r="AA105">
        <v>25974</v>
      </c>
      <c r="AB105">
        <v>9.3999981178330607</v>
      </c>
      <c r="AC105">
        <v>18781.196239430454</v>
      </c>
      <c r="AD105">
        <v>17.528556939429592</v>
      </c>
      <c r="AE105">
        <v>35022.056764980327</v>
      </c>
      <c r="AF105">
        <v>8.5463651281489543</v>
      </c>
      <c r="AG105">
        <v>17075.63752604161</v>
      </c>
      <c r="AH105">
        <v>11.440123456790124</v>
      </c>
      <c r="AI105">
        <v>22857.366666666669</v>
      </c>
      <c r="AJ105">
        <v>15</v>
      </c>
      <c r="AK105">
        <v>29970</v>
      </c>
      <c r="AL105">
        <v>12.28751546387678</v>
      </c>
      <c r="AM105">
        <v>24550.455896825806</v>
      </c>
      <c r="AN105">
        <v>11</v>
      </c>
      <c r="AO105">
        <v>21978</v>
      </c>
      <c r="AP105">
        <v>11.64508506616257</v>
      </c>
      <c r="AQ105">
        <v>23266.879962192816</v>
      </c>
      <c r="AR105">
        <v>11.540292313593275</v>
      </c>
      <c r="AS105">
        <v>23057.504042559362</v>
      </c>
      <c r="AT105">
        <v>11</v>
      </c>
      <c r="AU105">
        <v>21978</v>
      </c>
      <c r="AV105">
        <v>11.499947510749799</v>
      </c>
      <c r="AW105">
        <v>22976.895126478099</v>
      </c>
      <c r="AX105">
        <v>10.308491798519379</v>
      </c>
      <c r="AY105">
        <v>20596.366613441718</v>
      </c>
      <c r="AZ105">
        <v>13.446528031409787</v>
      </c>
      <c r="BA105">
        <v>26866.163006756757</v>
      </c>
      <c r="BB105">
        <v>17</v>
      </c>
      <c r="BC105">
        <v>33966</v>
      </c>
      <c r="BD105">
        <v>13.262499999999999</v>
      </c>
      <c r="BE105">
        <v>26498.474999999999</v>
      </c>
      <c r="BF105">
        <v>13.498789060078121</v>
      </c>
      <c r="BG105">
        <v>26970.580542036085</v>
      </c>
      <c r="BH105">
        <v>13.456271378643665</v>
      </c>
      <c r="BI105">
        <v>26885.630214530043</v>
      </c>
      <c r="BJ105">
        <v>14.029408222840891</v>
      </c>
      <c r="BK105">
        <v>28030.757629236101</v>
      </c>
      <c r="BL105">
        <v>9</v>
      </c>
      <c r="BM105">
        <v>17982</v>
      </c>
      <c r="BN105">
        <v>15.05457450929752</v>
      </c>
      <c r="BO105">
        <v>30079.039869576445</v>
      </c>
      <c r="BP105">
        <v>16.561224007561435</v>
      </c>
      <c r="BQ105">
        <v>33089.32556710775</v>
      </c>
      <c r="BR105">
        <v>16.628017233705425</v>
      </c>
      <c r="BS105">
        <v>33222.778432943436</v>
      </c>
      <c r="BT105">
        <v>16.478462086151655</v>
      </c>
      <c r="BU105">
        <v>32923.967248131004</v>
      </c>
      <c r="BV105">
        <v>11.343822381377539</v>
      </c>
      <c r="BW105">
        <v>22664.957117992322</v>
      </c>
      <c r="BX105">
        <v>16.608582335752661</v>
      </c>
      <c r="BY105">
        <v>33183.947506833814</v>
      </c>
      <c r="BZ105">
        <v>16</v>
      </c>
      <c r="CA105">
        <v>31968</v>
      </c>
      <c r="CB105">
        <v>15</v>
      </c>
      <c r="CC105">
        <v>29970</v>
      </c>
      <c r="CD105">
        <v>19.491988463387276</v>
      </c>
      <c r="CE105">
        <v>38944.99294984778</v>
      </c>
      <c r="CF105">
        <v>10.490469759411896</v>
      </c>
      <c r="CG105">
        <v>20959.95857930497</v>
      </c>
      <c r="CH105">
        <v>14.329744793520826</v>
      </c>
      <c r="CI105">
        <v>28630.830097454611</v>
      </c>
      <c r="CJ105">
        <v>17.498003067950968</v>
      </c>
      <c r="CK105">
        <v>34961.010129766037</v>
      </c>
      <c r="CL105">
        <v>15.513371488033298</v>
      </c>
      <c r="CM105">
        <v>30995.71623309053</v>
      </c>
      <c r="CN105">
        <v>18.637610687235465</v>
      </c>
      <c r="CO105">
        <v>37237.946153096462</v>
      </c>
      <c r="CP105">
        <v>14.488124192969595</v>
      </c>
      <c r="CQ105">
        <v>28947.272137553249</v>
      </c>
      <c r="CR105">
        <v>12.040797505217819</v>
      </c>
      <c r="CS105">
        <v>24057.513415425201</v>
      </c>
      <c r="CT105">
        <v>14.625961538461539</v>
      </c>
      <c r="CU105">
        <v>29222.671153846153</v>
      </c>
    </row>
    <row r="107" spans="2:99" x14ac:dyDescent="0.2">
      <c r="B107" s="121" t="s">
        <v>276</v>
      </c>
    </row>
    <row r="108" spans="2:99" x14ac:dyDescent="0.2">
      <c r="C108" s="118" t="s">
        <v>277</v>
      </c>
      <c r="D108" s="118" t="s">
        <v>92</v>
      </c>
      <c r="E108" s="118" t="s">
        <v>93</v>
      </c>
      <c r="F108" s="118" t="s">
        <v>94</v>
      </c>
      <c r="G108" s="118" t="s">
        <v>95</v>
      </c>
      <c r="H108" s="118" t="s">
        <v>96</v>
      </c>
      <c r="I108" s="118" t="s">
        <v>97</v>
      </c>
      <c r="J108" s="118" t="s">
        <v>98</v>
      </c>
      <c r="K108" s="118" t="s">
        <v>99</v>
      </c>
      <c r="L108" s="118" t="s">
        <v>100</v>
      </c>
      <c r="M108" s="118" t="s">
        <v>101</v>
      </c>
      <c r="N108" s="118" t="s">
        <v>102</v>
      </c>
      <c r="O108" s="118" t="s">
        <v>103</v>
      </c>
    </row>
    <row r="109" spans="2:99" x14ac:dyDescent="0.2">
      <c r="C109" s="118" t="s">
        <v>126</v>
      </c>
      <c r="D109">
        <f>SUM(D$6:D$19)+SUM(F$6:F$19)+SUM(H$6:H$19)+SUM(J$6:J$19)</f>
        <v>862</v>
      </c>
      <c r="E109">
        <f>SUM(L$6:L$19)+SUM(N$6:N$19)+SUM(P$6:P$19)+SUM(R$6:R$19)</f>
        <v>916</v>
      </c>
      <c r="F109">
        <f>SUM(T$6:T$19)+SUM(V$6:V$19)+SUM(X$6:X$19)+SUM(Z$6:Z$19)</f>
        <v>924</v>
      </c>
      <c r="G109">
        <f>SUM(AB$6:AB$19)+SUM(AD$6:AD$19)+SUM(AF$6:AF$19)+SUM(AH$6:AH$19)</f>
        <v>817</v>
      </c>
      <c r="H109">
        <f>SUM(AJ$6:AJ$19)+SUM(AL$6:AL$19)+SUM(AN$6:AN$19)+SUM(AP$6:AP$19)</f>
        <v>1016</v>
      </c>
      <c r="I109">
        <f>SUM(AR$6:AR$19)+SUM(AT$6:AT$19)+SUM(AV$6:AV$19)+SUM(AX$6:AX$19)</f>
        <v>1135</v>
      </c>
      <c r="J109">
        <f>SUM(AZ$6:AZ$19)+SUM(BB$6:BB$19)+SUM(BD$6:BD$19)+SUM(BF$6:BF$19)</f>
        <v>1000</v>
      </c>
      <c r="K109">
        <f>SUM(BH$6:BH$19)+SUM(BJ$6:BJ$19)+SUM(BL$6:BL$19)+SUM(BN$6:BN$19)</f>
        <v>903</v>
      </c>
      <c r="L109">
        <f>SUM(BP$6:BP$19)+SUM(BR$6:BR$19)+SUM(BT$6:BT$19)+SUM(BV$6:BV$19)</f>
        <v>1100</v>
      </c>
      <c r="M109">
        <f>SUM(BX$6:BX$19)+SUM(BZ$6:BZ$19)+SUM(CB$6:CB$19)+SUM(CD$6:CD$19)</f>
        <v>961</v>
      </c>
      <c r="N109">
        <f>SUM(CF$6:CF$19)+SUM(CH$6:CH$19)+SUM(CJ$6:CJ$19)+SUM(CL$6:CL$19)</f>
        <v>1029</v>
      </c>
      <c r="O109">
        <f>SUM(CN$6:CN$19)+SUM(CP$6:CP$19)+SUM(CR$6:CR$19)+SUM(CT$6:CT$19)</f>
        <v>946</v>
      </c>
    </row>
    <row r="110" spans="2:99" x14ac:dyDescent="0.2">
      <c r="C110" s="118" t="s">
        <v>127</v>
      </c>
      <c r="D110">
        <f>SUM(D$20:D$36)+SUM(F$20:F$36)+SUM(H$20:H$36)+SUM(J$20:J$36)</f>
        <v>627</v>
      </c>
      <c r="E110">
        <f>SUM(L$20:L$36)+SUM(N$20:N$36)+SUM(P$20:P$36)+SUM(R$20:R$36)</f>
        <v>944</v>
      </c>
      <c r="F110">
        <f>SUM(T$20:T$36)+SUM(V$20:V$36)+SUM(X$20:X$36)+SUM(Z$20:Z$36)</f>
        <v>847</v>
      </c>
      <c r="G110">
        <f>SUM(AB$20:AB$36)+SUM(AD$20:AD$36)+SUM(AF$20:AF$36)+SUM(AH$20:AH$36)</f>
        <v>837</v>
      </c>
      <c r="H110">
        <f>SUM(AJ$20:AJ$36)+SUM(AL$20:AL$36)+SUM(AN$20:AN$36)+SUM(AP$20:AP$36)</f>
        <v>855</v>
      </c>
      <c r="I110">
        <f>SUM(AR$20:AR$36)+SUM(AT$20:AT$36)+SUM(AV$20:AV$36)+SUM(AX$20:AX$36)</f>
        <v>791</v>
      </c>
      <c r="J110">
        <f>SUM(AZ$20:AZ$36)+SUM(BB$20:BB$36)+SUM(BD$20:BD$36)+SUM(BF$20:BF$36)</f>
        <v>919</v>
      </c>
      <c r="K110">
        <f>SUM(BH$20:BH$36)+SUM(BJ$20:BJ$36)+SUM(BL$20:BL$36)+SUM(BN$20:BN$36)</f>
        <v>816</v>
      </c>
      <c r="L110">
        <f>SUM(BP$20:BP$36)+SUM(BR$20:BR$36)+SUM(BT$20:BT$36)+SUM(BV$20:BV$36)</f>
        <v>727</v>
      </c>
      <c r="M110">
        <f>SUM(BX$20:BX$36)+SUM(BZ$20:BZ$36)+SUM(CB$20:CB$36)+SUM(CD$20:CD$36)</f>
        <v>877</v>
      </c>
      <c r="N110">
        <f>SUM(CF$20:CF$36)+SUM(CH$20:CH$36)+SUM(CJ$20:CJ$36)+SUM(CL$20:CL$36)</f>
        <v>897</v>
      </c>
      <c r="O110">
        <f>SUM(CN$20:CN$36)+SUM(CP$20:CP$36)+SUM(CR$20:CR$36)+SUM(CT$20:CT$36)</f>
        <v>920</v>
      </c>
    </row>
    <row r="111" spans="2:99" x14ac:dyDescent="0.2">
      <c r="C111" s="118" t="s">
        <v>128</v>
      </c>
      <c r="D111">
        <f>SUM(D$37:D$48)+SUM(F$37:F$48)+SUM(H$37:H$48)+SUM(J$37:J$48)</f>
        <v>1228</v>
      </c>
      <c r="E111">
        <f>SUM(L$37:L$48)+SUM(N$37:N$48)+SUM(P$37:P$48)+SUM(R$37:R$48)</f>
        <v>1057</v>
      </c>
      <c r="F111">
        <f>SUM(T$37:T$48)+SUM(V$37:V$48)+SUM(X$37:X$48)+SUM(Z$37:Z$48)</f>
        <v>987</v>
      </c>
      <c r="G111">
        <f>SUM(AB$37:AB$48)+SUM(AD$37:AD$48)+SUM(AF$37:AF$48)+SUM(AH$37:AH$48)</f>
        <v>1039</v>
      </c>
      <c r="H111">
        <f>SUM(AJ$37:AJ$48)+SUM(AL$37:AL$48)+SUM(AN$37:AN$48)+SUM(AP$37:AP$48)</f>
        <v>888</v>
      </c>
      <c r="I111">
        <f>SUM(AR$37:AR$48)+SUM(AT$37:AT$48)+SUM(AV$37:AV$48)+SUM(AX$37:AX$48)</f>
        <v>1130</v>
      </c>
      <c r="J111">
        <f>SUM(AZ$37:AZ$48)+SUM(BB$37:BB$48)+SUM(BD$37:BD$48)+SUM(BF$37:BF$48)</f>
        <v>1247</v>
      </c>
      <c r="K111">
        <f>SUM(BH$37:BH$48)+SUM(BJ$37:BJ$48)+SUM(BL$37:BL$48)+SUM(BN$37:BN$48)</f>
        <v>1136</v>
      </c>
      <c r="L111">
        <f>SUM(BP$37:BP$48)+SUM(BR$37:BR$48)+SUM(BT$37:BT$48)+SUM(BV$37:BV$48)</f>
        <v>1022</v>
      </c>
      <c r="M111">
        <f>SUM(BX$37:BX$48)+SUM(BZ$37:BZ$48)+SUM(CB$37:CB$48)+SUM(CD$37:CD$48)</f>
        <v>982</v>
      </c>
      <c r="N111">
        <f>SUM(CF$37:CF$48)+SUM(CH$37:CH$48)+SUM(CJ$37:CJ$48)+SUM(CL$37:CL$48)</f>
        <v>1046</v>
      </c>
      <c r="O111">
        <f>SUM(CN$37:CN$48)+SUM(CP$37:CP$48)+SUM(CR$37:CR$48)+SUM(CT$37:CT$48)</f>
        <v>1042</v>
      </c>
    </row>
    <row r="112" spans="2:99" x14ac:dyDescent="0.2">
      <c r="C112" s="118" t="s">
        <v>129</v>
      </c>
      <c r="D112">
        <f>SUM(D$49:D$70)+SUM(F$49:F$70)+SUM(H$49:H$70)+SUM(J$49:J$70)</f>
        <v>965.67017583806432</v>
      </c>
      <c r="E112">
        <f>SUM(L$49:L$70)+SUM(N$49:N$70)+SUM(P$49:P$70)+SUM(R$49:R$70)</f>
        <v>1071.515254968647</v>
      </c>
      <c r="F112">
        <f>SUM(T$49:T$70)+SUM(V$49:V$70)+SUM(X$49:X$70)+SUM(Z$49:Z$70)</f>
        <v>913.32727976625279</v>
      </c>
      <c r="G112">
        <f>SUM(AB$49:AB$70)+SUM(AD$49:AD$70)+SUM(AF$49:AF$70)+SUM(AH$49:AH$70)</f>
        <v>880.82743869389788</v>
      </c>
      <c r="H112">
        <f>SUM(AJ$49:AJ$70)+SUM(AL$49:AL$70)+SUM(AN$49:AN$70)+SUM(AP$49:AP$70)</f>
        <v>1028.4538534613273</v>
      </c>
      <c r="I112">
        <f>SUM(AR$49:AR$70)+SUM(AT$49:AT$70)+SUM(AV$49:AV$70)+SUM(AX$49:AX$70)</f>
        <v>774.22056357087445</v>
      </c>
      <c r="J112">
        <f>SUM(AZ$49:AZ$70)+SUM(BB$49:BB$70)+SUM(BD$49:BD$70)+SUM(BF$49:BF$70)</f>
        <v>1075.5303082464502</v>
      </c>
      <c r="K112">
        <f>SUM(BH$49:BH$70)+SUM(BJ$49:BJ$70)+SUM(BL$49:BL$70)+SUM(BN$49:BN$70)</f>
        <v>1001.9309605797173</v>
      </c>
      <c r="L112">
        <f>SUM(BP$49:BP$70)+SUM(BR$49:BR$70)+SUM(BT$49:BT$70)+SUM(BV$49:BV$70)</f>
        <v>903.46662179258453</v>
      </c>
      <c r="M112">
        <f>SUM(BX$49:BX$70)+SUM(BZ$49:BZ$70)+SUM(CB$49:CB$70)+SUM(CD$49:CD$70)</f>
        <v>952.02959322890501</v>
      </c>
      <c r="N112">
        <f>SUM(CF$49:CF$70)+SUM(CH$49:CH$70)+SUM(CJ$49:CJ$70)+SUM(CL$49:CL$70)</f>
        <v>907.68427098376333</v>
      </c>
      <c r="O112">
        <f>SUM(CN$49:CN$70)+SUM(CP$49:CP$70)+SUM(CR$49:CR$70)+SUM(CT$49:CT$70)</f>
        <v>966.40518055231996</v>
      </c>
    </row>
    <row r="113" spans="2:15" x14ac:dyDescent="0.2">
      <c r="C113" s="118" t="s">
        <v>130</v>
      </c>
      <c r="D113">
        <f>SUM(D$71:D$86)+SUM(F$71:F$86)+SUM(H$71:H$86)+SUM(J$71:J$86)</f>
        <v>952.41646741991451</v>
      </c>
      <c r="E113">
        <f>SUM(L$71:L$86)+SUM(N$71:N$86)+SUM(P$71:P$86)+SUM(R$71:R$86)</f>
        <v>1202.3963414284196</v>
      </c>
      <c r="F113">
        <f>SUM(T$71:T$86)+SUM(V$71:V$86)+SUM(X$71:X$86)+SUM(Z$71:Z$86)</f>
        <v>939.70238714390064</v>
      </c>
      <c r="G113">
        <f>SUM(AB$71:AB$86)+SUM(AD$71:AD$86)+SUM(AF$71:AF$86)+SUM(AH$71:AH$86)</f>
        <v>965.15140277594332</v>
      </c>
      <c r="H113">
        <f>SUM(AJ$71:AJ$86)+SUM(AL$71:AL$86)+SUM(AN$71:AN$86)+SUM(AP$71:AP$86)</f>
        <v>921.40667767177683</v>
      </c>
      <c r="I113">
        <f>SUM(AR$71:AR$86)+SUM(AT$71:AT$86)+SUM(AV$71:AV$86)+SUM(AX$71:AX$86)</f>
        <v>748.03075954404244</v>
      </c>
      <c r="J113">
        <f>SUM(AZ$71:AZ$86)+SUM(BB$71:BB$86)+SUM(BD$71:BD$86)+SUM(BF$71:BF$86)</f>
        <v>1035.8868611394455</v>
      </c>
      <c r="K113">
        <f>SUM(BH$71:BH$86)+SUM(BJ$71:BJ$86)+SUM(BL$71:BL$86)+SUM(BN$71:BN$86)</f>
        <v>1081.8655013954462</v>
      </c>
      <c r="L113">
        <f>SUM(BP$71:BP$86)+SUM(BR$71:BR$86)+SUM(BT$71:BT$86)+SUM(BV$71:BV$86)</f>
        <v>1246.6722849305593</v>
      </c>
      <c r="M113">
        <f>SUM(BX$71:BX$86)+SUM(BZ$71:BZ$86)+SUM(CB$71:CB$86)+SUM(CD$71:CD$86)</f>
        <v>1195.1376201936273</v>
      </c>
      <c r="N113">
        <f>SUM(CF$71:CF$86)+SUM(CH$71:CH$86)+SUM(CJ$71:CJ$86)+SUM(CL$71:CL$86)</f>
        <v>1169.9428347191515</v>
      </c>
      <c r="O113">
        <f>SUM(CN$71:CN$86)+SUM(CP$71:CP$86)+SUM(CR$71:CR$86)+SUM(CT$71:CT$86)</f>
        <v>1079.7561363433069</v>
      </c>
    </row>
    <row r="114" spans="2:15" x14ac:dyDescent="0.2">
      <c r="C114" s="118" t="s">
        <v>131</v>
      </c>
      <c r="D114">
        <f>SUM(D$87:D$94)+SUM(F$87:F$94)+SUM(H$87:H$94)+SUM(J$87:J$94)</f>
        <v>304.88359099642469</v>
      </c>
      <c r="E114">
        <f>SUM(L$87:L$94)+SUM(N$87:N$94)+SUM(P$87:P$94)+SUM(R$87:R$94)</f>
        <v>377.92728747250374</v>
      </c>
      <c r="F114">
        <f>SUM(T$87:T$94)+SUM(V$87:V$94)+SUM(X$87:X$94)+SUM(Z$87:Z$94)</f>
        <v>403.17341604101307</v>
      </c>
      <c r="G114">
        <f>SUM(AB$87:AB$94)+SUM(AD$87:AD$94)+SUM(AF$87:AF$94)+SUM(AH$87:AH$94)</f>
        <v>363.14843039497418</v>
      </c>
      <c r="H114">
        <f>SUM(AJ$87:AJ$94)+SUM(AL$87:AL$94)+SUM(AN$87:AN$94)+SUM(AP$87:AP$94)</f>
        <v>389.01824091174353</v>
      </c>
      <c r="I114">
        <f>SUM(AR$87:AR$94)+SUM(AT$87:AT$94)+SUM(AV$87:AV$94)+SUM(AX$87:AX$94)</f>
        <v>362.03816082667515</v>
      </c>
      <c r="J114">
        <f>SUM(AZ$87:AZ$94)+SUM(BB$87:BB$94)+SUM(BD$87:BD$94)+SUM(BF$87:BF$94)</f>
        <v>402.77068115412709</v>
      </c>
      <c r="K114">
        <f>SUM(BH$87:BH$94)+SUM(BJ$87:BJ$94)+SUM(BL$87:BL$94)+SUM(BN$87:BN$94)</f>
        <v>347.48335324200553</v>
      </c>
      <c r="L114">
        <f>SUM(BP$87:BP$94)+SUM(BR$87:BR$94)+SUM(BT$87:BT$94)+SUM(BV$87:BV$94)</f>
        <v>434.20951062317226</v>
      </c>
      <c r="M114">
        <f>SUM(BX$87:BX$94)+SUM(BZ$87:BZ$94)+SUM(CB$87:CB$94)+SUM(CD$87:CD$94)</f>
        <v>396.72830275540224</v>
      </c>
      <c r="N114">
        <f>SUM(CF$87:CF$94)+SUM(CH$87:CH$94)+SUM(CJ$87:CJ$94)+SUM(CL$87:CL$94)</f>
        <v>389.89482297517645</v>
      </c>
      <c r="O114">
        <f>SUM(CN$87:CN$94)+SUM(CP$87:CP$94)+SUM(CR$87:CR$94)+SUM(CT$87:CT$94)</f>
        <v>449.99343791239198</v>
      </c>
    </row>
    <row r="115" spans="2:15" x14ac:dyDescent="0.2">
      <c r="C115" s="118" t="s">
        <v>132</v>
      </c>
      <c r="D115">
        <f>SUM(D$95:D$105)+SUM(F$95:F$105)+SUM(H$95:H$105)+SUM(J$95:J$105)</f>
        <v>511.14218522895976</v>
      </c>
      <c r="E115">
        <f>SUM(L$95:L$105)+SUM(N$95:N$105)+SUM(P$95:P$105)+SUM(R$95:R$105)</f>
        <v>662.92694436178124</v>
      </c>
      <c r="F115">
        <f>SUM(T$95:T$105)+SUM(V$95:V$105)+SUM(X$95:X$105)+SUM(Z$95:Z$105)</f>
        <v>629.63139466113421</v>
      </c>
      <c r="G115">
        <f>SUM(AB$95:AB$105)+SUM(AD$95:AD$105)+SUM(AF$95:AF$105)+SUM(AH$95:AH$105)</f>
        <v>534.77120319289293</v>
      </c>
      <c r="H115">
        <f>SUM(AJ$95:AJ$105)+SUM(AL$95:AL$105)+SUM(AN$95:AN$105)+SUM(AP$95:AP$105)</f>
        <v>547.42291781598715</v>
      </c>
      <c r="I115">
        <f>SUM(AR$95:AR$105)+SUM(AT$95:AT$105)+SUM(AV$95:AV$105)+SUM(AX$95:AX$105)</f>
        <v>486.53973381963237</v>
      </c>
      <c r="J115">
        <f>SUM(AZ$95:AZ$105)+SUM(BB$95:BB$105)+SUM(BD$95:BD$105)+SUM(BF$95:BF$105)</f>
        <v>617.6325921471464</v>
      </c>
      <c r="K115">
        <f>SUM(BH$95:BH$105)+SUM(BJ$95:BJ$105)+SUM(BL$95:BL$105)+SUM(BN$95:BN$105)</f>
        <v>596.81846811306877</v>
      </c>
      <c r="L115">
        <f>SUM(BP$95:BP$105)+SUM(BR$95:BR$105)+SUM(BT$95:BT$105)+SUM(BV$95:BV$105)</f>
        <v>686.5998891669858</v>
      </c>
      <c r="M115">
        <f>SUM(BX$95:BX$105)+SUM(BZ$95:BZ$105)+SUM(CB$95:CB$105)+SUM(CD$95:CD$105)</f>
        <v>731.86028455884582</v>
      </c>
      <c r="N115">
        <f>SUM(CF$95:CF$105)+SUM(CH$95:CH$105)+SUM(CJ$95:CJ$105)+SUM(CL$95:CL$105)</f>
        <v>656.58276418390199</v>
      </c>
      <c r="O115">
        <f>SUM(CN$95:CN$105)+SUM(CP$95:CP$105)+SUM(CR$95:CR$105)+SUM(CT$95:CT$105)</f>
        <v>666.1550523953897</v>
      </c>
    </row>
    <row r="116" spans="2:15" x14ac:dyDescent="0.2">
      <c r="C116" s="118" t="s">
        <v>278</v>
      </c>
      <c r="D116">
        <f t="shared" ref="D116:O116" si="0">SUM(D$109:D$115)</f>
        <v>5451.1124194833628</v>
      </c>
      <c r="E116">
        <f t="shared" si="0"/>
        <v>6231.7658282313523</v>
      </c>
      <c r="F116">
        <f t="shared" si="0"/>
        <v>5643.8344776123013</v>
      </c>
      <c r="G116">
        <f t="shared" si="0"/>
        <v>5436.8984750577092</v>
      </c>
      <c r="H116">
        <f t="shared" si="0"/>
        <v>5645.3016898608348</v>
      </c>
      <c r="I116">
        <f t="shared" si="0"/>
        <v>5426.8292177612248</v>
      </c>
      <c r="J116">
        <f t="shared" si="0"/>
        <v>6297.8204426871698</v>
      </c>
      <c r="K116">
        <f t="shared" si="0"/>
        <v>5883.0982833302378</v>
      </c>
      <c r="L116">
        <f t="shared" si="0"/>
        <v>6119.9483065133027</v>
      </c>
      <c r="M116">
        <f t="shared" si="0"/>
        <v>6095.7558007367797</v>
      </c>
      <c r="N116">
        <f t="shared" si="0"/>
        <v>6096.1046928619944</v>
      </c>
      <c r="O116">
        <f t="shared" si="0"/>
        <v>6070.3098072034081</v>
      </c>
    </row>
    <row r="118" spans="2:15" x14ac:dyDescent="0.2">
      <c r="B118" s="120" t="s">
        <v>279</v>
      </c>
    </row>
    <row r="119" spans="2:15" x14ac:dyDescent="0.2">
      <c r="C119" s="118" t="s">
        <v>277</v>
      </c>
      <c r="D119" s="118" t="s">
        <v>92</v>
      </c>
      <c r="E119" s="118" t="s">
        <v>93</v>
      </c>
      <c r="F119" s="118" t="s">
        <v>94</v>
      </c>
      <c r="G119" s="118" t="s">
        <v>95</v>
      </c>
      <c r="H119" s="118" t="s">
        <v>96</v>
      </c>
      <c r="I119" s="118" t="s">
        <v>97</v>
      </c>
      <c r="J119" s="118" t="s">
        <v>98</v>
      </c>
      <c r="K119" s="118" t="s">
        <v>99</v>
      </c>
      <c r="L119" s="118" t="s">
        <v>100</v>
      </c>
      <c r="M119" s="118" t="s">
        <v>101</v>
      </c>
      <c r="N119" s="118" t="s">
        <v>102</v>
      </c>
      <c r="O119" s="118" t="s">
        <v>103</v>
      </c>
    </row>
    <row r="120" spans="2:15" x14ac:dyDescent="0.2">
      <c r="C120" s="118" t="s">
        <v>126</v>
      </c>
      <c r="D120">
        <f>D109*pricing!D33*2000</f>
        <v>3485178.0176696428</v>
      </c>
      <c r="E120">
        <f>E109*pricing!E33*2000</f>
        <v>3703507.0350178573</v>
      </c>
      <c r="F120">
        <f>F109*pricing!F33*2000</f>
        <v>3735852.0746249999</v>
      </c>
      <c r="G120">
        <f>G109*pricing!G33*2000</f>
        <v>3303237.1698794644</v>
      </c>
      <c r="H120">
        <f>H109*pricing!H33*2000</f>
        <v>4107820.0301071429</v>
      </c>
      <c r="I120">
        <f>I109*pricing!I33*2000</f>
        <v>4588952.4942633938</v>
      </c>
      <c r="J120">
        <f>J109*pricing!J33*2000</f>
        <v>4043129.9508928573</v>
      </c>
      <c r="K120">
        <f>K109*pricing!K33*2000</f>
        <v>3650946.3456562501</v>
      </c>
      <c r="L120">
        <f>L109*pricing!L33*2000</f>
        <v>4447442.9459821433</v>
      </c>
      <c r="M120">
        <f>M109*pricing!M33*2000</f>
        <v>3885447.8828080362</v>
      </c>
      <c r="N120">
        <f>N109*pricing!N33*2000</f>
        <v>4160380.7194687505</v>
      </c>
      <c r="O120">
        <f>O109*pricing!O33*2000</f>
        <v>3824800.9335446432</v>
      </c>
    </row>
    <row r="121" spans="2:15" x14ac:dyDescent="0.2">
      <c r="C121" s="118" t="s">
        <v>127</v>
      </c>
      <c r="D121">
        <f>D110*pricing!D34*2000</f>
        <v>2763035.2282500002</v>
      </c>
      <c r="E121">
        <f>E110*pricing!E34*2000</f>
        <v>4159976.4839999997</v>
      </c>
      <c r="F121">
        <f>F110*pricing!F34*2000</f>
        <v>3732521.2732500001</v>
      </c>
      <c r="G121">
        <f>G110*pricing!G34*2000</f>
        <v>3688453.7257500002</v>
      </c>
      <c r="H121">
        <f>H110*pricing!H34*2000</f>
        <v>3767775.3112499998</v>
      </c>
      <c r="I121">
        <f>I110*pricing!I34*2000</f>
        <v>3485743.0072500003</v>
      </c>
      <c r="J121">
        <f>J110*pricing!J34*2000</f>
        <v>4049807.6152500003</v>
      </c>
      <c r="K121">
        <f>K110*pricing!K34*2000</f>
        <v>3595911.8760000002</v>
      </c>
      <c r="L121">
        <f>L110*pricing!L34*2000</f>
        <v>3203710.7032500003</v>
      </c>
      <c r="M121">
        <f>M110*pricing!M34*2000</f>
        <v>3864723.9157500002</v>
      </c>
      <c r="N121">
        <f>N110*pricing!N34*2000</f>
        <v>3952859.0107499999</v>
      </c>
      <c r="O121">
        <f>O110*pricing!O34*2000</f>
        <v>4054214.37</v>
      </c>
    </row>
    <row r="122" spans="2:15" x14ac:dyDescent="0.2">
      <c r="C122" s="118" t="s">
        <v>128</v>
      </c>
      <c r="D122">
        <f>D111*pricing!D35*2000</f>
        <v>5091289.259979167</v>
      </c>
      <c r="E122">
        <f>E111*pricing!E35*2000</f>
        <v>4382323.0845260415</v>
      </c>
      <c r="F122">
        <f>F111*pricing!F35*2000</f>
        <v>4092103.0127031249</v>
      </c>
      <c r="G122">
        <f>G111*pricing!G35*2000</f>
        <v>4307695.0660572918</v>
      </c>
      <c r="H122">
        <f>H111*pricing!H35*2000</f>
        <v>3681648.9111249996</v>
      </c>
      <c r="I122">
        <f>I111*pricing!I35*2000</f>
        <v>4684981.1594270831</v>
      </c>
      <c r="J122">
        <f>J111*pricing!J35*2000</f>
        <v>5170063.2794739585</v>
      </c>
      <c r="K122">
        <f>K111*pricing!K35*2000</f>
        <v>4709857.165583333</v>
      </c>
      <c r="L122">
        <f>L111*pricing!L35*2000</f>
        <v>4237213.048614583</v>
      </c>
      <c r="M122">
        <f>M111*pricing!M35*2000</f>
        <v>4071373.0075729168</v>
      </c>
      <c r="N122">
        <f>N111*pricing!N35*2000</f>
        <v>4336717.0732395835</v>
      </c>
      <c r="O122">
        <f>O111*pricing!O35*2000</f>
        <v>4320133.0691354172</v>
      </c>
    </row>
    <row r="123" spans="2:15" x14ac:dyDescent="0.2">
      <c r="C123" s="118" t="s">
        <v>129</v>
      </c>
      <c r="D123">
        <f>D112*pricing!D36*2000</f>
        <v>4684904.242470216</v>
      </c>
      <c r="E123">
        <f>E112*pricing!E36*2000</f>
        <v>5198406.7536491649</v>
      </c>
      <c r="F123">
        <f>F112*pricing!F36*2000</f>
        <v>4430965.1005088417</v>
      </c>
      <c r="G123">
        <f>G112*pricing!G36*2000</f>
        <v>4273293.6230943669</v>
      </c>
      <c r="H123">
        <f>H112*pricing!H36*2000</f>
        <v>4989496.353746553</v>
      </c>
      <c r="I123">
        <f>I112*pricing!I36*2000</f>
        <v>3756095.2938543661</v>
      </c>
      <c r="J123">
        <f>J112*pricing!J36*2000</f>
        <v>5217885.5991241215</v>
      </c>
      <c r="K123">
        <f>K112*pricing!K36*2000</f>
        <v>4860821.7643342819</v>
      </c>
      <c r="L123">
        <f>L112*pricing!L36*2000</f>
        <v>4383126.5739287967</v>
      </c>
      <c r="M123">
        <f>M112*pricing!M36*2000</f>
        <v>4618727.586160047</v>
      </c>
      <c r="N123">
        <f>N112*pricing!N36*2000</f>
        <v>4403588.3041172186</v>
      </c>
      <c r="O123">
        <f>O112*pricing!O36*2000</f>
        <v>4688470.0838829568</v>
      </c>
    </row>
    <row r="124" spans="2:15" x14ac:dyDescent="0.2">
      <c r="C124" s="118" t="s">
        <v>130</v>
      </c>
      <c r="D124">
        <f>D113*pricing!D37*2000</f>
        <v>3785238.1581897056</v>
      </c>
      <c r="E124">
        <f>E113*pricing!E37*2000</f>
        <v>4778746.1352617359</v>
      </c>
      <c r="F124">
        <f>F113*pricing!F37*2000</f>
        <v>3734707.9296044866</v>
      </c>
      <c r="G124">
        <f>G113*pricing!G37*2000</f>
        <v>3835851.2722009593</v>
      </c>
      <c r="H124">
        <f>H113*pricing!H37*2000</f>
        <v>3661994.3426453671</v>
      </c>
      <c r="I124">
        <f>I113*pricing!I37*2000</f>
        <v>2972937.4400635581</v>
      </c>
      <c r="J124">
        <f>J113*pricing!J37*2000</f>
        <v>4116978.872671687</v>
      </c>
      <c r="K124">
        <f>K113*pricing!K37*2000</f>
        <v>4299714.1670646574</v>
      </c>
      <c r="L124">
        <f>L113*pricing!L37*2000</f>
        <v>4954714.3136450471</v>
      </c>
      <c r="M124">
        <f>M113*pricing!M37*2000</f>
        <v>4749897.423025554</v>
      </c>
      <c r="N124">
        <f>N113*pricing!N37*2000</f>
        <v>4649764.4805285176</v>
      </c>
      <c r="O124">
        <f>O113*pricing!O37*2000</f>
        <v>4291330.8081475869</v>
      </c>
    </row>
    <row r="125" spans="2:15" x14ac:dyDescent="0.2">
      <c r="C125" s="118" t="s">
        <v>131</v>
      </c>
      <c r="D125">
        <f>D114*pricing!D38*2000</f>
        <v>1333645.3917225113</v>
      </c>
      <c r="E125">
        <f>E114*pricing!E38*2000</f>
        <v>1653158.7800335372</v>
      </c>
      <c r="F125">
        <f>F114*pricing!F38*2000</f>
        <v>1763592.3488398732</v>
      </c>
      <c r="G125">
        <f>G114*pricing!G38*2000</f>
        <v>1588511.9600064009</v>
      </c>
      <c r="H125">
        <f>H114*pricing!H38*2000</f>
        <v>1701673.6866433341</v>
      </c>
      <c r="I125">
        <f>I114*pricing!I38*2000</f>
        <v>1583655.3329623134</v>
      </c>
      <c r="J125">
        <f>J114*pricing!J38*2000</f>
        <v>1761830.6747391911</v>
      </c>
      <c r="K125">
        <f>K114*pricing!K38*2000</f>
        <v>1519988.5675609242</v>
      </c>
      <c r="L125">
        <f>L114*pricing!L38*2000</f>
        <v>1899352.8349365029</v>
      </c>
      <c r="M125">
        <f>M114*pricing!M38*2000</f>
        <v>1735399.6356656665</v>
      </c>
      <c r="N125">
        <f>N114*pricing!N38*2000</f>
        <v>1705508.0997238914</v>
      </c>
      <c r="O125">
        <f>O114*pricing!O38*2000</f>
        <v>1968396.1108430699</v>
      </c>
    </row>
    <row r="126" spans="2:15" x14ac:dyDescent="0.2">
      <c r="C126" s="118" t="s">
        <v>132</v>
      </c>
      <c r="D126">
        <f>D115*pricing!D39*2000</f>
        <v>2284278.0619206214</v>
      </c>
      <c r="E126">
        <f>E115*pricing!E39*2000</f>
        <v>2962599.2911999095</v>
      </c>
      <c r="F126">
        <f>F115*pricing!F39*2000</f>
        <v>2813802.5455219783</v>
      </c>
      <c r="G126">
        <f>G115*pricing!G39*2000</f>
        <v>2389875.3867345829</v>
      </c>
      <c r="H126">
        <f>H115*pricing!H39*2000</f>
        <v>2446415.4943491975</v>
      </c>
      <c r="I126">
        <f>I115*pricing!I39*2000</f>
        <v>2174330.4942029985</v>
      </c>
      <c r="J126">
        <f>J115*pricing!J39*2000</f>
        <v>2760180.2812204259</v>
      </c>
      <c r="K126">
        <f>K115*pricing!K39*2000</f>
        <v>2667162.6272620838</v>
      </c>
      <c r="L126">
        <f>L115*pricing!L39*2000</f>
        <v>3068392.9236612259</v>
      </c>
      <c r="M126">
        <f>M115*pricing!M39*2000</f>
        <v>3270660.181686834</v>
      </c>
      <c r="N126">
        <f>N115*pricing!N39*2000</f>
        <v>2934247.3530895584</v>
      </c>
      <c r="O126">
        <f>O115*pricing!O39*2000</f>
        <v>2977025.6026564343</v>
      </c>
    </row>
    <row r="127" spans="2:15" x14ac:dyDescent="0.2">
      <c r="C127" s="118" t="s">
        <v>278</v>
      </c>
      <c r="D127">
        <f>SUM(D$120:D$126)</f>
        <v>23427568.360201865</v>
      </c>
      <c r="E127">
        <f t="shared" ref="E127:O127" si="1">SUM(E$120:E$126)</f>
        <v>26838717.563688248</v>
      </c>
      <c r="F127">
        <f t="shared" si="1"/>
        <v>24303544.285053302</v>
      </c>
      <c r="G127">
        <f t="shared" si="1"/>
        <v>23386918.203723066</v>
      </c>
      <c r="H127">
        <f t="shared" si="1"/>
        <v>24356824.129866593</v>
      </c>
      <c r="I127">
        <f t="shared" si="1"/>
        <v>23246695.222023711</v>
      </c>
      <c r="J127">
        <f t="shared" si="1"/>
        <v>27119876.273372237</v>
      </c>
      <c r="K127">
        <f t="shared" si="1"/>
        <v>25304402.513461538</v>
      </c>
      <c r="L127">
        <f t="shared" si="1"/>
        <v>26193953.344018295</v>
      </c>
      <c r="M127">
        <f t="shared" si="1"/>
        <v>26196229.632669054</v>
      </c>
      <c r="N127">
        <f t="shared" si="1"/>
        <v>26143065.040917519</v>
      </c>
      <c r="O127">
        <f t="shared" si="1"/>
        <v>26124370.97821011</v>
      </c>
    </row>
    <row r="129" spans="2:15" x14ac:dyDescent="0.2">
      <c r="B129" s="120" t="s">
        <v>280</v>
      </c>
    </row>
    <row r="130" spans="2:15" x14ac:dyDescent="0.2">
      <c r="C130" s="122" t="s">
        <v>277</v>
      </c>
      <c r="D130" s="122" t="s">
        <v>92</v>
      </c>
      <c r="E130" s="122" t="s">
        <v>93</v>
      </c>
      <c r="F130" s="122" t="s">
        <v>94</v>
      </c>
      <c r="G130" s="122" t="s">
        <v>95</v>
      </c>
      <c r="H130" s="122" t="s">
        <v>96</v>
      </c>
      <c r="I130" s="122" t="s">
        <v>97</v>
      </c>
      <c r="J130" s="122" t="s">
        <v>98</v>
      </c>
      <c r="K130" s="122" t="s">
        <v>99</v>
      </c>
      <c r="L130" s="122" t="s">
        <v>100</v>
      </c>
      <c r="M130" s="122" t="s">
        <v>101</v>
      </c>
      <c r="N130" s="122" t="s">
        <v>102</v>
      </c>
      <c r="O130" s="122" t="s">
        <v>103</v>
      </c>
    </row>
    <row r="131" spans="2:15" x14ac:dyDescent="0.2">
      <c r="C131" s="122" t="s">
        <v>126</v>
      </c>
      <c r="D131" s="123">
        <f>SUM(E$6:E$19)+SUM(G$6:G$19)+SUM(I$6:I$19)+SUM(K$6:K$19)</f>
        <v>432056.39999999991</v>
      </c>
      <c r="E131" s="123">
        <f>SUM(M$6:M$19)+SUM(O$6:O$19)+SUM(Q$6:Q$19)+SUM(S$6:S$19)</f>
        <v>461024.39999999997</v>
      </c>
      <c r="F131" s="123">
        <f>SUM(U$6:U$19)+SUM(W$6:W$19)+SUM(Y$6:Y$19)+SUM(AA$6:AA$19)</f>
        <v>465488.4</v>
      </c>
      <c r="G131" s="123">
        <f>SUM(AC$6:AC$19)+SUM(AE$6:AE$19)+SUM(AG$6:AG$19)+SUM(AI$6:AI$19)</f>
        <v>410185.19999999995</v>
      </c>
      <c r="H131" s="123">
        <f>SUM(AK$6:AK$19)+SUM(AM$6:AM$19)+SUM(AO$6:AO$19)+SUM(AQ$6:AQ$19)</f>
        <v>513625.19999999995</v>
      </c>
      <c r="I131" s="123">
        <f>SUM(AS$6:AS$19)+SUM(AU$6:AU$19)+SUM(AW$6:AW$19)+SUM(AY$6:AY$19)</f>
        <v>570730.80000000005</v>
      </c>
      <c r="J131" s="123">
        <f>SUM(BA$6:BA$19)+SUM(BC$6:BC$19)+SUM(BE$6:BE$19)+SUM(BG$6:BG$19)</f>
        <v>505866</v>
      </c>
      <c r="K131" s="123">
        <f>SUM(BI$6:BI$19)+SUM(BK$6:BK$19)+SUM(BM$6:BM$19)+SUM(BO$6:BO$19)</f>
        <v>454948.8</v>
      </c>
      <c r="L131" s="123">
        <f>SUM(BQ$6:BQ$19)+SUM(BS$6:BS$19)+SUM(BU$6:BU$19)+SUM(BW$6:BW$19)</f>
        <v>552314.4</v>
      </c>
      <c r="M131" s="123">
        <f>SUM(BY$6:BY$19)+SUM(CA$6:CA$19)+SUM(CC$6:CC$19)+SUM(CE$6:CE$19)</f>
        <v>483451.19999999995</v>
      </c>
      <c r="N131" s="123">
        <f>SUM(CG$6:CG$19)+SUM(CI$6:CI$19)+SUM(CK$6:CK$19)+SUM(CM$6:CM$19)</f>
        <v>517623.59999999992</v>
      </c>
      <c r="O131" s="123">
        <f>SUM(CO$6:CO$19)+SUM(CQ$6:CQ$19)+SUM(CS$6:CS$19)+SUM(CU$6:CU$19)</f>
        <v>477581.99999999994</v>
      </c>
    </row>
    <row r="132" spans="2:15" x14ac:dyDescent="0.2">
      <c r="C132" s="122" t="s">
        <v>127</v>
      </c>
      <c r="D132" s="123">
        <f>SUM(E$20:E$36)+SUM(G$20:G$36)+SUM(I$20:I$36)+SUM(K$20:K$36)</f>
        <v>267860.40000000002</v>
      </c>
      <c r="E132" s="123">
        <f>SUM(M$20:M$36)+SUM(O$20:O$36)+SUM(Q$20:Q$36)+SUM(S$20:S$36)</f>
        <v>401377.19999999995</v>
      </c>
      <c r="F132" s="123">
        <f>SUM(U$20:U$36)+SUM(W$20:W$36)+SUM(Y$20:Y$36)+SUM(AA$20:AA$36)</f>
        <v>358750.8</v>
      </c>
      <c r="G132" s="123">
        <f>SUM(AC$20:AC$36)+SUM(AE$20:AE$36)+SUM(AG$20:AG$36)+SUM(AI$20:AI$36)</f>
        <v>356032.79999999993</v>
      </c>
      <c r="H132" s="123">
        <f>SUM(AK$20:AK$36)+SUM(AM$20:AM$36)+SUM(AO$20:AO$36)+SUM(AQ$20:AQ$36)</f>
        <v>364130.39999999997</v>
      </c>
      <c r="I132" s="123">
        <f>SUM(AS$20:AS$36)+SUM(AU$20:AU$36)+SUM(AW$20:AW$36)+SUM(AY$20:AY$36)</f>
        <v>336051.6</v>
      </c>
      <c r="J132" s="123">
        <f>SUM(BA$20:BA$36)+SUM(BC$20:BC$36)+SUM(BE$20:BE$36)+SUM(BG$20:BG$36)</f>
        <v>394246.80000000005</v>
      </c>
      <c r="K132" s="123">
        <f>SUM(BI$20:BI$36)+SUM(BK$20:BK$36)+SUM(BM$20:BM$36)+SUM(BO$20:BO$36)</f>
        <v>347037.6</v>
      </c>
      <c r="L132" s="123">
        <f>SUM(BQ$20:BQ$36)+SUM(BS$20:BS$36)+SUM(BU$20:BU$36)+SUM(BW$20:BW$36)</f>
        <v>307965.59999999998</v>
      </c>
      <c r="M132" s="123">
        <f>SUM(BY$20:BY$36)+SUM(CA$20:CA$36)+SUM(CC$20:CC$36)+SUM(CE$20:CE$36)</f>
        <v>373818</v>
      </c>
      <c r="N132" s="123">
        <f>SUM(CG$20:CG$36)+SUM(CI$20:CI$36)+SUM(CK$20:CK$36)+SUM(CM$20:CM$36)</f>
        <v>383178</v>
      </c>
      <c r="O132" s="123">
        <f>SUM(CO$20:CO$36)+SUM(CQ$20:CQ$36)+SUM(CS$20:CS$36)+SUM(CU$20:CU$36)</f>
        <v>391485.6</v>
      </c>
    </row>
    <row r="133" spans="2:15" x14ac:dyDescent="0.2">
      <c r="C133" s="122" t="s">
        <v>128</v>
      </c>
      <c r="D133" s="123">
        <f>SUM(E$37:E$48)+SUM(G$37:G$48)+SUM(I$37:I$48)+SUM(K$37:K$48)</f>
        <v>1284502.8</v>
      </c>
      <c r="E133" s="123">
        <f>SUM(M$37:M$48)+SUM(O$37:O$48)+SUM(Q$37:Q$48)+SUM(S$37:S$48)</f>
        <v>1109107.2000000002</v>
      </c>
      <c r="F133" s="123">
        <f>SUM(U$37:U$48)+SUM(W$37:W$48)+SUM(Y$37:Y$48)+SUM(AA$37:AA$48)</f>
        <v>1030648.8</v>
      </c>
      <c r="G133" s="123">
        <f>SUM(AC$37:AC$48)+SUM(AE$37:AE$48)+SUM(AG$37:AG$48)+SUM(AI$37:AI$48)</f>
        <v>1088478</v>
      </c>
      <c r="H133" s="123">
        <f>SUM(AK$37:AK$48)+SUM(AM$37:AM$48)+SUM(AO$37:AO$48)+SUM(AQ$37:AQ$48)</f>
        <v>928906.8</v>
      </c>
      <c r="I133" s="123">
        <f>SUM(AS$37:AS$48)+SUM(AU$37:AU$48)+SUM(AW$37:AW$48)+SUM(AY$37:AY$48)</f>
        <v>1181283.6000000001</v>
      </c>
      <c r="J133" s="123">
        <f>SUM(BA$37:BA$48)+SUM(BC$37:BC$48)+SUM(BE$37:BE$48)+SUM(BG$37:BG$48)</f>
        <v>1308117.5999999999</v>
      </c>
      <c r="K133" s="123">
        <f>SUM(BI$37:BI$48)+SUM(BK$37:BK$48)+SUM(BM$37:BM$48)+SUM(BO$37:BO$48)</f>
        <v>1186864.7999999998</v>
      </c>
      <c r="L133" s="123">
        <f>SUM(BQ$37:BQ$48)+SUM(BS$37:BS$48)+SUM(BU$37:BU$48)+SUM(BW$37:BW$48)</f>
        <v>1069470</v>
      </c>
      <c r="M133" s="123">
        <f>SUM(BY$37:BY$48)+SUM(CA$37:CA$48)+SUM(CC$37:CC$48)+SUM(CE$37:CE$48)</f>
        <v>1029926.3999999999</v>
      </c>
      <c r="N133" s="123">
        <f>SUM(CG$37:CG$48)+SUM(CI$37:CI$48)+SUM(CK$37:CK$48)+SUM(CM$37:CM$48)</f>
        <v>1095602.3999999999</v>
      </c>
      <c r="O133" s="123">
        <f>SUM(CO$37:CO$48)+SUM(CQ$37:CQ$48)+SUM(CS$37:CS$48)+SUM(CU$37:CU$48)</f>
        <v>1088006.3999999999</v>
      </c>
    </row>
    <row r="134" spans="2:15" x14ac:dyDescent="0.2">
      <c r="C134" s="122" t="s">
        <v>129</v>
      </c>
      <c r="D134" s="123">
        <f>SUM(E$49:E$70)+SUM(G$49:G$70)+SUM(I$49:I$70)+SUM(K$49:K$70)</f>
        <v>814920.54891996004</v>
      </c>
      <c r="E134" s="123">
        <f>SUM(M$49:M$70)+SUM(O$49:O$70)+SUM(Q$49:Q$70)+SUM(S$49:S$70)</f>
        <v>907943.84758737381</v>
      </c>
      <c r="F134" s="123">
        <f>SUM(U$49:U$70)+SUM(W$49:W$70)+SUM(Y$49:Y$70)+SUM(AA$49:AA$70)</f>
        <v>769383.04777384945</v>
      </c>
      <c r="G134" s="123">
        <f>SUM(AC$49:AC$70)+SUM(AE$49:AE$70)+SUM(AG$49:AG$70)+SUM(AI$49:AI$70)</f>
        <v>746173.12938418146</v>
      </c>
      <c r="H134" s="123">
        <f>SUM(AK$49:AK$70)+SUM(AM$49:AM$70)+SUM(AO$49:AO$70)+SUM(AQ$49:AQ$70)</f>
        <v>873235.62649369647</v>
      </c>
      <c r="I134" s="123">
        <f>SUM(AS$49:AS$70)+SUM(AU$49:AU$70)+SUM(AW$49:AW$70)+SUM(AY$49:AY$70)</f>
        <v>657535.25781658839</v>
      </c>
      <c r="J134" s="123">
        <f>SUM(BA$49:BA$70)+SUM(BC$49:BC$70)+SUM(BE$49:BE$70)+SUM(BG$49:BG$70)</f>
        <v>906531.05594606779</v>
      </c>
      <c r="K134" s="123">
        <f>SUM(BI$49:BI$70)+SUM(BK$49:BK$70)+SUM(BM$49:BM$70)+SUM(BO$49:BO$70)</f>
        <v>841759.37048749463</v>
      </c>
      <c r="L134" s="123">
        <f>SUM(BQ$49:BQ$70)+SUM(BS$49:BS$70)+SUM(BU$49:BU$70)+SUM(BW$49:BW$70)</f>
        <v>763241.41406442714</v>
      </c>
      <c r="M134" s="123">
        <f>SUM(BY$49:BY$70)+SUM(CA$49:CA$70)+SUM(CC$49:CC$70)+SUM(CE$49:CE$70)</f>
        <v>806931.7708279877</v>
      </c>
      <c r="N134" s="123">
        <f>SUM(CG$49:CG$70)+SUM(CI$49:CI$70)+SUM(CK$49:CK$70)+SUM(CM$49:CM$70)</f>
        <v>772097.44523630315</v>
      </c>
      <c r="O134" s="123">
        <f>SUM(CO$49:CO$70)+SUM(CQ$49:CQ$70)+SUM(CS$49:CS$70)+SUM(CU$49:CU$70)</f>
        <v>817747.55834431702</v>
      </c>
    </row>
    <row r="135" spans="2:15" x14ac:dyDescent="0.2">
      <c r="C135" s="122" t="s">
        <v>130</v>
      </c>
      <c r="D135" s="123">
        <f>SUM(E$71:E$86)+SUM(G$71:G$86)+SUM(I$71:I$86)+SUM(K$71:K$86)</f>
        <v>531283.18339216325</v>
      </c>
      <c r="E135" s="123">
        <f>SUM(M$71:M$86)+SUM(O$71:O$86)+SUM(Q$71:Q$86)+SUM(S$71:S$86)</f>
        <v>670176.69433372305</v>
      </c>
      <c r="F135" s="123">
        <f>SUM(U$71:U$86)+SUM(W$71:W$86)+SUM(Y$71:Y$86)+SUM(AA$71:AA$86)</f>
        <v>521840.48895602627</v>
      </c>
      <c r="G135" s="123">
        <f>SUM(AC$71:AC$86)+SUM(AE$71:AE$86)+SUM(AG$71:AG$86)+SUM(AI$71:AI$86)</f>
        <v>535309.64976317738</v>
      </c>
      <c r="H135" s="123">
        <f>SUM(AK$71:AK$86)+SUM(AM$71:AM$86)+SUM(AO$71:AO$86)+SUM(AQ$71:AQ$86)</f>
        <v>509326.17112998164</v>
      </c>
      <c r="I135" s="123">
        <f>SUM(AS$71:AS$86)+SUM(AU$71:AU$86)+SUM(AW$71:AW$86)+SUM(AY$71:AY$86)</f>
        <v>418773.63102194812</v>
      </c>
      <c r="J135" s="123">
        <f>SUM(BA$71:BA$86)+SUM(BC$71:BC$86)+SUM(BE$71:BE$86)+SUM(BG$71:BG$86)</f>
        <v>575524.67533548514</v>
      </c>
      <c r="K135" s="123">
        <f>SUM(BI$71:BI$86)+SUM(BK$71:BK$86)+SUM(BM$71:BM$86)+SUM(BO$71:BO$86)</f>
        <v>602659.15157725534</v>
      </c>
      <c r="L135" s="123">
        <f>SUM(BQ$71:BQ$86)+SUM(BS$71:BS$86)+SUM(BU$71:BU$86)+SUM(BW$71:BW$86)</f>
        <v>694543.63275526627</v>
      </c>
      <c r="M135" s="123">
        <f>SUM(BY$71:BY$86)+SUM(CA$71:CA$86)+SUM(CC$71:CC$86)+SUM(CE$71:CE$86)</f>
        <v>666503.1077129679</v>
      </c>
      <c r="N135" s="123">
        <f>SUM(CG$71:CG$86)+SUM(CI$71:CI$86)+SUM(CK$71:CK$86)+SUM(CM$71:CM$86)</f>
        <v>649928.37976418831</v>
      </c>
      <c r="O135" s="123">
        <f>SUM(CO$71:CO$86)+SUM(CQ$71:CQ$86)+SUM(CS$71:CS$86)+SUM(CU$71:CU$86)</f>
        <v>601769.81501224753</v>
      </c>
    </row>
    <row r="136" spans="2:15" x14ac:dyDescent="0.2">
      <c r="C136" s="122" t="s">
        <v>131</v>
      </c>
      <c r="D136" s="123">
        <f>SUM(E$87:E$94)+SUM(G$87:G$94)+SUM(I$87:I$94)+SUM(K$87:K$94)</f>
        <v>619062.80028350546</v>
      </c>
      <c r="E136" s="123">
        <f>SUM(M$87:M$94)+SUM(O$87:O$94)+SUM(Q$87:Q$94)+SUM(S$87:S$94)</f>
        <v>766980.42500313977</v>
      </c>
      <c r="F136" s="123">
        <f>SUM(U$87:U$94)+SUM(W$87:W$94)+SUM(Y$87:Y$94)+SUM(AA$87:AA$94)</f>
        <v>818771.30337934941</v>
      </c>
      <c r="G136" s="123">
        <f>SUM(AC$87:AC$94)+SUM(AE$87:AE$94)+SUM(AG$87:AG$94)+SUM(AI$87:AI$94)</f>
        <v>736557.25391544146</v>
      </c>
      <c r="H136" s="123">
        <f>SUM(AK$87:AK$94)+SUM(AM$87:AM$94)+SUM(AO$87:AO$94)+SUM(AQ$87:AQ$94)</f>
        <v>787149.00032826746</v>
      </c>
      <c r="I136" s="123">
        <f>SUM(AS$87:AS$94)+SUM(AU$87:AU$94)+SUM(AW$87:AW$94)+SUM(AY$87:AY$94)</f>
        <v>731941.60057681531</v>
      </c>
      <c r="J136" s="123">
        <f>SUM(BA$87:BA$94)+SUM(BC$87:BC$94)+SUM(BE$87:BE$94)+SUM(BG$87:BG$94)</f>
        <v>813780.86028122716</v>
      </c>
      <c r="K136" s="123">
        <f>SUM(BI$87:BI$94)+SUM(BK$87:BK$94)+SUM(BM$87:BM$94)+SUM(BO$87:BO$94)</f>
        <v>705955.98032765614</v>
      </c>
      <c r="L136" s="123">
        <f>SUM(BQ$87:BQ$94)+SUM(BS$87:BS$94)+SUM(BU$87:BU$94)+SUM(BW$87:BW$94)</f>
        <v>880758.0654239757</v>
      </c>
      <c r="M136" s="123">
        <f>SUM(BY$87:BY$94)+SUM(CA$87:CA$94)+SUM(CC$87:CC$94)+SUM(CE$87:CE$94)</f>
        <v>806057.71377789241</v>
      </c>
      <c r="N136" s="123">
        <f>SUM(CG$87:CG$94)+SUM(CI$87:CI$94)+SUM(CK$87:CK$94)+SUM(CM$87:CM$94)</f>
        <v>791295.57920941338</v>
      </c>
      <c r="O136" s="123">
        <f>SUM(CO$87:CO$94)+SUM(CQ$87:CQ$94)+SUM(CS$87:CS$94)+SUM(CU$87:CU$94)</f>
        <v>913112.14495613554</v>
      </c>
    </row>
    <row r="137" spans="2:15" x14ac:dyDescent="0.2">
      <c r="C137" s="122" t="s">
        <v>132</v>
      </c>
      <c r="D137" s="123">
        <f>SUM(E$95:E$105)+SUM(G$95:G$105)+SUM(I$95:I$105)+SUM(K$95:K$105)</f>
        <v>966835.52248601231</v>
      </c>
      <c r="E137" s="123">
        <f>SUM(M$95:M$105)+SUM(O$95:O$105)+SUM(Q$95:Q$105)+SUM(S$95:S$105)</f>
        <v>1250383.0787966838</v>
      </c>
      <c r="F137" s="123">
        <f>SUM(U$95:U$105)+SUM(W$95:W$105)+SUM(Y$95:Y$105)+SUM(AA$95:AA$105)</f>
        <v>1180889.2512000499</v>
      </c>
      <c r="G137" s="123">
        <f>SUM(AC$95:AC$105)+SUM(AE$95:AE$105)+SUM(AG$95:AG$105)+SUM(AI$95:AI$105)</f>
        <v>1004396.9849348138</v>
      </c>
      <c r="H137" s="123">
        <f>SUM(AK$95:AK$105)+SUM(AM$95:AM$105)+SUM(AO$95:AO$105)+SUM(AQ$95:AQ$105)</f>
        <v>1036424.5435293637</v>
      </c>
      <c r="I137" s="123">
        <f>SUM(AS$95:AS$105)+SUM(AU$95:AU$105)+SUM(AW$95:AW$105)+SUM(AY$95:AY$105)</f>
        <v>917561.32911248319</v>
      </c>
      <c r="J137" s="123">
        <f>SUM(BA$95:BA$105)+SUM(BC$95:BC$105)+SUM(BE$95:BE$105)+SUM(BG$95:BG$105)</f>
        <v>1165295.1107869446</v>
      </c>
      <c r="K137" s="123">
        <f>SUM(BI$95:BI$105)+SUM(BK$95:BK$105)+SUM(BM$95:BM$105)+SUM(BO$95:BO$105)</f>
        <v>1132319.6347622741</v>
      </c>
      <c r="L137" s="123">
        <f>SUM(BQ$95:BQ$105)+SUM(BS$95:BS$105)+SUM(BU$95:BU$105)+SUM(BW$95:BW$105)</f>
        <v>1300405.6793731141</v>
      </c>
      <c r="M137" s="123">
        <f>SUM(BY$95:BY$105)+SUM(CA$95:CA$105)+SUM(CC$95:CC$105)+SUM(CE$95:CE$105)</f>
        <v>1371610.9037447488</v>
      </c>
      <c r="N137" s="123">
        <f>SUM(CG$95:CG$105)+SUM(CI$95:CI$105)+SUM(CK$95:CK$105)+SUM(CM$95:CM$105)</f>
        <v>1246239.8944724975</v>
      </c>
      <c r="O137" s="123">
        <f>SUM(CO$95:CO$105)+SUM(CQ$95:CQ$105)+SUM(CS$95:CS$105)+SUM(CU$95:CU$105)</f>
        <v>1257412.6150532803</v>
      </c>
    </row>
    <row r="138" spans="2:15" x14ac:dyDescent="0.2">
      <c r="C138" s="122" t="s">
        <v>278</v>
      </c>
      <c r="D138">
        <f t="shared" ref="D138:O138" si="2">SUM(D$131:D$137)</f>
        <v>4916521.6550816409</v>
      </c>
      <c r="E138">
        <f t="shared" si="2"/>
        <v>5566992.8457209198</v>
      </c>
      <c r="F138">
        <f t="shared" si="2"/>
        <v>5145772.0913092745</v>
      </c>
      <c r="G138">
        <f t="shared" si="2"/>
        <v>4877133.0179976132</v>
      </c>
      <c r="H138">
        <f t="shared" si="2"/>
        <v>5012797.7414813088</v>
      </c>
      <c r="I138">
        <f t="shared" si="2"/>
        <v>4813877.8185278345</v>
      </c>
      <c r="J138">
        <f t="shared" si="2"/>
        <v>5669362.1023497246</v>
      </c>
      <c r="K138">
        <f t="shared" si="2"/>
        <v>5271545.3371546799</v>
      </c>
      <c r="L138">
        <f t="shared" si="2"/>
        <v>5568698.7916167835</v>
      </c>
      <c r="M138">
        <f t="shared" si="2"/>
        <v>5538299.0960635971</v>
      </c>
      <c r="N138">
        <f t="shared" si="2"/>
        <v>5455965.2986824019</v>
      </c>
      <c r="O138">
        <f t="shared" si="2"/>
        <v>5547116.1333659794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3" max="3" width="14.5703125" bestFit="1" customWidth="1"/>
    <col min="4" max="4" width="16.85546875" bestFit="1" customWidth="1"/>
    <col min="5" max="5" width="22.85546875" bestFit="1" customWidth="1"/>
  </cols>
  <sheetData>
    <row r="1" spans="1:5" x14ac:dyDescent="0.2">
      <c r="A1" s="118" t="s">
        <v>167</v>
      </c>
      <c r="B1" s="118" t="s">
        <v>168</v>
      </c>
      <c r="C1" s="118" t="s">
        <v>169</v>
      </c>
      <c r="D1" s="118" t="s">
        <v>170</v>
      </c>
      <c r="E1" s="118" t="s">
        <v>171</v>
      </c>
    </row>
    <row r="2" spans="1:5" x14ac:dyDescent="0.2">
      <c r="A2" s="118" t="s">
        <v>126</v>
      </c>
      <c r="B2" s="118" t="s">
        <v>172</v>
      </c>
      <c r="C2" t="s">
        <v>59</v>
      </c>
      <c r="D2">
        <v>482</v>
      </c>
      <c r="E2">
        <v>578.4</v>
      </c>
    </row>
    <row r="3" spans="1:5" x14ac:dyDescent="0.2">
      <c r="B3" s="118" t="s">
        <v>173</v>
      </c>
      <c r="C3" t="s">
        <v>59</v>
      </c>
      <c r="D3">
        <v>657</v>
      </c>
      <c r="E3">
        <v>788.4</v>
      </c>
    </row>
    <row r="4" spans="1:5" x14ac:dyDescent="0.2">
      <c r="B4" s="118" t="s">
        <v>174</v>
      </c>
      <c r="C4" t="s">
        <v>59</v>
      </c>
      <c r="D4">
        <v>258</v>
      </c>
      <c r="E4">
        <v>309.59999999999997</v>
      </c>
    </row>
    <row r="5" spans="1:5" x14ac:dyDescent="0.2">
      <c r="B5" s="118" t="s">
        <v>175</v>
      </c>
      <c r="C5" t="s">
        <v>59</v>
      </c>
      <c r="D5">
        <v>585</v>
      </c>
      <c r="E5">
        <v>702</v>
      </c>
    </row>
    <row r="6" spans="1:5" x14ac:dyDescent="0.2">
      <c r="B6" s="118" t="s">
        <v>176</v>
      </c>
      <c r="C6" t="s">
        <v>59</v>
      </c>
      <c r="D6">
        <v>454</v>
      </c>
      <c r="E6">
        <v>544.79999999999995</v>
      </c>
    </row>
    <row r="7" spans="1:5" x14ac:dyDescent="0.2">
      <c r="B7" s="118" t="s">
        <v>177</v>
      </c>
      <c r="C7" t="s">
        <v>59</v>
      </c>
      <c r="D7">
        <v>444</v>
      </c>
      <c r="E7">
        <v>532.79999999999995</v>
      </c>
    </row>
    <row r="8" spans="1:5" x14ac:dyDescent="0.2">
      <c r="B8" s="118" t="s">
        <v>178</v>
      </c>
      <c r="C8" t="s">
        <v>59</v>
      </c>
      <c r="D8">
        <v>469</v>
      </c>
      <c r="E8">
        <v>562.79999999999995</v>
      </c>
    </row>
    <row r="9" spans="1:5" x14ac:dyDescent="0.2">
      <c r="B9" s="118" t="s">
        <v>179</v>
      </c>
      <c r="C9" t="s">
        <v>59</v>
      </c>
      <c r="D9">
        <v>71</v>
      </c>
      <c r="E9">
        <v>85.2</v>
      </c>
    </row>
    <row r="10" spans="1:5" x14ac:dyDescent="0.2">
      <c r="B10" s="118" t="s">
        <v>180</v>
      </c>
      <c r="C10" t="s">
        <v>59</v>
      </c>
      <c r="D10">
        <v>407</v>
      </c>
      <c r="E10">
        <v>488.4</v>
      </c>
    </row>
    <row r="11" spans="1:5" x14ac:dyDescent="0.2">
      <c r="B11" s="118" t="s">
        <v>181</v>
      </c>
      <c r="C11" t="s">
        <v>59</v>
      </c>
      <c r="D11">
        <v>636</v>
      </c>
      <c r="E11">
        <v>763.19999999999993</v>
      </c>
    </row>
    <row r="12" spans="1:5" x14ac:dyDescent="0.2">
      <c r="B12" s="118" t="s">
        <v>182</v>
      </c>
      <c r="C12" t="s">
        <v>59</v>
      </c>
      <c r="D12">
        <v>284</v>
      </c>
      <c r="E12">
        <v>340.8</v>
      </c>
    </row>
    <row r="13" spans="1:5" x14ac:dyDescent="0.2">
      <c r="B13" s="118" t="s">
        <v>183</v>
      </c>
      <c r="C13" t="s">
        <v>59</v>
      </c>
      <c r="D13">
        <v>352</v>
      </c>
      <c r="E13">
        <v>422.4</v>
      </c>
    </row>
    <row r="14" spans="1:5" x14ac:dyDescent="0.2">
      <c r="B14" s="118" t="s">
        <v>184</v>
      </c>
      <c r="C14" t="s">
        <v>59</v>
      </c>
      <c r="D14">
        <v>544</v>
      </c>
      <c r="E14">
        <v>652.79999999999995</v>
      </c>
    </row>
    <row r="15" spans="1:5" x14ac:dyDescent="0.2">
      <c r="B15" s="118" t="s">
        <v>185</v>
      </c>
      <c r="C15" t="s">
        <v>59</v>
      </c>
      <c r="D15">
        <v>275</v>
      </c>
      <c r="E15">
        <v>330</v>
      </c>
    </row>
    <row r="16" spans="1:5" x14ac:dyDescent="0.2">
      <c r="A16" s="118" t="s">
        <v>127</v>
      </c>
      <c r="B16" s="118" t="s">
        <v>186</v>
      </c>
      <c r="C16" t="s">
        <v>59</v>
      </c>
      <c r="D16">
        <v>239</v>
      </c>
      <c r="E16">
        <v>286.8</v>
      </c>
    </row>
    <row r="17" spans="2:5" x14ac:dyDescent="0.2">
      <c r="B17" s="118" t="s">
        <v>187</v>
      </c>
      <c r="C17" t="s">
        <v>59</v>
      </c>
      <c r="D17">
        <v>52</v>
      </c>
      <c r="E17">
        <v>62.4</v>
      </c>
    </row>
    <row r="18" spans="2:5" x14ac:dyDescent="0.2">
      <c r="B18" s="118" t="s">
        <v>188</v>
      </c>
      <c r="C18" t="s">
        <v>59</v>
      </c>
      <c r="D18">
        <v>156</v>
      </c>
      <c r="E18">
        <v>187.2</v>
      </c>
    </row>
    <row r="19" spans="2:5" x14ac:dyDescent="0.2">
      <c r="B19" s="118" t="s">
        <v>189</v>
      </c>
      <c r="C19" t="s">
        <v>59</v>
      </c>
      <c r="D19">
        <v>245</v>
      </c>
      <c r="E19">
        <v>294</v>
      </c>
    </row>
    <row r="20" spans="2:5" x14ac:dyDescent="0.2">
      <c r="B20" s="118" t="s">
        <v>190</v>
      </c>
      <c r="C20" t="s">
        <v>59</v>
      </c>
      <c r="D20">
        <v>306</v>
      </c>
      <c r="E20">
        <v>367.2</v>
      </c>
    </row>
    <row r="21" spans="2:5" x14ac:dyDescent="0.2">
      <c r="B21" s="118" t="s">
        <v>191</v>
      </c>
      <c r="C21" t="s">
        <v>59</v>
      </c>
      <c r="D21">
        <v>442</v>
      </c>
      <c r="E21">
        <v>530.4</v>
      </c>
    </row>
    <row r="22" spans="2:5" x14ac:dyDescent="0.2">
      <c r="B22" s="118" t="s">
        <v>192</v>
      </c>
      <c r="C22" t="s">
        <v>59</v>
      </c>
      <c r="D22">
        <v>405</v>
      </c>
      <c r="E22">
        <v>486</v>
      </c>
    </row>
    <row r="23" spans="2:5" x14ac:dyDescent="0.2">
      <c r="B23" s="118" t="s">
        <v>193</v>
      </c>
      <c r="C23" t="s">
        <v>59</v>
      </c>
      <c r="D23">
        <v>356</v>
      </c>
      <c r="E23">
        <v>427.2</v>
      </c>
    </row>
    <row r="24" spans="2:5" x14ac:dyDescent="0.2">
      <c r="B24" s="118" t="s">
        <v>194</v>
      </c>
      <c r="C24" t="s">
        <v>59</v>
      </c>
      <c r="D24">
        <v>615</v>
      </c>
      <c r="E24">
        <v>738</v>
      </c>
    </row>
    <row r="25" spans="2:5" x14ac:dyDescent="0.2">
      <c r="B25" s="118" t="s">
        <v>195</v>
      </c>
      <c r="C25" t="s">
        <v>59</v>
      </c>
      <c r="D25">
        <v>282</v>
      </c>
      <c r="E25">
        <v>338.4</v>
      </c>
    </row>
    <row r="26" spans="2:5" x14ac:dyDescent="0.2">
      <c r="B26" s="118" t="s">
        <v>196</v>
      </c>
      <c r="C26" t="s">
        <v>59</v>
      </c>
      <c r="D26">
        <v>116</v>
      </c>
      <c r="E26">
        <v>139.19999999999999</v>
      </c>
    </row>
    <row r="27" spans="2:5" x14ac:dyDescent="0.2">
      <c r="B27" s="118" t="s">
        <v>197</v>
      </c>
      <c r="C27" t="s">
        <v>59</v>
      </c>
      <c r="D27">
        <v>284</v>
      </c>
      <c r="E27">
        <v>340.8</v>
      </c>
    </row>
    <row r="28" spans="2:5" x14ac:dyDescent="0.2">
      <c r="B28" s="118" t="s">
        <v>198</v>
      </c>
      <c r="C28" t="s">
        <v>59</v>
      </c>
      <c r="D28">
        <v>700</v>
      </c>
      <c r="E28">
        <v>840</v>
      </c>
    </row>
    <row r="29" spans="2:5" x14ac:dyDescent="0.2">
      <c r="B29" s="118" t="s">
        <v>199</v>
      </c>
      <c r="C29" t="s">
        <v>59</v>
      </c>
      <c r="D29">
        <v>395</v>
      </c>
      <c r="E29">
        <v>474</v>
      </c>
    </row>
    <row r="30" spans="2:5" x14ac:dyDescent="0.2">
      <c r="B30" s="118" t="s">
        <v>200</v>
      </c>
      <c r="C30" t="s">
        <v>59</v>
      </c>
      <c r="D30">
        <v>457</v>
      </c>
      <c r="E30">
        <v>548.4</v>
      </c>
    </row>
    <row r="31" spans="2:5" x14ac:dyDescent="0.2">
      <c r="B31" s="118" t="s">
        <v>201</v>
      </c>
      <c r="C31" t="s">
        <v>59</v>
      </c>
      <c r="D31">
        <v>419</v>
      </c>
      <c r="E31">
        <v>502.7999999999999</v>
      </c>
    </row>
    <row r="32" spans="2:5" x14ac:dyDescent="0.2">
      <c r="B32" s="118" t="s">
        <v>202</v>
      </c>
      <c r="C32" t="s">
        <v>59</v>
      </c>
      <c r="D32">
        <v>634</v>
      </c>
      <c r="E32">
        <v>760.8</v>
      </c>
    </row>
    <row r="33" spans="1:5" x14ac:dyDescent="0.2">
      <c r="A33" s="118" t="s">
        <v>128</v>
      </c>
      <c r="B33" s="118" t="s">
        <v>203</v>
      </c>
      <c r="C33" t="s">
        <v>59</v>
      </c>
      <c r="D33">
        <v>717</v>
      </c>
      <c r="E33">
        <v>860.4</v>
      </c>
    </row>
    <row r="34" spans="1:5" x14ac:dyDescent="0.2">
      <c r="B34" s="118" t="s">
        <v>204</v>
      </c>
      <c r="C34" t="s">
        <v>59</v>
      </c>
      <c r="D34">
        <v>1035</v>
      </c>
      <c r="E34">
        <v>1242</v>
      </c>
    </row>
    <row r="35" spans="1:5" x14ac:dyDescent="0.2">
      <c r="B35" s="118" t="s">
        <v>205</v>
      </c>
      <c r="C35" t="s">
        <v>59</v>
      </c>
      <c r="D35">
        <v>1186</v>
      </c>
      <c r="E35">
        <v>1423.2</v>
      </c>
    </row>
    <row r="36" spans="1:5" x14ac:dyDescent="0.2">
      <c r="B36" s="118" t="s">
        <v>206</v>
      </c>
      <c r="C36" t="s">
        <v>59</v>
      </c>
      <c r="D36">
        <v>604</v>
      </c>
      <c r="E36">
        <v>724.8</v>
      </c>
    </row>
    <row r="37" spans="1:5" x14ac:dyDescent="0.2">
      <c r="B37" s="118" t="s">
        <v>207</v>
      </c>
      <c r="C37" t="s">
        <v>59</v>
      </c>
      <c r="D37">
        <v>550</v>
      </c>
      <c r="E37">
        <v>660</v>
      </c>
    </row>
    <row r="38" spans="1:5" x14ac:dyDescent="0.2">
      <c r="B38" s="118" t="s">
        <v>208</v>
      </c>
      <c r="C38" t="s">
        <v>59</v>
      </c>
      <c r="D38">
        <v>705</v>
      </c>
      <c r="E38">
        <v>846</v>
      </c>
    </row>
    <row r="39" spans="1:5" x14ac:dyDescent="0.2">
      <c r="B39" s="118" t="s">
        <v>209</v>
      </c>
      <c r="C39" t="s">
        <v>59</v>
      </c>
      <c r="D39">
        <v>852</v>
      </c>
      <c r="E39">
        <v>1022.4</v>
      </c>
    </row>
    <row r="40" spans="1:5" x14ac:dyDescent="0.2">
      <c r="B40" s="118" t="s">
        <v>210</v>
      </c>
      <c r="C40" t="s">
        <v>59</v>
      </c>
      <c r="D40">
        <v>852</v>
      </c>
      <c r="E40">
        <v>1022.4</v>
      </c>
    </row>
    <row r="41" spans="1:5" x14ac:dyDescent="0.2">
      <c r="B41" s="118" t="s">
        <v>211</v>
      </c>
      <c r="C41" t="s">
        <v>59</v>
      </c>
      <c r="D41">
        <v>1041</v>
      </c>
      <c r="E41">
        <v>1249.2</v>
      </c>
    </row>
    <row r="42" spans="1:5" x14ac:dyDescent="0.2">
      <c r="B42" s="118" t="s">
        <v>212</v>
      </c>
      <c r="C42" t="s">
        <v>59</v>
      </c>
      <c r="D42">
        <v>1010</v>
      </c>
      <c r="E42">
        <v>1212</v>
      </c>
    </row>
    <row r="43" spans="1:5" x14ac:dyDescent="0.2">
      <c r="B43" s="118" t="s">
        <v>213</v>
      </c>
      <c r="C43" t="s">
        <v>59</v>
      </c>
      <c r="D43">
        <v>1273</v>
      </c>
      <c r="E43">
        <v>1527.6</v>
      </c>
    </row>
    <row r="44" spans="1:5" x14ac:dyDescent="0.2">
      <c r="B44" s="118" t="s">
        <v>214</v>
      </c>
      <c r="C44" t="s">
        <v>59</v>
      </c>
      <c r="D44">
        <v>723</v>
      </c>
      <c r="E44">
        <v>867.6</v>
      </c>
    </row>
    <row r="45" spans="1:5" x14ac:dyDescent="0.2">
      <c r="A45" s="118" t="s">
        <v>129</v>
      </c>
      <c r="B45" s="118" t="s">
        <v>215</v>
      </c>
      <c r="C45" t="s">
        <v>22</v>
      </c>
      <c r="D45">
        <v>821</v>
      </c>
      <c r="E45">
        <v>985.19999999999993</v>
      </c>
    </row>
    <row r="46" spans="1:5" x14ac:dyDescent="0.2">
      <c r="B46" s="118" t="s">
        <v>216</v>
      </c>
      <c r="C46" t="s">
        <v>59</v>
      </c>
      <c r="D46">
        <v>235</v>
      </c>
      <c r="E46">
        <v>282</v>
      </c>
    </row>
    <row r="47" spans="1:5" x14ac:dyDescent="0.2">
      <c r="B47" s="118" t="s">
        <v>217</v>
      </c>
      <c r="C47" t="s">
        <v>59</v>
      </c>
      <c r="D47">
        <v>712</v>
      </c>
      <c r="E47">
        <v>854.4</v>
      </c>
    </row>
    <row r="48" spans="1:5" x14ac:dyDescent="0.2">
      <c r="B48" s="118" t="s">
        <v>218</v>
      </c>
      <c r="C48" t="s">
        <v>59</v>
      </c>
      <c r="D48">
        <v>450</v>
      </c>
      <c r="E48">
        <v>540</v>
      </c>
    </row>
    <row r="49" spans="2:5" x14ac:dyDescent="0.2">
      <c r="B49" s="118" t="s">
        <v>219</v>
      </c>
      <c r="C49" t="s">
        <v>59</v>
      </c>
      <c r="D49">
        <v>339</v>
      </c>
      <c r="E49">
        <v>406.8</v>
      </c>
    </row>
    <row r="50" spans="2:5" x14ac:dyDescent="0.2">
      <c r="B50" s="118" t="s">
        <v>220</v>
      </c>
      <c r="C50" t="s">
        <v>59</v>
      </c>
      <c r="D50">
        <v>279</v>
      </c>
      <c r="E50">
        <v>334.8</v>
      </c>
    </row>
    <row r="51" spans="2:5" x14ac:dyDescent="0.2">
      <c r="B51" s="118" t="s">
        <v>221</v>
      </c>
      <c r="C51" t="s">
        <v>59</v>
      </c>
      <c r="D51">
        <v>553</v>
      </c>
      <c r="E51">
        <v>663.6</v>
      </c>
    </row>
    <row r="52" spans="2:5" x14ac:dyDescent="0.2">
      <c r="B52" s="118" t="s">
        <v>222</v>
      </c>
      <c r="C52" t="s">
        <v>22</v>
      </c>
      <c r="D52">
        <v>959</v>
      </c>
      <c r="E52">
        <v>1150.8</v>
      </c>
    </row>
    <row r="53" spans="2:5" x14ac:dyDescent="0.2">
      <c r="B53" s="118" t="s">
        <v>223</v>
      </c>
      <c r="C53" t="s">
        <v>59</v>
      </c>
      <c r="D53">
        <v>1176</v>
      </c>
      <c r="E53">
        <v>1411.2</v>
      </c>
    </row>
    <row r="54" spans="2:5" x14ac:dyDescent="0.2">
      <c r="B54" s="118" t="s">
        <v>224</v>
      </c>
      <c r="C54" t="s">
        <v>22</v>
      </c>
      <c r="D54">
        <v>981</v>
      </c>
      <c r="E54">
        <v>1177.2</v>
      </c>
    </row>
    <row r="55" spans="2:5" x14ac:dyDescent="0.2">
      <c r="B55" s="118" t="s">
        <v>225</v>
      </c>
      <c r="C55" t="s">
        <v>59</v>
      </c>
      <c r="D55">
        <v>253</v>
      </c>
      <c r="E55">
        <v>303.59999999999997</v>
      </c>
    </row>
    <row r="56" spans="2:5" x14ac:dyDescent="0.2">
      <c r="B56" s="118" t="s">
        <v>226</v>
      </c>
      <c r="C56" t="s">
        <v>59</v>
      </c>
      <c r="D56">
        <v>543</v>
      </c>
      <c r="E56">
        <v>651.6</v>
      </c>
    </row>
    <row r="57" spans="2:5" x14ac:dyDescent="0.2">
      <c r="B57" s="118" t="s">
        <v>227</v>
      </c>
      <c r="C57" t="s">
        <v>59</v>
      </c>
      <c r="D57">
        <v>793</v>
      </c>
      <c r="E57">
        <v>951.59999999999991</v>
      </c>
    </row>
    <row r="58" spans="2:5" x14ac:dyDescent="0.2">
      <c r="B58" s="118" t="s">
        <v>228</v>
      </c>
      <c r="C58" t="s">
        <v>59</v>
      </c>
      <c r="D58">
        <v>1421</v>
      </c>
      <c r="E58">
        <v>1705.2</v>
      </c>
    </row>
    <row r="59" spans="2:5" x14ac:dyDescent="0.2">
      <c r="B59" s="118" t="s">
        <v>229</v>
      </c>
      <c r="C59" t="s">
        <v>59</v>
      </c>
      <c r="D59">
        <v>663</v>
      </c>
      <c r="E59">
        <v>795.6</v>
      </c>
    </row>
    <row r="60" spans="2:5" x14ac:dyDescent="0.2">
      <c r="B60" s="118" t="s">
        <v>230</v>
      </c>
      <c r="C60" t="s">
        <v>59</v>
      </c>
      <c r="D60">
        <v>841</v>
      </c>
      <c r="E60">
        <v>1009.1999999999998</v>
      </c>
    </row>
    <row r="61" spans="2:5" x14ac:dyDescent="0.2">
      <c r="B61" s="118" t="s">
        <v>231</v>
      </c>
      <c r="C61" t="s">
        <v>59</v>
      </c>
      <c r="D61">
        <v>855</v>
      </c>
      <c r="E61">
        <v>1026</v>
      </c>
    </row>
    <row r="62" spans="2:5" x14ac:dyDescent="0.2">
      <c r="B62" s="118" t="s">
        <v>232</v>
      </c>
      <c r="C62" t="s">
        <v>59</v>
      </c>
      <c r="D62">
        <v>992</v>
      </c>
      <c r="E62">
        <v>1190.3999999999999</v>
      </c>
    </row>
    <row r="63" spans="2:5" x14ac:dyDescent="0.2">
      <c r="B63" s="118" t="s">
        <v>233</v>
      </c>
      <c r="C63" t="s">
        <v>59</v>
      </c>
      <c r="D63">
        <v>936</v>
      </c>
      <c r="E63">
        <v>1123.2</v>
      </c>
    </row>
    <row r="64" spans="2:5" x14ac:dyDescent="0.2">
      <c r="B64" s="118" t="s">
        <v>234</v>
      </c>
      <c r="C64" t="s">
        <v>59</v>
      </c>
      <c r="D64">
        <v>861</v>
      </c>
      <c r="E64">
        <v>1033.2</v>
      </c>
    </row>
    <row r="65" spans="1:5" x14ac:dyDescent="0.2">
      <c r="B65" s="118" t="s">
        <v>235</v>
      </c>
      <c r="C65" t="s">
        <v>59</v>
      </c>
      <c r="D65">
        <v>632</v>
      </c>
      <c r="E65">
        <v>758.4</v>
      </c>
    </row>
    <row r="66" spans="1:5" x14ac:dyDescent="0.2">
      <c r="B66" s="118" t="s">
        <v>236</v>
      </c>
      <c r="C66" t="s">
        <v>59</v>
      </c>
      <c r="D66">
        <v>446</v>
      </c>
      <c r="E66">
        <v>535.19999999999993</v>
      </c>
    </row>
    <row r="67" spans="1:5" x14ac:dyDescent="0.2">
      <c r="A67" s="118" t="s">
        <v>130</v>
      </c>
      <c r="B67" s="118" t="s">
        <v>237</v>
      </c>
      <c r="C67" t="s">
        <v>22</v>
      </c>
      <c r="D67">
        <v>470</v>
      </c>
      <c r="E67">
        <v>564</v>
      </c>
    </row>
    <row r="68" spans="1:5" x14ac:dyDescent="0.2">
      <c r="B68" s="118" t="s">
        <v>238</v>
      </c>
      <c r="C68" t="s">
        <v>22</v>
      </c>
      <c r="D68">
        <v>62</v>
      </c>
      <c r="E68">
        <v>74.399999999999991</v>
      </c>
    </row>
    <row r="69" spans="1:5" x14ac:dyDescent="0.2">
      <c r="B69" s="118" t="s">
        <v>239</v>
      </c>
      <c r="C69" t="s">
        <v>22</v>
      </c>
      <c r="D69">
        <v>466</v>
      </c>
      <c r="E69">
        <v>559.19999999999993</v>
      </c>
    </row>
    <row r="70" spans="1:5" x14ac:dyDescent="0.2">
      <c r="B70" s="118" t="s">
        <v>240</v>
      </c>
      <c r="C70" t="s">
        <v>22</v>
      </c>
      <c r="D70">
        <v>336</v>
      </c>
      <c r="E70">
        <v>403.2</v>
      </c>
    </row>
    <row r="71" spans="1:5" x14ac:dyDescent="0.2">
      <c r="B71" s="118" t="s">
        <v>241</v>
      </c>
      <c r="C71" t="s">
        <v>22</v>
      </c>
      <c r="D71">
        <v>536</v>
      </c>
      <c r="E71">
        <v>643.19999999999993</v>
      </c>
    </row>
    <row r="72" spans="1:5" x14ac:dyDescent="0.2">
      <c r="B72" s="118" t="s">
        <v>242</v>
      </c>
      <c r="C72" t="s">
        <v>22</v>
      </c>
      <c r="D72">
        <v>649</v>
      </c>
      <c r="E72">
        <v>778.8</v>
      </c>
    </row>
    <row r="73" spans="1:5" x14ac:dyDescent="0.2">
      <c r="B73" s="118" t="s">
        <v>243</v>
      </c>
      <c r="C73" t="s">
        <v>22</v>
      </c>
      <c r="D73">
        <v>232</v>
      </c>
      <c r="E73">
        <v>278.39999999999998</v>
      </c>
    </row>
    <row r="74" spans="1:5" x14ac:dyDescent="0.2">
      <c r="B74" s="118" t="s">
        <v>244</v>
      </c>
      <c r="C74" t="s">
        <v>22</v>
      </c>
      <c r="D74">
        <v>460</v>
      </c>
      <c r="E74">
        <v>552</v>
      </c>
    </row>
    <row r="75" spans="1:5" x14ac:dyDescent="0.2">
      <c r="B75" s="118" t="s">
        <v>245</v>
      </c>
      <c r="C75" t="s">
        <v>22</v>
      </c>
      <c r="D75">
        <v>631</v>
      </c>
      <c r="E75">
        <v>757.19999999999993</v>
      </c>
    </row>
    <row r="76" spans="1:5" x14ac:dyDescent="0.2">
      <c r="B76" s="118" t="s">
        <v>246</v>
      </c>
      <c r="C76" t="s">
        <v>22</v>
      </c>
      <c r="D76">
        <v>671</v>
      </c>
      <c r="E76">
        <v>805.19999999999993</v>
      </c>
    </row>
    <row r="77" spans="1:5" x14ac:dyDescent="0.2">
      <c r="B77" s="118" t="s">
        <v>247</v>
      </c>
      <c r="C77" t="s">
        <v>22</v>
      </c>
      <c r="D77">
        <v>628</v>
      </c>
      <c r="E77">
        <v>753.6</v>
      </c>
    </row>
    <row r="78" spans="1:5" x14ac:dyDescent="0.2">
      <c r="B78" s="118" t="s">
        <v>248</v>
      </c>
      <c r="C78" t="s">
        <v>22</v>
      </c>
      <c r="D78">
        <v>424</v>
      </c>
      <c r="E78">
        <v>508.7999999999999</v>
      </c>
    </row>
    <row r="79" spans="1:5" x14ac:dyDescent="0.2">
      <c r="B79" s="118" t="s">
        <v>249</v>
      </c>
      <c r="C79" t="s">
        <v>22</v>
      </c>
      <c r="D79">
        <v>717</v>
      </c>
      <c r="E79">
        <v>860.4</v>
      </c>
    </row>
    <row r="80" spans="1:5" x14ac:dyDescent="0.2">
      <c r="B80" s="118" t="s">
        <v>250</v>
      </c>
      <c r="C80" t="s">
        <v>22</v>
      </c>
      <c r="D80">
        <v>651</v>
      </c>
      <c r="E80">
        <v>781.19999999999993</v>
      </c>
    </row>
    <row r="81" spans="1:5" x14ac:dyDescent="0.2">
      <c r="B81" s="118" t="s">
        <v>251</v>
      </c>
      <c r="C81" t="s">
        <v>22</v>
      </c>
      <c r="D81">
        <v>125</v>
      </c>
      <c r="E81">
        <v>150</v>
      </c>
    </row>
    <row r="82" spans="1:5" x14ac:dyDescent="0.2">
      <c r="B82" s="118" t="s">
        <v>252</v>
      </c>
      <c r="C82" t="s">
        <v>22</v>
      </c>
      <c r="D82">
        <v>450</v>
      </c>
      <c r="E82">
        <v>540</v>
      </c>
    </row>
    <row r="83" spans="1:5" x14ac:dyDescent="0.2">
      <c r="A83" s="118" t="s">
        <v>131</v>
      </c>
      <c r="B83" s="118" t="s">
        <v>253</v>
      </c>
      <c r="C83" t="s">
        <v>22</v>
      </c>
      <c r="D83">
        <v>1629</v>
      </c>
      <c r="E83">
        <v>1954.8</v>
      </c>
    </row>
    <row r="84" spans="1:5" x14ac:dyDescent="0.2">
      <c r="B84" s="118" t="s">
        <v>254</v>
      </c>
      <c r="C84" t="s">
        <v>22</v>
      </c>
      <c r="D84">
        <v>1577</v>
      </c>
      <c r="E84">
        <v>1892.3999999999999</v>
      </c>
    </row>
    <row r="85" spans="1:5" x14ac:dyDescent="0.2">
      <c r="B85" s="118" t="s">
        <v>255</v>
      </c>
      <c r="C85" t="s">
        <v>22</v>
      </c>
      <c r="D85">
        <v>1998</v>
      </c>
      <c r="E85">
        <v>2397.6</v>
      </c>
    </row>
    <row r="86" spans="1:5" x14ac:dyDescent="0.2">
      <c r="B86" s="118" t="s">
        <v>256</v>
      </c>
      <c r="C86" t="s">
        <v>22</v>
      </c>
      <c r="D86">
        <v>1831</v>
      </c>
      <c r="E86">
        <v>2197.1999999999998</v>
      </c>
    </row>
    <row r="87" spans="1:5" x14ac:dyDescent="0.2">
      <c r="B87" s="118" t="s">
        <v>257</v>
      </c>
      <c r="C87" t="s">
        <v>22</v>
      </c>
      <c r="D87">
        <v>1914</v>
      </c>
      <c r="E87">
        <v>2296.7999999999997</v>
      </c>
    </row>
    <row r="88" spans="1:5" x14ac:dyDescent="0.2">
      <c r="B88" s="118" t="s">
        <v>258</v>
      </c>
      <c r="C88" t="s">
        <v>22</v>
      </c>
      <c r="D88">
        <v>1184</v>
      </c>
      <c r="E88">
        <v>1420.8</v>
      </c>
    </row>
    <row r="89" spans="1:5" x14ac:dyDescent="0.2">
      <c r="B89" s="118" t="s">
        <v>259</v>
      </c>
      <c r="C89" t="s">
        <v>22</v>
      </c>
      <c r="D89">
        <v>1477</v>
      </c>
      <c r="E89">
        <v>1772.3999999999999</v>
      </c>
    </row>
    <row r="90" spans="1:5" x14ac:dyDescent="0.2">
      <c r="B90" s="118" t="s">
        <v>260</v>
      </c>
      <c r="C90" t="s">
        <v>22</v>
      </c>
      <c r="D90">
        <v>1996</v>
      </c>
      <c r="E90">
        <v>2395.1999999999998</v>
      </c>
    </row>
    <row r="91" spans="1:5" x14ac:dyDescent="0.2">
      <c r="A91" s="118" t="s">
        <v>132</v>
      </c>
      <c r="B91" s="118" t="s">
        <v>261</v>
      </c>
      <c r="C91" t="s">
        <v>22</v>
      </c>
      <c r="D91">
        <v>1444</v>
      </c>
      <c r="E91">
        <v>1732.8</v>
      </c>
    </row>
    <row r="92" spans="1:5" x14ac:dyDescent="0.2">
      <c r="B92" s="118" t="s">
        <v>262</v>
      </c>
      <c r="C92" t="s">
        <v>22</v>
      </c>
      <c r="D92">
        <v>686</v>
      </c>
      <c r="E92">
        <v>823.19999999999993</v>
      </c>
    </row>
    <row r="93" spans="1:5" x14ac:dyDescent="0.2">
      <c r="B93" s="118" t="s">
        <v>263</v>
      </c>
      <c r="C93" t="s">
        <v>22</v>
      </c>
      <c r="D93">
        <v>1524</v>
      </c>
      <c r="E93">
        <v>1828.8</v>
      </c>
    </row>
    <row r="94" spans="1:5" x14ac:dyDescent="0.2">
      <c r="B94" s="118" t="s">
        <v>264</v>
      </c>
      <c r="C94" t="s">
        <v>22</v>
      </c>
      <c r="D94">
        <v>1053</v>
      </c>
      <c r="E94">
        <v>1263.5999999999999</v>
      </c>
    </row>
    <row r="95" spans="1:5" x14ac:dyDescent="0.2">
      <c r="B95" s="118" t="s">
        <v>265</v>
      </c>
      <c r="C95" t="s">
        <v>22</v>
      </c>
      <c r="D95">
        <v>4568</v>
      </c>
      <c r="E95">
        <v>5481.5999999999995</v>
      </c>
    </row>
    <row r="96" spans="1:5" x14ac:dyDescent="0.2">
      <c r="B96" s="118" t="s">
        <v>266</v>
      </c>
      <c r="C96" t="s">
        <v>22</v>
      </c>
      <c r="D96">
        <v>1352</v>
      </c>
      <c r="E96">
        <v>1622.3999999999999</v>
      </c>
    </row>
    <row r="97" spans="2:5" x14ac:dyDescent="0.2">
      <c r="B97" s="118" t="s">
        <v>267</v>
      </c>
      <c r="C97" t="s">
        <v>22</v>
      </c>
      <c r="D97">
        <v>992</v>
      </c>
      <c r="E97">
        <v>1190.3999999999999</v>
      </c>
    </row>
    <row r="98" spans="2:5" x14ac:dyDescent="0.2">
      <c r="B98" s="118" t="s">
        <v>268</v>
      </c>
      <c r="C98" t="s">
        <v>22</v>
      </c>
      <c r="D98">
        <v>1616</v>
      </c>
      <c r="E98">
        <v>1939.1999999999998</v>
      </c>
    </row>
    <row r="99" spans="2:5" x14ac:dyDescent="0.2">
      <c r="B99" s="118" t="s">
        <v>269</v>
      </c>
      <c r="C99" t="s">
        <v>22</v>
      </c>
      <c r="D99">
        <v>1690</v>
      </c>
      <c r="E99">
        <v>2028</v>
      </c>
    </row>
    <row r="100" spans="2:5" x14ac:dyDescent="0.2">
      <c r="B100" s="118" t="s">
        <v>270</v>
      </c>
      <c r="C100" t="s">
        <v>22</v>
      </c>
      <c r="D100">
        <v>1727</v>
      </c>
      <c r="E100">
        <v>2072.4</v>
      </c>
    </row>
    <row r="101" spans="2:5" x14ac:dyDescent="0.2">
      <c r="B101" s="118" t="s">
        <v>271</v>
      </c>
      <c r="C101" t="s">
        <v>22</v>
      </c>
      <c r="D101">
        <v>1665</v>
      </c>
      <c r="E101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Jeff</cp:lastModifiedBy>
  <dcterms:created xsi:type="dcterms:W3CDTF">2003-07-09T21:14:27Z</dcterms:created>
  <dcterms:modified xsi:type="dcterms:W3CDTF">2015-09-29T20:24:32Z</dcterms:modified>
</cp:coreProperties>
</file>