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O:\2015_16TeamFolders\notgrapefruit\Results\"/>
    </mc:Choice>
  </mc:AlternateContent>
  <bookViews>
    <workbookView xWindow="0" yWindow="-120" windowWidth="25605" windowHeight="15525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39" i="20" l="1"/>
  <c r="S37" i="20"/>
  <c r="S36" i="20"/>
  <c r="S16" i="20"/>
  <c r="S15" i="20"/>
  <c r="T19" i="20" s="1"/>
  <c r="S14" i="20"/>
  <c r="H40" i="20"/>
  <c r="H39" i="20"/>
  <c r="H38" i="20"/>
  <c r="H35" i="20"/>
  <c r="H34" i="20"/>
  <c r="H33" i="20"/>
  <c r="H30" i="20"/>
  <c r="H29" i="20"/>
  <c r="H28" i="20"/>
  <c r="S40" i="20" s="1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G120" i="10" s="1"/>
  <c r="G127" i="10" s="1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G122" i="10" s="1"/>
  <c r="H111" i="10"/>
  <c r="I111" i="10"/>
  <c r="I122" i="10" s="1"/>
  <c r="J111" i="10"/>
  <c r="K111" i="10"/>
  <c r="L111" i="10"/>
  <c r="M111" i="10"/>
  <c r="N111" i="10"/>
  <c r="O111" i="10"/>
  <c r="O122" i="10" s="1"/>
  <c r="D112" i="10"/>
  <c r="E112" i="10"/>
  <c r="E123" i="10" s="1"/>
  <c r="F112" i="10"/>
  <c r="G112" i="10"/>
  <c r="H112" i="10"/>
  <c r="I112" i="10"/>
  <c r="J112" i="10"/>
  <c r="K112" i="10"/>
  <c r="L112" i="10"/>
  <c r="M112" i="10"/>
  <c r="M123" i="10" s="1"/>
  <c r="N112" i="10"/>
  <c r="N123" i="10" s="1"/>
  <c r="O112" i="10"/>
  <c r="D113" i="10"/>
  <c r="E113" i="10"/>
  <c r="F113" i="10"/>
  <c r="G113" i="10"/>
  <c r="G124" i="10" s="1"/>
  <c r="H113" i="10"/>
  <c r="I113" i="10"/>
  <c r="I124" i="10" s="1"/>
  <c r="J113" i="10"/>
  <c r="K113" i="10"/>
  <c r="L113" i="10"/>
  <c r="M113" i="10"/>
  <c r="N113" i="10"/>
  <c r="O113" i="10"/>
  <c r="D114" i="10"/>
  <c r="E114" i="10"/>
  <c r="E125" i="10" s="1"/>
  <c r="F114" i="10"/>
  <c r="G114" i="10"/>
  <c r="H114" i="10"/>
  <c r="I114" i="10"/>
  <c r="J114" i="10"/>
  <c r="K114" i="10"/>
  <c r="L114" i="10"/>
  <c r="M114" i="10"/>
  <c r="M125" i="10" s="1"/>
  <c r="N114" i="10"/>
  <c r="O114" i="10"/>
  <c r="D115" i="10"/>
  <c r="E115" i="10"/>
  <c r="F115" i="10"/>
  <c r="G115" i="10"/>
  <c r="H115" i="10"/>
  <c r="I115" i="10"/>
  <c r="I126" i="10" s="1"/>
  <c r="J115" i="10"/>
  <c r="K115" i="10"/>
  <c r="L115" i="10"/>
  <c r="M115" i="10"/>
  <c r="N115" i="10"/>
  <c r="O115" i="10"/>
  <c r="O126" i="10" s="1"/>
  <c r="F116" i="10"/>
  <c r="H116" i="10"/>
  <c r="J116" i="10"/>
  <c r="L116" i="10"/>
  <c r="D120" i="10"/>
  <c r="E120" i="10"/>
  <c r="F120" i="10"/>
  <c r="H120" i="10"/>
  <c r="J120" i="10"/>
  <c r="K120" i="10"/>
  <c r="L120" i="10"/>
  <c r="L127" i="10" s="1"/>
  <c r="M120" i="10"/>
  <c r="N120" i="10"/>
  <c r="O120" i="10"/>
  <c r="D121" i="10"/>
  <c r="F121" i="10"/>
  <c r="G121" i="10"/>
  <c r="H121" i="10"/>
  <c r="I121" i="10"/>
  <c r="J121" i="10"/>
  <c r="K121" i="10"/>
  <c r="L121" i="10"/>
  <c r="N121" i="10"/>
  <c r="O121" i="10"/>
  <c r="D122" i="10"/>
  <c r="E122" i="10"/>
  <c r="F122" i="10"/>
  <c r="H122" i="10"/>
  <c r="J122" i="10"/>
  <c r="K122" i="10"/>
  <c r="L122" i="10"/>
  <c r="M122" i="10"/>
  <c r="N122" i="10"/>
  <c r="D123" i="10"/>
  <c r="F123" i="10"/>
  <c r="G123" i="10"/>
  <c r="H123" i="10"/>
  <c r="I123" i="10"/>
  <c r="J123" i="10"/>
  <c r="K123" i="10"/>
  <c r="L123" i="10"/>
  <c r="O123" i="10"/>
  <c r="D124" i="10"/>
  <c r="E124" i="10"/>
  <c r="F124" i="10"/>
  <c r="H124" i="10"/>
  <c r="J124" i="10"/>
  <c r="K124" i="10"/>
  <c r="L124" i="10"/>
  <c r="M124" i="10"/>
  <c r="N124" i="10"/>
  <c r="O124" i="10"/>
  <c r="D125" i="10"/>
  <c r="F125" i="10"/>
  <c r="G125" i="10"/>
  <c r="H125" i="10"/>
  <c r="I125" i="10"/>
  <c r="J125" i="10"/>
  <c r="K125" i="10"/>
  <c r="L125" i="10"/>
  <c r="N125" i="10"/>
  <c r="O125" i="10"/>
  <c r="D126" i="10"/>
  <c r="E126" i="10"/>
  <c r="F126" i="10"/>
  <c r="G126" i="10"/>
  <c r="H126" i="10"/>
  <c r="J126" i="10"/>
  <c r="K126" i="10"/>
  <c r="L126" i="10"/>
  <c r="M126" i="10"/>
  <c r="N126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K138" i="10" s="1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M138" i="10"/>
  <c r="D109" i="11"/>
  <c r="D120" i="11" s="1"/>
  <c r="E109" i="11"/>
  <c r="F109" i="11"/>
  <c r="G109" i="11"/>
  <c r="H109" i="11"/>
  <c r="I109" i="11"/>
  <c r="J109" i="11"/>
  <c r="K109" i="11"/>
  <c r="L109" i="11"/>
  <c r="L120" i="11" s="1"/>
  <c r="M109" i="11"/>
  <c r="N109" i="11"/>
  <c r="O109" i="11"/>
  <c r="D110" i="11"/>
  <c r="D121" i="11" s="1"/>
  <c r="E110" i="11"/>
  <c r="F110" i="11"/>
  <c r="G110" i="11"/>
  <c r="H110" i="11"/>
  <c r="H121" i="11" s="1"/>
  <c r="I110" i="11"/>
  <c r="J110" i="11"/>
  <c r="K110" i="11"/>
  <c r="K121" i="11" s="1"/>
  <c r="L110" i="11"/>
  <c r="L121" i="11" s="1"/>
  <c r="M110" i="11"/>
  <c r="N110" i="11"/>
  <c r="O110" i="11"/>
  <c r="D111" i="11"/>
  <c r="D122" i="11" s="1"/>
  <c r="E111" i="11"/>
  <c r="F111" i="11"/>
  <c r="F122" i="11" s="1"/>
  <c r="G111" i="11"/>
  <c r="H111" i="11"/>
  <c r="H122" i="11" s="1"/>
  <c r="I111" i="11"/>
  <c r="J111" i="11"/>
  <c r="J122" i="11" s="1"/>
  <c r="K111" i="11"/>
  <c r="L111" i="11"/>
  <c r="L122" i="11" s="1"/>
  <c r="M111" i="11"/>
  <c r="N111" i="11"/>
  <c r="N122" i="11" s="1"/>
  <c r="O111" i="11"/>
  <c r="D112" i="11"/>
  <c r="E112" i="11"/>
  <c r="F112" i="11"/>
  <c r="G112" i="11"/>
  <c r="H112" i="11"/>
  <c r="H123" i="11" s="1"/>
  <c r="I112" i="11"/>
  <c r="J112" i="11"/>
  <c r="K112" i="11"/>
  <c r="L112" i="11"/>
  <c r="L123" i="11" s="1"/>
  <c r="M112" i="11"/>
  <c r="N112" i="11"/>
  <c r="N123" i="11" s="1"/>
  <c r="O112" i="11"/>
  <c r="D113" i="11"/>
  <c r="D124" i="11" s="1"/>
  <c r="E113" i="11"/>
  <c r="F113" i="11"/>
  <c r="F124" i="11" s="1"/>
  <c r="G113" i="11"/>
  <c r="H113" i="11"/>
  <c r="I113" i="11"/>
  <c r="J113" i="11"/>
  <c r="K113" i="11"/>
  <c r="L113" i="11"/>
  <c r="L124" i="11" s="1"/>
  <c r="M113" i="11"/>
  <c r="N113" i="11"/>
  <c r="N124" i="11" s="1"/>
  <c r="O113" i="11"/>
  <c r="D114" i="11"/>
  <c r="D125" i="11" s="1"/>
  <c r="E114" i="11"/>
  <c r="F114" i="11"/>
  <c r="G114" i="11"/>
  <c r="H114" i="11"/>
  <c r="H125" i="11" s="1"/>
  <c r="I114" i="11"/>
  <c r="J114" i="11"/>
  <c r="K114" i="11"/>
  <c r="K125" i="11" s="1"/>
  <c r="L114" i="11"/>
  <c r="L125" i="11" s="1"/>
  <c r="M114" i="11"/>
  <c r="N114" i="11"/>
  <c r="O114" i="11"/>
  <c r="D115" i="11"/>
  <c r="D126" i="11" s="1"/>
  <c r="E115" i="11"/>
  <c r="F115" i="11"/>
  <c r="F126" i="11" s="1"/>
  <c r="G115" i="11"/>
  <c r="H115" i="11"/>
  <c r="H126" i="11" s="1"/>
  <c r="I115" i="11"/>
  <c r="J115" i="11"/>
  <c r="K115" i="11"/>
  <c r="L115" i="11"/>
  <c r="L126" i="11" s="1"/>
  <c r="M115" i="11"/>
  <c r="N115" i="11"/>
  <c r="O115" i="11"/>
  <c r="O126" i="11" s="1"/>
  <c r="D116" i="11"/>
  <c r="E116" i="11"/>
  <c r="K116" i="11"/>
  <c r="L116" i="11"/>
  <c r="M116" i="11"/>
  <c r="E120" i="11"/>
  <c r="F120" i="11"/>
  <c r="I120" i="11"/>
  <c r="J120" i="11"/>
  <c r="K120" i="11"/>
  <c r="M120" i="11"/>
  <c r="O120" i="11"/>
  <c r="E121" i="11"/>
  <c r="F121" i="11"/>
  <c r="G121" i="11"/>
  <c r="I121" i="11"/>
  <c r="M121" i="11"/>
  <c r="N121" i="11"/>
  <c r="O121" i="11"/>
  <c r="E122" i="11"/>
  <c r="G122" i="11"/>
  <c r="I122" i="11"/>
  <c r="K122" i="11"/>
  <c r="M122" i="11"/>
  <c r="O122" i="11"/>
  <c r="D123" i="11"/>
  <c r="E123" i="11"/>
  <c r="F123" i="11"/>
  <c r="G123" i="11"/>
  <c r="I123" i="11"/>
  <c r="J123" i="11"/>
  <c r="K123" i="11"/>
  <c r="M123" i="11"/>
  <c r="M127" i="11" s="1"/>
  <c r="O123" i="11"/>
  <c r="E124" i="11"/>
  <c r="G124" i="11"/>
  <c r="H124" i="11"/>
  <c r="I124" i="11"/>
  <c r="J124" i="11"/>
  <c r="K124" i="11"/>
  <c r="M124" i="11"/>
  <c r="O124" i="11"/>
  <c r="E125" i="11"/>
  <c r="F125" i="11"/>
  <c r="G125" i="11"/>
  <c r="I125" i="11"/>
  <c r="J125" i="11"/>
  <c r="M125" i="11"/>
  <c r="N125" i="11"/>
  <c r="O125" i="11"/>
  <c r="E126" i="11"/>
  <c r="G126" i="11"/>
  <c r="I126" i="11"/>
  <c r="J126" i="11"/>
  <c r="K126" i="11"/>
  <c r="M126" i="11"/>
  <c r="N126" i="11"/>
  <c r="F127" i="11"/>
  <c r="K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E138" i="11"/>
  <c r="K138" i="11"/>
  <c r="N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D122" i="12" s="1"/>
  <c r="E111" i="12"/>
  <c r="F111" i="12"/>
  <c r="G111" i="12"/>
  <c r="H111" i="12"/>
  <c r="I111" i="12"/>
  <c r="J111" i="12"/>
  <c r="K111" i="12"/>
  <c r="L111" i="12"/>
  <c r="L122" i="12" s="1"/>
  <c r="M111" i="12"/>
  <c r="N111" i="12"/>
  <c r="N122" i="12" s="1"/>
  <c r="O111" i="12"/>
  <c r="D112" i="12"/>
  <c r="E112" i="12"/>
  <c r="F112" i="12"/>
  <c r="G112" i="12"/>
  <c r="H112" i="12"/>
  <c r="H123" i="12" s="1"/>
  <c r="I112" i="12"/>
  <c r="J112" i="12"/>
  <c r="J123" i="12" s="1"/>
  <c r="K112" i="12"/>
  <c r="L112" i="12"/>
  <c r="M112" i="12"/>
  <c r="N112" i="12"/>
  <c r="O112" i="12"/>
  <c r="D113" i="12"/>
  <c r="D124" i="12" s="1"/>
  <c r="E113" i="12"/>
  <c r="F113" i="12"/>
  <c r="F124" i="12" s="1"/>
  <c r="G113" i="12"/>
  <c r="H113" i="12"/>
  <c r="I113" i="12"/>
  <c r="J113" i="12"/>
  <c r="K113" i="12"/>
  <c r="L113" i="12"/>
  <c r="L124" i="12" s="1"/>
  <c r="M113" i="12"/>
  <c r="N113" i="12"/>
  <c r="N124" i="12" s="1"/>
  <c r="O113" i="12"/>
  <c r="D114" i="12"/>
  <c r="E114" i="12"/>
  <c r="F114" i="12"/>
  <c r="G114" i="12"/>
  <c r="H114" i="12"/>
  <c r="H125" i="12" s="1"/>
  <c r="I114" i="12"/>
  <c r="J114" i="12"/>
  <c r="J125" i="12" s="1"/>
  <c r="K114" i="12"/>
  <c r="L114" i="12"/>
  <c r="M114" i="12"/>
  <c r="N114" i="12"/>
  <c r="O114" i="12"/>
  <c r="D115" i="12"/>
  <c r="D126" i="12" s="1"/>
  <c r="E115" i="12"/>
  <c r="F115" i="12"/>
  <c r="F126" i="12" s="1"/>
  <c r="G115" i="12"/>
  <c r="H115" i="12"/>
  <c r="I115" i="12"/>
  <c r="J115" i="12"/>
  <c r="K115" i="12"/>
  <c r="L115" i="12"/>
  <c r="L126" i="12" s="1"/>
  <c r="M115" i="12"/>
  <c r="N115" i="12"/>
  <c r="N126" i="12" s="1"/>
  <c r="O115" i="12"/>
  <c r="E116" i="12"/>
  <c r="K116" i="12"/>
  <c r="M116" i="12"/>
  <c r="E120" i="12"/>
  <c r="G120" i="12"/>
  <c r="G127" i="12" s="1"/>
  <c r="H120" i="12"/>
  <c r="I120" i="12"/>
  <c r="J120" i="12"/>
  <c r="K120" i="12"/>
  <c r="M120" i="12"/>
  <c r="O120" i="12"/>
  <c r="D121" i="12"/>
  <c r="E121" i="12"/>
  <c r="F121" i="12"/>
  <c r="G121" i="12"/>
  <c r="I121" i="12"/>
  <c r="K121" i="12"/>
  <c r="K127" i="12" s="1"/>
  <c r="L121" i="12"/>
  <c r="M121" i="12"/>
  <c r="N121" i="12"/>
  <c r="O121" i="12"/>
  <c r="E122" i="12"/>
  <c r="F122" i="12"/>
  <c r="G122" i="12"/>
  <c r="H122" i="12"/>
  <c r="I122" i="12"/>
  <c r="J122" i="12"/>
  <c r="K122" i="12"/>
  <c r="M122" i="12"/>
  <c r="O122" i="12"/>
  <c r="D123" i="12"/>
  <c r="E123" i="12"/>
  <c r="F123" i="12"/>
  <c r="G123" i="12"/>
  <c r="I123" i="12"/>
  <c r="K123" i="12"/>
  <c r="L123" i="12"/>
  <c r="M123" i="12"/>
  <c r="N123" i="12"/>
  <c r="O123" i="12"/>
  <c r="E124" i="12"/>
  <c r="G124" i="12"/>
  <c r="H124" i="12"/>
  <c r="I124" i="12"/>
  <c r="J124" i="12"/>
  <c r="K124" i="12"/>
  <c r="M124" i="12"/>
  <c r="O124" i="12"/>
  <c r="D125" i="12"/>
  <c r="E125" i="12"/>
  <c r="F125" i="12"/>
  <c r="G125" i="12"/>
  <c r="I125" i="12"/>
  <c r="K125" i="12"/>
  <c r="L125" i="12"/>
  <c r="M125" i="12"/>
  <c r="N125" i="12"/>
  <c r="O125" i="12"/>
  <c r="E126" i="12"/>
  <c r="G126" i="12"/>
  <c r="H126" i="12"/>
  <c r="I126" i="12"/>
  <c r="J126" i="12"/>
  <c r="K126" i="12"/>
  <c r="M126" i="12"/>
  <c r="O126" i="12"/>
  <c r="E127" i="12"/>
  <c r="M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H138" i="12" s="1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E138" i="12"/>
  <c r="K138" i="12"/>
  <c r="L138" i="12"/>
  <c r="M138" i="12"/>
  <c r="D109" i="13"/>
  <c r="E109" i="13"/>
  <c r="F109" i="13"/>
  <c r="F120" i="13" s="1"/>
  <c r="G109" i="13"/>
  <c r="H109" i="13"/>
  <c r="I109" i="13"/>
  <c r="J109" i="13"/>
  <c r="K109" i="13"/>
  <c r="L109" i="13"/>
  <c r="M109" i="13"/>
  <c r="N109" i="13"/>
  <c r="N120" i="13" s="1"/>
  <c r="O109" i="13"/>
  <c r="D110" i="13"/>
  <c r="E110" i="13"/>
  <c r="F110" i="13"/>
  <c r="F121" i="13" s="1"/>
  <c r="G110" i="13"/>
  <c r="H110" i="13"/>
  <c r="I110" i="13"/>
  <c r="J110" i="13"/>
  <c r="J121" i="13" s="1"/>
  <c r="K110" i="13"/>
  <c r="L110" i="13"/>
  <c r="L121" i="13" s="1"/>
  <c r="M110" i="13"/>
  <c r="N110" i="13"/>
  <c r="O110" i="13"/>
  <c r="D111" i="13"/>
  <c r="E111" i="13"/>
  <c r="F111" i="13"/>
  <c r="F122" i="13" s="1"/>
  <c r="G111" i="13"/>
  <c r="H111" i="13"/>
  <c r="I111" i="13"/>
  <c r="J111" i="13"/>
  <c r="J122" i="13" s="1"/>
  <c r="K111" i="13"/>
  <c r="L111" i="13"/>
  <c r="M111" i="13"/>
  <c r="N111" i="13"/>
  <c r="N122" i="13" s="1"/>
  <c r="O111" i="13"/>
  <c r="O122" i="13" s="1"/>
  <c r="D112" i="13"/>
  <c r="E112" i="13"/>
  <c r="F112" i="13"/>
  <c r="G112" i="13"/>
  <c r="H112" i="13"/>
  <c r="I112" i="13"/>
  <c r="J112" i="13"/>
  <c r="J123" i="13" s="1"/>
  <c r="K112" i="13"/>
  <c r="L112" i="13"/>
  <c r="L123" i="13" s="1"/>
  <c r="M112" i="13"/>
  <c r="N112" i="13"/>
  <c r="O112" i="13"/>
  <c r="D113" i="13"/>
  <c r="E113" i="13"/>
  <c r="F113" i="13"/>
  <c r="F124" i="13" s="1"/>
  <c r="G113" i="13"/>
  <c r="G124" i="13" s="1"/>
  <c r="H113" i="13"/>
  <c r="H124" i="13" s="1"/>
  <c r="I113" i="13"/>
  <c r="I124" i="13" s="1"/>
  <c r="J113" i="13"/>
  <c r="K113" i="13"/>
  <c r="L113" i="13"/>
  <c r="M113" i="13"/>
  <c r="N113" i="13"/>
  <c r="N124" i="13" s="1"/>
  <c r="O113" i="13"/>
  <c r="D114" i="13"/>
  <c r="D125" i="13" s="1"/>
  <c r="E114" i="13"/>
  <c r="F114" i="13"/>
  <c r="F125" i="13" s="1"/>
  <c r="G114" i="13"/>
  <c r="H114" i="13"/>
  <c r="I114" i="13"/>
  <c r="J114" i="13"/>
  <c r="J125" i="13" s="1"/>
  <c r="K114" i="13"/>
  <c r="L114" i="13"/>
  <c r="L125" i="13" s="1"/>
  <c r="M114" i="13"/>
  <c r="M125" i="13" s="1"/>
  <c r="N114" i="13"/>
  <c r="O114" i="13"/>
  <c r="D115" i="13"/>
  <c r="E115" i="13"/>
  <c r="F115" i="13"/>
  <c r="F126" i="13" s="1"/>
  <c r="G115" i="13"/>
  <c r="G126" i="13" s="1"/>
  <c r="H115" i="13"/>
  <c r="I115" i="13"/>
  <c r="J115" i="13"/>
  <c r="J126" i="13" s="1"/>
  <c r="K115" i="13"/>
  <c r="L115" i="13"/>
  <c r="L126" i="13" s="1"/>
  <c r="M115" i="13"/>
  <c r="N115" i="13"/>
  <c r="N126" i="13" s="1"/>
  <c r="O115" i="13"/>
  <c r="D116" i="13"/>
  <c r="E116" i="13"/>
  <c r="F116" i="13"/>
  <c r="J116" i="13"/>
  <c r="N116" i="13"/>
  <c r="D120" i="13"/>
  <c r="E120" i="13"/>
  <c r="G120" i="13"/>
  <c r="J120" i="13"/>
  <c r="J127" i="13" s="1"/>
  <c r="K120" i="13"/>
  <c r="L120" i="13"/>
  <c r="M120" i="13"/>
  <c r="D121" i="13"/>
  <c r="E121" i="13"/>
  <c r="G121" i="13"/>
  <c r="H121" i="13"/>
  <c r="I121" i="13"/>
  <c r="K121" i="13"/>
  <c r="N121" i="13"/>
  <c r="O121" i="13"/>
  <c r="D122" i="13"/>
  <c r="E122" i="13"/>
  <c r="G122" i="13"/>
  <c r="H122" i="13"/>
  <c r="I122" i="13"/>
  <c r="K122" i="13"/>
  <c r="L122" i="13"/>
  <c r="M122" i="13"/>
  <c r="D123" i="13"/>
  <c r="E123" i="13"/>
  <c r="F123" i="13"/>
  <c r="G123" i="13"/>
  <c r="H123" i="13"/>
  <c r="I123" i="13"/>
  <c r="K123" i="13"/>
  <c r="M123" i="13"/>
  <c r="N123" i="13"/>
  <c r="O123" i="13"/>
  <c r="D124" i="13"/>
  <c r="E124" i="13"/>
  <c r="J124" i="13"/>
  <c r="K124" i="13"/>
  <c r="L124" i="13"/>
  <c r="M124" i="13"/>
  <c r="O124" i="13"/>
  <c r="E125" i="13"/>
  <c r="G125" i="13"/>
  <c r="H125" i="13"/>
  <c r="I125" i="13"/>
  <c r="K125" i="13"/>
  <c r="N125" i="13"/>
  <c r="O125" i="13"/>
  <c r="D126" i="13"/>
  <c r="E126" i="13"/>
  <c r="H126" i="13"/>
  <c r="I126" i="13"/>
  <c r="K126" i="13"/>
  <c r="M126" i="13"/>
  <c r="O126" i="13"/>
  <c r="E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E138" i="13"/>
  <c r="F138" i="13"/>
  <c r="K138" i="13"/>
  <c r="M138" i="13"/>
  <c r="AZ14" i="14"/>
  <c r="AY259" i="14" s="1"/>
  <c r="AY181" i="14"/>
  <c r="AY179" i="14"/>
  <c r="AY177" i="14"/>
  <c r="AY175" i="14"/>
  <c r="AX259" i="14"/>
  <c r="AY14" i="14"/>
  <c r="AX181" i="14"/>
  <c r="AX179" i="14"/>
  <c r="AX177" i="14"/>
  <c r="AX175" i="14"/>
  <c r="AW260" i="14"/>
  <c r="AX14" i="14"/>
  <c r="AW259" i="14" s="1"/>
  <c r="AW181" i="14"/>
  <c r="AW179" i="14"/>
  <c r="AW177" i="14"/>
  <c r="AW175" i="14"/>
  <c r="AV260" i="14"/>
  <c r="AV259" i="14"/>
  <c r="AW14" i="14"/>
  <c r="AV181" i="14"/>
  <c r="AV179" i="14"/>
  <c r="AV177" i="14"/>
  <c r="AV175" i="14"/>
  <c r="AV14" i="14"/>
  <c r="AU259" i="14" s="1"/>
  <c r="AU181" i="14"/>
  <c r="AU179" i="14"/>
  <c r="AU177" i="14"/>
  <c r="AU175" i="14"/>
  <c r="AU260" i="14" s="1"/>
  <c r="AT259" i="14"/>
  <c r="AU14" i="14"/>
  <c r="AT181" i="14"/>
  <c r="AT179" i="14"/>
  <c r="AT177" i="14"/>
  <c r="AT175" i="14"/>
  <c r="AT14" i="14"/>
  <c r="AS259" i="14" s="1"/>
  <c r="AS181" i="14"/>
  <c r="AS179" i="14"/>
  <c r="AS177" i="14"/>
  <c r="AS175" i="14"/>
  <c r="AS14" i="14"/>
  <c r="AR259" i="14" s="1"/>
  <c r="AR181" i="14"/>
  <c r="AR179" i="14"/>
  <c r="AR177" i="14"/>
  <c r="AR175" i="14"/>
  <c r="AR14" i="14"/>
  <c r="AQ259" i="14" s="1"/>
  <c r="AQ181" i="14"/>
  <c r="AQ179" i="14"/>
  <c r="AQ260" i="14" s="1"/>
  <c r="AQ177" i="14"/>
  <c r="AQ175" i="14"/>
  <c r="AP259" i="14"/>
  <c r="AQ14" i="14"/>
  <c r="AP181" i="14"/>
  <c r="AP179" i="14"/>
  <c r="AP177" i="14"/>
  <c r="AP175" i="14"/>
  <c r="AP260" i="14" s="1"/>
  <c r="AP14" i="14"/>
  <c r="AO259" i="14" s="1"/>
  <c r="AO181" i="14"/>
  <c r="AO179" i="14"/>
  <c r="AO177" i="14"/>
  <c r="AO175" i="14"/>
  <c r="AN259" i="14"/>
  <c r="AO14" i="14"/>
  <c r="AN181" i="14"/>
  <c r="AN179" i="14"/>
  <c r="AN177" i="14"/>
  <c r="AN175" i="14"/>
  <c r="AM259" i="14"/>
  <c r="AN14" i="14"/>
  <c r="AM181" i="14"/>
  <c r="AM179" i="14"/>
  <c r="AM177" i="14"/>
  <c r="AM175" i="14"/>
  <c r="AM14" i="14"/>
  <c r="AL259" i="14" s="1"/>
  <c r="AL181" i="14"/>
  <c r="AL179" i="14"/>
  <c r="AL177" i="14"/>
  <c r="AL260" i="14" s="1"/>
  <c r="AL175" i="14"/>
  <c r="AK260" i="14"/>
  <c r="AL14" i="14"/>
  <c r="AK259" i="14" s="1"/>
  <c r="AK181" i="14"/>
  <c r="AK179" i="14"/>
  <c r="AK177" i="14"/>
  <c r="AK175" i="14"/>
  <c r="AK14" i="14"/>
  <c r="AJ259" i="14" s="1"/>
  <c r="AJ181" i="14"/>
  <c r="AJ179" i="14"/>
  <c r="AJ177" i="14"/>
  <c r="AJ175" i="14"/>
  <c r="AJ14" i="14"/>
  <c r="AI259" i="14" s="1"/>
  <c r="AI181" i="14"/>
  <c r="AI179" i="14"/>
  <c r="AI177" i="14"/>
  <c r="AI175" i="14"/>
  <c r="AH259" i="14"/>
  <c r="AI14" i="14"/>
  <c r="AH181" i="14"/>
  <c r="AH179" i="14"/>
  <c r="AH177" i="14"/>
  <c r="AH175" i="14"/>
  <c r="AH14" i="14"/>
  <c r="AG259" i="14" s="1"/>
  <c r="AG181" i="14"/>
  <c r="AG179" i="14"/>
  <c r="AG177" i="14"/>
  <c r="AG175" i="14"/>
  <c r="AG260" i="14" s="1"/>
  <c r="AF260" i="14"/>
  <c r="AF259" i="14"/>
  <c r="AG14" i="14"/>
  <c r="AF181" i="14"/>
  <c r="AF179" i="14"/>
  <c r="AF177" i="14"/>
  <c r="AF175" i="14"/>
  <c r="AE260" i="14"/>
  <c r="AE259" i="14"/>
  <c r="AF14" i="14"/>
  <c r="AE181" i="14"/>
  <c r="AE179" i="14"/>
  <c r="AE177" i="14"/>
  <c r="AE175" i="14"/>
  <c r="AE14" i="14"/>
  <c r="AD259" i="14" s="1"/>
  <c r="AD181" i="14"/>
  <c r="AD179" i="14"/>
  <c r="AD177" i="14"/>
  <c r="AD175" i="14"/>
  <c r="AC260" i="14"/>
  <c r="AD14" i="14"/>
  <c r="AC259" i="14" s="1"/>
  <c r="AC181" i="14"/>
  <c r="AC179" i="14"/>
  <c r="AC177" i="14"/>
  <c r="AC175" i="14"/>
  <c r="AB259" i="14"/>
  <c r="AC14" i="14"/>
  <c r="AB181" i="14"/>
  <c r="AB179" i="14"/>
  <c r="AB177" i="14"/>
  <c r="AB175" i="14"/>
  <c r="AA260" i="14"/>
  <c r="AB14" i="14"/>
  <c r="AA259" i="14" s="1"/>
  <c r="AA181" i="14"/>
  <c r="AA179" i="14"/>
  <c r="AA177" i="14"/>
  <c r="AA175" i="14"/>
  <c r="Z259" i="14"/>
  <c r="AA14" i="14"/>
  <c r="Z181" i="14"/>
  <c r="Z179" i="14"/>
  <c r="Z177" i="14"/>
  <c r="Z175" i="14"/>
  <c r="Z14" i="14"/>
  <c r="Y259" i="14" s="1"/>
  <c r="Y181" i="14"/>
  <c r="Y179" i="14"/>
  <c r="Y177" i="14"/>
  <c r="Y175" i="14"/>
  <c r="Y260" i="14" s="1"/>
  <c r="X259" i="14"/>
  <c r="Y14" i="14"/>
  <c r="X181" i="14"/>
  <c r="X179" i="14"/>
  <c r="X177" i="14"/>
  <c r="X175" i="14"/>
  <c r="X14" i="14"/>
  <c r="W259" i="14" s="1"/>
  <c r="W181" i="14"/>
  <c r="W179" i="14"/>
  <c r="W177" i="14"/>
  <c r="W175" i="14"/>
  <c r="W260" i="14" s="1"/>
  <c r="V260" i="14"/>
  <c r="V259" i="14"/>
  <c r="W14" i="14"/>
  <c r="V181" i="14"/>
  <c r="V179" i="14"/>
  <c r="V177" i="14"/>
  <c r="V175" i="14"/>
  <c r="U260" i="14"/>
  <c r="U259" i="14"/>
  <c r="V14" i="14"/>
  <c r="U181" i="14"/>
  <c r="U179" i="14"/>
  <c r="U177" i="14"/>
  <c r="U175" i="14"/>
  <c r="U14" i="14"/>
  <c r="T259" i="14" s="1"/>
  <c r="T181" i="14"/>
  <c r="T179" i="14"/>
  <c r="T177" i="14"/>
  <c r="T175" i="14"/>
  <c r="T14" i="14"/>
  <c r="S259" i="14" s="1"/>
  <c r="S181" i="14"/>
  <c r="S179" i="14"/>
  <c r="S177" i="14"/>
  <c r="S175" i="14"/>
  <c r="S260" i="14" s="1"/>
  <c r="R259" i="14"/>
  <c r="S14" i="14"/>
  <c r="R181" i="14"/>
  <c r="R179" i="14"/>
  <c r="R177" i="14"/>
  <c r="R175" i="14"/>
  <c r="Q260" i="14"/>
  <c r="R14" i="14"/>
  <c r="Q259" i="14" s="1"/>
  <c r="Q181" i="14"/>
  <c r="Q179" i="14"/>
  <c r="Q177" i="14"/>
  <c r="Q175" i="14"/>
  <c r="P259" i="14"/>
  <c r="Q14" i="14"/>
  <c r="P181" i="14"/>
  <c r="P260" i="14" s="1"/>
  <c r="P179" i="14"/>
  <c r="P177" i="14"/>
  <c r="P175" i="14"/>
  <c r="P14" i="14"/>
  <c r="O259" i="14" s="1"/>
  <c r="O181" i="14"/>
  <c r="O179" i="14"/>
  <c r="O177" i="14"/>
  <c r="O175" i="14"/>
  <c r="N259" i="14"/>
  <c r="O14" i="14"/>
  <c r="N181" i="14"/>
  <c r="N179" i="14"/>
  <c r="N177" i="14"/>
  <c r="N260" i="14" s="1"/>
  <c r="N175" i="14"/>
  <c r="M260" i="14"/>
  <c r="N14" i="14"/>
  <c r="M259" i="14" s="1"/>
  <c r="M181" i="14"/>
  <c r="M179" i="14"/>
  <c r="M177" i="14"/>
  <c r="M175" i="14"/>
  <c r="L259" i="14"/>
  <c r="M14" i="14"/>
  <c r="L181" i="14"/>
  <c r="L179" i="14"/>
  <c r="L177" i="14"/>
  <c r="L175" i="14"/>
  <c r="L14" i="14"/>
  <c r="K259" i="14" s="1"/>
  <c r="K181" i="14"/>
  <c r="K179" i="14"/>
  <c r="K260" i="14" s="1"/>
  <c r="K177" i="14"/>
  <c r="K175" i="14"/>
  <c r="J259" i="14"/>
  <c r="K14" i="14"/>
  <c r="J181" i="14"/>
  <c r="J179" i="14"/>
  <c r="J177" i="14"/>
  <c r="J175" i="14"/>
  <c r="J14" i="14"/>
  <c r="I259" i="14" s="1"/>
  <c r="I181" i="14"/>
  <c r="I179" i="14"/>
  <c r="I177" i="14"/>
  <c r="I175" i="14"/>
  <c r="H259" i="14"/>
  <c r="I14" i="14"/>
  <c r="H181" i="14"/>
  <c r="H179" i="14"/>
  <c r="H177" i="14"/>
  <c r="H260" i="14" s="1"/>
  <c r="H175" i="14"/>
  <c r="H14" i="14"/>
  <c r="G259" i="14" s="1"/>
  <c r="G181" i="14"/>
  <c r="G179" i="14"/>
  <c r="G177" i="14"/>
  <c r="G175" i="14"/>
  <c r="F259" i="14"/>
  <c r="G14" i="14"/>
  <c r="F181" i="14"/>
  <c r="F179" i="14"/>
  <c r="F177" i="14"/>
  <c r="F175" i="14"/>
  <c r="F14" i="14"/>
  <c r="E259" i="14" s="1"/>
  <c r="E181" i="14"/>
  <c r="E179" i="14"/>
  <c r="E177" i="14"/>
  <c r="E175" i="14"/>
  <c r="E14" i="14"/>
  <c r="D181" i="14"/>
  <c r="D179" i="14"/>
  <c r="D177" i="14"/>
  <c r="D175" i="14"/>
  <c r="D260" i="14" s="1"/>
  <c r="AZ14" i="15"/>
  <c r="AY259" i="15" s="1"/>
  <c r="AY181" i="15"/>
  <c r="AY179" i="15"/>
  <c r="AY177" i="15"/>
  <c r="AY175" i="15"/>
  <c r="AX259" i="15"/>
  <c r="AY14" i="15"/>
  <c r="AX181" i="15"/>
  <c r="AX179" i="15"/>
  <c r="AX177" i="15"/>
  <c r="AX175" i="15"/>
  <c r="AW260" i="15"/>
  <c r="AX14" i="15"/>
  <c r="AW259" i="15" s="1"/>
  <c r="AW181" i="15"/>
  <c r="AW179" i="15"/>
  <c r="AW177" i="15"/>
  <c r="AW175" i="15"/>
  <c r="AV259" i="15"/>
  <c r="AW14" i="15"/>
  <c r="AV181" i="15"/>
  <c r="AV179" i="15"/>
  <c r="AV177" i="15"/>
  <c r="AV260" i="15" s="1"/>
  <c r="AV175" i="15"/>
  <c r="AU259" i="15"/>
  <c r="AV14" i="15"/>
  <c r="AU181" i="15"/>
  <c r="AU179" i="15"/>
  <c r="AU177" i="15"/>
  <c r="AU175" i="15"/>
  <c r="AU260" i="15" s="1"/>
  <c r="AT259" i="15"/>
  <c r="AU14" i="15"/>
  <c r="AT181" i="15"/>
  <c r="AT179" i="15"/>
  <c r="AT177" i="15"/>
  <c r="AT260" i="15" s="1"/>
  <c r="AT175" i="15"/>
  <c r="AT14" i="15"/>
  <c r="AS259" i="15" s="1"/>
  <c r="AS181" i="15"/>
  <c r="AS179" i="15"/>
  <c r="AS177" i="15"/>
  <c r="AS175" i="15"/>
  <c r="AR259" i="15"/>
  <c r="AS14" i="15"/>
  <c r="AR181" i="15"/>
  <c r="AR179" i="15"/>
  <c r="AR177" i="15"/>
  <c r="AR175" i="15"/>
  <c r="AQ260" i="15"/>
  <c r="AR14" i="15"/>
  <c r="AQ259" i="15" s="1"/>
  <c r="AQ181" i="15"/>
  <c r="AQ179" i="15"/>
  <c r="AQ177" i="15"/>
  <c r="AQ175" i="15"/>
  <c r="AP259" i="15"/>
  <c r="AQ14" i="15"/>
  <c r="AP181" i="15"/>
  <c r="AP179" i="15"/>
  <c r="AP177" i="15"/>
  <c r="AP175" i="15"/>
  <c r="AP14" i="15"/>
  <c r="AO259" i="15" s="1"/>
  <c r="AO181" i="15"/>
  <c r="AO179" i="15"/>
  <c r="AO177" i="15"/>
  <c r="AO175" i="15"/>
  <c r="AN259" i="15"/>
  <c r="AO14" i="15"/>
  <c r="AN181" i="15"/>
  <c r="AN179" i="15"/>
  <c r="AN177" i="15"/>
  <c r="AN175" i="15"/>
  <c r="AN14" i="15"/>
  <c r="AM259" i="15" s="1"/>
  <c r="AM181" i="15"/>
  <c r="AM179" i="15"/>
  <c r="AM260" i="15" s="1"/>
  <c r="AM177" i="15"/>
  <c r="AM175" i="15"/>
  <c r="AL259" i="15"/>
  <c r="AM14" i="15"/>
  <c r="AL181" i="15"/>
  <c r="AL179" i="15"/>
  <c r="AL177" i="15"/>
  <c r="AL175" i="15"/>
  <c r="AK259" i="15"/>
  <c r="AL14" i="15"/>
  <c r="AK181" i="15"/>
  <c r="AK179" i="15"/>
  <c r="AK177" i="15"/>
  <c r="AK175" i="15"/>
  <c r="AJ259" i="15"/>
  <c r="AK14" i="15"/>
  <c r="AJ181" i="15"/>
  <c r="AJ179" i="15"/>
  <c r="AJ177" i="15"/>
  <c r="AJ175" i="15"/>
  <c r="AJ14" i="15"/>
  <c r="AI259" i="15" s="1"/>
  <c r="AI181" i="15"/>
  <c r="AI179" i="15"/>
  <c r="AI177" i="15"/>
  <c r="AI175" i="15"/>
  <c r="AH259" i="15"/>
  <c r="AI14" i="15"/>
  <c r="AH181" i="15"/>
  <c r="AH179" i="15"/>
  <c r="AH177" i="15"/>
  <c r="AH175" i="15"/>
  <c r="AH260" i="15" s="1"/>
  <c r="AG260" i="15"/>
  <c r="AH14" i="15"/>
  <c r="AG259" i="15" s="1"/>
  <c r="AG181" i="15"/>
  <c r="AG179" i="15"/>
  <c r="AG177" i="15"/>
  <c r="AG175" i="15"/>
  <c r="AF259" i="15"/>
  <c r="AG14" i="15"/>
  <c r="AF181" i="15"/>
  <c r="AF260" i="15" s="1"/>
  <c r="AF179" i="15"/>
  <c r="AF177" i="15"/>
  <c r="AF175" i="15"/>
  <c r="AE259" i="15"/>
  <c r="AF14" i="15"/>
  <c r="AE181" i="15"/>
  <c r="AE179" i="15"/>
  <c r="AE177" i="15"/>
  <c r="AE175" i="15"/>
  <c r="AD259" i="15"/>
  <c r="AE14" i="15"/>
  <c r="AD181" i="15"/>
  <c r="AD179" i="15"/>
  <c r="AD177" i="15"/>
  <c r="AD260" i="15" s="1"/>
  <c r="AD175" i="15"/>
  <c r="AC260" i="15"/>
  <c r="AD14" i="15"/>
  <c r="AC259" i="15" s="1"/>
  <c r="AC181" i="15"/>
  <c r="AC179" i="15"/>
  <c r="AC177" i="15"/>
  <c r="AC175" i="15"/>
  <c r="AB259" i="15"/>
  <c r="AC14" i="15"/>
  <c r="AB181" i="15"/>
  <c r="AB179" i="15"/>
  <c r="AB177" i="15"/>
  <c r="AB175" i="15"/>
  <c r="AB14" i="15"/>
  <c r="AA259" i="15" s="1"/>
  <c r="AA181" i="15"/>
  <c r="AA260" i="15" s="1"/>
  <c r="AA179" i="15"/>
  <c r="AA177" i="15"/>
  <c r="AA175" i="15"/>
  <c r="Z259" i="15"/>
  <c r="AA14" i="15"/>
  <c r="Z181" i="15"/>
  <c r="Z179" i="15"/>
  <c r="Z177" i="15"/>
  <c r="Z175" i="15"/>
  <c r="Y259" i="15"/>
  <c r="Z14" i="15"/>
  <c r="Y181" i="15"/>
  <c r="Y179" i="15"/>
  <c r="Y177" i="15"/>
  <c r="Y175" i="15"/>
  <c r="X259" i="15"/>
  <c r="Y14" i="15"/>
  <c r="X181" i="15"/>
  <c r="X179" i="15"/>
  <c r="X177" i="15"/>
  <c r="X175" i="15"/>
  <c r="X260" i="15" s="1"/>
  <c r="W260" i="15"/>
  <c r="X14" i="15"/>
  <c r="W259" i="15" s="1"/>
  <c r="W181" i="15"/>
  <c r="W179" i="15"/>
  <c r="W177" i="15"/>
  <c r="W175" i="15"/>
  <c r="V259" i="15"/>
  <c r="W14" i="15"/>
  <c r="V181" i="15"/>
  <c r="V260" i="15" s="1"/>
  <c r="V179" i="15"/>
  <c r="V177" i="15"/>
  <c r="V175" i="15"/>
  <c r="V14" i="15"/>
  <c r="U259" i="15" s="1"/>
  <c r="U181" i="15"/>
  <c r="U179" i="15"/>
  <c r="U177" i="15"/>
  <c r="U175" i="15"/>
  <c r="T259" i="15"/>
  <c r="U14" i="15"/>
  <c r="T181" i="15"/>
  <c r="T179" i="15"/>
  <c r="T177" i="15"/>
  <c r="T175" i="15"/>
  <c r="T260" i="15" s="1"/>
  <c r="S260" i="15"/>
  <c r="T14" i="15"/>
  <c r="S259" i="15" s="1"/>
  <c r="S181" i="15"/>
  <c r="S179" i="15"/>
  <c r="S177" i="15"/>
  <c r="S175" i="15"/>
  <c r="R259" i="15"/>
  <c r="S14" i="15"/>
  <c r="R181" i="15"/>
  <c r="R179" i="15"/>
  <c r="R177" i="15"/>
  <c r="R175" i="15"/>
  <c r="R14" i="15"/>
  <c r="Q259" i="15" s="1"/>
  <c r="Q181" i="15"/>
  <c r="Q179" i="15"/>
  <c r="Q177" i="15"/>
  <c r="Q260" i="15" s="1"/>
  <c r="Q175" i="15"/>
  <c r="P259" i="15"/>
  <c r="Q14" i="15"/>
  <c r="P181" i="15"/>
  <c r="P179" i="15"/>
  <c r="P177" i="15"/>
  <c r="P175" i="15"/>
  <c r="P260" i="15" s="1"/>
  <c r="O259" i="15"/>
  <c r="P14" i="15"/>
  <c r="O181" i="15"/>
  <c r="O179" i="15"/>
  <c r="O177" i="15"/>
  <c r="O175" i="15"/>
  <c r="N260" i="15"/>
  <c r="O14" i="15"/>
  <c r="N259" i="15" s="1"/>
  <c r="N181" i="15"/>
  <c r="N179" i="15"/>
  <c r="N177" i="15"/>
  <c r="N175" i="15"/>
  <c r="M259" i="15"/>
  <c r="N14" i="15"/>
  <c r="M181" i="15"/>
  <c r="M260" i="15" s="1"/>
  <c r="M179" i="15"/>
  <c r="M177" i="15"/>
  <c r="M175" i="15"/>
  <c r="L259" i="15"/>
  <c r="AZ259" i="15" s="1"/>
  <c r="M14" i="15"/>
  <c r="L181" i="15"/>
  <c r="L179" i="15"/>
  <c r="L177" i="15"/>
  <c r="L175" i="15"/>
  <c r="L14" i="15"/>
  <c r="K259" i="15" s="1"/>
  <c r="K181" i="15"/>
  <c r="K179" i="15"/>
  <c r="K177" i="15"/>
  <c r="K175" i="15"/>
  <c r="J259" i="15"/>
  <c r="K14" i="15"/>
  <c r="J181" i="15"/>
  <c r="J179" i="15"/>
  <c r="J177" i="15"/>
  <c r="J175" i="15"/>
  <c r="J260" i="15" s="1"/>
  <c r="J14" i="15"/>
  <c r="I259" i="15" s="1"/>
  <c r="I181" i="15"/>
  <c r="I179" i="15"/>
  <c r="I260" i="15" s="1"/>
  <c r="I177" i="15"/>
  <c r="I175" i="15"/>
  <c r="H259" i="15"/>
  <c r="I14" i="15"/>
  <c r="H181" i="15"/>
  <c r="H179" i="15"/>
  <c r="H177" i="15"/>
  <c r="H175" i="15"/>
  <c r="H14" i="15"/>
  <c r="G259" i="15" s="1"/>
  <c r="G181" i="15"/>
  <c r="G179" i="15"/>
  <c r="G260" i="15" s="1"/>
  <c r="G177" i="15"/>
  <c r="G175" i="15"/>
  <c r="G14" i="15"/>
  <c r="F259" i="15" s="1"/>
  <c r="F181" i="15"/>
  <c r="F179" i="15"/>
  <c r="F177" i="15"/>
  <c r="F260" i="15" s="1"/>
  <c r="F175" i="15"/>
  <c r="E260" i="15"/>
  <c r="F14" i="15"/>
  <c r="E259" i="15" s="1"/>
  <c r="E181" i="15"/>
  <c r="E179" i="15"/>
  <c r="E177" i="15"/>
  <c r="E175" i="15"/>
  <c r="E14" i="15"/>
  <c r="D259" i="15" s="1"/>
  <c r="D181" i="15"/>
  <c r="D179" i="15"/>
  <c r="D177" i="15"/>
  <c r="D175" i="15"/>
  <c r="AY14" i="16"/>
  <c r="AY10" i="16" s="1"/>
  <c r="AY13" i="16" s="1"/>
  <c r="AY15" i="16"/>
  <c r="AY16" i="16"/>
  <c r="AY17" i="16"/>
  <c r="AY29" i="16"/>
  <c r="AX15" i="16"/>
  <c r="AX21" i="16"/>
  <c r="AX44" i="16" s="1"/>
  <c r="AX22" i="16"/>
  <c r="AX45" i="16" s="1"/>
  <c r="AX23" i="16"/>
  <c r="AX24" i="16"/>
  <c r="AX29" i="16"/>
  <c r="AX33" i="16"/>
  <c r="AX34" i="16"/>
  <c r="AX40" i="16"/>
  <c r="AX46" i="16"/>
  <c r="AX50" i="16"/>
  <c r="AX51" i="16"/>
  <c r="AW14" i="16"/>
  <c r="AW17" i="16"/>
  <c r="AW21" i="16"/>
  <c r="AW44" i="16" s="1"/>
  <c r="AW22" i="16"/>
  <c r="AW23" i="16"/>
  <c r="AW29" i="16"/>
  <c r="AW33" i="16"/>
  <c r="AW39" i="16"/>
  <c r="AW50" i="16"/>
  <c r="AV14" i="16"/>
  <c r="AW15" i="16" s="1"/>
  <c r="AX16" i="16" s="1"/>
  <c r="AV15" i="16"/>
  <c r="AV10" i="16" s="1"/>
  <c r="AV13" i="16" s="1"/>
  <c r="AV16" i="16"/>
  <c r="AV17" i="16"/>
  <c r="AV29" i="16"/>
  <c r="AU14" i="16"/>
  <c r="AU15" i="16"/>
  <c r="AU10" i="16" s="1"/>
  <c r="AU16" i="16"/>
  <c r="AU13" i="16"/>
  <c r="AU17" i="16"/>
  <c r="AU29" i="16"/>
  <c r="AT14" i="16"/>
  <c r="AT10" i="16" s="1"/>
  <c r="AT15" i="16"/>
  <c r="AT16" i="16"/>
  <c r="AT13" i="16"/>
  <c r="AT17" i="16"/>
  <c r="AT29" i="16"/>
  <c r="AS14" i="16"/>
  <c r="AS10" i="16" s="1"/>
  <c r="AS15" i="16"/>
  <c r="AS16" i="16"/>
  <c r="AS13" i="16"/>
  <c r="AS17" i="16"/>
  <c r="AS29" i="16"/>
  <c r="AR14" i="16"/>
  <c r="AR15" i="16"/>
  <c r="AR10" i="16" s="1"/>
  <c r="AR13" i="16" s="1"/>
  <c r="AR16" i="16"/>
  <c r="AR17" i="16"/>
  <c r="AR29" i="16"/>
  <c r="AQ16" i="16"/>
  <c r="AQ13" i="16"/>
  <c r="AQ17" i="16"/>
  <c r="AQ21" i="16"/>
  <c r="AQ22" i="16"/>
  <c r="AQ23" i="16"/>
  <c r="AQ29" i="16"/>
  <c r="AQ33" i="16"/>
  <c r="AQ39" i="16"/>
  <c r="AQ44" i="16"/>
  <c r="AP14" i="16"/>
  <c r="AQ15" i="16" s="1"/>
  <c r="AP15" i="16"/>
  <c r="AP16" i="16"/>
  <c r="AP10" i="16"/>
  <c r="AP13" i="16" s="1"/>
  <c r="AQ14" i="16" s="1"/>
  <c r="AQ10" i="16" s="1"/>
  <c r="AP17" i="16"/>
  <c r="AP29" i="16"/>
  <c r="AO14" i="16"/>
  <c r="AO10" i="16" s="1"/>
  <c r="AO13" i="16" s="1"/>
  <c r="AO15" i="16"/>
  <c r="AO16" i="16"/>
  <c r="AO17" i="16"/>
  <c r="AO29" i="16"/>
  <c r="AN16" i="16"/>
  <c r="AN17" i="16"/>
  <c r="AN21" i="16"/>
  <c r="AN22" i="16"/>
  <c r="AN34" i="16" s="1"/>
  <c r="AN40" i="16" s="1"/>
  <c r="AN24" i="16"/>
  <c r="AN29" i="16"/>
  <c r="AN44" i="16"/>
  <c r="AN46" i="16" s="1"/>
  <c r="AN45" i="16"/>
  <c r="AN51" i="16" s="1"/>
  <c r="AN50" i="16"/>
  <c r="AM14" i="16"/>
  <c r="AM15" i="16"/>
  <c r="AM16" i="16"/>
  <c r="AM17" i="16"/>
  <c r="AM29" i="16"/>
  <c r="AL15" i="16"/>
  <c r="AL16" i="16"/>
  <c r="AL17" i="16"/>
  <c r="AL21" i="16"/>
  <c r="AL22" i="16"/>
  <c r="AL23" i="16"/>
  <c r="AL29" i="16"/>
  <c r="AL33" i="16"/>
  <c r="AL44" i="16"/>
  <c r="AL45" i="16"/>
  <c r="AL51" i="16" s="1"/>
  <c r="AK14" i="16"/>
  <c r="AK15" i="16"/>
  <c r="AK16" i="16"/>
  <c r="AK10" i="16"/>
  <c r="AK13" i="16"/>
  <c r="AL14" i="16" s="1"/>
  <c r="AK17" i="16"/>
  <c r="AK29" i="16"/>
  <c r="AJ14" i="16"/>
  <c r="AJ15" i="16"/>
  <c r="AJ16" i="16"/>
  <c r="AJ10" i="16"/>
  <c r="AJ13" i="16" s="1"/>
  <c r="AJ17" i="16"/>
  <c r="AJ29" i="16"/>
  <c r="AI14" i="16"/>
  <c r="AI10" i="16" s="1"/>
  <c r="AI15" i="16"/>
  <c r="AI16" i="16"/>
  <c r="AI13" i="16"/>
  <c r="AI17" i="16"/>
  <c r="AI29" i="16"/>
  <c r="AH14" i="16"/>
  <c r="AH15" i="16"/>
  <c r="AH16" i="16"/>
  <c r="AH10" i="16"/>
  <c r="AH13" i="16" s="1"/>
  <c r="AH17" i="16"/>
  <c r="AH29" i="16"/>
  <c r="AG14" i="16"/>
  <c r="AG10" i="16" s="1"/>
  <c r="AG13" i="16" s="1"/>
  <c r="AG15" i="16"/>
  <c r="AG16" i="16"/>
  <c r="AG17" i="16"/>
  <c r="AG29" i="16"/>
  <c r="AF14" i="16"/>
  <c r="AF15" i="16"/>
  <c r="AF10" i="16" s="1"/>
  <c r="AF13" i="16" s="1"/>
  <c r="AF16" i="16"/>
  <c r="AF17" i="16"/>
  <c r="AF29" i="16"/>
  <c r="AE14" i="16"/>
  <c r="AE10" i="16" s="1"/>
  <c r="AE13" i="16" s="1"/>
  <c r="AE15" i="16"/>
  <c r="AE16" i="16"/>
  <c r="AE17" i="16"/>
  <c r="AE29" i="16"/>
  <c r="AD14" i="16"/>
  <c r="AD15" i="16"/>
  <c r="AD16" i="16"/>
  <c r="AD10" i="16"/>
  <c r="AD13" i="16" s="1"/>
  <c r="AD17" i="16"/>
  <c r="AD29" i="16"/>
  <c r="AC14" i="16"/>
  <c r="AC15" i="16"/>
  <c r="AC16" i="16"/>
  <c r="AC17" i="16"/>
  <c r="AC29" i="16"/>
  <c r="AB14" i="16"/>
  <c r="AB15" i="16"/>
  <c r="AB16" i="16"/>
  <c r="AB10" i="16"/>
  <c r="AB13" i="16" s="1"/>
  <c r="AB17" i="16"/>
  <c r="AB29" i="16"/>
  <c r="AA14" i="16"/>
  <c r="AA15" i="16"/>
  <c r="AA16" i="16"/>
  <c r="AA17" i="16"/>
  <c r="AA29" i="16"/>
  <c r="Z14" i="16"/>
  <c r="Z15" i="16"/>
  <c r="Z16" i="16"/>
  <c r="Z10" i="16" s="1"/>
  <c r="Z13" i="16" s="1"/>
  <c r="Z17" i="16"/>
  <c r="Z29" i="16"/>
  <c r="Y14" i="16"/>
  <c r="Y15" i="16"/>
  <c r="Y16" i="16"/>
  <c r="Y17" i="16"/>
  <c r="Y29" i="16"/>
  <c r="X14" i="16"/>
  <c r="X15" i="16"/>
  <c r="X16" i="16"/>
  <c r="X17" i="16"/>
  <c r="X29" i="16"/>
  <c r="W14" i="16"/>
  <c r="W15" i="16"/>
  <c r="W16" i="16"/>
  <c r="W10" i="16" s="1"/>
  <c r="W13" i="16"/>
  <c r="W17" i="16"/>
  <c r="W29" i="16"/>
  <c r="V14" i="16"/>
  <c r="V15" i="16"/>
  <c r="V16" i="16"/>
  <c r="V17" i="16"/>
  <c r="V29" i="16"/>
  <c r="U14" i="16"/>
  <c r="U15" i="16"/>
  <c r="U16" i="16"/>
  <c r="U17" i="16"/>
  <c r="U29" i="16"/>
  <c r="T14" i="16"/>
  <c r="T15" i="16"/>
  <c r="T16" i="16"/>
  <c r="T17" i="16"/>
  <c r="T29" i="16"/>
  <c r="S14" i="16"/>
  <c r="S10" i="16" s="1"/>
  <c r="S13" i="16" s="1"/>
  <c r="S15" i="16"/>
  <c r="S16" i="16"/>
  <c r="S17" i="16"/>
  <c r="S29" i="16"/>
  <c r="R14" i="16"/>
  <c r="R15" i="16"/>
  <c r="R16" i="16"/>
  <c r="R10" i="16" s="1"/>
  <c r="R13" i="16" s="1"/>
  <c r="R17" i="16"/>
  <c r="R29" i="16"/>
  <c r="Q14" i="16"/>
  <c r="Q15" i="16"/>
  <c r="Q16" i="16"/>
  <c r="Q10" i="16"/>
  <c r="Q13" i="16" s="1"/>
  <c r="Q17" i="16"/>
  <c r="Q29" i="16"/>
  <c r="P14" i="16"/>
  <c r="P15" i="16"/>
  <c r="P16" i="16"/>
  <c r="P17" i="16"/>
  <c r="P29" i="16"/>
  <c r="O14" i="16"/>
  <c r="O15" i="16"/>
  <c r="O16" i="16"/>
  <c r="O10" i="16"/>
  <c r="O13" i="16" s="1"/>
  <c r="O17" i="16"/>
  <c r="O29" i="16"/>
  <c r="N14" i="16"/>
  <c r="N15" i="16"/>
  <c r="N16" i="16"/>
  <c r="N10" i="16"/>
  <c r="N13" i="16" s="1"/>
  <c r="N17" i="16"/>
  <c r="N29" i="16"/>
  <c r="M14" i="16"/>
  <c r="M15" i="16"/>
  <c r="M16" i="16"/>
  <c r="M17" i="16"/>
  <c r="M29" i="16"/>
  <c r="L14" i="16"/>
  <c r="L15" i="16"/>
  <c r="L16" i="16"/>
  <c r="L17" i="16"/>
  <c r="L29" i="16"/>
  <c r="K14" i="16"/>
  <c r="K15" i="16"/>
  <c r="K16" i="16"/>
  <c r="K10" i="16" s="1"/>
  <c r="K13" i="16" s="1"/>
  <c r="K17" i="16"/>
  <c r="K29" i="16"/>
  <c r="J14" i="16"/>
  <c r="J10" i="16" s="1"/>
  <c r="J13" i="16" s="1"/>
  <c r="J15" i="16"/>
  <c r="J16" i="16"/>
  <c r="J17" i="16"/>
  <c r="J29" i="16"/>
  <c r="I14" i="16"/>
  <c r="I15" i="16"/>
  <c r="I16" i="16"/>
  <c r="I10" i="16"/>
  <c r="I13" i="16" s="1"/>
  <c r="I17" i="16"/>
  <c r="I29" i="16"/>
  <c r="H14" i="16"/>
  <c r="H15" i="16"/>
  <c r="H16" i="16"/>
  <c r="H10" i="16" s="1"/>
  <c r="H13" i="16"/>
  <c r="H17" i="16"/>
  <c r="H29" i="16"/>
  <c r="G14" i="16"/>
  <c r="G15" i="16"/>
  <c r="G16" i="16"/>
  <c r="G10" i="16"/>
  <c r="G13" i="16" s="1"/>
  <c r="G17" i="16"/>
  <c r="G29" i="16"/>
  <c r="F14" i="16"/>
  <c r="F15" i="16"/>
  <c r="F10" i="16" s="1"/>
  <c r="F13" i="16" s="1"/>
  <c r="F16" i="16"/>
  <c r="F17" i="16"/>
  <c r="F29" i="16"/>
  <c r="E14" i="16"/>
  <c r="E10" i="16" s="1"/>
  <c r="E13" i="16" s="1"/>
  <c r="E15" i="16"/>
  <c r="E16" i="16"/>
  <c r="E17" i="16"/>
  <c r="E29" i="16"/>
  <c r="D14" i="16"/>
  <c r="D15" i="16"/>
  <c r="D16" i="16"/>
  <c r="D17" i="16"/>
  <c r="D27" i="16"/>
  <c r="D29" i="16"/>
  <c r="AY14" i="17"/>
  <c r="AY15" i="17"/>
  <c r="AY16" i="17"/>
  <c r="AY10" i="17"/>
  <c r="AY13" i="17" s="1"/>
  <c r="AY17" i="17"/>
  <c r="AY29" i="17"/>
  <c r="AX14" i="17"/>
  <c r="AX15" i="17"/>
  <c r="AX10" i="17" s="1"/>
  <c r="AX13" i="17" s="1"/>
  <c r="AX16" i="17"/>
  <c r="AX17" i="17"/>
  <c r="AX29" i="17"/>
  <c r="AW14" i="17"/>
  <c r="AW15" i="17"/>
  <c r="AW16" i="17"/>
  <c r="AW10" i="17"/>
  <c r="AW13" i="17" s="1"/>
  <c r="AX21" i="17" s="1"/>
  <c r="AW17" i="17"/>
  <c r="AW29" i="17"/>
  <c r="AV14" i="17"/>
  <c r="AV10" i="17" s="1"/>
  <c r="AV13" i="17" s="1"/>
  <c r="AV15" i="17"/>
  <c r="AV16" i="17"/>
  <c r="AV17" i="17"/>
  <c r="AV29" i="17"/>
  <c r="AU14" i="17"/>
  <c r="AU15" i="17"/>
  <c r="AU16" i="17"/>
  <c r="AU17" i="17"/>
  <c r="AU29" i="17"/>
  <c r="AT14" i="17"/>
  <c r="AT15" i="17"/>
  <c r="AT16" i="17"/>
  <c r="AT17" i="17"/>
  <c r="AT29" i="17"/>
  <c r="AS14" i="17"/>
  <c r="AS15" i="17"/>
  <c r="AS16" i="17"/>
  <c r="AS17" i="17"/>
  <c r="AS29" i="17"/>
  <c r="AR14" i="17"/>
  <c r="AR15" i="17"/>
  <c r="AR16" i="17"/>
  <c r="AR17" i="17"/>
  <c r="AR29" i="17"/>
  <c r="AQ17" i="17"/>
  <c r="AQ21" i="17"/>
  <c r="AQ44" i="17" s="1"/>
  <c r="AQ50" i="17" s="1"/>
  <c r="AQ22" i="17"/>
  <c r="AQ45" i="17" s="1"/>
  <c r="AQ46" i="17" s="1"/>
  <c r="AQ23" i="17"/>
  <c r="AQ24" i="17"/>
  <c r="AQ29" i="17"/>
  <c r="AQ33" i="17"/>
  <c r="AQ34" i="17"/>
  <c r="AQ40" i="17" s="1"/>
  <c r="AQ39" i="17"/>
  <c r="AQ51" i="17"/>
  <c r="AP14" i="17"/>
  <c r="AP15" i="17"/>
  <c r="AQ16" i="17" s="1"/>
  <c r="AP16" i="17"/>
  <c r="AP17" i="17"/>
  <c r="AP29" i="17"/>
  <c r="AO14" i="17"/>
  <c r="AO15" i="17"/>
  <c r="AO10" i="17" s="1"/>
  <c r="AO16" i="17"/>
  <c r="AO13" i="17"/>
  <c r="AO17" i="17"/>
  <c r="AO29" i="17"/>
  <c r="AN14" i="17"/>
  <c r="AN15" i="17"/>
  <c r="AN16" i="17"/>
  <c r="AN17" i="17"/>
  <c r="AN29" i="17"/>
  <c r="AM14" i="17"/>
  <c r="AM10" i="17" s="1"/>
  <c r="AM13" i="17" s="1"/>
  <c r="AM15" i="17"/>
  <c r="AM16" i="17"/>
  <c r="AM17" i="17"/>
  <c r="AM29" i="17"/>
  <c r="AL14" i="17"/>
  <c r="AL15" i="17"/>
  <c r="AL10" i="17" s="1"/>
  <c r="AL13" i="17" s="1"/>
  <c r="AL16" i="17"/>
  <c r="AL17" i="17"/>
  <c r="AL29" i="17"/>
  <c r="AK14" i="17"/>
  <c r="AK15" i="17"/>
  <c r="AK16" i="17"/>
  <c r="AK10" i="17"/>
  <c r="AK13" i="17" s="1"/>
  <c r="AK17" i="17"/>
  <c r="AK21" i="17"/>
  <c r="AK29" i="17"/>
  <c r="AK44" i="17"/>
  <c r="AK50" i="17" s="1"/>
  <c r="AJ14" i="17"/>
  <c r="AJ15" i="17"/>
  <c r="AJ10" i="17" s="1"/>
  <c r="AJ13" i="17" s="1"/>
  <c r="AJ16" i="17"/>
  <c r="AJ17" i="17"/>
  <c r="AJ29" i="17"/>
  <c r="AI14" i="17"/>
  <c r="AI15" i="17"/>
  <c r="AI16" i="17"/>
  <c r="AI17" i="17"/>
  <c r="AI29" i="17"/>
  <c r="AH14" i="17"/>
  <c r="AH15" i="17"/>
  <c r="AH16" i="17"/>
  <c r="AH17" i="17"/>
  <c r="AH29" i="17"/>
  <c r="AG14" i="17"/>
  <c r="AG15" i="17"/>
  <c r="AG16" i="17"/>
  <c r="AG10" i="17"/>
  <c r="AG13" i="17" s="1"/>
  <c r="AG17" i="17"/>
  <c r="AG29" i="17"/>
  <c r="AF14" i="17"/>
  <c r="AF15" i="17"/>
  <c r="AF10" i="17" s="1"/>
  <c r="AF16" i="17"/>
  <c r="AF13" i="17"/>
  <c r="AG21" i="17" s="1"/>
  <c r="AF17" i="17"/>
  <c r="AF29" i="17"/>
  <c r="AE14" i="17"/>
  <c r="AE10" i="17" s="1"/>
  <c r="AE13" i="17" s="1"/>
  <c r="AE15" i="17"/>
  <c r="AE16" i="17"/>
  <c r="AE17" i="17"/>
  <c r="AE29" i="17"/>
  <c r="AD14" i="17"/>
  <c r="AD15" i="17"/>
  <c r="AD16" i="17"/>
  <c r="AD17" i="17"/>
  <c r="AD21" i="17"/>
  <c r="AD29" i="17"/>
  <c r="AC14" i="17"/>
  <c r="AC15" i="17"/>
  <c r="AC16" i="17"/>
  <c r="AC10" i="17"/>
  <c r="AC13" i="17" s="1"/>
  <c r="AC17" i="17"/>
  <c r="AC29" i="17"/>
  <c r="AB14" i="17"/>
  <c r="AB10" i="17" s="1"/>
  <c r="AB15" i="17"/>
  <c r="AB16" i="17"/>
  <c r="AB13" i="17"/>
  <c r="AB17" i="17"/>
  <c r="AB29" i="17"/>
  <c r="AA14" i="17"/>
  <c r="AA10" i="17" s="1"/>
  <c r="AA13" i="17" s="1"/>
  <c r="AA15" i="17"/>
  <c r="AA16" i="17"/>
  <c r="AA17" i="17"/>
  <c r="AA29" i="17"/>
  <c r="Z14" i="17"/>
  <c r="Z15" i="17"/>
  <c r="Z16" i="17"/>
  <c r="Z17" i="17"/>
  <c r="Z29" i="17"/>
  <c r="Y14" i="17"/>
  <c r="Y15" i="17"/>
  <c r="Y16" i="17"/>
  <c r="Y10" i="17"/>
  <c r="Y13" i="17" s="1"/>
  <c r="Z21" i="17" s="1"/>
  <c r="Y17" i="17"/>
  <c r="Y29" i="17"/>
  <c r="X14" i="17"/>
  <c r="X15" i="17"/>
  <c r="X10" i="17" s="1"/>
  <c r="X13" i="17" s="1"/>
  <c r="X16" i="17"/>
  <c r="X17" i="17"/>
  <c r="X29" i="17"/>
  <c r="W14" i="17"/>
  <c r="W10" i="17" s="1"/>
  <c r="W13" i="17" s="1"/>
  <c r="W15" i="17"/>
  <c r="W16" i="17"/>
  <c r="W17" i="17"/>
  <c r="W29" i="17"/>
  <c r="V14" i="17"/>
  <c r="V15" i="17"/>
  <c r="V16" i="17"/>
  <c r="V17" i="17"/>
  <c r="V29" i="17"/>
  <c r="U14" i="17"/>
  <c r="U10" i="17" s="1"/>
  <c r="U13" i="17" s="1"/>
  <c r="V21" i="17" s="1"/>
  <c r="U15" i="17"/>
  <c r="U16" i="17"/>
  <c r="U17" i="17"/>
  <c r="U29" i="17"/>
  <c r="T14" i="17"/>
  <c r="T15" i="17"/>
  <c r="T16" i="17"/>
  <c r="T17" i="17"/>
  <c r="T21" i="17"/>
  <c r="T33" i="17" s="1"/>
  <c r="T23" i="17"/>
  <c r="T29" i="17"/>
  <c r="S14" i="17"/>
  <c r="S10" i="17" s="1"/>
  <c r="S13" i="17" s="1"/>
  <c r="S15" i="17"/>
  <c r="S16" i="17"/>
  <c r="S17" i="17"/>
  <c r="S29" i="17"/>
  <c r="R14" i="17"/>
  <c r="R10" i="17" s="1"/>
  <c r="R13" i="17" s="1"/>
  <c r="R15" i="17"/>
  <c r="R16" i="17"/>
  <c r="R17" i="17"/>
  <c r="R29" i="17"/>
  <c r="Q14" i="17"/>
  <c r="Q15" i="17"/>
  <c r="Q16" i="17"/>
  <c r="Q10" i="17" s="1"/>
  <c r="Q13" i="17" s="1"/>
  <c r="Q17" i="17"/>
  <c r="Q29" i="17"/>
  <c r="P14" i="17"/>
  <c r="P15" i="17"/>
  <c r="P16" i="17"/>
  <c r="P10" i="17" s="1"/>
  <c r="P13" i="17" s="1"/>
  <c r="P17" i="17"/>
  <c r="P29" i="17"/>
  <c r="O14" i="17"/>
  <c r="O10" i="17" s="1"/>
  <c r="O15" i="17"/>
  <c r="O16" i="17"/>
  <c r="O13" i="17"/>
  <c r="P21" i="17" s="1"/>
  <c r="O17" i="17"/>
  <c r="O29" i="17"/>
  <c r="N14" i="17"/>
  <c r="N10" i="17" s="1"/>
  <c r="N13" i="17" s="1"/>
  <c r="N15" i="17"/>
  <c r="N16" i="17"/>
  <c r="N17" i="17"/>
  <c r="N29" i="17"/>
  <c r="M14" i="17"/>
  <c r="M15" i="17"/>
  <c r="M10" i="17" s="1"/>
  <c r="M13" i="17" s="1"/>
  <c r="M16" i="17"/>
  <c r="M17" i="17"/>
  <c r="M29" i="17"/>
  <c r="L14" i="17"/>
  <c r="L15" i="17"/>
  <c r="L16" i="17"/>
  <c r="L10" i="17" s="1"/>
  <c r="L13" i="17" s="1"/>
  <c r="L17" i="17"/>
  <c r="L29" i="17"/>
  <c r="K14" i="17"/>
  <c r="K15" i="17"/>
  <c r="K16" i="17"/>
  <c r="K10" i="17"/>
  <c r="K13" i="17" s="1"/>
  <c r="K17" i="17"/>
  <c r="K29" i="17"/>
  <c r="J14" i="17"/>
  <c r="J15" i="17"/>
  <c r="J16" i="17"/>
  <c r="J17" i="17"/>
  <c r="J29" i="17"/>
  <c r="I14" i="17"/>
  <c r="I15" i="17"/>
  <c r="I16" i="17"/>
  <c r="I10" i="17"/>
  <c r="I13" i="17" s="1"/>
  <c r="J21" i="17" s="1"/>
  <c r="I17" i="17"/>
  <c r="I29" i="17"/>
  <c r="H16" i="17"/>
  <c r="H21" i="17"/>
  <c r="H22" i="17"/>
  <c r="H29" i="17"/>
  <c r="G14" i="17"/>
  <c r="H15" i="17" s="1"/>
  <c r="G15" i="17"/>
  <c r="G16" i="17"/>
  <c r="H17" i="17" s="1"/>
  <c r="G17" i="17"/>
  <c r="G29" i="17"/>
  <c r="F14" i="17"/>
  <c r="F15" i="17"/>
  <c r="F16" i="17"/>
  <c r="F17" i="17"/>
  <c r="F29" i="17"/>
  <c r="E14" i="17"/>
  <c r="E15" i="17"/>
  <c r="E16" i="17"/>
  <c r="E17" i="17"/>
  <c r="E29" i="17"/>
  <c r="D14" i="17"/>
  <c r="D15" i="17"/>
  <c r="D16" i="17"/>
  <c r="D10" i="17"/>
  <c r="D17" i="17"/>
  <c r="D27" i="17"/>
  <c r="E27" i="17" s="1"/>
  <c r="E30" i="17" s="1"/>
  <c r="D29" i="17"/>
  <c r="D30" i="17"/>
  <c r="AY14" i="18"/>
  <c r="AY15" i="18"/>
  <c r="AY16" i="18"/>
  <c r="AY17" i="18"/>
  <c r="AY29" i="18"/>
  <c r="AX14" i="18"/>
  <c r="AX15" i="18"/>
  <c r="AX16" i="18"/>
  <c r="AX17" i="18"/>
  <c r="AX29" i="18"/>
  <c r="AW14" i="18"/>
  <c r="AW15" i="18"/>
  <c r="AW16" i="18"/>
  <c r="AW10" i="18"/>
  <c r="AW13" i="18" s="1"/>
  <c r="AW17" i="18"/>
  <c r="AW29" i="18"/>
  <c r="AV14" i="18"/>
  <c r="AV15" i="18"/>
  <c r="AV16" i="18"/>
  <c r="AV10" i="18"/>
  <c r="AV13" i="18" s="1"/>
  <c r="AV17" i="18"/>
  <c r="AV29" i="18"/>
  <c r="AU14" i="18"/>
  <c r="AU10" i="18" s="1"/>
  <c r="AU15" i="18"/>
  <c r="AU16" i="18"/>
  <c r="AU13" i="18"/>
  <c r="AV22" i="18" s="1"/>
  <c r="AU17" i="18"/>
  <c r="AU29" i="18"/>
  <c r="AT14" i="18"/>
  <c r="AT15" i="18"/>
  <c r="AT16" i="18"/>
  <c r="AT17" i="18"/>
  <c r="AT29" i="18"/>
  <c r="AS14" i="18"/>
  <c r="AS15" i="18"/>
  <c r="AS10" i="18" s="1"/>
  <c r="AS13" i="18" s="1"/>
  <c r="AS16" i="18"/>
  <c r="AS17" i="18"/>
  <c r="AS29" i="18"/>
  <c r="AR16" i="18"/>
  <c r="AR17" i="18"/>
  <c r="AR21" i="18"/>
  <c r="AR22" i="18"/>
  <c r="AR24" i="18" s="1"/>
  <c r="AR23" i="18"/>
  <c r="AR29" i="18"/>
  <c r="AR33" i="18"/>
  <c r="AR35" i="18" s="1"/>
  <c r="AR34" i="18"/>
  <c r="AR40" i="18" s="1"/>
  <c r="AR39" i="18"/>
  <c r="AR44" i="18"/>
  <c r="AR45" i="18"/>
  <c r="AR51" i="18" s="1"/>
  <c r="AQ14" i="18"/>
  <c r="AR15" i="18" s="1"/>
  <c r="AQ15" i="18"/>
  <c r="AQ16" i="18"/>
  <c r="AQ10" i="18"/>
  <c r="AQ13" i="18" s="1"/>
  <c r="AR14" i="18" s="1"/>
  <c r="AR10" i="18" s="1"/>
  <c r="AR13" i="18" s="1"/>
  <c r="AQ17" i="18"/>
  <c r="AQ29" i="18"/>
  <c r="AP14" i="18"/>
  <c r="AP15" i="18"/>
  <c r="AP16" i="18"/>
  <c r="AP17" i="18"/>
  <c r="AP29" i="18"/>
  <c r="AO15" i="18"/>
  <c r="AO16" i="18"/>
  <c r="AO21" i="18"/>
  <c r="AO22" i="18"/>
  <c r="AO34" i="18" s="1"/>
  <c r="AO40" i="18" s="1"/>
  <c r="AO24" i="18"/>
  <c r="AO29" i="18"/>
  <c r="AN14" i="18"/>
  <c r="AN15" i="18"/>
  <c r="AN16" i="18"/>
  <c r="AO17" i="18" s="1"/>
  <c r="AN10" i="18"/>
  <c r="AN13" i="18" s="1"/>
  <c r="AO14" i="18" s="1"/>
  <c r="AO10" i="18" s="1"/>
  <c r="AO13" i="18" s="1"/>
  <c r="AN17" i="18"/>
  <c r="AN29" i="18"/>
  <c r="AM14" i="18"/>
  <c r="AM10" i="18" s="1"/>
  <c r="AM15" i="18"/>
  <c r="AM16" i="18"/>
  <c r="AM13" i="18"/>
  <c r="AN21" i="18" s="1"/>
  <c r="AN44" i="18" s="1"/>
  <c r="AM17" i="18"/>
  <c r="AM29" i="18"/>
  <c r="AL14" i="18"/>
  <c r="AL10" i="18" s="1"/>
  <c r="AL13" i="18" s="1"/>
  <c r="AL15" i="18"/>
  <c r="AL16" i="18"/>
  <c r="AL17" i="18"/>
  <c r="AL29" i="18"/>
  <c r="AK14" i="18"/>
  <c r="AK15" i="18"/>
  <c r="AK16" i="18"/>
  <c r="AK10" i="18" s="1"/>
  <c r="AK13" i="18" s="1"/>
  <c r="AK17" i="18"/>
  <c r="AK29" i="18"/>
  <c r="AJ14" i="18"/>
  <c r="AJ15" i="18"/>
  <c r="AJ16" i="18"/>
  <c r="AJ10" i="18"/>
  <c r="AJ13" i="18" s="1"/>
  <c r="AK22" i="18" s="1"/>
  <c r="AK45" i="18" s="1"/>
  <c r="AK51" i="18" s="1"/>
  <c r="AJ17" i="18"/>
  <c r="AJ29" i="18"/>
  <c r="AI14" i="18"/>
  <c r="AI10" i="18" s="1"/>
  <c r="AI13" i="18" s="1"/>
  <c r="AI15" i="18"/>
  <c r="AI16" i="18"/>
  <c r="AI17" i="18"/>
  <c r="AI29" i="18"/>
  <c r="AH14" i="18"/>
  <c r="AH10" i="18" s="1"/>
  <c r="AH13" i="18" s="1"/>
  <c r="AH15" i="18"/>
  <c r="AH16" i="18"/>
  <c r="AH17" i="18"/>
  <c r="AH29" i="18"/>
  <c r="AG14" i="18"/>
  <c r="AG15" i="18"/>
  <c r="AG16" i="18"/>
  <c r="AG10" i="18"/>
  <c r="AG13" i="18" s="1"/>
  <c r="AH22" i="18" s="1"/>
  <c r="AG17" i="18"/>
  <c r="AG29" i="18"/>
  <c r="AF14" i="18"/>
  <c r="AF10" i="18" s="1"/>
  <c r="AF13" i="18" s="1"/>
  <c r="AF15" i="18"/>
  <c r="AF16" i="18"/>
  <c r="AF17" i="18"/>
  <c r="AF29" i="18"/>
  <c r="AE14" i="18"/>
  <c r="AE15" i="18"/>
  <c r="AE16" i="18"/>
  <c r="AE10" i="18"/>
  <c r="AE13" i="18" s="1"/>
  <c r="AE17" i="18"/>
  <c r="AE29" i="18"/>
  <c r="AD14" i="18"/>
  <c r="AD15" i="18"/>
  <c r="AD16" i="18"/>
  <c r="AD17" i="18"/>
  <c r="AD29" i="18"/>
  <c r="AC14" i="18"/>
  <c r="AC15" i="18"/>
  <c r="AC16" i="18"/>
  <c r="AC10" i="18"/>
  <c r="AC13" i="18" s="1"/>
  <c r="AC17" i="18"/>
  <c r="AC29" i="18"/>
  <c r="AB14" i="18"/>
  <c r="AB15" i="18"/>
  <c r="AB16" i="18"/>
  <c r="AB10" i="18"/>
  <c r="AB13" i="18"/>
  <c r="AC21" i="18" s="1"/>
  <c r="AB17" i="18"/>
  <c r="AB29" i="18"/>
  <c r="AA14" i="18"/>
  <c r="AA15" i="18"/>
  <c r="AA10" i="18" s="1"/>
  <c r="AA13" i="18" s="1"/>
  <c r="AA16" i="18"/>
  <c r="AA17" i="18"/>
  <c r="AA29" i="18"/>
  <c r="Z14" i="18"/>
  <c r="Z15" i="18"/>
  <c r="Z16" i="18"/>
  <c r="Z17" i="18"/>
  <c r="Z29" i="18"/>
  <c r="Y14" i="18"/>
  <c r="Y15" i="18"/>
  <c r="Y10" i="18" s="1"/>
  <c r="Y13" i="18" s="1"/>
  <c r="Y16" i="18"/>
  <c r="Y17" i="18"/>
  <c r="Y29" i="18"/>
  <c r="X14" i="18"/>
  <c r="X10" i="18" s="1"/>
  <c r="X13" i="18" s="1"/>
  <c r="X15" i="18"/>
  <c r="X16" i="18"/>
  <c r="X17" i="18"/>
  <c r="X29" i="18"/>
  <c r="W14" i="18"/>
  <c r="W15" i="18"/>
  <c r="W10" i="18" s="1"/>
  <c r="W13" i="18" s="1"/>
  <c r="W16" i="18"/>
  <c r="W17" i="18"/>
  <c r="W29" i="18"/>
  <c r="V14" i="18"/>
  <c r="V15" i="18"/>
  <c r="V16" i="18"/>
  <c r="V10" i="18" s="1"/>
  <c r="V13" i="18" s="1"/>
  <c r="V17" i="18"/>
  <c r="V29" i="18"/>
  <c r="U14" i="18"/>
  <c r="U10" i="18" s="1"/>
  <c r="U13" i="18" s="1"/>
  <c r="U15" i="18"/>
  <c r="U16" i="18"/>
  <c r="U17" i="18"/>
  <c r="U29" i="18"/>
  <c r="T14" i="18"/>
  <c r="T15" i="18"/>
  <c r="T10" i="18" s="1"/>
  <c r="T13" i="18" s="1"/>
  <c r="T16" i="18"/>
  <c r="T17" i="18"/>
  <c r="T22" i="18"/>
  <c r="T45" i="18" s="1"/>
  <c r="T51" i="18" s="1"/>
  <c r="T24" i="18"/>
  <c r="T29" i="18"/>
  <c r="S14" i="18"/>
  <c r="S10" i="18" s="1"/>
  <c r="S13" i="18" s="1"/>
  <c r="T21" i="18" s="1"/>
  <c r="S15" i="18"/>
  <c r="S16" i="18"/>
  <c r="S17" i="18"/>
  <c r="S29" i="18"/>
  <c r="R14" i="18"/>
  <c r="R10" i="18" s="1"/>
  <c r="R13" i="18" s="1"/>
  <c r="R15" i="18"/>
  <c r="R16" i="18"/>
  <c r="R17" i="18"/>
  <c r="R29" i="18"/>
  <c r="Q14" i="18"/>
  <c r="Q10" i="18" s="1"/>
  <c r="Q13" i="18" s="1"/>
  <c r="Q15" i="18"/>
  <c r="Q16" i="18"/>
  <c r="Q17" i="18"/>
  <c r="Q29" i="18"/>
  <c r="P14" i="18"/>
  <c r="P10" i="18" s="1"/>
  <c r="P13" i="18" s="1"/>
  <c r="P15" i="18"/>
  <c r="P16" i="18"/>
  <c r="P17" i="18"/>
  <c r="P29" i="18"/>
  <c r="O14" i="18"/>
  <c r="O15" i="18"/>
  <c r="O10" i="18" s="1"/>
  <c r="O13" i="18" s="1"/>
  <c r="O16" i="18"/>
  <c r="O17" i="18"/>
  <c r="O29" i="18"/>
  <c r="N14" i="18"/>
  <c r="N15" i="18"/>
  <c r="N16" i="18"/>
  <c r="N10" i="18" s="1"/>
  <c r="N13" i="18" s="1"/>
  <c r="N17" i="18"/>
  <c r="N29" i="18"/>
  <c r="M14" i="18"/>
  <c r="M10" i="18" s="1"/>
  <c r="M13" i="18" s="1"/>
  <c r="M15" i="18"/>
  <c r="M16" i="18"/>
  <c r="M17" i="18"/>
  <c r="M21" i="18"/>
  <c r="M44" i="18" s="1"/>
  <c r="M46" i="18" s="1"/>
  <c r="M29" i="18"/>
  <c r="M45" i="18"/>
  <c r="M51" i="18" s="1"/>
  <c r="L14" i="18"/>
  <c r="L15" i="18"/>
  <c r="L10" i="18" s="1"/>
  <c r="L16" i="18"/>
  <c r="L13" i="18"/>
  <c r="M22" i="18" s="1"/>
  <c r="M24" i="18" s="1"/>
  <c r="L17" i="18"/>
  <c r="L29" i="18"/>
  <c r="K14" i="18"/>
  <c r="K15" i="18"/>
  <c r="K16" i="18"/>
  <c r="K17" i="18"/>
  <c r="K29" i="18"/>
  <c r="J14" i="18"/>
  <c r="J15" i="18"/>
  <c r="J16" i="18"/>
  <c r="J10" i="18"/>
  <c r="J13" i="18" s="1"/>
  <c r="K21" i="18" s="1"/>
  <c r="J17" i="18"/>
  <c r="J29" i="18"/>
  <c r="I14" i="18"/>
  <c r="I15" i="18"/>
  <c r="I16" i="18"/>
  <c r="I17" i="18"/>
  <c r="I29" i="18"/>
  <c r="H14" i="18"/>
  <c r="H10" i="18" s="1"/>
  <c r="H13" i="18" s="1"/>
  <c r="H15" i="18"/>
  <c r="H16" i="18"/>
  <c r="H17" i="18"/>
  <c r="H23" i="18"/>
  <c r="H29" i="18"/>
  <c r="H44" i="18"/>
  <c r="G14" i="18"/>
  <c r="G15" i="18"/>
  <c r="G16" i="18"/>
  <c r="G10" i="18"/>
  <c r="G13" i="18"/>
  <c r="H21" i="18" s="1"/>
  <c r="H33" i="18" s="1"/>
  <c r="G17" i="18"/>
  <c r="G29" i="18"/>
  <c r="F14" i="18"/>
  <c r="F15" i="18"/>
  <c r="F10" i="18" s="1"/>
  <c r="F13" i="18" s="1"/>
  <c r="F16" i="18"/>
  <c r="F17" i="18"/>
  <c r="F29" i="18"/>
  <c r="E14" i="18"/>
  <c r="E10" i="18" s="1"/>
  <c r="E13" i="18" s="1"/>
  <c r="E15" i="18"/>
  <c r="E16" i="18"/>
  <c r="E17" i="18"/>
  <c r="E27" i="18"/>
  <c r="F27" i="18" s="1"/>
  <c r="E29" i="18"/>
  <c r="D14" i="18"/>
  <c r="D15" i="18"/>
  <c r="D16" i="18"/>
  <c r="D10" i="18"/>
  <c r="D13" i="18"/>
  <c r="E22" i="18" s="1"/>
  <c r="E24" i="18" s="1"/>
  <c r="D17" i="18"/>
  <c r="AZ17" i="18" s="1"/>
  <c r="D22" i="18"/>
  <c r="D27" i="18"/>
  <c r="D29" i="18"/>
  <c r="D30" i="18"/>
  <c r="D34" i="18"/>
  <c r="D40" i="18" s="1"/>
  <c r="B21" i="16"/>
  <c r="D21" i="16" s="1"/>
  <c r="B21" i="17"/>
  <c r="B21" i="18"/>
  <c r="B22" i="18" s="1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O22" i="18" l="1"/>
  <c r="O21" i="18"/>
  <c r="G22" i="18"/>
  <c r="G21" i="18"/>
  <c r="U22" i="18"/>
  <c r="U21" i="18"/>
  <c r="P21" i="18"/>
  <c r="P22" i="18"/>
  <c r="S21" i="18"/>
  <c r="S22" i="18"/>
  <c r="Y22" i="18"/>
  <c r="Y21" i="18"/>
  <c r="AT22" i="18"/>
  <c r="AT21" i="18"/>
  <c r="J44" i="17"/>
  <c r="J33" i="17"/>
  <c r="J23" i="17"/>
  <c r="V21" i="18"/>
  <c r="V22" i="18"/>
  <c r="AV34" i="18"/>
  <c r="AV40" i="18" s="1"/>
  <c r="AV24" i="18"/>
  <c r="AV45" i="18"/>
  <c r="AV51" i="18" s="1"/>
  <c r="M21" i="17"/>
  <c r="Y21" i="17"/>
  <c r="J21" i="16"/>
  <c r="J22" i="16"/>
  <c r="K33" i="18"/>
  <c r="K44" i="18"/>
  <c r="K23" i="18"/>
  <c r="S21" i="17"/>
  <c r="G27" i="18"/>
  <c r="F30" i="18"/>
  <c r="L21" i="17"/>
  <c r="AA22" i="16"/>
  <c r="AA21" i="16"/>
  <c r="AG22" i="18"/>
  <c r="AG21" i="18"/>
  <c r="AX44" i="17"/>
  <c r="AX33" i="17"/>
  <c r="AX23" i="17"/>
  <c r="T44" i="18"/>
  <c r="T23" i="18"/>
  <c r="T33" i="18"/>
  <c r="AL22" i="18"/>
  <c r="AL21" i="18"/>
  <c r="AP22" i="18"/>
  <c r="AP21" i="18"/>
  <c r="X21" i="17"/>
  <c r="Z44" i="17"/>
  <c r="Z23" i="17"/>
  <c r="Z33" i="17"/>
  <c r="I21" i="18"/>
  <c r="I22" i="18"/>
  <c r="X21" i="18"/>
  <c r="X22" i="18"/>
  <c r="AH21" i="17"/>
  <c r="R21" i="18"/>
  <c r="R22" i="18"/>
  <c r="V33" i="17"/>
  <c r="V23" i="17"/>
  <c r="V44" i="17"/>
  <c r="W22" i="18"/>
  <c r="W21" i="18"/>
  <c r="AF21" i="18"/>
  <c r="AF22" i="18"/>
  <c r="Q21" i="18"/>
  <c r="Q22" i="18"/>
  <c r="AB21" i="18"/>
  <c r="AB22" i="18"/>
  <c r="AS21" i="18"/>
  <c r="AS22" i="18"/>
  <c r="Q21" i="17"/>
  <c r="AN21" i="17"/>
  <c r="F21" i="18"/>
  <c r="F22" i="18"/>
  <c r="H39" i="18"/>
  <c r="N21" i="18"/>
  <c r="N22" i="18"/>
  <c r="AI21" i="18"/>
  <c r="AI22" i="18"/>
  <c r="AN50" i="18"/>
  <c r="AH45" i="18"/>
  <c r="AH51" i="18" s="1"/>
  <c r="AH24" i="18"/>
  <c r="AT21" i="16"/>
  <c r="AT22" i="16"/>
  <c r="O21" i="17"/>
  <c r="P22" i="16"/>
  <c r="P21" i="16"/>
  <c r="B22" i="16"/>
  <c r="E30" i="18"/>
  <c r="H50" i="18"/>
  <c r="AJ21" i="18"/>
  <c r="AJ22" i="18"/>
  <c r="F27" i="17"/>
  <c r="N21" i="17"/>
  <c r="AB21" i="17"/>
  <c r="AD23" i="17"/>
  <c r="AD33" i="17"/>
  <c r="AD44" i="17"/>
  <c r="F22" i="16"/>
  <c r="F21" i="16"/>
  <c r="L21" i="16"/>
  <c r="AV21" i="16"/>
  <c r="AN260" i="15"/>
  <c r="D21" i="18"/>
  <c r="K22" i="18"/>
  <c r="M50" i="18"/>
  <c r="M23" i="18"/>
  <c r="AC22" i="18"/>
  <c r="AH34" i="18"/>
  <c r="AH40" i="18" s="1"/>
  <c r="AK34" i="18"/>
  <c r="AK40" i="18" s="1"/>
  <c r="AM21" i="18"/>
  <c r="AM22" i="18"/>
  <c r="AW21" i="18"/>
  <c r="E10" i="17"/>
  <c r="E13" i="17" s="1"/>
  <c r="D10" i="16"/>
  <c r="L22" i="16"/>
  <c r="AW45" i="16"/>
  <c r="AW24" i="16"/>
  <c r="AW34" i="16"/>
  <c r="AW40" i="16" s="1"/>
  <c r="E45" i="18"/>
  <c r="E51" i="18" s="1"/>
  <c r="H22" i="18"/>
  <c r="AN33" i="18"/>
  <c r="AN23" i="18"/>
  <c r="AX22" i="18"/>
  <c r="AX21" i="18"/>
  <c r="AG33" i="17"/>
  <c r="AG44" i="17"/>
  <c r="AG23" i="17"/>
  <c r="AW21" i="17"/>
  <c r="G21" i="16"/>
  <c r="L10" i="16"/>
  <c r="L13" i="16" s="1"/>
  <c r="R21" i="16"/>
  <c r="AM10" i="16"/>
  <c r="AM13" i="16" s="1"/>
  <c r="AN14" i="16" s="1"/>
  <c r="AN15" i="16"/>
  <c r="AS22" i="16"/>
  <c r="AS21" i="16"/>
  <c r="J116" i="12"/>
  <c r="J121" i="12"/>
  <c r="J127" i="12" s="1"/>
  <c r="N116" i="12"/>
  <c r="N120" i="12"/>
  <c r="N127" i="12" s="1"/>
  <c r="F116" i="12"/>
  <c r="F120" i="12"/>
  <c r="F127" i="12" s="1"/>
  <c r="M34" i="18"/>
  <c r="M40" i="18" s="1"/>
  <c r="AK21" i="18"/>
  <c r="AN22" i="18"/>
  <c r="AO45" i="18"/>
  <c r="AO51" i="18" s="1"/>
  <c r="AP10" i="18"/>
  <c r="AP13" i="18" s="1"/>
  <c r="AV21" i="18"/>
  <c r="G10" i="17"/>
  <c r="G13" i="17" s="1"/>
  <c r="H14" i="17" s="1"/>
  <c r="H10" i="17" s="1"/>
  <c r="H13" i="17" s="1"/>
  <c r="AF21" i="17"/>
  <c r="AK23" i="17"/>
  <c r="AK33" i="17"/>
  <c r="AS10" i="17"/>
  <c r="AS13" i="17" s="1"/>
  <c r="AF21" i="16"/>
  <c r="AM21" i="17"/>
  <c r="AP21" i="17"/>
  <c r="D23" i="16"/>
  <c r="D44" i="16"/>
  <c r="D33" i="16"/>
  <c r="I10" i="18"/>
  <c r="I13" i="18" s="1"/>
  <c r="AD22" i="18"/>
  <c r="AD21" i="18"/>
  <c r="T39" i="17"/>
  <c r="K22" i="16"/>
  <c r="K21" i="16"/>
  <c r="S21" i="16"/>
  <c r="E21" i="18"/>
  <c r="Z10" i="18"/>
  <c r="Z13" i="18" s="1"/>
  <c r="AC23" i="18"/>
  <c r="AC33" i="18"/>
  <c r="AC44" i="18"/>
  <c r="AK24" i="18"/>
  <c r="AO23" i="18"/>
  <c r="AO33" i="18"/>
  <c r="F10" i="17"/>
  <c r="F13" i="17" s="1"/>
  <c r="E34" i="18"/>
  <c r="E40" i="18" s="1"/>
  <c r="K10" i="18"/>
  <c r="K13" i="18" s="1"/>
  <c r="M33" i="18"/>
  <c r="T34" i="18"/>
  <c r="T40" i="18" s="1"/>
  <c r="Z22" i="18"/>
  <c r="Z21" i="18"/>
  <c r="AH21" i="18"/>
  <c r="AO44" i="18"/>
  <c r="D13" i="17"/>
  <c r="H24" i="17"/>
  <c r="H34" i="17"/>
  <c r="H40" i="17" s="1"/>
  <c r="H45" i="17"/>
  <c r="H51" i="17" s="1"/>
  <c r="AC21" i="17"/>
  <c r="AQ15" i="17"/>
  <c r="AP10" i="17"/>
  <c r="AP13" i="17" s="1"/>
  <c r="AQ14" i="17" s="1"/>
  <c r="AI22" i="16"/>
  <c r="AI21" i="16"/>
  <c r="AP22" i="16"/>
  <c r="AP21" i="16"/>
  <c r="AQ50" i="16"/>
  <c r="AQ46" i="16"/>
  <c r="AV22" i="16"/>
  <c r="AL260" i="15"/>
  <c r="J260" i="14"/>
  <c r="D45" i="18"/>
  <c r="D51" i="18" s="1"/>
  <c r="D24" i="18"/>
  <c r="AW22" i="18"/>
  <c r="AY10" i="18"/>
  <c r="AY13" i="18" s="1"/>
  <c r="H33" i="17"/>
  <c r="H23" i="17"/>
  <c r="H44" i="17"/>
  <c r="R21" i="17"/>
  <c r="T44" i="17"/>
  <c r="AL21" i="17"/>
  <c r="AE21" i="16"/>
  <c r="AE22" i="16"/>
  <c r="AK22" i="16"/>
  <c r="AK21" i="16"/>
  <c r="AL10" i="16"/>
  <c r="AL13" i="16" s="1"/>
  <c r="T260" i="14"/>
  <c r="I127" i="11"/>
  <c r="B22" i="17"/>
  <c r="D21" i="17"/>
  <c r="AR46" i="18"/>
  <c r="AT10" i="18"/>
  <c r="AT13" i="18" s="1"/>
  <c r="I22" i="16"/>
  <c r="I21" i="16"/>
  <c r="T21" i="16"/>
  <c r="T22" i="16"/>
  <c r="AS260" i="15"/>
  <c r="AS260" i="14"/>
  <c r="H138" i="13"/>
  <c r="L138" i="13"/>
  <c r="D138" i="13"/>
  <c r="D127" i="13"/>
  <c r="D127" i="10"/>
  <c r="J10" i="17"/>
  <c r="J13" i="17" s="1"/>
  <c r="AI10" i="17"/>
  <c r="AI13" i="17" s="1"/>
  <c r="AY21" i="17"/>
  <c r="S22" i="16"/>
  <c r="AC21" i="16"/>
  <c r="AC22" i="16"/>
  <c r="AR21" i="16"/>
  <c r="AR22" i="16"/>
  <c r="AI260" i="15"/>
  <c r="AD260" i="14"/>
  <c r="F138" i="11"/>
  <c r="J138" i="11"/>
  <c r="BA14" i="15"/>
  <c r="AD10" i="18"/>
  <c r="AD13" i="18" s="1"/>
  <c r="P23" i="17"/>
  <c r="P44" i="17"/>
  <c r="P33" i="17"/>
  <c r="Z10" i="17"/>
  <c r="Z13" i="17" s="1"/>
  <c r="O22" i="16"/>
  <c r="O21" i="16"/>
  <c r="AR50" i="18"/>
  <c r="AX10" i="18"/>
  <c r="AX13" i="18" s="1"/>
  <c r="T10" i="17"/>
  <c r="T13" i="17" s="1"/>
  <c r="AD10" i="17"/>
  <c r="AD13" i="17" s="1"/>
  <c r="D30" i="16"/>
  <c r="E27" i="16"/>
  <c r="G22" i="16"/>
  <c r="H21" i="16"/>
  <c r="H22" i="16"/>
  <c r="X22" i="16"/>
  <c r="X21" i="16"/>
  <c r="AF22" i="16"/>
  <c r="AH21" i="16"/>
  <c r="AT10" i="17"/>
  <c r="AT13" i="17" s="1"/>
  <c r="AJ21" i="16"/>
  <c r="AJ22" i="16"/>
  <c r="AU22" i="16"/>
  <c r="AU21" i="16"/>
  <c r="AW10" i="16"/>
  <c r="AW13" i="16" s="1"/>
  <c r="AX14" i="16" s="1"/>
  <c r="AX10" i="16" s="1"/>
  <c r="AX13" i="16" s="1"/>
  <c r="D260" i="15"/>
  <c r="H260" i="15"/>
  <c r="N138" i="12"/>
  <c r="F138" i="12"/>
  <c r="H121" i="12"/>
  <c r="H127" i="12" s="1"/>
  <c r="H116" i="12"/>
  <c r="L116" i="12"/>
  <c r="L120" i="12"/>
  <c r="L127" i="12" s="1"/>
  <c r="D116" i="12"/>
  <c r="D120" i="12"/>
  <c r="D127" i="12" s="1"/>
  <c r="N138" i="10"/>
  <c r="J138" i="10"/>
  <c r="AH10" i="17"/>
  <c r="AH13" i="17" s="1"/>
  <c r="AQ35" i="17"/>
  <c r="AR10" i="17"/>
  <c r="AR13" i="17" s="1"/>
  <c r="AU10" i="17"/>
  <c r="AU13" i="17" s="1"/>
  <c r="T10" i="16"/>
  <c r="T13" i="16" s="1"/>
  <c r="AG21" i="16"/>
  <c r="N127" i="13"/>
  <c r="J138" i="12"/>
  <c r="J116" i="11"/>
  <c r="J121" i="11"/>
  <c r="N120" i="11"/>
  <c r="N127" i="11" s="1"/>
  <c r="N116" i="11"/>
  <c r="F116" i="11"/>
  <c r="K127" i="10"/>
  <c r="N127" i="10"/>
  <c r="AZ17" i="17"/>
  <c r="V10" i="17"/>
  <c r="V13" i="17" s="1"/>
  <c r="X10" i="16"/>
  <c r="X13" i="16" s="1"/>
  <c r="AL50" i="16"/>
  <c r="AL46" i="16"/>
  <c r="AN23" i="16"/>
  <c r="AN33" i="16"/>
  <c r="AQ24" i="16"/>
  <c r="AQ34" i="16"/>
  <c r="AQ40" i="16" s="1"/>
  <c r="AQ45" i="16"/>
  <c r="AQ51" i="16" s="1"/>
  <c r="G260" i="14"/>
  <c r="AN260" i="14"/>
  <c r="J138" i="13"/>
  <c r="N138" i="13"/>
  <c r="G127" i="13"/>
  <c r="H116" i="13"/>
  <c r="H7" i="20" s="1"/>
  <c r="H120" i="13"/>
  <c r="H127" i="13" s="1"/>
  <c r="J127" i="11"/>
  <c r="H116" i="11"/>
  <c r="H120" i="11"/>
  <c r="H127" i="11" s="1"/>
  <c r="H138" i="10"/>
  <c r="F127" i="10"/>
  <c r="H127" i="10"/>
  <c r="AN10" i="17"/>
  <c r="AN13" i="17" s="1"/>
  <c r="AQ35" i="16"/>
  <c r="AW16" i="16"/>
  <c r="AX17" i="16" s="1"/>
  <c r="AZ17" i="16" s="1"/>
  <c r="AJ260" i="15"/>
  <c r="D259" i="14"/>
  <c r="AZ259" i="14" s="1"/>
  <c r="BA14" i="14"/>
  <c r="L116" i="13"/>
  <c r="L138" i="11"/>
  <c r="D138" i="11"/>
  <c r="L127" i="11"/>
  <c r="D127" i="11"/>
  <c r="S9" i="20" s="1"/>
  <c r="Y10" i="16"/>
  <c r="Y13" i="16" s="1"/>
  <c r="AL39" i="16"/>
  <c r="AX35" i="16"/>
  <c r="AX39" i="16"/>
  <c r="AE260" i="15"/>
  <c r="E260" i="14"/>
  <c r="AZ260" i="14" s="1"/>
  <c r="AB260" i="14"/>
  <c r="AM260" i="14"/>
  <c r="L127" i="13"/>
  <c r="M138" i="11"/>
  <c r="I138" i="11"/>
  <c r="P10" i="16"/>
  <c r="P13" i="16" s="1"/>
  <c r="AL34" i="16"/>
  <c r="AL40" i="16" s="1"/>
  <c r="AL24" i="16"/>
  <c r="Y260" i="15"/>
  <c r="Z260" i="15"/>
  <c r="AK260" i="15"/>
  <c r="AO260" i="15"/>
  <c r="R260" i="14"/>
  <c r="O127" i="12"/>
  <c r="M116" i="10"/>
  <c r="M121" i="10"/>
  <c r="M127" i="10" s="1"/>
  <c r="E121" i="10"/>
  <c r="E127" i="10" s="1"/>
  <c r="E116" i="10"/>
  <c r="I116" i="10"/>
  <c r="I120" i="10"/>
  <c r="I127" i="10" s="1"/>
  <c r="K260" i="15"/>
  <c r="O260" i="15"/>
  <c r="F260" i="14"/>
  <c r="AO260" i="14"/>
  <c r="K127" i="13"/>
  <c r="F127" i="13"/>
  <c r="D138" i="12"/>
  <c r="E127" i="11"/>
  <c r="U10" i="16"/>
  <c r="U13" i="16" s="1"/>
  <c r="AC10" i="16"/>
  <c r="AC13" i="16" s="1"/>
  <c r="AY260" i="14"/>
  <c r="K116" i="13"/>
  <c r="O116" i="13"/>
  <c r="O120" i="13"/>
  <c r="O127" i="13" s="1"/>
  <c r="G116" i="13"/>
  <c r="I127" i="12"/>
  <c r="O127" i="10"/>
  <c r="K116" i="10"/>
  <c r="O116" i="10"/>
  <c r="G116" i="10"/>
  <c r="S42" i="20"/>
  <c r="T43" i="20" s="1"/>
  <c r="AR260" i="15"/>
  <c r="I260" i="14"/>
  <c r="AT260" i="14"/>
  <c r="AX260" i="14"/>
  <c r="M116" i="13"/>
  <c r="I116" i="13"/>
  <c r="I120" i="13"/>
  <c r="I127" i="13" s="1"/>
  <c r="L138" i="10"/>
  <c r="V10" i="16"/>
  <c r="V13" i="16" s="1"/>
  <c r="AA10" i="16"/>
  <c r="AA13" i="16" s="1"/>
  <c r="U260" i="15"/>
  <c r="O260" i="14"/>
  <c r="X260" i="14"/>
  <c r="AJ260" i="14"/>
  <c r="M121" i="13"/>
  <c r="M127" i="13" s="1"/>
  <c r="H138" i="11"/>
  <c r="O127" i="11"/>
  <c r="O116" i="11"/>
  <c r="G116" i="11"/>
  <c r="G120" i="11"/>
  <c r="G127" i="11" s="1"/>
  <c r="I138" i="10"/>
  <c r="J127" i="10"/>
  <c r="AX260" i="15"/>
  <c r="AH260" i="14"/>
  <c r="O138" i="13"/>
  <c r="G138" i="13"/>
  <c r="O138" i="12"/>
  <c r="G138" i="12"/>
  <c r="O116" i="12"/>
  <c r="G116" i="12"/>
  <c r="D116" i="10"/>
  <c r="H10" i="20" s="1"/>
  <c r="M10" i="16"/>
  <c r="M13" i="16" s="1"/>
  <c r="L260" i="15"/>
  <c r="R260" i="15"/>
  <c r="AB260" i="15"/>
  <c r="AP260" i="15"/>
  <c r="AY260" i="15"/>
  <c r="L260" i="14"/>
  <c r="Z260" i="14"/>
  <c r="AI260" i="14"/>
  <c r="AR260" i="14"/>
  <c r="I138" i="12"/>
  <c r="I116" i="12"/>
  <c r="O138" i="10"/>
  <c r="G138" i="10"/>
  <c r="N116" i="10"/>
  <c r="I138" i="13"/>
  <c r="O138" i="11"/>
  <c r="G138" i="11"/>
  <c r="I116" i="11"/>
  <c r="D6" i="6"/>
  <c r="E6" i="6"/>
  <c r="F6" i="6"/>
  <c r="G6" i="6"/>
  <c r="H6" i="6"/>
  <c r="I6" i="6"/>
  <c r="J6" i="6"/>
  <c r="K6" i="6"/>
  <c r="L6" i="6"/>
  <c r="M6" i="6"/>
  <c r="N6" i="6"/>
  <c r="C6" i="6"/>
  <c r="G6" i="7"/>
  <c r="E6" i="7"/>
  <c r="H6" i="7" s="1"/>
  <c r="C6" i="7"/>
  <c r="I29" i="7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G12" i="5"/>
  <c r="G9" i="5"/>
  <c r="H9" i="5" s="1"/>
  <c r="D16" i="5"/>
  <c r="P36" i="6"/>
  <c r="P30" i="6"/>
  <c r="G21" i="5"/>
  <c r="G6" i="5"/>
  <c r="H6" i="5" s="1"/>
  <c r="G7" i="5"/>
  <c r="H7" i="5"/>
  <c r="G8" i="5"/>
  <c r="H8" i="5"/>
  <c r="G10" i="5"/>
  <c r="H10" i="5"/>
  <c r="G11" i="5"/>
  <c r="H11" i="5" s="1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AE22" i="17" l="1"/>
  <c r="AE21" i="17"/>
  <c r="K21" i="17"/>
  <c r="K22" i="17"/>
  <c r="D22" i="17"/>
  <c r="AD22" i="17"/>
  <c r="H39" i="17"/>
  <c r="H35" i="17"/>
  <c r="AA21" i="18"/>
  <c r="AA22" i="18"/>
  <c r="AG22" i="17"/>
  <c r="L24" i="16"/>
  <c r="L34" i="16"/>
  <c r="L40" i="16" s="1"/>
  <c r="L45" i="16"/>
  <c r="L51" i="16" s="1"/>
  <c r="AC34" i="18"/>
  <c r="AC40" i="18" s="1"/>
  <c r="AC24" i="18"/>
  <c r="AC45" i="18"/>
  <c r="AC51" i="18" s="1"/>
  <c r="P23" i="16"/>
  <c r="P33" i="16"/>
  <c r="P44" i="16"/>
  <c r="Q22" i="17"/>
  <c r="AF33" i="18"/>
  <c r="AF44" i="18"/>
  <c r="AF23" i="18"/>
  <c r="AA24" i="16"/>
  <c r="AA34" i="16"/>
  <c r="AA40" i="16" s="1"/>
  <c r="AA45" i="16"/>
  <c r="AA51" i="16" s="1"/>
  <c r="U44" i="18"/>
  <c r="U23" i="18"/>
  <c r="U33" i="18"/>
  <c r="U21" i="17"/>
  <c r="U22" i="17"/>
  <c r="T23" i="16"/>
  <c r="T44" i="16"/>
  <c r="T33" i="16"/>
  <c r="AC44" i="17"/>
  <c r="AC23" i="17"/>
  <c r="AC33" i="17"/>
  <c r="AO46" i="18"/>
  <c r="AO50" i="18"/>
  <c r="AD45" i="18"/>
  <c r="AD51" i="18" s="1"/>
  <c r="AD24" i="18"/>
  <c r="AD34" i="18"/>
  <c r="AD40" i="18" s="1"/>
  <c r="AM23" i="17"/>
  <c r="AM33" i="17"/>
  <c r="AM44" i="17"/>
  <c r="AS23" i="16"/>
  <c r="AS33" i="16"/>
  <c r="AS44" i="16"/>
  <c r="AW33" i="17"/>
  <c r="AW23" i="17"/>
  <c r="AW44" i="17"/>
  <c r="F45" i="16"/>
  <c r="F51" i="16" s="1"/>
  <c r="F34" i="16"/>
  <c r="F40" i="16" s="1"/>
  <c r="F24" i="16"/>
  <c r="AS24" i="18"/>
  <c r="AS34" i="18"/>
  <c r="AS40" i="18" s="1"/>
  <c r="AS45" i="18"/>
  <c r="AS51" i="18" s="1"/>
  <c r="AH22" i="17"/>
  <c r="T46" i="18"/>
  <c r="T50" i="18"/>
  <c r="K39" i="18"/>
  <c r="U24" i="18"/>
  <c r="U34" i="18"/>
  <c r="U40" i="18" s="1"/>
  <c r="U45" i="18"/>
  <c r="U51" i="18" s="1"/>
  <c r="Y22" i="16"/>
  <c r="Y21" i="16"/>
  <c r="AU45" i="16"/>
  <c r="AU51" i="16" s="1"/>
  <c r="AU34" i="16"/>
  <c r="AU40" i="16" s="1"/>
  <c r="AU24" i="16"/>
  <c r="X34" i="16"/>
  <c r="X40" i="16" s="1"/>
  <c r="X45" i="16"/>
  <c r="X51" i="16" s="1"/>
  <c r="X24" i="16"/>
  <c r="AE21" i="18"/>
  <c r="AE22" i="18"/>
  <c r="I23" i="16"/>
  <c r="I44" i="16"/>
  <c r="I33" i="16"/>
  <c r="AW34" i="18"/>
  <c r="AW40" i="18" s="1"/>
  <c r="AW24" i="18"/>
  <c r="AW45" i="18"/>
  <c r="AW51" i="18" s="1"/>
  <c r="AH44" i="18"/>
  <c r="AH33" i="18"/>
  <c r="AH23" i="18"/>
  <c r="J22" i="18"/>
  <c r="J21" i="18"/>
  <c r="AS24" i="16"/>
  <c r="AS34" i="16"/>
  <c r="AS40" i="16" s="1"/>
  <c r="AS45" i="16"/>
  <c r="AS51" i="16" s="1"/>
  <c r="H34" i="18"/>
  <c r="H24" i="18"/>
  <c r="H45" i="18"/>
  <c r="AD50" i="17"/>
  <c r="O44" i="17"/>
  <c r="O33" i="17"/>
  <c r="O23" i="17"/>
  <c r="W24" i="18"/>
  <c r="W45" i="18"/>
  <c r="W51" i="18" s="1"/>
  <c r="W34" i="18"/>
  <c r="W40" i="18" s="1"/>
  <c r="X23" i="17"/>
  <c r="X33" i="17"/>
  <c r="X44" i="17"/>
  <c r="J34" i="16"/>
  <c r="J40" i="16" s="1"/>
  <c r="J45" i="16"/>
  <c r="J51" i="16" s="1"/>
  <c r="J24" i="16"/>
  <c r="G33" i="18"/>
  <c r="G23" i="18"/>
  <c r="G44" i="18"/>
  <c r="AD21" i="16"/>
  <c r="AD22" i="16"/>
  <c r="Q22" i="16"/>
  <c r="Q21" i="16"/>
  <c r="AO22" i="17"/>
  <c r="AO21" i="17"/>
  <c r="AI22" i="17"/>
  <c r="AI21" i="17"/>
  <c r="H45" i="16"/>
  <c r="H51" i="16" s="1"/>
  <c r="H34" i="16"/>
  <c r="H40" i="16" s="1"/>
  <c r="H24" i="16"/>
  <c r="AC33" i="16"/>
  <c r="AC44" i="16"/>
  <c r="AC23" i="16"/>
  <c r="I24" i="16"/>
  <c r="I34" i="16"/>
  <c r="I40" i="16" s="1"/>
  <c r="I45" i="16"/>
  <c r="I51" i="16" s="1"/>
  <c r="V22" i="17"/>
  <c r="D39" i="16"/>
  <c r="AG50" i="17"/>
  <c r="K45" i="18"/>
  <c r="K51" i="18" s="1"/>
  <c r="K24" i="18"/>
  <c r="K34" i="18"/>
  <c r="K40" i="18" s="1"/>
  <c r="O22" i="17"/>
  <c r="F34" i="18"/>
  <c r="F40" i="18" s="1"/>
  <c r="F24" i="18"/>
  <c r="F45" i="18"/>
  <c r="F51" i="18" s="1"/>
  <c r="X44" i="18"/>
  <c r="X23" i="18"/>
  <c r="X33" i="18"/>
  <c r="J33" i="16"/>
  <c r="J23" i="16"/>
  <c r="J44" i="16"/>
  <c r="G24" i="18"/>
  <c r="G45" i="18"/>
  <c r="G51" i="18" s="1"/>
  <c r="G34" i="18"/>
  <c r="G40" i="18" s="1"/>
  <c r="H23" i="16"/>
  <c r="H33" i="16"/>
  <c r="H44" i="16"/>
  <c r="AK33" i="16"/>
  <c r="AK23" i="16"/>
  <c r="AK44" i="16"/>
  <c r="K33" i="16"/>
  <c r="K23" i="16"/>
  <c r="K44" i="16"/>
  <c r="D50" i="16"/>
  <c r="AF23" i="16"/>
  <c r="AF33" i="16"/>
  <c r="AF44" i="16"/>
  <c r="AG39" i="17"/>
  <c r="D44" i="18"/>
  <c r="D23" i="18"/>
  <c r="D33" i="18"/>
  <c r="I45" i="18"/>
  <c r="I51" i="18" s="1"/>
  <c r="I34" i="18"/>
  <c r="I40" i="18" s="1"/>
  <c r="I24" i="18"/>
  <c r="O23" i="18"/>
  <c r="O33" i="18"/>
  <c r="O44" i="18"/>
  <c r="W22" i="16"/>
  <c r="W21" i="16"/>
  <c r="AL35" i="16"/>
  <c r="AN35" i="16"/>
  <c r="AN39" i="16"/>
  <c r="AG23" i="16"/>
  <c r="AG33" i="16"/>
  <c r="AG44" i="16"/>
  <c r="S8" i="20"/>
  <c r="AU22" i="17"/>
  <c r="AU21" i="17"/>
  <c r="F27" i="16"/>
  <c r="E30" i="16"/>
  <c r="AA21" i="17"/>
  <c r="AA22" i="17"/>
  <c r="AY33" i="17"/>
  <c r="AY44" i="17"/>
  <c r="AY23" i="17"/>
  <c r="AE24" i="16"/>
  <c r="AE34" i="16"/>
  <c r="AE40" i="16" s="1"/>
  <c r="AE45" i="16"/>
  <c r="AE51" i="16" s="1"/>
  <c r="H50" i="17"/>
  <c r="H46" i="17"/>
  <c r="AI24" i="16"/>
  <c r="AI45" i="16"/>
  <c r="AI51" i="16" s="1"/>
  <c r="AI34" i="16"/>
  <c r="AI40" i="16" s="1"/>
  <c r="M35" i="18"/>
  <c r="M39" i="18"/>
  <c r="AC39" i="18"/>
  <c r="AC35" i="18"/>
  <c r="AK39" i="17"/>
  <c r="AQ21" i="18"/>
  <c r="AQ22" i="18"/>
  <c r="M21" i="16"/>
  <c r="M22" i="16"/>
  <c r="AX23" i="18"/>
  <c r="AX33" i="18"/>
  <c r="AX44" i="18"/>
  <c r="AW46" i="16"/>
  <c r="AW51" i="16"/>
  <c r="AV44" i="16"/>
  <c r="AV23" i="16"/>
  <c r="AV33" i="16"/>
  <c r="AB22" i="17"/>
  <c r="Z22" i="17"/>
  <c r="AI44" i="18"/>
  <c r="AI33" i="18"/>
  <c r="AI23" i="18"/>
  <c r="AN23" i="17"/>
  <c r="AN33" i="17"/>
  <c r="AN44" i="17"/>
  <c r="Q33" i="18"/>
  <c r="Q23" i="18"/>
  <c r="Q44" i="18"/>
  <c r="R34" i="18"/>
  <c r="R40" i="18" s="1"/>
  <c r="R24" i="18"/>
  <c r="R45" i="18"/>
  <c r="R51" i="18" s="1"/>
  <c r="Z39" i="17"/>
  <c r="AL45" i="18"/>
  <c r="AL51" i="18" s="1"/>
  <c r="AL34" i="18"/>
  <c r="AL40" i="18" s="1"/>
  <c r="AL24" i="18"/>
  <c r="AG24" i="18"/>
  <c r="AG45" i="18"/>
  <c r="AG51" i="18" s="1"/>
  <c r="AG34" i="18"/>
  <c r="AG40" i="18" s="1"/>
  <c r="S23" i="17"/>
  <c r="S44" i="17"/>
  <c r="S33" i="17"/>
  <c r="M23" i="17"/>
  <c r="M44" i="17"/>
  <c r="M33" i="17"/>
  <c r="J39" i="17"/>
  <c r="P34" i="18"/>
  <c r="P40" i="18" s="1"/>
  <c r="P24" i="18"/>
  <c r="P45" i="18"/>
  <c r="P51" i="18" s="1"/>
  <c r="AY21" i="16"/>
  <c r="AY22" i="16"/>
  <c r="P50" i="17"/>
  <c r="T45" i="16"/>
  <c r="T51" i="16" s="1"/>
  <c r="T24" i="16"/>
  <c r="T34" i="16"/>
  <c r="T40" i="16" s="1"/>
  <c r="AV34" i="16"/>
  <c r="AV40" i="16" s="1"/>
  <c r="AV24" i="16"/>
  <c r="AV45" i="16"/>
  <c r="AV51" i="16" s="1"/>
  <c r="AD44" i="18"/>
  <c r="AD23" i="18"/>
  <c r="AD33" i="18"/>
  <c r="AN24" i="18"/>
  <c r="AN45" i="18"/>
  <c r="AN34" i="18"/>
  <c r="AN40" i="18" s="1"/>
  <c r="N22" i="17"/>
  <c r="AH33" i="17"/>
  <c r="AH44" i="17"/>
  <c r="AH23" i="17"/>
  <c r="AS21" i="17"/>
  <c r="AS22" i="17"/>
  <c r="X23" i="16"/>
  <c r="X44" i="16"/>
  <c r="X33" i="16"/>
  <c r="AR23" i="16"/>
  <c r="AR44" i="16"/>
  <c r="AR33" i="16"/>
  <c r="G21" i="17"/>
  <c r="G22" i="17"/>
  <c r="AF22" i="17"/>
  <c r="AZ10" i="16"/>
  <c r="D13" i="16"/>
  <c r="G27" i="17"/>
  <c r="F30" i="17"/>
  <c r="X22" i="17"/>
  <c r="AT34" i="18"/>
  <c r="AT40" i="18" s="1"/>
  <c r="AT45" i="18"/>
  <c r="AT51" i="18" s="1"/>
  <c r="AT24" i="18"/>
  <c r="AY21" i="18"/>
  <c r="AY22" i="18"/>
  <c r="AC45" i="16"/>
  <c r="AC51" i="16" s="1"/>
  <c r="AC34" i="16"/>
  <c r="AC40" i="16" s="1"/>
  <c r="AC24" i="16"/>
  <c r="AO39" i="18"/>
  <c r="AO35" i="18"/>
  <c r="AM22" i="17"/>
  <c r="F22" i="17"/>
  <c r="F21" i="17"/>
  <c r="AJ24" i="18"/>
  <c r="AJ34" i="18"/>
  <c r="AJ40" i="18" s="1"/>
  <c r="AJ45" i="18"/>
  <c r="AJ51" i="18" s="1"/>
  <c r="AS23" i="18"/>
  <c r="AS33" i="18"/>
  <c r="AS44" i="18"/>
  <c r="L22" i="17"/>
  <c r="Y23" i="18"/>
  <c r="Y33" i="18"/>
  <c r="Y44" i="18"/>
  <c r="W22" i="17"/>
  <c r="W21" i="17"/>
  <c r="AJ24" i="16"/>
  <c r="AJ45" i="16"/>
  <c r="AJ51" i="16" s="1"/>
  <c r="AJ34" i="16"/>
  <c r="AJ40" i="16" s="1"/>
  <c r="S31" i="20"/>
  <c r="T32" i="20" s="1"/>
  <c r="T50" i="17"/>
  <c r="Z23" i="18"/>
  <c r="Z33" i="18"/>
  <c r="Z44" i="18"/>
  <c r="J22" i="17"/>
  <c r="AW23" i="18"/>
  <c r="AW33" i="18"/>
  <c r="AW44" i="18"/>
  <c r="AJ33" i="18"/>
  <c r="AJ44" i="18"/>
  <c r="AJ23" i="18"/>
  <c r="AB24" i="18"/>
  <c r="AB45" i="18"/>
  <c r="AB51" i="18" s="1"/>
  <c r="AB34" i="18"/>
  <c r="AB40" i="18" s="1"/>
  <c r="AP44" i="18"/>
  <c r="AP33" i="18"/>
  <c r="AP23" i="18"/>
  <c r="Y34" i="18"/>
  <c r="Y40" i="18" s="1"/>
  <c r="Y45" i="18"/>
  <c r="Y51" i="18" s="1"/>
  <c r="Y24" i="18"/>
  <c r="O23" i="16"/>
  <c r="O44" i="16"/>
  <c r="O33" i="16"/>
  <c r="P22" i="17"/>
  <c r="AP24" i="16"/>
  <c r="AP45" i="16"/>
  <c r="AP51" i="16" s="1"/>
  <c r="AP34" i="16"/>
  <c r="AP40" i="16" s="1"/>
  <c r="I22" i="17"/>
  <c r="I21" i="17"/>
  <c r="AT34" i="16"/>
  <c r="AT40" i="16" s="1"/>
  <c r="AT45" i="16"/>
  <c r="AT51" i="16" s="1"/>
  <c r="AT24" i="16"/>
  <c r="AB33" i="18"/>
  <c r="AB23" i="18"/>
  <c r="AB44" i="18"/>
  <c r="AP45" i="18"/>
  <c r="AP51" i="18" s="1"/>
  <c r="AP34" i="18"/>
  <c r="AP40" i="18" s="1"/>
  <c r="AP24" i="18"/>
  <c r="Y33" i="17"/>
  <c r="Y44" i="17"/>
  <c r="Y23" i="17"/>
  <c r="V23" i="18"/>
  <c r="V44" i="18"/>
  <c r="V33" i="18"/>
  <c r="N22" i="16"/>
  <c r="N21" i="16"/>
  <c r="Z21" i="16"/>
  <c r="Z22" i="16"/>
  <c r="H9" i="20"/>
  <c r="U22" i="16"/>
  <c r="U21" i="16"/>
  <c r="H8" i="20"/>
  <c r="AZ260" i="15"/>
  <c r="AH44" i="16"/>
  <c r="AH23" i="16"/>
  <c r="AH33" i="16"/>
  <c r="P39" i="17"/>
  <c r="AJ22" i="17"/>
  <c r="AJ21" i="17"/>
  <c r="D33" i="17"/>
  <c r="D23" i="17"/>
  <c r="D44" i="17"/>
  <c r="AE33" i="16"/>
  <c r="AE23" i="16"/>
  <c r="AE44" i="16"/>
  <c r="AW35" i="16"/>
  <c r="AQ10" i="17"/>
  <c r="AQ13" i="17" s="1"/>
  <c r="E21" i="17"/>
  <c r="E22" i="17"/>
  <c r="L21" i="18"/>
  <c r="L22" i="18"/>
  <c r="AP33" i="17"/>
  <c r="AP23" i="17"/>
  <c r="AP44" i="17"/>
  <c r="G33" i="16"/>
  <c r="G44" i="16"/>
  <c r="G23" i="16"/>
  <c r="AX45" i="18"/>
  <c r="AX51" i="18" s="1"/>
  <c r="AX24" i="18"/>
  <c r="AX34" i="18"/>
  <c r="AX40" i="18" s="1"/>
  <c r="AX22" i="17"/>
  <c r="L33" i="16"/>
  <c r="L44" i="16"/>
  <c r="L23" i="16"/>
  <c r="N23" i="17"/>
  <c r="N44" i="17"/>
  <c r="N33" i="17"/>
  <c r="D22" i="16"/>
  <c r="AH22" i="16"/>
  <c r="AG22" i="16"/>
  <c r="R22" i="16"/>
  <c r="N24" i="18"/>
  <c r="N34" i="18"/>
  <c r="N40" i="18" s="1"/>
  <c r="N45" i="18"/>
  <c r="N51" i="18" s="1"/>
  <c r="Q23" i="17"/>
  <c r="Q33" i="17"/>
  <c r="Q44" i="17"/>
  <c r="AF24" i="18"/>
  <c r="AF34" i="18"/>
  <c r="AF40" i="18" s="1"/>
  <c r="AF45" i="18"/>
  <c r="AF51" i="18" s="1"/>
  <c r="R33" i="18"/>
  <c r="R44" i="18"/>
  <c r="R23" i="18"/>
  <c r="T39" i="18"/>
  <c r="T35" i="18"/>
  <c r="AA33" i="16"/>
  <c r="AA44" i="16"/>
  <c r="AA23" i="16"/>
  <c r="M22" i="17"/>
  <c r="J50" i="17"/>
  <c r="P33" i="18"/>
  <c r="P44" i="18"/>
  <c r="P23" i="18"/>
  <c r="AV21" i="17"/>
  <c r="AV22" i="17"/>
  <c r="AF45" i="16"/>
  <c r="AF51" i="16" s="1"/>
  <c r="AF24" i="16"/>
  <c r="AF34" i="16"/>
  <c r="AF40" i="16" s="1"/>
  <c r="AR24" i="16"/>
  <c r="AR45" i="16"/>
  <c r="AR51" i="16" s="1"/>
  <c r="AR34" i="16"/>
  <c r="AR40" i="16" s="1"/>
  <c r="AL23" i="17"/>
  <c r="AL33" i="17"/>
  <c r="AL44" i="17"/>
  <c r="AP22" i="17"/>
  <c r="AW22" i="17"/>
  <c r="F44" i="16"/>
  <c r="F23" i="16"/>
  <c r="F33" i="16"/>
  <c r="N23" i="18"/>
  <c r="N33" i="18"/>
  <c r="N44" i="18"/>
  <c r="Z50" i="17"/>
  <c r="K50" i="18"/>
  <c r="AT23" i="18"/>
  <c r="AT33" i="18"/>
  <c r="AT44" i="18"/>
  <c r="AU33" i="16"/>
  <c r="AU23" i="16"/>
  <c r="AU44" i="16"/>
  <c r="S10" i="20"/>
  <c r="AL22" i="17"/>
  <c r="E33" i="18"/>
  <c r="E44" i="18"/>
  <c r="E23" i="18"/>
  <c r="AK23" i="18"/>
  <c r="AK44" i="18"/>
  <c r="AK33" i="18"/>
  <c r="AN39" i="18"/>
  <c r="P45" i="16"/>
  <c r="P51" i="16" s="1"/>
  <c r="P34" i="16"/>
  <c r="P40" i="16" s="1"/>
  <c r="P24" i="16"/>
  <c r="W23" i="18"/>
  <c r="W33" i="18"/>
  <c r="W44" i="18"/>
  <c r="L33" i="17"/>
  <c r="L23" i="17"/>
  <c r="L44" i="17"/>
  <c r="S7" i="20"/>
  <c r="T11" i="20" s="1"/>
  <c r="T45" i="20" s="1"/>
  <c r="AK22" i="17"/>
  <c r="AC22" i="17"/>
  <c r="AF23" i="17"/>
  <c r="AF44" i="17"/>
  <c r="AF33" i="17"/>
  <c r="X34" i="18"/>
  <c r="X40" i="18" s="1"/>
  <c r="X24" i="18"/>
  <c r="X45" i="18"/>
  <c r="X51" i="18" s="1"/>
  <c r="AM22" i="16"/>
  <c r="AM21" i="16"/>
  <c r="AP44" i="16"/>
  <c r="AP23" i="16"/>
  <c r="AP33" i="16"/>
  <c r="S33" i="16"/>
  <c r="S23" i="16"/>
  <c r="S44" i="16"/>
  <c r="T22" i="17"/>
  <c r="AD39" i="17"/>
  <c r="V50" i="17"/>
  <c r="AX39" i="17"/>
  <c r="V24" i="18"/>
  <c r="V34" i="18"/>
  <c r="V40" i="18" s="1"/>
  <c r="V45" i="18"/>
  <c r="V51" i="18" s="1"/>
  <c r="V21" i="16"/>
  <c r="V22" i="16"/>
  <c r="AJ23" i="16"/>
  <c r="AJ33" i="16"/>
  <c r="AJ44" i="16"/>
  <c r="S34" i="16"/>
  <c r="S40" i="16" s="1"/>
  <c r="S45" i="16"/>
  <c r="S51" i="16" s="1"/>
  <c r="S24" i="16"/>
  <c r="R44" i="17"/>
  <c r="R23" i="17"/>
  <c r="R33" i="17"/>
  <c r="Z45" i="18"/>
  <c r="Z51" i="18" s="1"/>
  <c r="Z34" i="18"/>
  <c r="Z40" i="18" s="1"/>
  <c r="Z24" i="18"/>
  <c r="AN10" i="16"/>
  <c r="AN13" i="16" s="1"/>
  <c r="AM34" i="18"/>
  <c r="AM40" i="18" s="1"/>
  <c r="AM45" i="18"/>
  <c r="AM51" i="18" s="1"/>
  <c r="AM24" i="18"/>
  <c r="F23" i="18"/>
  <c r="F44" i="18"/>
  <c r="F33" i="18"/>
  <c r="AX50" i="17"/>
  <c r="G30" i="18"/>
  <c r="H27" i="18"/>
  <c r="S45" i="18"/>
  <c r="S51" i="18" s="1"/>
  <c r="S24" i="18"/>
  <c r="S34" i="18"/>
  <c r="S40" i="18" s="1"/>
  <c r="AB22" i="16"/>
  <c r="AB21" i="16"/>
  <c r="G24" i="16"/>
  <c r="G34" i="16"/>
  <c r="G40" i="16" s="1"/>
  <c r="G45" i="16"/>
  <c r="G51" i="16" s="1"/>
  <c r="O24" i="16"/>
  <c r="O34" i="16"/>
  <c r="O40" i="16" s="1"/>
  <c r="O45" i="16"/>
  <c r="O51" i="16" s="1"/>
  <c r="AY22" i="17"/>
  <c r="AU21" i="18"/>
  <c r="AZ21" i="18" s="1"/>
  <c r="AU22" i="18"/>
  <c r="AK45" i="16"/>
  <c r="AK51" i="16" s="1"/>
  <c r="AK24" i="16"/>
  <c r="AK34" i="16"/>
  <c r="AK40" i="16" s="1"/>
  <c r="R22" i="17"/>
  <c r="AI33" i="16"/>
  <c r="AI23" i="16"/>
  <c r="AI44" i="16"/>
  <c r="AC46" i="18"/>
  <c r="AC50" i="18"/>
  <c r="K34" i="16"/>
  <c r="K40" i="16" s="1"/>
  <c r="K45" i="16"/>
  <c r="K51" i="16" s="1"/>
  <c r="K24" i="16"/>
  <c r="AT22" i="17"/>
  <c r="AT21" i="17"/>
  <c r="AV33" i="18"/>
  <c r="AV23" i="18"/>
  <c r="AV44" i="18"/>
  <c r="R44" i="16"/>
  <c r="R23" i="16"/>
  <c r="R33" i="16"/>
  <c r="AZ10" i="18"/>
  <c r="AM44" i="18"/>
  <c r="AM33" i="18"/>
  <c r="AM23" i="18"/>
  <c r="AB44" i="17"/>
  <c r="AB33" i="17"/>
  <c r="AB23" i="17"/>
  <c r="AT33" i="16"/>
  <c r="AT23" i="16"/>
  <c r="AT44" i="16"/>
  <c r="AI34" i="18"/>
  <c r="AI40" i="18" s="1"/>
  <c r="AI24" i="18"/>
  <c r="AI45" i="18"/>
  <c r="AI51" i="18" s="1"/>
  <c r="AN22" i="17"/>
  <c r="Q34" i="18"/>
  <c r="Q40" i="18" s="1"/>
  <c r="Q45" i="18"/>
  <c r="Q51" i="18" s="1"/>
  <c r="Q24" i="18"/>
  <c r="V39" i="17"/>
  <c r="I33" i="18"/>
  <c r="I23" i="18"/>
  <c r="I44" i="18"/>
  <c r="AL33" i="18"/>
  <c r="AL44" i="18"/>
  <c r="AL23" i="18"/>
  <c r="AG23" i="18"/>
  <c r="AG44" i="18"/>
  <c r="AG33" i="18"/>
  <c r="S22" i="17"/>
  <c r="Y22" i="17"/>
  <c r="S33" i="18"/>
  <c r="S44" i="18"/>
  <c r="S23" i="18"/>
  <c r="O34" i="18"/>
  <c r="O40" i="18" s="1"/>
  <c r="O24" i="18"/>
  <c r="O45" i="18"/>
  <c r="O51" i="18" s="1"/>
  <c r="G16" i="5"/>
  <c r="AT23" i="17" l="1"/>
  <c r="AT44" i="17"/>
  <c r="AT33" i="17"/>
  <c r="AB23" i="16"/>
  <c r="AB33" i="16"/>
  <c r="AB44" i="16"/>
  <c r="AA50" i="16"/>
  <c r="AA46" i="16"/>
  <c r="R34" i="16"/>
  <c r="R40" i="16" s="1"/>
  <c r="R24" i="16"/>
  <c r="R45" i="16"/>
  <c r="R51" i="16" s="1"/>
  <c r="G39" i="16"/>
  <c r="G35" i="16"/>
  <c r="N44" i="16"/>
  <c r="N33" i="16"/>
  <c r="N23" i="16"/>
  <c r="O46" i="16"/>
  <c r="O50" i="16"/>
  <c r="F45" i="17"/>
  <c r="F51" i="17" s="1"/>
  <c r="F24" i="17"/>
  <c r="F34" i="17"/>
  <c r="F40" i="17" s="1"/>
  <c r="X50" i="16"/>
  <c r="X46" i="16"/>
  <c r="AI33" i="17"/>
  <c r="AI23" i="17"/>
  <c r="AI44" i="17"/>
  <c r="J45" i="18"/>
  <c r="J51" i="18" s="1"/>
  <c r="J34" i="18"/>
  <c r="J40" i="18" s="1"/>
  <c r="J24" i="18"/>
  <c r="AZ24" i="18" s="1"/>
  <c r="AM50" i="17"/>
  <c r="AD24" i="17"/>
  <c r="AD45" i="17"/>
  <c r="AD34" i="17"/>
  <c r="F39" i="16"/>
  <c r="F35" i="16"/>
  <c r="AG45" i="16"/>
  <c r="AG51" i="16" s="1"/>
  <c r="AG34" i="16"/>
  <c r="AG40" i="16" s="1"/>
  <c r="AG24" i="16"/>
  <c r="N34" i="16"/>
  <c r="N40" i="16" s="1"/>
  <c r="N45" i="16"/>
  <c r="N51" i="16" s="1"/>
  <c r="N24" i="16"/>
  <c r="AN51" i="18"/>
  <c r="AN46" i="18"/>
  <c r="S39" i="17"/>
  <c r="AZ22" i="18"/>
  <c r="AA33" i="17"/>
  <c r="AA44" i="17"/>
  <c r="AA23" i="17"/>
  <c r="X46" i="18"/>
  <c r="X50" i="18"/>
  <c r="AI45" i="17"/>
  <c r="AI51" i="17" s="1"/>
  <c r="AI34" i="17"/>
  <c r="AI40" i="17" s="1"/>
  <c r="AI24" i="17"/>
  <c r="H51" i="18"/>
  <c r="H46" i="18"/>
  <c r="AM39" i="17"/>
  <c r="AZ22" i="17"/>
  <c r="D24" i="17"/>
  <c r="D45" i="17"/>
  <c r="D51" i="17" s="1"/>
  <c r="D34" i="17"/>
  <c r="D40" i="17" s="1"/>
  <c r="R39" i="16"/>
  <c r="R35" i="16"/>
  <c r="AI39" i="16"/>
  <c r="AI35" i="16"/>
  <c r="S35" i="16"/>
  <c r="S39" i="16"/>
  <c r="AN35" i="18"/>
  <c r="K46" i="18"/>
  <c r="AX34" i="17"/>
  <c r="AX24" i="17"/>
  <c r="AX45" i="17"/>
  <c r="AJ34" i="17"/>
  <c r="AJ40" i="17" s="1"/>
  <c r="AJ24" i="17"/>
  <c r="AJ45" i="17"/>
  <c r="AJ51" i="17" s="1"/>
  <c r="I24" i="17"/>
  <c r="I34" i="17"/>
  <c r="I40" i="17" s="1"/>
  <c r="I45" i="17"/>
  <c r="I51" i="17" s="1"/>
  <c r="AN50" i="17"/>
  <c r="Y44" i="16"/>
  <c r="Y23" i="16"/>
  <c r="Y33" i="16"/>
  <c r="AC50" i="17"/>
  <c r="R35" i="17"/>
  <c r="R39" i="17"/>
  <c r="AP35" i="16"/>
  <c r="AP39" i="16"/>
  <c r="AZ22" i="16"/>
  <c r="D24" i="16"/>
  <c r="D45" i="16"/>
  <c r="D34" i="16"/>
  <c r="U23" i="16"/>
  <c r="U33" i="16"/>
  <c r="U44" i="16"/>
  <c r="G44" i="17"/>
  <c r="G33" i="17"/>
  <c r="G23" i="17"/>
  <c r="AD35" i="18"/>
  <c r="AD39" i="18"/>
  <c r="AN39" i="17"/>
  <c r="AV39" i="16"/>
  <c r="AV35" i="16"/>
  <c r="G27" i="16"/>
  <c r="F30" i="16"/>
  <c r="AK46" i="16"/>
  <c r="AK50" i="16"/>
  <c r="AC50" i="16"/>
  <c r="AC46" i="16"/>
  <c r="H40" i="18"/>
  <c r="H35" i="18"/>
  <c r="AH24" i="17"/>
  <c r="AH45" i="17"/>
  <c r="AH51" i="17" s="1"/>
  <c r="AH34" i="17"/>
  <c r="AH40" i="17" s="1"/>
  <c r="AG45" i="17"/>
  <c r="AG24" i="17"/>
  <c r="AG34" i="17"/>
  <c r="AG39" i="18"/>
  <c r="AG35" i="18"/>
  <c r="I35" i="18"/>
  <c r="I39" i="18"/>
  <c r="AM33" i="16"/>
  <c r="AM23" i="16"/>
  <c r="AM44" i="16"/>
  <c r="AC24" i="17"/>
  <c r="AC45" i="17"/>
  <c r="AC51" i="17" s="1"/>
  <c r="AC34" i="17"/>
  <c r="AC40" i="17" s="1"/>
  <c r="AU35" i="16"/>
  <c r="AU39" i="16"/>
  <c r="N46" i="18"/>
  <c r="N50" i="18"/>
  <c r="AL50" i="17"/>
  <c r="M24" i="17"/>
  <c r="M34" i="17"/>
  <c r="M40" i="17" s="1"/>
  <c r="M45" i="17"/>
  <c r="M51" i="17" s="1"/>
  <c r="R39" i="18"/>
  <c r="R35" i="18"/>
  <c r="E45" i="17"/>
  <c r="E51" i="17" s="1"/>
  <c r="E24" i="17"/>
  <c r="E34" i="17"/>
  <c r="E40" i="17" s="1"/>
  <c r="AH35" i="16"/>
  <c r="AH39" i="16"/>
  <c r="Z34" i="16"/>
  <c r="Z40" i="16" s="1"/>
  <c r="Z45" i="16"/>
  <c r="Z51" i="16" s="1"/>
  <c r="Z24" i="16"/>
  <c r="Y50" i="17"/>
  <c r="Y46" i="17"/>
  <c r="P24" i="17"/>
  <c r="P45" i="17"/>
  <c r="P34" i="17"/>
  <c r="AP35" i="18"/>
  <c r="AP39" i="18"/>
  <c r="AW46" i="18"/>
  <c r="AW50" i="18"/>
  <c r="Y35" i="18"/>
  <c r="Y39" i="18"/>
  <c r="G30" i="17"/>
  <c r="H27" i="17"/>
  <c r="AH39" i="17"/>
  <c r="AZ10" i="17"/>
  <c r="M39" i="17"/>
  <c r="AI35" i="18"/>
  <c r="AI39" i="18"/>
  <c r="AQ44" i="18"/>
  <c r="AQ23" i="18"/>
  <c r="AQ33" i="18"/>
  <c r="AY50" i="17"/>
  <c r="W24" i="16"/>
  <c r="W45" i="16"/>
  <c r="W51" i="16" s="1"/>
  <c r="W34" i="16"/>
  <c r="W40" i="16" s="1"/>
  <c r="H50" i="16"/>
  <c r="H46" i="16"/>
  <c r="J39" i="16"/>
  <c r="J35" i="16"/>
  <c r="AD24" i="16"/>
  <c r="AD45" i="16"/>
  <c r="AD51" i="16" s="1"/>
  <c r="AD34" i="16"/>
  <c r="AD40" i="16" s="1"/>
  <c r="X50" i="17"/>
  <c r="O50" i="17"/>
  <c r="AS35" i="16"/>
  <c r="AS39" i="16"/>
  <c r="U24" i="17"/>
  <c r="U45" i="17"/>
  <c r="U51" i="17" s="1"/>
  <c r="U34" i="17"/>
  <c r="U40" i="17" s="1"/>
  <c r="AM46" i="18"/>
  <c r="AM50" i="18"/>
  <c r="AI46" i="16"/>
  <c r="AI50" i="16"/>
  <c r="S50" i="16"/>
  <c r="S46" i="16"/>
  <c r="AT35" i="18"/>
  <c r="AT39" i="18"/>
  <c r="AR21" i="17"/>
  <c r="AR22" i="17"/>
  <c r="L24" i="17"/>
  <c r="L34" i="17"/>
  <c r="L40" i="17" s="1"/>
  <c r="L45" i="17"/>
  <c r="L51" i="17" s="1"/>
  <c r="AX50" i="18"/>
  <c r="AX46" i="18"/>
  <c r="AG35" i="16"/>
  <c r="AG39" i="16"/>
  <c r="AF35" i="18"/>
  <c r="AF39" i="18"/>
  <c r="AT24" i="17"/>
  <c r="AT34" i="17"/>
  <c r="AT40" i="17" s="1"/>
  <c r="AT45" i="17"/>
  <c r="AT51" i="17" s="1"/>
  <c r="F39" i="18"/>
  <c r="F35" i="18"/>
  <c r="AF34" i="17"/>
  <c r="AF40" i="17" s="1"/>
  <c r="AF45" i="17"/>
  <c r="AF51" i="17" s="1"/>
  <c r="AF24" i="17"/>
  <c r="AT39" i="16"/>
  <c r="AT35" i="16"/>
  <c r="AJ39" i="16"/>
  <c r="AJ35" i="16"/>
  <c r="Q50" i="17"/>
  <c r="V39" i="18"/>
  <c r="V35" i="18"/>
  <c r="AO33" i="17"/>
  <c r="AO23" i="17"/>
  <c r="AO44" i="17"/>
  <c r="AE34" i="18"/>
  <c r="AE40" i="18" s="1"/>
  <c r="AE45" i="18"/>
  <c r="AE51" i="18" s="1"/>
  <c r="AE24" i="18"/>
  <c r="P50" i="16"/>
  <c r="P46" i="16"/>
  <c r="S39" i="18"/>
  <c r="S35" i="18"/>
  <c r="R45" i="17"/>
  <c r="R51" i="17" s="1"/>
  <c r="R24" i="17"/>
  <c r="R34" i="17"/>
  <c r="R40" i="17" s="1"/>
  <c r="L39" i="17"/>
  <c r="F46" i="16"/>
  <c r="F50" i="16"/>
  <c r="AP39" i="17"/>
  <c r="V46" i="18"/>
  <c r="V50" i="18"/>
  <c r="Z35" i="18"/>
  <c r="Z39" i="18"/>
  <c r="AS44" i="17"/>
  <c r="AS33" i="17"/>
  <c r="AS23" i="17"/>
  <c r="AH50" i="18"/>
  <c r="AH46" i="18"/>
  <c r="AG46" i="18"/>
  <c r="AG50" i="18"/>
  <c r="AM39" i="18"/>
  <c r="AM35" i="18"/>
  <c r="AV35" i="18"/>
  <c r="AV39" i="18"/>
  <c r="AU34" i="18"/>
  <c r="AU40" i="18" s="1"/>
  <c r="AU24" i="18"/>
  <c r="AU45" i="18"/>
  <c r="AU51" i="18" s="1"/>
  <c r="AO22" i="16"/>
  <c r="AO21" i="16"/>
  <c r="T24" i="17"/>
  <c r="T45" i="17"/>
  <c r="T34" i="17"/>
  <c r="AM45" i="16"/>
  <c r="AM51" i="16" s="1"/>
  <c r="AM24" i="16"/>
  <c r="AM34" i="16"/>
  <c r="AM40" i="16" s="1"/>
  <c r="AK24" i="17"/>
  <c r="AK34" i="17"/>
  <c r="AK45" i="17"/>
  <c r="AT50" i="18"/>
  <c r="AT46" i="18"/>
  <c r="N39" i="18"/>
  <c r="N35" i="18"/>
  <c r="AL39" i="17"/>
  <c r="AV34" i="17"/>
  <c r="AV40" i="17" s="1"/>
  <c r="AV45" i="17"/>
  <c r="AV51" i="17" s="1"/>
  <c r="AV24" i="17"/>
  <c r="G46" i="16"/>
  <c r="G50" i="16"/>
  <c r="E23" i="17"/>
  <c r="E33" i="17"/>
  <c r="E44" i="17"/>
  <c r="D39" i="17"/>
  <c r="D35" i="17"/>
  <c r="Z44" i="16"/>
  <c r="Z33" i="16"/>
  <c r="Z23" i="16"/>
  <c r="Y39" i="17"/>
  <c r="O35" i="16"/>
  <c r="O39" i="16"/>
  <c r="AP46" i="18"/>
  <c r="AP50" i="18"/>
  <c r="AW39" i="18"/>
  <c r="AW35" i="18"/>
  <c r="F44" i="17"/>
  <c r="F33" i="17"/>
  <c r="F23" i="17"/>
  <c r="AY34" i="18"/>
  <c r="AY40" i="18" s="1"/>
  <c r="AY45" i="18"/>
  <c r="AY51" i="18" s="1"/>
  <c r="AY24" i="18"/>
  <c r="E22" i="16"/>
  <c r="E21" i="16"/>
  <c r="X39" i="16"/>
  <c r="X35" i="16"/>
  <c r="N45" i="17"/>
  <c r="N51" i="17" s="1"/>
  <c r="N24" i="17"/>
  <c r="N34" i="17"/>
  <c r="N40" i="17" s="1"/>
  <c r="AY24" i="16"/>
  <c r="AY45" i="16"/>
  <c r="AY51" i="16" s="1"/>
  <c r="AY34" i="16"/>
  <c r="AY40" i="16" s="1"/>
  <c r="M46" i="17"/>
  <c r="M50" i="17"/>
  <c r="Q50" i="18"/>
  <c r="Q46" i="18"/>
  <c r="AI50" i="18"/>
  <c r="AI46" i="18"/>
  <c r="AY35" i="17"/>
  <c r="AY39" i="17"/>
  <c r="AG50" i="16"/>
  <c r="AG46" i="16"/>
  <c r="O50" i="18"/>
  <c r="O46" i="18"/>
  <c r="D46" i="18"/>
  <c r="D50" i="18"/>
  <c r="H39" i="16"/>
  <c r="H35" i="16"/>
  <c r="X35" i="18"/>
  <c r="X39" i="18"/>
  <c r="AD44" i="16"/>
  <c r="AD23" i="16"/>
  <c r="AD33" i="16"/>
  <c r="X39" i="17"/>
  <c r="J44" i="18"/>
  <c r="J23" i="18"/>
  <c r="AZ23" i="18" s="1"/>
  <c r="J33" i="18"/>
  <c r="I35" i="16"/>
  <c r="I39" i="16"/>
  <c r="K35" i="18"/>
  <c r="U23" i="17"/>
  <c r="U33" i="17"/>
  <c r="U44" i="17"/>
  <c r="AF50" i="18"/>
  <c r="AF46" i="18"/>
  <c r="E46" i="18"/>
  <c r="E50" i="18"/>
  <c r="L46" i="16"/>
  <c r="L50" i="16"/>
  <c r="AH46" i="16"/>
  <c r="AH50" i="16"/>
  <c r="AY44" i="16"/>
  <c r="AY23" i="16"/>
  <c r="AY33" i="16"/>
  <c r="Z24" i="17"/>
  <c r="Z34" i="17"/>
  <c r="Z45" i="17"/>
  <c r="AA45" i="17"/>
  <c r="AA51" i="17" s="1"/>
  <c r="AA34" i="17"/>
  <c r="AA40" i="17" s="1"/>
  <c r="AA24" i="17"/>
  <c r="O35" i="18"/>
  <c r="O39" i="18"/>
  <c r="AY24" i="17"/>
  <c r="AY34" i="17"/>
  <c r="AY40" i="17" s="1"/>
  <c r="AY45" i="17"/>
  <c r="AY51" i="17" s="1"/>
  <c r="AJ46" i="16"/>
  <c r="AJ50" i="16"/>
  <c r="L50" i="17"/>
  <c r="AA35" i="16"/>
  <c r="AA39" i="16"/>
  <c r="L39" i="16"/>
  <c r="L35" i="16"/>
  <c r="AJ44" i="17"/>
  <c r="AJ23" i="17"/>
  <c r="AJ33" i="17"/>
  <c r="J45" i="17"/>
  <c r="J24" i="17"/>
  <c r="J34" i="17"/>
  <c r="AM24" i="17"/>
  <c r="AM45" i="17"/>
  <c r="AM51" i="17" s="1"/>
  <c r="AM34" i="17"/>
  <c r="AM40" i="17" s="1"/>
  <c r="Q39" i="18"/>
  <c r="Q35" i="18"/>
  <c r="Q34" i="17"/>
  <c r="Q40" i="17" s="1"/>
  <c r="Q45" i="17"/>
  <c r="Q51" i="17" s="1"/>
  <c r="Q24" i="17"/>
  <c r="S46" i="18"/>
  <c r="S50" i="18"/>
  <c r="F50" i="18"/>
  <c r="F46" i="18"/>
  <c r="AL24" i="17"/>
  <c r="AL34" i="17"/>
  <c r="AL40" i="17" s="1"/>
  <c r="AL45" i="17"/>
  <c r="AL51" i="17" s="1"/>
  <c r="AH34" i="16"/>
  <c r="AH40" i="16" s="1"/>
  <c r="AH45" i="16"/>
  <c r="AH51" i="16" s="1"/>
  <c r="AH24" i="16"/>
  <c r="AE46" i="16"/>
  <c r="AE50" i="16"/>
  <c r="AS39" i="18"/>
  <c r="AS35" i="18"/>
  <c r="AS24" i="17"/>
  <c r="AS34" i="17"/>
  <c r="AS40" i="17" s="1"/>
  <c r="AS45" i="17"/>
  <c r="AS51" i="17" s="1"/>
  <c r="S50" i="17"/>
  <c r="AB45" i="17"/>
  <c r="AB51" i="17" s="1"/>
  <c r="AB34" i="17"/>
  <c r="AB40" i="17" s="1"/>
  <c r="AB24" i="17"/>
  <c r="K39" i="16"/>
  <c r="K35" i="16"/>
  <c r="G35" i="18"/>
  <c r="G39" i="18"/>
  <c r="AH35" i="18"/>
  <c r="AH39" i="18"/>
  <c r="K34" i="17"/>
  <c r="K40" i="17" s="1"/>
  <c r="K24" i="17"/>
  <c r="K45" i="17"/>
  <c r="K51" i="17" s="1"/>
  <c r="AF35" i="17"/>
  <c r="AF39" i="17"/>
  <c r="P35" i="18"/>
  <c r="P39" i="18"/>
  <c r="AB50" i="18"/>
  <c r="AB46" i="18"/>
  <c r="W44" i="17"/>
  <c r="W33" i="17"/>
  <c r="W23" i="17"/>
  <c r="M45" i="16"/>
  <c r="M51" i="16" s="1"/>
  <c r="M24" i="16"/>
  <c r="M34" i="16"/>
  <c r="M40" i="16" s="1"/>
  <c r="Y24" i="16"/>
  <c r="Y45" i="16"/>
  <c r="Y51" i="16" s="1"/>
  <c r="Y34" i="16"/>
  <c r="Y40" i="16" s="1"/>
  <c r="K44" i="17"/>
  <c r="K23" i="17"/>
  <c r="K33" i="17"/>
  <c r="Y45" i="17"/>
  <c r="Y51" i="17" s="1"/>
  <c r="Y24" i="17"/>
  <c r="Y34" i="17"/>
  <c r="Y40" i="17" s="1"/>
  <c r="I50" i="18"/>
  <c r="I46" i="18"/>
  <c r="AN34" i="17"/>
  <c r="AN40" i="17" s="1"/>
  <c r="AN24" i="17"/>
  <c r="AN45" i="17"/>
  <c r="AN51" i="17" s="1"/>
  <c r="AB39" i="17"/>
  <c r="R46" i="16"/>
  <c r="R50" i="16"/>
  <c r="V24" i="16"/>
  <c r="V45" i="16"/>
  <c r="V51" i="16" s="1"/>
  <c r="V34" i="16"/>
  <c r="V40" i="16" s="1"/>
  <c r="AF50" i="17"/>
  <c r="AF46" i="17"/>
  <c r="W50" i="18"/>
  <c r="W46" i="18"/>
  <c r="AK39" i="18"/>
  <c r="AK35" i="18"/>
  <c r="AU50" i="16"/>
  <c r="AU46" i="16"/>
  <c r="AW45" i="17"/>
  <c r="AW51" i="17" s="1"/>
  <c r="AW24" i="17"/>
  <c r="AW34" i="17"/>
  <c r="AW40" i="17" s="1"/>
  <c r="N35" i="17"/>
  <c r="N39" i="17"/>
  <c r="L45" i="18"/>
  <c r="L51" i="18" s="1"/>
  <c r="L34" i="18"/>
  <c r="L40" i="18" s="1"/>
  <c r="L24" i="18"/>
  <c r="AE35" i="16"/>
  <c r="AE39" i="16"/>
  <c r="U45" i="16"/>
  <c r="U51" i="16" s="1"/>
  <c r="U24" i="16"/>
  <c r="U34" i="16"/>
  <c r="U40" i="16" s="1"/>
  <c r="AJ50" i="18"/>
  <c r="AJ46" i="18"/>
  <c r="W24" i="17"/>
  <c r="W45" i="17"/>
  <c r="W51" i="17" s="1"/>
  <c r="W34" i="17"/>
  <c r="W40" i="17" s="1"/>
  <c r="X34" i="17"/>
  <c r="X40" i="17" s="1"/>
  <c r="X45" i="17"/>
  <c r="X51" i="17" s="1"/>
  <c r="X24" i="17"/>
  <c r="AR39" i="16"/>
  <c r="AR35" i="16"/>
  <c r="M44" i="16"/>
  <c r="M33" i="16"/>
  <c r="M23" i="16"/>
  <c r="AU33" i="17"/>
  <c r="AU44" i="17"/>
  <c r="AU23" i="17"/>
  <c r="AF39" i="16"/>
  <c r="AF35" i="16"/>
  <c r="J46" i="16"/>
  <c r="J50" i="16"/>
  <c r="AC35" i="16"/>
  <c r="AC39" i="16"/>
  <c r="Q33" i="16"/>
  <c r="Q23" i="16"/>
  <c r="Q44" i="16"/>
  <c r="AW39" i="17"/>
  <c r="T46" i="16"/>
  <c r="T50" i="16"/>
  <c r="AA34" i="18"/>
  <c r="AA40" i="18" s="1"/>
  <c r="AA45" i="18"/>
  <c r="AA51" i="18" s="1"/>
  <c r="AA24" i="18"/>
  <c r="AE23" i="17"/>
  <c r="AE44" i="17"/>
  <c r="AE33" i="17"/>
  <c r="AT50" i="16"/>
  <c r="AT46" i="16"/>
  <c r="AU23" i="18"/>
  <c r="AU33" i="18"/>
  <c r="AU44" i="18"/>
  <c r="AV23" i="17"/>
  <c r="AV44" i="17"/>
  <c r="AV33" i="17"/>
  <c r="AY44" i="18"/>
  <c r="AY23" i="18"/>
  <c r="AY33" i="18"/>
  <c r="K50" i="16"/>
  <c r="K46" i="16"/>
  <c r="G50" i="18"/>
  <c r="G46" i="18"/>
  <c r="I46" i="16"/>
  <c r="I50" i="16"/>
  <c r="AC39" i="17"/>
  <c r="U35" i="18"/>
  <c r="U39" i="18"/>
  <c r="AB24" i="16"/>
  <c r="AB34" i="16"/>
  <c r="AB40" i="16" s="1"/>
  <c r="AB45" i="16"/>
  <c r="AB51" i="16" s="1"/>
  <c r="E35" i="18"/>
  <c r="E39" i="18"/>
  <c r="AP46" i="17"/>
  <c r="AP50" i="17"/>
  <c r="I23" i="17"/>
  <c r="I33" i="17"/>
  <c r="I44" i="17"/>
  <c r="AS46" i="18"/>
  <c r="AS50" i="18"/>
  <c r="AX35" i="18"/>
  <c r="AX39" i="18"/>
  <c r="AL50" i="18"/>
  <c r="AL46" i="18"/>
  <c r="P46" i="18"/>
  <c r="P50" i="18"/>
  <c r="Z46" i="18"/>
  <c r="Z50" i="18"/>
  <c r="G34" i="17"/>
  <c r="G40" i="17" s="1"/>
  <c r="G45" i="17"/>
  <c r="G51" i="17" s="1"/>
  <c r="G24" i="17"/>
  <c r="AW50" i="17"/>
  <c r="U46" i="18"/>
  <c r="U50" i="18"/>
  <c r="AL35" i="18"/>
  <c r="AL39" i="18"/>
  <c r="Q39" i="17"/>
  <c r="Q35" i="17"/>
  <c r="AF50" i="16"/>
  <c r="AF46" i="16"/>
  <c r="AO24" i="17"/>
  <c r="AO34" i="17"/>
  <c r="AO40" i="17" s="1"/>
  <c r="AO45" i="17"/>
  <c r="AO51" i="17" s="1"/>
  <c r="AE44" i="18"/>
  <c r="AE23" i="18"/>
  <c r="AE33" i="18"/>
  <c r="T39" i="16"/>
  <c r="T35" i="16"/>
  <c r="P39" i="16"/>
  <c r="P35" i="16"/>
  <c r="S34" i="17"/>
  <c r="S40" i="17" s="1"/>
  <c r="S45" i="17"/>
  <c r="S51" i="17" s="1"/>
  <c r="S24" i="17"/>
  <c r="AB46" i="17"/>
  <c r="AB50" i="17"/>
  <c r="AV50" i="18"/>
  <c r="AV46" i="18"/>
  <c r="H30" i="18"/>
  <c r="I27" i="18"/>
  <c r="R50" i="17"/>
  <c r="V44" i="16"/>
  <c r="V23" i="16"/>
  <c r="V33" i="16"/>
  <c r="AP50" i="16"/>
  <c r="AP46" i="16"/>
  <c r="W35" i="18"/>
  <c r="W39" i="18"/>
  <c r="AK46" i="18"/>
  <c r="AK50" i="18"/>
  <c r="AP34" i="17"/>
  <c r="AP40" i="17" s="1"/>
  <c r="AP45" i="17"/>
  <c r="AP51" i="17" s="1"/>
  <c r="AP24" i="17"/>
  <c r="R46" i="18"/>
  <c r="R50" i="18"/>
  <c r="N50" i="17"/>
  <c r="N46" i="17"/>
  <c r="L44" i="18"/>
  <c r="L23" i="18"/>
  <c r="L33" i="18"/>
  <c r="D50" i="17"/>
  <c r="D46" i="17"/>
  <c r="AB39" i="18"/>
  <c r="AB35" i="18"/>
  <c r="AJ39" i="18"/>
  <c r="AJ35" i="18"/>
  <c r="Y50" i="18"/>
  <c r="Y46" i="18"/>
  <c r="AR46" i="16"/>
  <c r="AR50" i="16"/>
  <c r="AH46" i="17"/>
  <c r="AH50" i="17"/>
  <c r="AD46" i="18"/>
  <c r="AD50" i="18"/>
  <c r="AV46" i="16"/>
  <c r="AV50" i="16"/>
  <c r="AQ24" i="18"/>
  <c r="AQ34" i="18"/>
  <c r="AQ40" i="18" s="1"/>
  <c r="AQ45" i="18"/>
  <c r="AQ51" i="18" s="1"/>
  <c r="AU34" i="17"/>
  <c r="AU40" i="17" s="1"/>
  <c r="AU24" i="17"/>
  <c r="AU45" i="17"/>
  <c r="AU51" i="17" s="1"/>
  <c r="W23" i="16"/>
  <c r="W44" i="16"/>
  <c r="W33" i="16"/>
  <c r="D39" i="18"/>
  <c r="D35" i="18"/>
  <c r="AK35" i="16"/>
  <c r="AK39" i="16"/>
  <c r="O45" i="17"/>
  <c r="O51" i="17" s="1"/>
  <c r="O34" i="17"/>
  <c r="O40" i="17" s="1"/>
  <c r="O24" i="17"/>
  <c r="V45" i="17"/>
  <c r="V24" i="17"/>
  <c r="V34" i="17"/>
  <c r="Q45" i="16"/>
  <c r="Q51" i="16" s="1"/>
  <c r="Q24" i="16"/>
  <c r="Q34" i="16"/>
  <c r="Q40" i="16" s="1"/>
  <c r="O39" i="17"/>
  <c r="AS50" i="16"/>
  <c r="AS46" i="16"/>
  <c r="AA44" i="18"/>
  <c r="AA23" i="18"/>
  <c r="AA33" i="18"/>
  <c r="AE45" i="17"/>
  <c r="AE51" i="17" s="1"/>
  <c r="AE24" i="17"/>
  <c r="AE34" i="17"/>
  <c r="AE40" i="17" s="1"/>
  <c r="H27" i="16" l="1"/>
  <c r="G30" i="16"/>
  <c r="AA39" i="18"/>
  <c r="AA35" i="18"/>
  <c r="V50" i="16"/>
  <c r="V46" i="16"/>
  <c r="AU46" i="17"/>
  <c r="AU50" i="17"/>
  <c r="U46" i="17"/>
  <c r="U50" i="17"/>
  <c r="G50" i="17"/>
  <c r="G46" i="17"/>
  <c r="AY46" i="18"/>
  <c r="AY50" i="18"/>
  <c r="M35" i="16"/>
  <c r="M39" i="16"/>
  <c r="Z40" i="17"/>
  <c r="Z35" i="17"/>
  <c r="O46" i="17"/>
  <c r="AX40" i="17"/>
  <c r="AX35" i="17"/>
  <c r="O35" i="17"/>
  <c r="W46" i="16"/>
  <c r="W50" i="16"/>
  <c r="I46" i="17"/>
  <c r="I50" i="17"/>
  <c r="AV50" i="17"/>
  <c r="AV46" i="17"/>
  <c r="AE50" i="17"/>
  <c r="AE46" i="17"/>
  <c r="AW35" i="17"/>
  <c r="K50" i="17"/>
  <c r="K46" i="17"/>
  <c r="W39" i="17"/>
  <c r="W35" i="17"/>
  <c r="AY39" i="16"/>
  <c r="AY35" i="16"/>
  <c r="AD46" i="16"/>
  <c r="AD50" i="16"/>
  <c r="E46" i="17"/>
  <c r="E50" i="17"/>
  <c r="AL35" i="17"/>
  <c r="AO45" i="16"/>
  <c r="AO51" i="16" s="1"/>
  <c r="AO34" i="16"/>
  <c r="AO40" i="16" s="1"/>
  <c r="AO24" i="16"/>
  <c r="AR44" i="17"/>
  <c r="AR33" i="17"/>
  <c r="AR23" i="17"/>
  <c r="AZ23" i="17" s="1"/>
  <c r="AZ21" i="17"/>
  <c r="D51" i="16"/>
  <c r="D46" i="16"/>
  <c r="AC46" i="17"/>
  <c r="S35" i="17"/>
  <c r="N46" i="16"/>
  <c r="N50" i="16"/>
  <c r="AB46" i="16"/>
  <c r="AB50" i="16"/>
  <c r="AU50" i="18"/>
  <c r="AU46" i="18"/>
  <c r="F46" i="17"/>
  <c r="F50" i="17"/>
  <c r="G39" i="17"/>
  <c r="G35" i="17"/>
  <c r="Q35" i="16"/>
  <c r="Q39" i="16"/>
  <c r="E44" i="16"/>
  <c r="E33" i="16"/>
  <c r="E23" i="16"/>
  <c r="AZ21" i="16"/>
  <c r="AO50" i="17"/>
  <c r="AO46" i="17"/>
  <c r="Y46" i="16"/>
  <c r="Y50" i="16"/>
  <c r="AK46" i="17"/>
  <c r="AK51" i="17"/>
  <c r="AA39" i="17"/>
  <c r="AA35" i="17"/>
  <c r="L39" i="18"/>
  <c r="L35" i="18"/>
  <c r="V39" i="16"/>
  <c r="V35" i="16"/>
  <c r="AW46" i="17"/>
  <c r="I39" i="17"/>
  <c r="I35" i="17"/>
  <c r="Q46" i="16"/>
  <c r="Q50" i="16"/>
  <c r="W50" i="17"/>
  <c r="W46" i="17"/>
  <c r="J51" i="17"/>
  <c r="J46" i="17"/>
  <c r="L46" i="17"/>
  <c r="J35" i="18"/>
  <c r="J39" i="18"/>
  <c r="F35" i="17"/>
  <c r="F39" i="17"/>
  <c r="Y35" i="17"/>
  <c r="E39" i="17"/>
  <c r="E35" i="17"/>
  <c r="Q46" i="17"/>
  <c r="X46" i="17"/>
  <c r="AQ46" i="18"/>
  <c r="AQ50" i="18"/>
  <c r="I27" i="17"/>
  <c r="H30" i="17"/>
  <c r="P40" i="17"/>
  <c r="P35" i="17"/>
  <c r="Y35" i="16"/>
  <c r="Y39" i="16"/>
  <c r="AB35" i="16"/>
  <c r="AB39" i="16"/>
  <c r="P51" i="17"/>
  <c r="P46" i="17"/>
  <c r="AP35" i="17"/>
  <c r="AT39" i="17"/>
  <c r="AT35" i="17"/>
  <c r="AC35" i="17"/>
  <c r="AY35" i="18"/>
  <c r="AY39" i="18"/>
  <c r="AU35" i="17"/>
  <c r="AU39" i="17"/>
  <c r="AB35" i="17"/>
  <c r="AJ46" i="17"/>
  <c r="AJ50" i="17"/>
  <c r="U35" i="17"/>
  <c r="U39" i="17"/>
  <c r="E45" i="16"/>
  <c r="E51" i="16" s="1"/>
  <c r="E24" i="16"/>
  <c r="AZ24" i="16" s="1"/>
  <c r="E34" i="16"/>
  <c r="E40" i="16" s="1"/>
  <c r="Z39" i="16"/>
  <c r="Z35" i="16"/>
  <c r="T40" i="17"/>
  <c r="T35" i="17"/>
  <c r="M35" i="17"/>
  <c r="U46" i="16"/>
  <c r="U50" i="16"/>
  <c r="AN46" i="17"/>
  <c r="AX51" i="17"/>
  <c r="AX46" i="17"/>
  <c r="AM35" i="17"/>
  <c r="AD40" i="17"/>
  <c r="AD35" i="17"/>
  <c r="AI50" i="17"/>
  <c r="AI46" i="17"/>
  <c r="AT46" i="17"/>
  <c r="AT50" i="17"/>
  <c r="AA46" i="18"/>
  <c r="AA50" i="18"/>
  <c r="V40" i="17"/>
  <c r="V35" i="17"/>
  <c r="R46" i="17"/>
  <c r="AE50" i="18"/>
  <c r="AE46" i="18"/>
  <c r="S46" i="17"/>
  <c r="Z51" i="17"/>
  <c r="Z46" i="17"/>
  <c r="X35" i="17"/>
  <c r="Z50" i="16"/>
  <c r="Z46" i="16"/>
  <c r="T51" i="17"/>
  <c r="T46" i="17"/>
  <c r="AS39" i="17"/>
  <c r="AS35" i="17"/>
  <c r="AO35" i="17"/>
  <c r="AO39" i="17"/>
  <c r="AY46" i="17"/>
  <c r="AL46" i="17"/>
  <c r="AM50" i="16"/>
  <c r="AM46" i="16"/>
  <c r="AG40" i="17"/>
  <c r="AG35" i="17"/>
  <c r="AN35" i="17"/>
  <c r="U35" i="16"/>
  <c r="U39" i="16"/>
  <c r="AA46" i="17"/>
  <c r="AA50" i="17"/>
  <c r="AD51" i="17"/>
  <c r="AD46" i="17"/>
  <c r="AJ35" i="17"/>
  <c r="AJ39" i="17"/>
  <c r="AY46" i="16"/>
  <c r="AY50" i="16"/>
  <c r="L46" i="18"/>
  <c r="L50" i="18"/>
  <c r="AE35" i="18"/>
  <c r="AE39" i="18"/>
  <c r="AU35" i="18"/>
  <c r="AU39" i="18"/>
  <c r="J46" i="18"/>
  <c r="J50" i="18"/>
  <c r="J27" i="18"/>
  <c r="I30" i="18"/>
  <c r="K39" i="17"/>
  <c r="K35" i="17"/>
  <c r="AD35" i="16"/>
  <c r="AD39" i="16"/>
  <c r="AS50" i="17"/>
  <c r="AS46" i="17"/>
  <c r="AI39" i="17"/>
  <c r="AI35" i="17"/>
  <c r="V51" i="17"/>
  <c r="V46" i="17"/>
  <c r="W35" i="16"/>
  <c r="W39" i="16"/>
  <c r="AV35" i="17"/>
  <c r="AV39" i="17"/>
  <c r="AE35" i="17"/>
  <c r="AE39" i="17"/>
  <c r="M46" i="16"/>
  <c r="M50" i="16"/>
  <c r="J40" i="17"/>
  <c r="J35" i="17"/>
  <c r="AK40" i="17"/>
  <c r="AK35" i="17"/>
  <c r="AO33" i="16"/>
  <c r="AO44" i="16"/>
  <c r="AO23" i="16"/>
  <c r="L35" i="17"/>
  <c r="AR45" i="17"/>
  <c r="AR51" i="17" s="1"/>
  <c r="AR34" i="17"/>
  <c r="AR40" i="17" s="1"/>
  <c r="AR24" i="17"/>
  <c r="AZ24" i="17" s="1"/>
  <c r="AQ35" i="18"/>
  <c r="AQ39" i="18"/>
  <c r="AH35" i="17"/>
  <c r="AM39" i="16"/>
  <c r="AM35" i="16"/>
  <c r="AG51" i="17"/>
  <c r="AG46" i="17"/>
  <c r="D40" i="16"/>
  <c r="D35" i="16"/>
  <c r="AM46" i="17"/>
  <c r="N35" i="16"/>
  <c r="N39" i="16"/>
  <c r="I30" i="17" l="1"/>
  <c r="J27" i="17"/>
  <c r="AZ23" i="16"/>
  <c r="J30" i="18"/>
  <c r="K27" i="18"/>
  <c r="AR35" i="17"/>
  <c r="AR39" i="17"/>
  <c r="E35" i="16"/>
  <c r="E39" i="16"/>
  <c r="AO39" i="16"/>
  <c r="AO35" i="16"/>
  <c r="E46" i="16"/>
  <c r="E50" i="16"/>
  <c r="AO50" i="16"/>
  <c r="AO46" i="16"/>
  <c r="H30" i="16"/>
  <c r="I27" i="16"/>
  <c r="AR46" i="17"/>
  <c r="AR50" i="17"/>
  <c r="J27" i="16" l="1"/>
  <c r="I30" i="16"/>
  <c r="L27" i="18"/>
  <c r="K30" i="18"/>
  <c r="K27" i="17"/>
  <c r="J30" i="17"/>
  <c r="M27" i="18" l="1"/>
  <c r="L30" i="18"/>
  <c r="L27" i="17"/>
  <c r="K30" i="17"/>
  <c r="K27" i="16"/>
  <c r="J30" i="16"/>
  <c r="M27" i="17" l="1"/>
  <c r="L30" i="17"/>
  <c r="L27" i="16"/>
  <c r="K30" i="16"/>
  <c r="M30" i="18"/>
  <c r="N27" i="18"/>
  <c r="L30" i="16" l="1"/>
  <c r="M27" i="16"/>
  <c r="N30" i="18"/>
  <c r="O27" i="18"/>
  <c r="M30" i="17"/>
  <c r="N27" i="17"/>
  <c r="O30" i="18" l="1"/>
  <c r="P27" i="18"/>
  <c r="O27" i="17"/>
  <c r="N30" i="17"/>
  <c r="N27" i="16"/>
  <c r="M30" i="16"/>
  <c r="O30" i="17" l="1"/>
  <c r="P27" i="17"/>
  <c r="O27" i="16"/>
  <c r="N30" i="16"/>
  <c r="P30" i="18"/>
  <c r="Q27" i="18"/>
  <c r="O30" i="16" l="1"/>
  <c r="P27" i="16"/>
  <c r="R27" i="18"/>
  <c r="Q30" i="18"/>
  <c r="Q27" i="17"/>
  <c r="P30" i="17"/>
  <c r="R30" i="18" l="1"/>
  <c r="S27" i="18"/>
  <c r="R27" i="17"/>
  <c r="Q30" i="17"/>
  <c r="P30" i="16"/>
  <c r="Q27" i="16"/>
  <c r="R30" i="17" l="1"/>
  <c r="S27" i="17"/>
  <c r="Q30" i="16"/>
  <c r="R27" i="16"/>
  <c r="T27" i="18"/>
  <c r="S30" i="18"/>
  <c r="R30" i="16" l="1"/>
  <c r="S27" i="16"/>
  <c r="U27" i="18"/>
  <c r="T30" i="18"/>
  <c r="S30" i="17"/>
  <c r="T27" i="17"/>
  <c r="T27" i="16" l="1"/>
  <c r="S30" i="16"/>
  <c r="T30" i="17"/>
  <c r="U27" i="17"/>
  <c r="V27" i="18"/>
  <c r="U30" i="18"/>
  <c r="W27" i="18" l="1"/>
  <c r="V30" i="18"/>
  <c r="U30" i="17"/>
  <c r="V27" i="17"/>
  <c r="T30" i="16"/>
  <c r="U27" i="16"/>
  <c r="W27" i="17" l="1"/>
  <c r="V30" i="17"/>
  <c r="V27" i="16"/>
  <c r="U30" i="16"/>
  <c r="X27" i="18"/>
  <c r="W30" i="18"/>
  <c r="V30" i="16" l="1"/>
  <c r="W27" i="16"/>
  <c r="Y27" i="18"/>
  <c r="X30" i="18"/>
  <c r="X27" i="17"/>
  <c r="W30" i="17"/>
  <c r="Y30" i="18" l="1"/>
  <c r="Z27" i="18"/>
  <c r="W30" i="16"/>
  <c r="X27" i="16"/>
  <c r="Y27" i="17"/>
  <c r="X30" i="17"/>
  <c r="AA27" i="18" l="1"/>
  <c r="Z30" i="18"/>
  <c r="Y30" i="17"/>
  <c r="Z27" i="17"/>
  <c r="Y27" i="16"/>
  <c r="X30" i="16"/>
  <c r="Y30" i="16" l="1"/>
  <c r="Z27" i="16"/>
  <c r="Z30" i="17"/>
  <c r="AA27" i="17"/>
  <c r="AA30" i="18"/>
  <c r="AB27" i="18"/>
  <c r="AA27" i="16" l="1"/>
  <c r="Z30" i="16"/>
  <c r="AB30" i="18"/>
  <c r="AC27" i="18"/>
  <c r="AB27" i="17"/>
  <c r="AA30" i="17"/>
  <c r="AB30" i="17" l="1"/>
  <c r="AC27" i="17"/>
  <c r="AC30" i="18"/>
  <c r="AD27" i="18"/>
  <c r="AA30" i="16"/>
  <c r="AB27" i="16"/>
  <c r="AB30" i="16" l="1"/>
  <c r="AC27" i="16"/>
  <c r="AC30" i="17"/>
  <c r="AD27" i="17"/>
  <c r="AE27" i="18"/>
  <c r="AD30" i="18"/>
  <c r="AD27" i="16" l="1"/>
  <c r="AC30" i="16"/>
  <c r="AE30" i="18"/>
  <c r="AF27" i="18"/>
  <c r="AE27" i="17"/>
  <c r="AD30" i="17"/>
  <c r="AF27" i="17" l="1"/>
  <c r="AE30" i="17"/>
  <c r="AG27" i="18"/>
  <c r="AF30" i="18"/>
  <c r="AD30" i="16"/>
  <c r="AE27" i="16"/>
  <c r="AF27" i="16" l="1"/>
  <c r="AE30" i="16"/>
  <c r="AG30" i="18"/>
  <c r="AH27" i="18"/>
  <c r="AG27" i="17"/>
  <c r="AF30" i="17"/>
  <c r="AG30" i="17" l="1"/>
  <c r="AH27" i="17"/>
  <c r="AI27" i="18"/>
  <c r="AH30" i="18"/>
  <c r="AF30" i="16"/>
  <c r="AG27" i="16"/>
  <c r="AH27" i="16" l="1"/>
  <c r="AG30" i="16"/>
  <c r="AH30" i="17"/>
  <c r="AI27" i="17"/>
  <c r="AJ27" i="18"/>
  <c r="AI30" i="18"/>
  <c r="AK27" i="18" l="1"/>
  <c r="AJ30" i="18"/>
  <c r="AJ27" i="17"/>
  <c r="AI30" i="17"/>
  <c r="AH30" i="16"/>
  <c r="AI27" i="16"/>
  <c r="AK27" i="17" l="1"/>
  <c r="AJ30" i="17"/>
  <c r="AJ27" i="16"/>
  <c r="AI30" i="16"/>
  <c r="AK30" i="18"/>
  <c r="AL27" i="18"/>
  <c r="AM27" i="18" l="1"/>
  <c r="AL30" i="18"/>
  <c r="AK27" i="16"/>
  <c r="AJ30" i="16"/>
  <c r="AK30" i="17"/>
  <c r="AL27" i="17"/>
  <c r="AM27" i="17" l="1"/>
  <c r="AL30" i="17"/>
  <c r="AK30" i="16"/>
  <c r="AL27" i="16"/>
  <c r="AN27" i="18"/>
  <c r="AM30" i="18"/>
  <c r="AO27" i="18" l="1"/>
  <c r="AN30" i="18"/>
  <c r="AM27" i="16"/>
  <c r="AL30" i="16"/>
  <c r="AN27" i="17"/>
  <c r="AM30" i="17"/>
  <c r="AN30" i="17" l="1"/>
  <c r="AO27" i="17"/>
  <c r="AM30" i="16"/>
  <c r="AN27" i="16"/>
  <c r="AO30" i="18"/>
  <c r="AP27" i="18"/>
  <c r="AQ27" i="18" l="1"/>
  <c r="AP30" i="18"/>
  <c r="AO30" i="17"/>
  <c r="AP27" i="17"/>
  <c r="AN30" i="16"/>
  <c r="AO27" i="16"/>
  <c r="AP27" i="16" l="1"/>
  <c r="AO30" i="16"/>
  <c r="AP30" i="17"/>
  <c r="AQ27" i="17"/>
  <c r="AR27" i="18"/>
  <c r="AQ30" i="18"/>
  <c r="AS27" i="18" l="1"/>
  <c r="AR30" i="18"/>
  <c r="AR27" i="17"/>
  <c r="AQ30" i="17"/>
  <c r="AP30" i="16"/>
  <c r="AQ27" i="16"/>
  <c r="AQ30" i="16" l="1"/>
  <c r="AR27" i="16"/>
  <c r="AS27" i="17"/>
  <c r="AR30" i="17"/>
  <c r="AS30" i="18"/>
  <c r="AT27" i="18"/>
  <c r="AT30" i="18" l="1"/>
  <c r="AU27" i="18"/>
  <c r="AR30" i="16"/>
  <c r="AS27" i="16"/>
  <c r="AS30" i="17"/>
  <c r="AT27" i="17"/>
  <c r="AU30" i="18" l="1"/>
  <c r="AV27" i="18"/>
  <c r="AU27" i="17"/>
  <c r="AT30" i="17"/>
  <c r="AT27" i="16"/>
  <c r="AS30" i="16"/>
  <c r="AT30" i="16" l="1"/>
  <c r="AU27" i="16"/>
  <c r="AV30" i="18"/>
  <c r="AW27" i="18"/>
  <c r="AV27" i="17"/>
  <c r="AU30" i="17"/>
  <c r="AV27" i="16" l="1"/>
  <c r="AU30" i="16"/>
  <c r="AW27" i="17"/>
  <c r="AV30" i="17"/>
  <c r="AW30" i="18"/>
  <c r="AX27" i="18"/>
  <c r="AY27" i="18" l="1"/>
  <c r="AY30" i="18" s="1"/>
  <c r="AZ30" i="18" s="1"/>
  <c r="AX30" i="18"/>
  <c r="AW30" i="17"/>
  <c r="AX27" i="17"/>
  <c r="AV30" i="16"/>
  <c r="AW27" i="16"/>
  <c r="AX30" i="17" l="1"/>
  <c r="AY27" i="17"/>
  <c r="AY30" i="17" s="1"/>
  <c r="AZ30" i="17" s="1"/>
  <c r="AX27" i="16"/>
  <c r="AW30" i="16"/>
  <c r="AY27" i="16" l="1"/>
  <c r="AY30" i="16" s="1"/>
  <c r="AZ30" i="16" s="1"/>
  <c r="AX30" i="16"/>
</calcChain>
</file>

<file path=xl/sharedStrings.xml><?xml version="1.0" encoding="utf-8"?>
<sst xmlns="http://schemas.openxmlformats.org/spreadsheetml/2006/main" count="2451" uniqueCount="413">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</sst>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0" borderId="1" xfId="0" applyBorder="1" applyProtection="1">
      <protection locked="0"/>
    </xf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3" applyFill="1"/>
    <xf numFmtId="0" fontId="4" fillId="0" borderId="0" xfId="3"/>
    <xf numFmtId="0" fontId="4" fillId="0" borderId="0" xfId="3" applyFill="1"/>
    <xf numFmtId="0" fontId="1" fillId="0" borderId="0" xfId="3" applyFont="1"/>
    <xf numFmtId="0" fontId="2" fillId="0" borderId="0" xfId="3" applyFont="1"/>
    <xf numFmtId="0" fontId="2" fillId="0" borderId="0" xfId="3" applyFont="1" applyFill="1"/>
    <xf numFmtId="0" fontId="4" fillId="6" borderId="0" xfId="3" applyFill="1"/>
    <xf numFmtId="0" fontId="4" fillId="0" borderId="0" xfId="3" applyFill="1" applyBorder="1"/>
    <xf numFmtId="0" fontId="4" fillId="0" borderId="5" xfId="3" applyBorder="1"/>
    <xf numFmtId="0" fontId="4" fillId="0" borderId="11" xfId="3" applyBorder="1"/>
    <xf numFmtId="0" fontId="4" fillId="0" borderId="6" xfId="3" applyBorder="1"/>
    <xf numFmtId="0" fontId="4" fillId="0" borderId="0" xfId="3" applyBorder="1"/>
    <xf numFmtId="0" fontId="4" fillId="0" borderId="0" xfId="3" applyAlignment="1"/>
    <xf numFmtId="0" fontId="4" fillId="0" borderId="0" xfId="3" applyAlignment="1">
      <alignment horizontal="center"/>
    </xf>
    <xf numFmtId="0" fontId="4" fillId="0" borderId="0" xfId="3" applyBorder="1" applyAlignment="1">
      <alignment horizontal="right"/>
    </xf>
    <xf numFmtId="0" fontId="4" fillId="0" borderId="8" xfId="3" applyFill="1" applyBorder="1"/>
    <xf numFmtId="0" fontId="4" fillId="5" borderId="13" xfId="3" applyFill="1" applyBorder="1" applyAlignment="1">
      <alignment horizontal="right"/>
    </xf>
    <xf numFmtId="0" fontId="4" fillId="7" borderId="8" xfId="3" applyFill="1" applyBorder="1"/>
    <xf numFmtId="0" fontId="4" fillId="0" borderId="13" xfId="3" applyBorder="1"/>
    <xf numFmtId="0" fontId="4" fillId="5" borderId="0" xfId="3" applyFill="1" applyAlignment="1">
      <alignment horizontal="right"/>
    </xf>
    <xf numFmtId="0" fontId="4" fillId="7" borderId="0" xfId="3" applyFill="1" applyBorder="1"/>
    <xf numFmtId="0" fontId="4" fillId="2" borderId="0" xfId="3" applyFill="1" applyBorder="1"/>
    <xf numFmtId="0" fontId="4" fillId="7" borderId="13" xfId="3" applyFill="1" applyBorder="1"/>
    <xf numFmtId="0" fontId="4" fillId="5" borderId="9" xfId="3" applyFill="1" applyBorder="1" applyAlignment="1">
      <alignment horizontal="right"/>
    </xf>
    <xf numFmtId="0" fontId="4" fillId="7" borderId="9" xfId="3" applyFill="1" applyBorder="1"/>
    <xf numFmtId="0" fontId="4" fillId="0" borderId="9" xfId="3" applyBorder="1"/>
    <xf numFmtId="0" fontId="4" fillId="0" borderId="8" xfId="3" applyBorder="1"/>
    <xf numFmtId="0" fontId="4" fillId="5" borderId="1" xfId="3" applyFill="1" applyBorder="1" applyAlignment="1">
      <alignment horizontal="right"/>
    </xf>
    <xf numFmtId="0" fontId="4" fillId="3" borderId="0" xfId="3" applyFill="1" applyBorder="1"/>
    <xf numFmtId="0" fontId="4" fillId="0" borderId="3" xfId="3" applyBorder="1"/>
    <xf numFmtId="0" fontId="4" fillId="8" borderId="8" xfId="3" applyFill="1" applyBorder="1"/>
    <xf numFmtId="0" fontId="4" fillId="8" borderId="0" xfId="3" applyFill="1" applyBorder="1"/>
    <xf numFmtId="0" fontId="4" fillId="5" borderId="6" xfId="3" applyFill="1" applyBorder="1" applyAlignment="1">
      <alignment horizontal="right"/>
    </xf>
    <xf numFmtId="0" fontId="4" fillId="9" borderId="8" xfId="3" applyFill="1" applyBorder="1" applyAlignment="1">
      <alignment horizontal="right"/>
    </xf>
    <xf numFmtId="0" fontId="4" fillId="5" borderId="13" xfId="3" applyFill="1" applyBorder="1"/>
    <xf numFmtId="10" fontId="4" fillId="0" borderId="13" xfId="3" applyNumberFormat="1" applyBorder="1"/>
    <xf numFmtId="0" fontId="4" fillId="5" borderId="9" xfId="3" applyFill="1" applyBorder="1"/>
    <xf numFmtId="0" fontId="4" fillId="5" borderId="8" xfId="3" applyFill="1" applyBorder="1"/>
    <xf numFmtId="0" fontId="4" fillId="6" borderId="9" xfId="3" applyFill="1" applyBorder="1"/>
    <xf numFmtId="0" fontId="4" fillId="0" borderId="9" xfId="3" applyFill="1" applyBorder="1"/>
    <xf numFmtId="0" fontId="4" fillId="0" borderId="10" xfId="3" applyFill="1" applyBorder="1"/>
    <xf numFmtId="0" fontId="4" fillId="6" borderId="8" xfId="3" applyFill="1" applyBorder="1"/>
    <xf numFmtId="0" fontId="4" fillId="0" borderId="15" xfId="3" applyFill="1" applyBorder="1"/>
    <xf numFmtId="0" fontId="4" fillId="0" borderId="0" xfId="3" applyFill="1" applyBorder="1" applyAlignment="1">
      <alignment horizontal="left"/>
    </xf>
    <xf numFmtId="0" fontId="4" fillId="7" borderId="13" xfId="3" applyFill="1" applyBorder="1" applyAlignment="1">
      <alignment horizontal="right"/>
    </xf>
    <xf numFmtId="0" fontId="4" fillId="0" borderId="13" xfId="3" applyFill="1" applyBorder="1"/>
    <xf numFmtId="0" fontId="4" fillId="0" borderId="9" xfId="3" applyFont="1" applyFill="1" applyBorder="1"/>
    <xf numFmtId="0" fontId="4" fillId="0" borderId="0" xfId="3" applyFont="1" applyFill="1" applyBorder="1" applyAlignment="1">
      <alignment horizontal="right"/>
    </xf>
    <xf numFmtId="0" fontId="4" fillId="0" borderId="0" xfId="3" applyFont="1" applyFill="1" applyBorder="1"/>
    <xf numFmtId="0" fontId="4" fillId="0" borderId="0" xfId="3" applyFont="1" applyFill="1" applyBorder="1" applyAlignment="1"/>
    <xf numFmtId="0" fontId="4" fillId="5" borderId="13" xfId="3" applyFont="1" applyFill="1" applyBorder="1" applyAlignment="1">
      <alignment horizontal="right"/>
    </xf>
    <xf numFmtId="0" fontId="4" fillId="7" borderId="13" xfId="3" applyFont="1" applyFill="1" applyBorder="1" applyAlignment="1"/>
    <xf numFmtId="0" fontId="4" fillId="0" borderId="5" xfId="3" applyFill="1" applyBorder="1"/>
    <xf numFmtId="0" fontId="1" fillId="0" borderId="0" xfId="3" applyFont="1" applyBorder="1"/>
    <xf numFmtId="0" fontId="4" fillId="0" borderId="9" xfId="3" applyFill="1" applyBorder="1" applyAlignment="1">
      <alignment horizontal="right"/>
    </xf>
    <xf numFmtId="10" fontId="4" fillId="5" borderId="13" xfId="3" applyNumberFormat="1" applyFill="1" applyBorder="1"/>
    <xf numFmtId="0" fontId="4" fillId="5" borderId="0" xfId="3" applyFill="1" applyBorder="1" applyAlignment="1">
      <alignment horizontal="right"/>
    </xf>
    <xf numFmtId="10" fontId="4" fillId="0" borderId="0" xfId="3" applyNumberFormat="1" applyFill="1" applyBorder="1"/>
    <xf numFmtId="0" fontId="4" fillId="0" borderId="12" xfId="3" applyFill="1" applyBorder="1"/>
    <xf numFmtId="0" fontId="4" fillId="5" borderId="8" xfId="3" applyFill="1" applyBorder="1" applyAlignment="1">
      <alignment horizontal="right"/>
    </xf>
    <xf numFmtId="10" fontId="4" fillId="0" borderId="8" xfId="3" applyNumberFormat="1" applyFill="1" applyBorder="1"/>
    <xf numFmtId="0" fontId="4" fillId="6" borderId="9" xfId="3" applyFill="1" applyBorder="1" applyAlignment="1">
      <alignment horizontal="right"/>
    </xf>
    <xf numFmtId="0" fontId="4" fillId="6" borderId="8" xfId="3" applyFill="1" applyBorder="1" applyAlignment="1">
      <alignment horizontal="right"/>
    </xf>
    <xf numFmtId="0" fontId="4" fillId="0" borderId="8" xfId="3" applyNumberFormat="1" applyFill="1" applyBorder="1"/>
    <xf numFmtId="0" fontId="1" fillId="0" borderId="0" xfId="3" applyFont="1" applyFill="1" applyBorder="1" applyAlignment="1"/>
    <xf numFmtId="0" fontId="4" fillId="0" borderId="2" xfId="3" applyBorder="1"/>
    <xf numFmtId="0" fontId="4" fillId="5" borderId="0" xfId="3" applyFill="1" applyBorder="1"/>
    <xf numFmtId="0" fontId="4" fillId="0" borderId="7" xfId="3" applyBorder="1"/>
    <xf numFmtId="0" fontId="4" fillId="0" borderId="4" xfId="3" applyBorder="1"/>
    <xf numFmtId="0" fontId="4" fillId="0" borderId="3" xfId="3" applyFill="1" applyBorder="1"/>
    <xf numFmtId="0" fontId="4" fillId="6" borderId="13" xfId="3" applyFill="1" applyBorder="1" applyAlignment="1">
      <alignment horizontal="right"/>
    </xf>
    <xf numFmtId="0" fontId="4" fillId="10" borderId="0" xfId="3" applyFill="1"/>
    <xf numFmtId="0" fontId="4" fillId="10" borderId="0" xfId="3" applyFont="1" applyFill="1"/>
    <xf numFmtId="0" fontId="4" fillId="0" borderId="0" xfId="3" applyFont="1" applyFill="1"/>
    <xf numFmtId="0" fontId="4" fillId="5" borderId="0" xfId="3" applyFont="1" applyFill="1"/>
    <xf numFmtId="0" fontId="2" fillId="0" borderId="0" xfId="3" applyNumberFormat="1" applyFont="1" applyFill="1" applyAlignment="1"/>
    <xf numFmtId="0" fontId="4" fillId="0" borderId="0" xfId="3" applyNumberFormat="1" applyAlignment="1"/>
    <xf numFmtId="0" fontId="4" fillId="6" borderId="0" xfId="3" applyNumberFormat="1" applyFill="1" applyAlignment="1"/>
    <xf numFmtId="0" fontId="4" fillId="0" borderId="0" xfId="3" applyAlignment="1">
      <alignment horizontal="right"/>
    </xf>
    <xf numFmtId="0" fontId="4" fillId="6" borderId="0" xfId="3" applyFill="1" applyBorder="1"/>
    <xf numFmtId="0" fontId="4" fillId="0" borderId="0" xfId="3" applyNumberFormat="1"/>
    <xf numFmtId="0" fontId="9" fillId="0" borderId="0" xfId="3" applyFont="1" applyAlignment="1">
      <alignment horizontal="center"/>
    </xf>
    <xf numFmtId="0" fontId="9" fillId="0" borderId="0" xfId="3" applyFont="1"/>
    <xf numFmtId="0" fontId="10" fillId="0" borderId="0" xfId="3" applyFont="1"/>
    <xf numFmtId="0" fontId="11" fillId="0" borderId="0" xfId="3" applyFont="1"/>
    <xf numFmtId="0" fontId="12" fillId="0" borderId="0" xfId="3" applyFont="1"/>
    <xf numFmtId="0" fontId="13" fillId="0" borderId="0" xfId="3" applyFont="1"/>
    <xf numFmtId="0" fontId="14" fillId="0" borderId="0" xfId="3" applyNumberFormat="1" applyFont="1" applyAlignment="1">
      <alignment horizontal="left"/>
    </xf>
    <xf numFmtId="1" fontId="4" fillId="0" borderId="10" xfId="3" applyNumberFormat="1" applyBorder="1"/>
    <xf numFmtId="164" fontId="4" fillId="0" borderId="10" xfId="3" applyNumberFormat="1" applyBorder="1"/>
    <xf numFmtId="1" fontId="4" fillId="0" borderId="12" xfId="3" applyNumberFormat="1" applyBorder="1"/>
    <xf numFmtId="164" fontId="4" fillId="0" borderId="12" xfId="3" applyNumberFormat="1" applyBorder="1"/>
    <xf numFmtId="1" fontId="4" fillId="0" borderId="15" xfId="3" applyNumberFormat="1" applyBorder="1"/>
    <xf numFmtId="164" fontId="4" fillId="0" borderId="15" xfId="3" applyNumberFormat="1" applyBorder="1"/>
    <xf numFmtId="164" fontId="4" fillId="0" borderId="13" xfId="3" applyNumberFormat="1" applyBorder="1"/>
    <xf numFmtId="1" fontId="4" fillId="0" borderId="5" xfId="3" applyNumberFormat="1" applyBorder="1"/>
    <xf numFmtId="1" fontId="4" fillId="0" borderId="10" xfId="3" applyNumberFormat="1" applyFill="1" applyBorder="1"/>
    <xf numFmtId="1" fontId="4" fillId="0" borderId="12" xfId="3" applyNumberFormat="1" applyFill="1" applyBorder="1"/>
    <xf numFmtId="1" fontId="4" fillId="0" borderId="15" xfId="3" applyNumberFormat="1" applyFill="1" applyBorder="1"/>
    <xf numFmtId="0" fontId="4" fillId="0" borderId="9" xfId="3" applyBorder="1" applyAlignment="1">
      <alignment horizontal="right"/>
    </xf>
    <xf numFmtId="164" fontId="4" fillId="0" borderId="0" xfId="3" applyNumberFormat="1"/>
    <xf numFmtId="0" fontId="15" fillId="0" borderId="0" xfId="3" applyFont="1"/>
    <xf numFmtId="164" fontId="4" fillId="0" borderId="27" xfId="3" applyNumberFormat="1" applyBorder="1"/>
  </cellXfs>
  <cellStyles count="4">
    <cellStyle name="Followed Hyperlink" xfId="2" builtinId="9" hidden="1"/>
    <cellStyle name="Hyperlink" xfId="1" builtinId="8" hidden="1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>
      <selection activeCell="P29" sqref="P29"/>
    </sheetView>
  </sheetViews>
  <sheetFormatPr defaultColWidth="8.85546875"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2015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336</v>
      </c>
      <c r="D8">
        <v>2</v>
      </c>
      <c r="E8" t="s">
        <v>337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69" workbookViewId="0">
      <selection activeCell="J26" sqref="J26"/>
    </sheetView>
  </sheetViews>
  <sheetFormatPr defaultColWidth="9.14062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-345</v>
      </c>
      <c r="D6" s="15">
        <v>345</v>
      </c>
      <c r="E6" s="15"/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>sold</v>
      </c>
    </row>
    <row r="7" spans="2:8" x14ac:dyDescent="0.2">
      <c r="B7" s="14" t="s">
        <v>7</v>
      </c>
      <c r="C7" s="84">
        <v>1700</v>
      </c>
      <c r="D7" s="15">
        <v>0</v>
      </c>
      <c r="E7" s="15"/>
      <c r="F7" s="15" t="s">
        <v>6</v>
      </c>
      <c r="G7" s="15">
        <f t="shared" si="0"/>
        <v>1700</v>
      </c>
      <c r="H7" s="17" t="str">
        <f t="shared" si="1"/>
        <v>new</v>
      </c>
    </row>
    <row r="8" spans="2:8" x14ac:dyDescent="0.2">
      <c r="B8" s="14" t="s">
        <v>8</v>
      </c>
      <c r="C8" s="84">
        <v>5500</v>
      </c>
      <c r="D8" s="15">
        <v>0</v>
      </c>
      <c r="E8" s="15"/>
      <c r="F8" s="15" t="s">
        <v>6</v>
      </c>
      <c r="G8" s="15">
        <f t="shared" si="0"/>
        <v>5500</v>
      </c>
      <c r="H8" s="17" t="str">
        <f t="shared" si="1"/>
        <v>new</v>
      </c>
    </row>
    <row r="9" spans="2:8" x14ac:dyDescent="0.2">
      <c r="B9" s="14" t="s">
        <v>9</v>
      </c>
      <c r="C9" s="84"/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1800</v>
      </c>
      <c r="D10" s="15">
        <v>500</v>
      </c>
      <c r="E10" s="15"/>
      <c r="F10" s="15" t="s">
        <v>6</v>
      </c>
      <c r="G10" s="15">
        <f t="shared" si="0"/>
        <v>2300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-3589</v>
      </c>
      <c r="D12" s="15">
        <v>3589</v>
      </c>
      <c r="E12" s="15"/>
      <c r="F12" s="15" t="s">
        <v>6</v>
      </c>
      <c r="G12" s="15">
        <f t="shared" si="0"/>
        <v>0</v>
      </c>
      <c r="H12" s="17" t="str">
        <f t="shared" si="1"/>
        <v>sold</v>
      </c>
    </row>
    <row r="13" spans="2:8" x14ac:dyDescent="0.2">
      <c r="B13" s="14" t="s">
        <v>13</v>
      </c>
      <c r="C13" s="84"/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>
        <v>1300</v>
      </c>
      <c r="D14" s="15">
        <v>0</v>
      </c>
      <c r="E14" s="15"/>
      <c r="F14" s="15" t="s">
        <v>6</v>
      </c>
      <c r="G14" s="15">
        <f t="shared" si="0"/>
        <v>1300</v>
      </c>
      <c r="H14" s="17" t="str">
        <f t="shared" si="1"/>
        <v>new</v>
      </c>
    </row>
    <row r="15" spans="2:8" x14ac:dyDescent="0.2">
      <c r="B15" s="18" t="s">
        <v>15</v>
      </c>
      <c r="C15" s="84"/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-11</v>
      </c>
      <c r="D21" s="15">
        <v>11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>
        <v>57</v>
      </c>
      <c r="D22" s="15">
        <v>0</v>
      </c>
      <c r="E22" s="15"/>
      <c r="F22" s="15" t="s">
        <v>6</v>
      </c>
      <c r="G22" s="15">
        <f t="shared" si="2"/>
        <v>57</v>
      </c>
      <c r="H22" s="17"/>
    </row>
    <row r="23" spans="2:8" x14ac:dyDescent="0.2">
      <c r="B23" s="14" t="s">
        <v>8</v>
      </c>
      <c r="C23" s="85">
        <v>182</v>
      </c>
      <c r="D23" s="15">
        <v>0</v>
      </c>
      <c r="E23" s="15"/>
      <c r="F23" s="15" t="s">
        <v>6</v>
      </c>
      <c r="G23" s="15">
        <f t="shared" si="2"/>
        <v>182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37</v>
      </c>
      <c r="D25" s="15">
        <v>22</v>
      </c>
      <c r="E25" s="15"/>
      <c r="F25" s="15" t="s">
        <v>6</v>
      </c>
      <c r="G25" s="15">
        <f t="shared" si="2"/>
        <v>59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-53</v>
      </c>
      <c r="D27" s="15">
        <v>53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>
        <v>43</v>
      </c>
      <c r="D29" s="15">
        <v>0</v>
      </c>
      <c r="E29" s="15"/>
      <c r="F29" s="15" t="s">
        <v>6</v>
      </c>
      <c r="G29" s="15">
        <f t="shared" si="2"/>
        <v>43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>
        <v>-50000</v>
      </c>
      <c r="D39" s="14">
        <v>50000</v>
      </c>
      <c r="E39" s="15"/>
      <c r="F39" s="15" t="s">
        <v>6</v>
      </c>
      <c r="G39" s="15">
        <f t="shared" si="3"/>
        <v>0</v>
      </c>
      <c r="H39" s="17" t="str">
        <f t="shared" si="4"/>
        <v>sold</v>
      </c>
    </row>
    <row r="40" spans="2:8" x14ac:dyDescent="0.2">
      <c r="B40" s="14" t="s">
        <v>23</v>
      </c>
      <c r="C40" s="84"/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>
        <v>3000</v>
      </c>
      <c r="D51" s="14">
        <v>0</v>
      </c>
      <c r="E51" s="15"/>
      <c r="F51" s="15" t="s">
        <v>6</v>
      </c>
      <c r="G51" s="15">
        <f t="shared" si="3"/>
        <v>3000</v>
      </c>
      <c r="H51" s="17" t="str">
        <f t="shared" si="4"/>
        <v>new</v>
      </c>
    </row>
    <row r="52" spans="2:8" x14ac:dyDescent="0.2">
      <c r="B52" s="14" t="s">
        <v>35</v>
      </c>
      <c r="C52" s="84"/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/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/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>
        <v>12000</v>
      </c>
      <c r="D66" s="15">
        <v>0</v>
      </c>
      <c r="E66" s="15"/>
      <c r="F66" s="15" t="s">
        <v>6</v>
      </c>
      <c r="G66" s="15">
        <f t="shared" si="3"/>
        <v>12000</v>
      </c>
      <c r="H66" s="17" t="str">
        <f t="shared" si="4"/>
        <v>new</v>
      </c>
    </row>
    <row r="67" spans="2:8" x14ac:dyDescent="0.2">
      <c r="B67" s="14" t="s">
        <v>50</v>
      </c>
      <c r="C67" s="85"/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>
        <v>4000</v>
      </c>
      <c r="D74" s="15">
        <v>0</v>
      </c>
      <c r="E74" s="15"/>
      <c r="F74" s="15" t="s">
        <v>6</v>
      </c>
      <c r="G74" s="15">
        <f t="shared" si="5"/>
        <v>4000</v>
      </c>
      <c r="H74" s="17" t="str">
        <f t="shared" si="6"/>
        <v>new</v>
      </c>
    </row>
    <row r="75" spans="2:8" x14ac:dyDescent="0.2">
      <c r="B75" s="14" t="s">
        <v>58</v>
      </c>
      <c r="C75" s="85"/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>
        <v>-51000</v>
      </c>
      <c r="D76" s="15">
        <v>51000</v>
      </c>
      <c r="E76" s="15"/>
      <c r="F76" s="15" t="s">
        <v>6</v>
      </c>
      <c r="G76" s="15">
        <f t="shared" si="5"/>
        <v>0</v>
      </c>
      <c r="H76" s="17" t="str">
        <f t="shared" si="6"/>
        <v>sold</v>
      </c>
    </row>
    <row r="77" spans="2:8" x14ac:dyDescent="0.2">
      <c r="B77" s="14" t="s">
        <v>60</v>
      </c>
      <c r="C77" s="85"/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/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>
        <v>4000</v>
      </c>
      <c r="D87" s="15">
        <v>0</v>
      </c>
      <c r="E87" s="15"/>
      <c r="F87" s="15" t="s">
        <v>6</v>
      </c>
      <c r="G87" s="15">
        <f t="shared" si="5"/>
        <v>4000</v>
      </c>
      <c r="H87" s="17" t="str">
        <f t="shared" si="6"/>
        <v>new</v>
      </c>
    </row>
    <row r="88" spans="2:8" x14ac:dyDescent="0.2">
      <c r="B88" s="14" t="s">
        <v>71</v>
      </c>
      <c r="C88" s="85"/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8" sqref="C8"/>
    </sheetView>
  </sheetViews>
  <sheetFormatPr defaultColWidth="9.14062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f>3934+3000</f>
        <v>6934</v>
      </c>
      <c r="D6" s="86">
        <f t="shared" ref="D6:N6" si="0">3934+3000</f>
        <v>6934</v>
      </c>
      <c r="E6" s="86">
        <f t="shared" si="0"/>
        <v>6934</v>
      </c>
      <c r="F6" s="86">
        <f t="shared" si="0"/>
        <v>6934</v>
      </c>
      <c r="G6" s="86">
        <f t="shared" si="0"/>
        <v>6934</v>
      </c>
      <c r="H6" s="86">
        <f t="shared" si="0"/>
        <v>6934</v>
      </c>
      <c r="I6" s="86">
        <f t="shared" si="0"/>
        <v>6934</v>
      </c>
      <c r="J6" s="86">
        <f t="shared" si="0"/>
        <v>6934</v>
      </c>
      <c r="K6" s="86">
        <f t="shared" si="0"/>
        <v>6934</v>
      </c>
      <c r="L6" s="86">
        <f t="shared" si="0"/>
        <v>6934</v>
      </c>
      <c r="M6" s="86">
        <f t="shared" si="0"/>
        <v>6934</v>
      </c>
      <c r="N6" s="86">
        <f t="shared" si="0"/>
        <v>6934</v>
      </c>
    </row>
    <row r="7" spans="2:14" x14ac:dyDescent="0.2">
      <c r="B7" s="36" t="s">
        <v>105</v>
      </c>
      <c r="C7" s="87">
        <v>0</v>
      </c>
      <c r="D7" s="87">
        <v>0</v>
      </c>
      <c r="E7" s="87">
        <v>0</v>
      </c>
      <c r="F7" s="87">
        <v>0</v>
      </c>
      <c r="G7" s="87">
        <v>0</v>
      </c>
      <c r="H7" s="87">
        <v>0</v>
      </c>
      <c r="I7" s="87">
        <v>0</v>
      </c>
      <c r="J7" s="87">
        <v>0</v>
      </c>
      <c r="K7" s="87">
        <v>0</v>
      </c>
      <c r="L7" s="87">
        <v>0</v>
      </c>
      <c r="M7" s="87">
        <v>0</v>
      </c>
      <c r="N7" s="87">
        <v>0</v>
      </c>
    </row>
    <row r="8" spans="2:14" x14ac:dyDescent="0.2">
      <c r="B8" s="36" t="s">
        <v>106</v>
      </c>
      <c r="C8" s="87">
        <v>1400</v>
      </c>
      <c r="D8" s="87">
        <v>1400</v>
      </c>
      <c r="E8" s="87">
        <v>1400</v>
      </c>
      <c r="F8" s="87">
        <v>1400</v>
      </c>
      <c r="G8" s="87">
        <v>1400</v>
      </c>
      <c r="H8" s="87">
        <v>1400</v>
      </c>
      <c r="I8" s="87">
        <v>1400</v>
      </c>
      <c r="J8" s="87">
        <v>1400</v>
      </c>
      <c r="K8" s="87">
        <v>1400</v>
      </c>
      <c r="L8" s="87">
        <v>1400</v>
      </c>
      <c r="M8" s="87">
        <v>1400</v>
      </c>
      <c r="N8" s="87">
        <v>1400</v>
      </c>
    </row>
    <row r="9" spans="2:14" x14ac:dyDescent="0.2">
      <c r="B9" s="36" t="s">
        <v>107</v>
      </c>
      <c r="C9" s="87">
        <v>500</v>
      </c>
      <c r="D9" s="87">
        <v>500</v>
      </c>
      <c r="E9" s="87">
        <v>500</v>
      </c>
      <c r="F9" s="87">
        <v>500</v>
      </c>
      <c r="G9" s="87">
        <v>500</v>
      </c>
      <c r="H9" s="87">
        <v>500</v>
      </c>
      <c r="I9" s="87">
        <v>500</v>
      </c>
      <c r="J9" s="87">
        <v>500</v>
      </c>
      <c r="K9" s="87">
        <v>500</v>
      </c>
      <c r="L9" s="87">
        <v>500</v>
      </c>
      <c r="M9" s="87">
        <v>500</v>
      </c>
      <c r="N9" s="87">
        <v>500</v>
      </c>
    </row>
    <row r="10" spans="2:14" x14ac:dyDescent="0.2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 x14ac:dyDescent="0.2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89">
        <v>1</v>
      </c>
      <c r="D17" s="89">
        <v>10000000</v>
      </c>
      <c r="E17" s="89">
        <v>1</v>
      </c>
      <c r="F17" s="89">
        <v>10000000</v>
      </c>
      <c r="G17" s="89">
        <v>1</v>
      </c>
      <c r="H17" s="89">
        <v>10000000</v>
      </c>
      <c r="I17" s="29" t="s">
        <v>110</v>
      </c>
    </row>
    <row r="18" spans="2:33" x14ac:dyDescent="0.2">
      <c r="B18" s="36" t="s">
        <v>105</v>
      </c>
      <c r="C18" s="90">
        <v>1</v>
      </c>
      <c r="D18" s="89">
        <v>10000000</v>
      </c>
      <c r="E18" s="90">
        <v>1</v>
      </c>
      <c r="F18" s="89">
        <v>10000000</v>
      </c>
      <c r="G18" s="90">
        <v>1</v>
      </c>
      <c r="H18" s="89">
        <v>10000000</v>
      </c>
      <c r="I18" s="29" t="s">
        <v>110</v>
      </c>
    </row>
    <row r="19" spans="2:33" x14ac:dyDescent="0.2">
      <c r="B19" s="36" t="s">
        <v>106</v>
      </c>
      <c r="C19" s="90">
        <v>1</v>
      </c>
      <c r="D19" s="89">
        <v>10000000</v>
      </c>
      <c r="E19" s="90">
        <v>1</v>
      </c>
      <c r="F19" s="89">
        <v>10000000</v>
      </c>
      <c r="G19" s="90">
        <v>1</v>
      </c>
      <c r="H19" s="89">
        <v>10000000</v>
      </c>
      <c r="I19" s="29" t="s">
        <v>110</v>
      </c>
    </row>
    <row r="20" spans="2:33" x14ac:dyDescent="0.2">
      <c r="B20" s="36" t="s">
        <v>107</v>
      </c>
      <c r="C20" s="90">
        <v>1</v>
      </c>
      <c r="D20" s="89">
        <v>10000000</v>
      </c>
      <c r="E20" s="90">
        <v>1</v>
      </c>
      <c r="F20" s="89">
        <v>10000000</v>
      </c>
      <c r="G20" s="90">
        <v>1</v>
      </c>
      <c r="H20" s="89">
        <v>10000000</v>
      </c>
    </row>
    <row r="21" spans="2:33" x14ac:dyDescent="0.2">
      <c r="B21" s="36" t="s">
        <v>108</v>
      </c>
      <c r="C21" s="90">
        <v>1</v>
      </c>
      <c r="D21" s="89">
        <v>10000000</v>
      </c>
      <c r="E21" s="90">
        <v>1</v>
      </c>
      <c r="F21" s="89">
        <v>10000000</v>
      </c>
      <c r="G21" s="90">
        <v>1</v>
      </c>
      <c r="H21" s="89">
        <v>10000000</v>
      </c>
    </row>
    <row r="22" spans="2:33" x14ac:dyDescent="0.2">
      <c r="B22" s="37" t="s">
        <v>109</v>
      </c>
      <c r="C22" s="90">
        <v>1</v>
      </c>
      <c r="D22" s="89">
        <v>10000000</v>
      </c>
      <c r="E22" s="90">
        <v>1</v>
      </c>
      <c r="F22" s="89">
        <v>10000000</v>
      </c>
      <c r="G22" s="90">
        <v>1</v>
      </c>
      <c r="H22" s="89">
        <v>10000000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2010</v>
      </c>
      <c r="E28" s="49"/>
      <c r="F28" s="45">
        <f>basic_info!$D$5-4</f>
        <v>2011</v>
      </c>
      <c r="G28" s="49"/>
      <c r="H28" s="45">
        <f>basic_info!$D$5-3</f>
        <v>2012</v>
      </c>
      <c r="I28" s="49"/>
      <c r="J28" s="45">
        <f>basic_info!$D$5-2</f>
        <v>2013</v>
      </c>
      <c r="K28" s="49"/>
      <c r="L28" s="45">
        <f>basic_info!$D$5-1</f>
        <v>2014</v>
      </c>
      <c r="N28" s="45">
        <f>basic_info!$D$5</f>
        <v>2015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2015</v>
      </c>
      <c r="D30" s="44">
        <v>0.71606841632270113</v>
      </c>
      <c r="E30" s="35">
        <v>0</v>
      </c>
      <c r="F30" s="47">
        <v>0.72887055332178219</v>
      </c>
      <c r="G30" s="46">
        <v>0</v>
      </c>
      <c r="H30" s="47">
        <v>0.83662811576897178</v>
      </c>
      <c r="I30" s="46">
        <v>0</v>
      </c>
      <c r="J30" s="47">
        <v>0.81866788858339068</v>
      </c>
      <c r="K30" s="46">
        <v>0</v>
      </c>
      <c r="L30" s="47">
        <v>0.66383864317884189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2016</v>
      </c>
      <c r="D31" s="76"/>
      <c r="E31" s="75"/>
      <c r="F31" s="69">
        <v>0.67862145488531522</v>
      </c>
      <c r="G31" s="79">
        <v>0</v>
      </c>
      <c r="H31" s="61">
        <v>0.77144919455166439</v>
      </c>
      <c r="I31" s="62">
        <v>0</v>
      </c>
      <c r="J31" s="61">
        <v>0.74927989201390566</v>
      </c>
      <c r="K31" s="62">
        <v>0</v>
      </c>
      <c r="L31" s="61">
        <v>0.67403456532264949</v>
      </c>
      <c r="M31" s="62">
        <v>0</v>
      </c>
      <c r="N31" s="63">
        <v>0.9094305994382329</v>
      </c>
      <c r="O31" s="88">
        <v>0</v>
      </c>
      <c r="P31" s="63">
        <f>O31+M31+K31+I31+G31</f>
        <v>0</v>
      </c>
    </row>
    <row r="32" spans="2:33" x14ac:dyDescent="0.2">
      <c r="B32" s="36"/>
      <c r="C32" s="47">
        <f>basic_info!$D$5+2</f>
        <v>2017</v>
      </c>
      <c r="D32" s="76"/>
      <c r="E32" s="75"/>
      <c r="F32" s="75"/>
      <c r="G32" s="75"/>
      <c r="H32" s="69">
        <v>0.71662753591933626</v>
      </c>
      <c r="I32" s="79">
        <v>0</v>
      </c>
      <c r="J32" s="61">
        <v>0.7118064307683698</v>
      </c>
      <c r="K32" s="62">
        <v>0</v>
      </c>
      <c r="L32" s="61">
        <v>0.65742258166301204</v>
      </c>
      <c r="M32" s="62">
        <v>0</v>
      </c>
      <c r="N32" s="63">
        <v>0.8608485705892801</v>
      </c>
      <c r="O32" s="88">
        <v>0</v>
      </c>
      <c r="P32" s="63">
        <f>O32+M32+K32+I32</f>
        <v>0</v>
      </c>
    </row>
    <row r="33" spans="2:17" x14ac:dyDescent="0.2">
      <c r="B33" s="36"/>
      <c r="C33" s="47">
        <f>basic_info!$D$5+3</f>
        <v>2018</v>
      </c>
      <c r="D33" s="76"/>
      <c r="E33" s="75"/>
      <c r="F33" s="75"/>
      <c r="G33" s="75"/>
      <c r="H33" s="75"/>
      <c r="I33" s="75"/>
      <c r="J33" s="69">
        <v>0.68616087553988669</v>
      </c>
      <c r="K33" s="79">
        <v>0</v>
      </c>
      <c r="L33" s="61">
        <v>0.64171751702829749</v>
      </c>
      <c r="M33" s="62">
        <v>0</v>
      </c>
      <c r="N33" s="63">
        <v>0.8295043288750632</v>
      </c>
      <c r="O33" s="88">
        <v>0</v>
      </c>
      <c r="P33" s="63">
        <f>O33+M33+K33</f>
        <v>0</v>
      </c>
    </row>
    <row r="34" spans="2:17" x14ac:dyDescent="0.2">
      <c r="B34" s="36"/>
      <c r="C34" s="47">
        <f>basic_info!$D$5+4</f>
        <v>2019</v>
      </c>
      <c r="D34" s="76"/>
      <c r="E34" s="75"/>
      <c r="F34" s="75"/>
      <c r="G34" s="75"/>
      <c r="H34" s="75"/>
      <c r="I34" s="75"/>
      <c r="J34" s="75"/>
      <c r="K34" s="75"/>
      <c r="L34" s="69">
        <v>0.65376248745918275</v>
      </c>
      <c r="M34" s="79">
        <v>0</v>
      </c>
      <c r="N34" s="63">
        <v>0.84540928358710421</v>
      </c>
      <c r="O34" s="88">
        <v>0</v>
      </c>
      <c r="P34" s="63">
        <f>O34+M34</f>
        <v>0</v>
      </c>
    </row>
    <row r="35" spans="2:17" x14ac:dyDescent="0.2">
      <c r="B35" s="37"/>
      <c r="C35" s="72">
        <f>basic_info!$D$5+5</f>
        <v>2020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0.76962524616122252</v>
      </c>
      <c r="O35" s="88">
        <v>0</v>
      </c>
      <c r="P35" s="65">
        <f>O35</f>
        <v>0</v>
      </c>
    </row>
    <row r="36" spans="2:17" x14ac:dyDescent="0.2">
      <c r="B36" s="41" t="s">
        <v>113</v>
      </c>
      <c r="C36" s="36">
        <f>basic_info!$D$5</f>
        <v>2015</v>
      </c>
      <c r="D36" s="44">
        <v>1.1250861635625817</v>
      </c>
      <c r="E36" s="35">
        <v>0</v>
      </c>
      <c r="F36" s="73">
        <v>1.3053357330394562</v>
      </c>
      <c r="G36" s="74">
        <v>0</v>
      </c>
      <c r="H36" s="73">
        <v>1.1125214549937747</v>
      </c>
      <c r="I36" s="74">
        <v>0</v>
      </c>
      <c r="J36" s="73">
        <v>1.2057521205584205</v>
      </c>
      <c r="K36" s="74">
        <v>0</v>
      </c>
      <c r="L36" s="66">
        <v>1.201165752532078</v>
      </c>
      <c r="M36" s="67">
        <v>0</v>
      </c>
      <c r="N36" s="68"/>
      <c r="O36" s="71" t="s">
        <v>162</v>
      </c>
      <c r="P36" s="41">
        <f>M36+K36+I36+E36+G36</f>
        <v>0</v>
      </c>
      <c r="Q36" s="70"/>
    </row>
    <row r="37" spans="2:17" x14ac:dyDescent="0.2">
      <c r="B37" s="36"/>
      <c r="C37" s="47">
        <f>basic_info!$D$5+1</f>
        <v>2016</v>
      </c>
      <c r="D37" s="76"/>
      <c r="E37" s="75"/>
      <c r="F37" s="69">
        <v>1.2381058075672227</v>
      </c>
      <c r="G37" s="79">
        <v>0</v>
      </c>
      <c r="H37" s="61">
        <v>1.0896456341169221</v>
      </c>
      <c r="I37" s="62">
        <v>0</v>
      </c>
      <c r="J37" s="61">
        <v>1.1880059380028796</v>
      </c>
      <c r="K37" s="62">
        <v>0</v>
      </c>
      <c r="L37" s="61">
        <v>1.1979988746751256</v>
      </c>
      <c r="M37" s="62">
        <v>0</v>
      </c>
      <c r="N37" s="61">
        <v>1.1284743819827652</v>
      </c>
      <c r="O37" s="88">
        <v>136000</v>
      </c>
      <c r="P37" s="63">
        <f>O37+M37+K37+I37+G37</f>
        <v>136000</v>
      </c>
    </row>
    <row r="38" spans="2:17" x14ac:dyDescent="0.2">
      <c r="B38" s="36"/>
      <c r="C38" s="47">
        <f>basic_info!$D$5+2</f>
        <v>2017</v>
      </c>
      <c r="D38" s="76"/>
      <c r="E38" s="75"/>
      <c r="F38" s="75"/>
      <c r="G38" s="75"/>
      <c r="H38" s="69">
        <v>1.0587453955633634</v>
      </c>
      <c r="I38" s="79">
        <v>0</v>
      </c>
      <c r="J38" s="61">
        <v>1.0938135695671274</v>
      </c>
      <c r="K38" s="62">
        <v>0</v>
      </c>
      <c r="L38" s="61">
        <v>1.1014713588815135</v>
      </c>
      <c r="M38" s="62">
        <v>0</v>
      </c>
      <c r="N38" s="61">
        <v>1.042842908637313</v>
      </c>
      <c r="O38" s="88">
        <v>136000</v>
      </c>
      <c r="P38" s="63">
        <f>O38+M38+K38+I38</f>
        <v>136000</v>
      </c>
    </row>
    <row r="39" spans="2:17" x14ac:dyDescent="0.2">
      <c r="B39" s="36"/>
      <c r="C39" s="47">
        <f>basic_info!$D$5+3</f>
        <v>2018</v>
      </c>
      <c r="D39" s="76"/>
      <c r="E39" s="75"/>
      <c r="F39" s="75"/>
      <c r="G39" s="75"/>
      <c r="H39" s="75"/>
      <c r="I39" s="75"/>
      <c r="J39" s="69">
        <v>1.0288140534879155</v>
      </c>
      <c r="K39" s="79">
        <v>0</v>
      </c>
      <c r="L39" s="61">
        <v>1.0108999284690923</v>
      </c>
      <c r="M39" s="62">
        <v>0</v>
      </c>
      <c r="N39" s="61">
        <v>1.0032828986441651</v>
      </c>
      <c r="O39" s="88">
        <v>136000</v>
      </c>
      <c r="P39" s="63">
        <f>O39+M39+K39</f>
        <v>136000</v>
      </c>
    </row>
    <row r="40" spans="2:17" x14ac:dyDescent="0.2">
      <c r="B40" s="36"/>
      <c r="C40" s="47">
        <f>basic_info!$D$5+4</f>
        <v>2019</v>
      </c>
      <c r="D40" s="76"/>
      <c r="E40" s="75"/>
      <c r="F40" s="75"/>
      <c r="G40" s="75"/>
      <c r="H40" s="75"/>
      <c r="I40" s="75"/>
      <c r="J40" s="75"/>
      <c r="K40" s="75"/>
      <c r="L40" s="69">
        <v>0.98955166281759732</v>
      </c>
      <c r="M40" s="79">
        <v>0</v>
      </c>
      <c r="N40" s="61">
        <v>0.95103433990902408</v>
      </c>
      <c r="O40" s="88">
        <v>136000</v>
      </c>
      <c r="P40" s="63">
        <f>O40+M40</f>
        <v>136000</v>
      </c>
    </row>
    <row r="41" spans="2:17" x14ac:dyDescent="0.2">
      <c r="B41" s="37"/>
      <c r="C41" s="72">
        <f>basic_info!$D$5+5</f>
        <v>2020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0.9180320969671012</v>
      </c>
      <c r="O41" s="88">
        <v>136000</v>
      </c>
      <c r="P41" s="64">
        <f>O41</f>
        <v>136000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1">
        <v>9</v>
      </c>
      <c r="D47" s="91">
        <v>9</v>
      </c>
      <c r="E47" s="91">
        <v>9</v>
      </c>
      <c r="F47" s="91">
        <v>9</v>
      </c>
      <c r="G47" s="91">
        <v>8</v>
      </c>
      <c r="H47" s="91">
        <v>8</v>
      </c>
      <c r="I47" s="91">
        <v>8</v>
      </c>
      <c r="J47" s="91">
        <v>8</v>
      </c>
      <c r="K47" s="91">
        <v>8</v>
      </c>
      <c r="L47" s="91">
        <v>8</v>
      </c>
      <c r="M47" s="91">
        <v>8</v>
      </c>
      <c r="N47" s="91">
        <v>8</v>
      </c>
      <c r="O47" s="33">
        <f>SUM(C47:N47)</f>
        <v>100</v>
      </c>
    </row>
    <row r="48" spans="2:17" x14ac:dyDescent="0.2">
      <c r="B48" s="37" t="s">
        <v>113</v>
      </c>
      <c r="C48" s="91">
        <v>9</v>
      </c>
      <c r="D48" s="91">
        <v>9</v>
      </c>
      <c r="E48" s="91">
        <v>9</v>
      </c>
      <c r="F48" s="91">
        <v>9</v>
      </c>
      <c r="G48" s="91">
        <v>8</v>
      </c>
      <c r="H48" s="91">
        <v>8</v>
      </c>
      <c r="I48" s="91">
        <v>8</v>
      </c>
      <c r="J48" s="91">
        <v>8</v>
      </c>
      <c r="K48" s="91">
        <v>8</v>
      </c>
      <c r="L48" s="91">
        <v>8</v>
      </c>
      <c r="M48" s="91">
        <v>8</v>
      </c>
      <c r="N48" s="91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topLeftCell="A8" workbookViewId="0">
      <selection activeCell="B34" sqref="B34"/>
    </sheetView>
  </sheetViews>
  <sheetFormatPr defaultColWidth="9.140625"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2">
        <f>345/(13934) * 100</f>
        <v>2.4759580881297545</v>
      </c>
      <c r="D6" s="92">
        <v>0</v>
      </c>
      <c r="E6" s="92">
        <f>3589/(13934) * 100</f>
        <v>25.757140806659969</v>
      </c>
      <c r="F6" s="92">
        <v>0</v>
      </c>
      <c r="G6" s="92">
        <f>10000/(13934)*100</f>
        <v>71.76690110521028</v>
      </c>
      <c r="H6" s="96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2">
        <v>100</v>
      </c>
      <c r="D7" s="92">
        <v>0</v>
      </c>
      <c r="E7" s="92">
        <v>0</v>
      </c>
      <c r="F7" s="92">
        <v>0</v>
      </c>
      <c r="G7" s="92">
        <v>0</v>
      </c>
      <c r="H7" s="96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2">
        <v>0</v>
      </c>
      <c r="D8" s="92">
        <v>0</v>
      </c>
      <c r="E8" s="92">
        <v>0</v>
      </c>
      <c r="F8" s="92">
        <v>100</v>
      </c>
      <c r="G8" s="92">
        <v>0</v>
      </c>
      <c r="H8" s="96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2">
        <v>0</v>
      </c>
      <c r="D9" s="92">
        <v>100</v>
      </c>
      <c r="E9" s="92">
        <v>0</v>
      </c>
      <c r="F9" s="92">
        <v>0</v>
      </c>
      <c r="G9" s="92">
        <v>0</v>
      </c>
      <c r="H9" s="96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8">
        <v>100</v>
      </c>
      <c r="D10" s="92">
        <v>0</v>
      </c>
      <c r="E10" s="92">
        <v>0</v>
      </c>
      <c r="F10" s="92">
        <v>0</v>
      </c>
      <c r="G10" s="92">
        <v>0</v>
      </c>
      <c r="H10" s="96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8">
        <v>100</v>
      </c>
      <c r="D11" s="92">
        <v>0</v>
      </c>
      <c r="E11" s="92">
        <v>0</v>
      </c>
      <c r="F11" s="92">
        <v>0</v>
      </c>
      <c r="G11" s="93">
        <v>0</v>
      </c>
      <c r="H11" s="95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3">
        <v>100</v>
      </c>
      <c r="D19" s="44">
        <f>100-$C$19</f>
        <v>0</v>
      </c>
      <c r="E19" s="93">
        <v>100</v>
      </c>
      <c r="F19" s="44">
        <f>100-$E$19</f>
        <v>0</v>
      </c>
      <c r="G19" s="93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2">
        <v>100</v>
      </c>
      <c r="D27" s="92">
        <v>0</v>
      </c>
      <c r="E27" s="92">
        <v>0</v>
      </c>
      <c r="F27" s="92">
        <v>0</v>
      </c>
      <c r="G27" s="92">
        <v>0</v>
      </c>
      <c r="H27" s="92">
        <v>0</v>
      </c>
      <c r="I27" s="92">
        <v>0</v>
      </c>
      <c r="P27" s="50"/>
      <c r="Q27" s="50"/>
      <c r="R27" s="50"/>
    </row>
    <row r="28" spans="2:18" x14ac:dyDescent="0.2">
      <c r="B28" s="45" t="s">
        <v>59</v>
      </c>
      <c r="C28" s="92">
        <v>0</v>
      </c>
      <c r="D28" s="92">
        <v>100</v>
      </c>
      <c r="E28" s="92">
        <v>100</v>
      </c>
      <c r="F28" s="92">
        <v>100</v>
      </c>
      <c r="G28" s="92">
        <v>100</v>
      </c>
      <c r="H28" s="92">
        <v>100</v>
      </c>
      <c r="I28" s="94">
        <v>100</v>
      </c>
      <c r="P28" s="50"/>
      <c r="Q28" s="50"/>
      <c r="R28" s="50"/>
    </row>
    <row r="29" spans="2:18" x14ac:dyDescent="0.2">
      <c r="B29" s="45" t="s">
        <v>150</v>
      </c>
      <c r="C29" s="97">
        <f>SUM($C$27:$C$28)</f>
        <v>100</v>
      </c>
      <c r="D29" s="97">
        <f>SUM($D$27:$D$28)</f>
        <v>100</v>
      </c>
      <c r="E29" s="97">
        <f>SUM($E$27:$E$28)</f>
        <v>100</v>
      </c>
      <c r="F29" s="97">
        <f>SUM($F$27:$F$28)</f>
        <v>100</v>
      </c>
      <c r="G29" s="97">
        <f>SUM($G$27:$G$28)</f>
        <v>100</v>
      </c>
      <c r="H29" s="97">
        <f>SUM($H$27:$H$28)</f>
        <v>100</v>
      </c>
      <c r="I29" s="95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2">
        <v>0</v>
      </c>
      <c r="D36" s="92">
        <v>0</v>
      </c>
      <c r="E36" s="92">
        <v>0</v>
      </c>
      <c r="F36" s="92">
        <v>0</v>
      </c>
      <c r="G36" s="92">
        <v>0</v>
      </c>
      <c r="H36" s="92">
        <v>0</v>
      </c>
      <c r="I36" s="92">
        <v>0</v>
      </c>
      <c r="J36" s="92">
        <v>0</v>
      </c>
      <c r="K36" s="92">
        <v>0</v>
      </c>
      <c r="L36" s="92">
        <v>0</v>
      </c>
      <c r="M36" s="92">
        <v>0</v>
      </c>
      <c r="N36" s="92">
        <v>0</v>
      </c>
    </row>
    <row r="37" spans="2:14" x14ac:dyDescent="0.2">
      <c r="B37" s="45" t="s">
        <v>59</v>
      </c>
      <c r="C37" s="93">
        <v>0</v>
      </c>
      <c r="D37" s="93">
        <v>0</v>
      </c>
      <c r="E37" s="93">
        <v>0</v>
      </c>
      <c r="F37" s="93">
        <v>0</v>
      </c>
      <c r="G37" s="93">
        <v>0</v>
      </c>
      <c r="H37" s="93">
        <v>0</v>
      </c>
      <c r="I37" s="93">
        <v>0</v>
      </c>
      <c r="J37" s="93">
        <v>0</v>
      </c>
      <c r="K37" s="93">
        <v>0</v>
      </c>
      <c r="L37" s="93">
        <v>0</v>
      </c>
      <c r="M37" s="93">
        <v>0</v>
      </c>
      <c r="N37" s="93">
        <v>0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27:I28 C19 E19 G19 D6:G11 C6:C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F37" sqref="F37"/>
    </sheetView>
  </sheetViews>
  <sheetFormatPr defaultColWidth="9.14062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8">
        <v>1</v>
      </c>
      <c r="E6" s="88">
        <v>1</v>
      </c>
      <c r="F6" s="88">
        <v>1</v>
      </c>
      <c r="G6" s="88">
        <v>1</v>
      </c>
      <c r="H6" s="88">
        <v>1</v>
      </c>
      <c r="I6" s="88">
        <v>1</v>
      </c>
      <c r="J6" s="88">
        <v>1</v>
      </c>
      <c r="K6" s="88">
        <v>1</v>
      </c>
      <c r="L6" s="88">
        <v>1</v>
      </c>
      <c r="M6" s="88">
        <v>1.2</v>
      </c>
      <c r="N6" s="88">
        <v>1.2</v>
      </c>
      <c r="O6" s="88">
        <v>1</v>
      </c>
    </row>
    <row r="7" spans="2:15" x14ac:dyDescent="0.2">
      <c r="C7" s="36" t="s">
        <v>127</v>
      </c>
      <c r="D7" s="88">
        <v>1</v>
      </c>
      <c r="E7" s="88">
        <v>1</v>
      </c>
      <c r="F7" s="88">
        <v>1</v>
      </c>
      <c r="G7" s="88">
        <v>1</v>
      </c>
      <c r="H7" s="88">
        <v>1</v>
      </c>
      <c r="I7" s="88">
        <v>1</v>
      </c>
      <c r="J7" s="88">
        <v>1</v>
      </c>
      <c r="K7" s="88">
        <v>1</v>
      </c>
      <c r="L7" s="88">
        <v>1</v>
      </c>
      <c r="M7" s="88">
        <v>1.2</v>
      </c>
      <c r="N7" s="88">
        <v>1.2</v>
      </c>
      <c r="O7" s="88">
        <v>1</v>
      </c>
    </row>
    <row r="8" spans="2:15" x14ac:dyDescent="0.2">
      <c r="C8" s="36" t="s">
        <v>128</v>
      </c>
      <c r="D8" s="88">
        <v>1</v>
      </c>
      <c r="E8" s="88">
        <v>1</v>
      </c>
      <c r="F8" s="88">
        <v>1</v>
      </c>
      <c r="G8" s="88">
        <v>1</v>
      </c>
      <c r="H8" s="88">
        <v>1</v>
      </c>
      <c r="I8" s="88">
        <v>1</v>
      </c>
      <c r="J8" s="88">
        <v>1</v>
      </c>
      <c r="K8" s="88">
        <v>1</v>
      </c>
      <c r="L8" s="88">
        <v>1</v>
      </c>
      <c r="M8" s="88">
        <v>1.2</v>
      </c>
      <c r="N8" s="88">
        <v>1.2</v>
      </c>
      <c r="O8" s="88">
        <v>1</v>
      </c>
    </row>
    <row r="9" spans="2:15" x14ac:dyDescent="0.2">
      <c r="C9" s="36" t="s">
        <v>129</v>
      </c>
      <c r="D9" s="88">
        <v>1.25</v>
      </c>
      <c r="E9" s="88">
        <v>1.25</v>
      </c>
      <c r="F9" s="88">
        <v>1.25</v>
      </c>
      <c r="G9" s="88">
        <v>1.25</v>
      </c>
      <c r="H9" s="88">
        <v>1.25</v>
      </c>
      <c r="I9" s="88">
        <v>1.25</v>
      </c>
      <c r="J9" s="88">
        <v>1.25</v>
      </c>
      <c r="K9" s="88">
        <v>1.25</v>
      </c>
      <c r="L9" s="88">
        <v>1.25</v>
      </c>
      <c r="M9" s="88">
        <v>1.5</v>
      </c>
      <c r="N9" s="88">
        <v>1.5</v>
      </c>
      <c r="O9" s="88">
        <v>1.25</v>
      </c>
    </row>
    <row r="10" spans="2:15" x14ac:dyDescent="0.2">
      <c r="C10" s="36" t="s">
        <v>130</v>
      </c>
      <c r="D10" s="88">
        <v>1</v>
      </c>
      <c r="E10" s="88">
        <v>1</v>
      </c>
      <c r="F10" s="88">
        <v>1</v>
      </c>
      <c r="G10" s="88">
        <v>1</v>
      </c>
      <c r="H10" s="88">
        <v>1</v>
      </c>
      <c r="I10" s="88">
        <v>1</v>
      </c>
      <c r="J10" s="88">
        <v>1</v>
      </c>
      <c r="K10" s="88">
        <v>1</v>
      </c>
      <c r="L10" s="88">
        <v>1</v>
      </c>
      <c r="M10" s="88">
        <v>1.2</v>
      </c>
      <c r="N10" s="88">
        <v>1.2</v>
      </c>
      <c r="O10" s="88">
        <v>1</v>
      </c>
    </row>
    <row r="11" spans="2:15" x14ac:dyDescent="0.2">
      <c r="C11" s="36" t="s">
        <v>131</v>
      </c>
      <c r="D11" s="88">
        <v>1.25</v>
      </c>
      <c r="E11" s="88">
        <v>1.25</v>
      </c>
      <c r="F11" s="88">
        <v>1.25</v>
      </c>
      <c r="G11" s="88">
        <v>1.25</v>
      </c>
      <c r="H11" s="88">
        <v>1.25</v>
      </c>
      <c r="I11" s="88">
        <v>1.25</v>
      </c>
      <c r="J11" s="88">
        <v>1.25</v>
      </c>
      <c r="K11" s="88">
        <v>1.25</v>
      </c>
      <c r="L11" s="88">
        <v>1.25</v>
      </c>
      <c r="M11" s="88">
        <v>1.5</v>
      </c>
      <c r="N11" s="88">
        <v>1.5</v>
      </c>
      <c r="O11" s="88">
        <v>1.25</v>
      </c>
    </row>
    <row r="12" spans="2:15" x14ac:dyDescent="0.2">
      <c r="C12" s="37" t="s">
        <v>132</v>
      </c>
      <c r="D12" s="88">
        <v>1.5</v>
      </c>
      <c r="E12" s="88">
        <v>1.5</v>
      </c>
      <c r="F12" s="88">
        <v>1.5</v>
      </c>
      <c r="G12" s="88">
        <v>1.5</v>
      </c>
      <c r="H12" s="88">
        <v>1.5</v>
      </c>
      <c r="I12" s="88">
        <v>1.5</v>
      </c>
      <c r="J12" s="88">
        <v>1.5</v>
      </c>
      <c r="K12" s="88">
        <v>1.5</v>
      </c>
      <c r="L12" s="88">
        <v>1.5</v>
      </c>
      <c r="M12" s="88">
        <v>1.75</v>
      </c>
      <c r="N12" s="88">
        <v>1.75</v>
      </c>
      <c r="O12" s="88">
        <v>1.5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8">
        <v>1.25</v>
      </c>
      <c r="E15" s="88">
        <v>1.25</v>
      </c>
      <c r="F15" s="88">
        <v>1.25</v>
      </c>
      <c r="G15" s="88">
        <v>1.25</v>
      </c>
      <c r="H15" s="88">
        <v>1.25</v>
      </c>
      <c r="I15" s="88">
        <v>1.25</v>
      </c>
      <c r="J15" s="88">
        <v>1.25</v>
      </c>
      <c r="K15" s="88">
        <v>1.25</v>
      </c>
      <c r="L15" s="88">
        <v>1.25</v>
      </c>
      <c r="M15" s="88">
        <v>1.5</v>
      </c>
      <c r="N15" s="88">
        <v>1.5</v>
      </c>
      <c r="O15" s="88">
        <v>1.25</v>
      </c>
    </row>
    <row r="16" spans="2:15" x14ac:dyDescent="0.2">
      <c r="C16" s="36" t="s">
        <v>127</v>
      </c>
      <c r="D16" s="88">
        <v>1.25</v>
      </c>
      <c r="E16" s="88">
        <v>1.25</v>
      </c>
      <c r="F16" s="88">
        <v>1.25</v>
      </c>
      <c r="G16" s="88">
        <v>1.25</v>
      </c>
      <c r="H16" s="88">
        <v>1.25</v>
      </c>
      <c r="I16" s="88">
        <v>1.25</v>
      </c>
      <c r="J16" s="88">
        <v>1.25</v>
      </c>
      <c r="K16" s="88">
        <v>1.25</v>
      </c>
      <c r="L16" s="88">
        <v>1.25</v>
      </c>
      <c r="M16" s="88">
        <v>1.5</v>
      </c>
      <c r="N16" s="88">
        <v>1.5</v>
      </c>
      <c r="O16" s="88">
        <v>1.25</v>
      </c>
    </row>
    <row r="17" spans="2:15" x14ac:dyDescent="0.2">
      <c r="C17" s="36" t="s">
        <v>128</v>
      </c>
      <c r="D17" s="88">
        <v>1.25</v>
      </c>
      <c r="E17" s="88">
        <v>1.25</v>
      </c>
      <c r="F17" s="88">
        <v>1.25</v>
      </c>
      <c r="G17" s="88">
        <v>1.25</v>
      </c>
      <c r="H17" s="88">
        <v>1.25</v>
      </c>
      <c r="I17" s="88">
        <v>1.25</v>
      </c>
      <c r="J17" s="88">
        <v>1.25</v>
      </c>
      <c r="K17" s="88">
        <v>1.25</v>
      </c>
      <c r="L17" s="88">
        <v>1.25</v>
      </c>
      <c r="M17" s="88">
        <v>1.5</v>
      </c>
      <c r="N17" s="88">
        <v>1.5</v>
      </c>
      <c r="O17" s="88">
        <v>1.25</v>
      </c>
    </row>
    <row r="18" spans="2:15" x14ac:dyDescent="0.2">
      <c r="C18" s="36" t="s">
        <v>129</v>
      </c>
      <c r="D18" s="88">
        <v>1.25</v>
      </c>
      <c r="E18" s="88">
        <v>1.25</v>
      </c>
      <c r="F18" s="88">
        <v>1.25</v>
      </c>
      <c r="G18" s="88">
        <v>1.25</v>
      </c>
      <c r="H18" s="88">
        <v>1.25</v>
      </c>
      <c r="I18" s="88">
        <v>1.25</v>
      </c>
      <c r="J18" s="88">
        <v>1.25</v>
      </c>
      <c r="K18" s="88">
        <v>1.25</v>
      </c>
      <c r="L18" s="88">
        <v>1.25</v>
      </c>
      <c r="M18" s="88">
        <v>1.5</v>
      </c>
      <c r="N18" s="88">
        <v>1.5</v>
      </c>
      <c r="O18" s="88">
        <v>1.25</v>
      </c>
    </row>
    <row r="19" spans="2:15" x14ac:dyDescent="0.2">
      <c r="C19" s="36" t="s">
        <v>130</v>
      </c>
      <c r="D19" s="88">
        <v>1.25</v>
      </c>
      <c r="E19" s="88">
        <v>1.25</v>
      </c>
      <c r="F19" s="88">
        <v>1.25</v>
      </c>
      <c r="G19" s="88">
        <v>1.25</v>
      </c>
      <c r="H19" s="88">
        <v>1.25</v>
      </c>
      <c r="I19" s="88">
        <v>1.25</v>
      </c>
      <c r="J19" s="88">
        <v>1.25</v>
      </c>
      <c r="K19" s="88">
        <v>1.25</v>
      </c>
      <c r="L19" s="88">
        <v>1.25</v>
      </c>
      <c r="M19" s="88">
        <v>1.5</v>
      </c>
      <c r="N19" s="88">
        <v>1.5</v>
      </c>
      <c r="O19" s="88">
        <v>1.25</v>
      </c>
    </row>
    <row r="20" spans="2:15" x14ac:dyDescent="0.2">
      <c r="C20" s="36" t="s">
        <v>131</v>
      </c>
      <c r="D20" s="88">
        <v>1.25</v>
      </c>
      <c r="E20" s="88">
        <v>1.25</v>
      </c>
      <c r="F20" s="88">
        <v>1.25</v>
      </c>
      <c r="G20" s="88">
        <v>1.25</v>
      </c>
      <c r="H20" s="88">
        <v>1.25</v>
      </c>
      <c r="I20" s="88">
        <v>1.25</v>
      </c>
      <c r="J20" s="88">
        <v>1.25</v>
      </c>
      <c r="K20" s="88">
        <v>1.25</v>
      </c>
      <c r="L20" s="88">
        <v>1.25</v>
      </c>
      <c r="M20" s="88">
        <v>1.5</v>
      </c>
      <c r="N20" s="88">
        <v>1.5</v>
      </c>
      <c r="O20" s="88">
        <v>1.25</v>
      </c>
    </row>
    <row r="21" spans="2:15" x14ac:dyDescent="0.2">
      <c r="C21" s="37" t="s">
        <v>132</v>
      </c>
      <c r="D21" s="88">
        <v>1.25</v>
      </c>
      <c r="E21" s="88">
        <v>1.25</v>
      </c>
      <c r="F21" s="88">
        <v>1.25</v>
      </c>
      <c r="G21" s="88">
        <v>1.25</v>
      </c>
      <c r="H21" s="88">
        <v>1.25</v>
      </c>
      <c r="I21" s="88">
        <v>1.25</v>
      </c>
      <c r="J21" s="88">
        <v>1.25</v>
      </c>
      <c r="K21" s="88">
        <v>1.25</v>
      </c>
      <c r="L21" s="88">
        <v>1.25</v>
      </c>
      <c r="M21" s="88">
        <v>1.5</v>
      </c>
      <c r="N21" s="88">
        <v>1.5</v>
      </c>
      <c r="O21" s="88">
        <v>1.25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8">
        <v>4</v>
      </c>
      <c r="E24" s="88">
        <v>4</v>
      </c>
      <c r="F24" s="88">
        <v>4</v>
      </c>
      <c r="G24" s="88">
        <v>4</v>
      </c>
      <c r="H24" s="88">
        <v>4</v>
      </c>
      <c r="I24" s="88">
        <v>4</v>
      </c>
      <c r="J24" s="88">
        <v>4</v>
      </c>
      <c r="K24" s="88">
        <v>4</v>
      </c>
      <c r="L24" s="88">
        <v>4</v>
      </c>
      <c r="M24" s="88">
        <v>4</v>
      </c>
      <c r="N24" s="88">
        <v>4</v>
      </c>
      <c r="O24" s="88">
        <v>4</v>
      </c>
    </row>
    <row r="25" spans="2:15" x14ac:dyDescent="0.2">
      <c r="C25" s="36" t="s">
        <v>127</v>
      </c>
      <c r="D25" s="88">
        <v>4</v>
      </c>
      <c r="E25" s="88">
        <v>4</v>
      </c>
      <c r="F25" s="88">
        <v>4</v>
      </c>
      <c r="G25" s="88">
        <v>4</v>
      </c>
      <c r="H25" s="88">
        <v>4</v>
      </c>
      <c r="I25" s="88">
        <v>4</v>
      </c>
      <c r="J25" s="88">
        <v>4</v>
      </c>
      <c r="K25" s="88">
        <v>4</v>
      </c>
      <c r="L25" s="88">
        <v>4</v>
      </c>
      <c r="M25" s="88">
        <v>4</v>
      </c>
      <c r="N25" s="88">
        <v>4</v>
      </c>
      <c r="O25" s="88">
        <v>4</v>
      </c>
    </row>
    <row r="26" spans="2:15" x14ac:dyDescent="0.2">
      <c r="C26" s="36" t="s">
        <v>128</v>
      </c>
      <c r="D26" s="88">
        <v>4</v>
      </c>
      <c r="E26" s="88">
        <v>4</v>
      </c>
      <c r="F26" s="88">
        <v>4</v>
      </c>
      <c r="G26" s="88">
        <v>4</v>
      </c>
      <c r="H26" s="88">
        <v>4</v>
      </c>
      <c r="I26" s="88">
        <v>4</v>
      </c>
      <c r="J26" s="88">
        <v>4</v>
      </c>
      <c r="K26" s="88">
        <v>4</v>
      </c>
      <c r="L26" s="88">
        <v>4</v>
      </c>
      <c r="M26" s="88">
        <v>4</v>
      </c>
      <c r="N26" s="88">
        <v>4</v>
      </c>
      <c r="O26" s="88">
        <v>4</v>
      </c>
    </row>
    <row r="27" spans="2:15" x14ac:dyDescent="0.2">
      <c r="C27" s="36" t="s">
        <v>129</v>
      </c>
      <c r="D27" s="88">
        <v>4</v>
      </c>
      <c r="E27" s="88">
        <v>4</v>
      </c>
      <c r="F27" s="88">
        <v>4</v>
      </c>
      <c r="G27" s="88">
        <v>4</v>
      </c>
      <c r="H27" s="88">
        <v>4</v>
      </c>
      <c r="I27" s="88">
        <v>4</v>
      </c>
      <c r="J27" s="88">
        <v>4</v>
      </c>
      <c r="K27" s="88">
        <v>4</v>
      </c>
      <c r="L27" s="88">
        <v>4</v>
      </c>
      <c r="M27" s="88">
        <v>4</v>
      </c>
      <c r="N27" s="88">
        <v>4</v>
      </c>
      <c r="O27" s="88">
        <v>4</v>
      </c>
    </row>
    <row r="28" spans="2:15" x14ac:dyDescent="0.2">
      <c r="C28" s="36" t="s">
        <v>130</v>
      </c>
      <c r="D28" s="88">
        <v>4</v>
      </c>
      <c r="E28" s="88">
        <v>4</v>
      </c>
      <c r="F28" s="88">
        <v>4</v>
      </c>
      <c r="G28" s="88">
        <v>4</v>
      </c>
      <c r="H28" s="88">
        <v>4</v>
      </c>
      <c r="I28" s="88">
        <v>4</v>
      </c>
      <c r="J28" s="88">
        <v>4</v>
      </c>
      <c r="K28" s="88">
        <v>4</v>
      </c>
      <c r="L28" s="88">
        <v>4</v>
      </c>
      <c r="M28" s="88">
        <v>4</v>
      </c>
      <c r="N28" s="88">
        <v>4</v>
      </c>
      <c r="O28" s="88">
        <v>4</v>
      </c>
    </row>
    <row r="29" spans="2:15" x14ac:dyDescent="0.2">
      <c r="C29" s="36" t="s">
        <v>131</v>
      </c>
      <c r="D29" s="88">
        <v>4</v>
      </c>
      <c r="E29" s="88">
        <v>4</v>
      </c>
      <c r="F29" s="88">
        <v>4</v>
      </c>
      <c r="G29" s="88">
        <v>4</v>
      </c>
      <c r="H29" s="88">
        <v>4</v>
      </c>
      <c r="I29" s="88">
        <v>4</v>
      </c>
      <c r="J29" s="88">
        <v>4</v>
      </c>
      <c r="K29" s="88">
        <v>4</v>
      </c>
      <c r="L29" s="88">
        <v>4</v>
      </c>
      <c r="M29" s="88">
        <v>4</v>
      </c>
      <c r="N29" s="88">
        <v>4</v>
      </c>
      <c r="O29" s="88">
        <v>4</v>
      </c>
    </row>
    <row r="30" spans="2:15" x14ac:dyDescent="0.2">
      <c r="C30" s="37" t="s">
        <v>132</v>
      </c>
      <c r="D30" s="88">
        <v>4</v>
      </c>
      <c r="E30" s="88">
        <v>4</v>
      </c>
      <c r="F30" s="88">
        <v>4</v>
      </c>
      <c r="G30" s="88">
        <v>4</v>
      </c>
      <c r="H30" s="88">
        <v>4</v>
      </c>
      <c r="I30" s="88">
        <v>4</v>
      </c>
      <c r="J30" s="88">
        <v>4</v>
      </c>
      <c r="K30" s="88">
        <v>4</v>
      </c>
      <c r="L30" s="88">
        <v>4</v>
      </c>
      <c r="M30" s="88">
        <v>4</v>
      </c>
      <c r="N30" s="88">
        <v>4</v>
      </c>
      <c r="O30" s="88">
        <v>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8">
        <v>4</v>
      </c>
      <c r="E33" s="88">
        <v>4</v>
      </c>
      <c r="F33" s="88">
        <v>4</v>
      </c>
      <c r="G33" s="88">
        <v>4</v>
      </c>
      <c r="H33" s="88">
        <v>4</v>
      </c>
      <c r="I33" s="88">
        <v>4</v>
      </c>
      <c r="J33" s="88">
        <v>4</v>
      </c>
      <c r="K33" s="88">
        <v>4</v>
      </c>
      <c r="L33" s="88">
        <v>4</v>
      </c>
      <c r="M33" s="88">
        <v>4</v>
      </c>
      <c r="N33" s="88">
        <v>4</v>
      </c>
      <c r="O33" s="88">
        <v>4</v>
      </c>
    </row>
    <row r="34" spans="3:15" x14ac:dyDescent="0.2">
      <c r="C34" s="36" t="s">
        <v>127</v>
      </c>
      <c r="D34" s="88">
        <v>4</v>
      </c>
      <c r="E34" s="88">
        <v>4</v>
      </c>
      <c r="F34" s="88">
        <v>4</v>
      </c>
      <c r="G34" s="88">
        <v>4</v>
      </c>
      <c r="H34" s="88">
        <v>4</v>
      </c>
      <c r="I34" s="88">
        <v>4</v>
      </c>
      <c r="J34" s="88">
        <v>4</v>
      </c>
      <c r="K34" s="88">
        <v>4</v>
      </c>
      <c r="L34" s="88">
        <v>4</v>
      </c>
      <c r="M34" s="88">
        <v>4</v>
      </c>
      <c r="N34" s="88">
        <v>4</v>
      </c>
      <c r="O34" s="88">
        <v>4</v>
      </c>
    </row>
    <row r="35" spans="3:15" x14ac:dyDescent="0.2">
      <c r="C35" s="36" t="s">
        <v>128</v>
      </c>
      <c r="D35" s="88">
        <v>4</v>
      </c>
      <c r="E35" s="88">
        <v>4</v>
      </c>
      <c r="F35" s="88">
        <v>4</v>
      </c>
      <c r="G35" s="88">
        <v>4</v>
      </c>
      <c r="H35" s="88">
        <v>4</v>
      </c>
      <c r="I35" s="88">
        <v>4</v>
      </c>
      <c r="J35" s="88">
        <v>4</v>
      </c>
      <c r="K35" s="88">
        <v>4</v>
      </c>
      <c r="L35" s="88">
        <v>4</v>
      </c>
      <c r="M35" s="88">
        <v>4</v>
      </c>
      <c r="N35" s="88">
        <v>4</v>
      </c>
      <c r="O35" s="88">
        <v>4</v>
      </c>
    </row>
    <row r="36" spans="3:15" x14ac:dyDescent="0.2">
      <c r="C36" s="36" t="s">
        <v>129</v>
      </c>
      <c r="D36" s="88">
        <v>4</v>
      </c>
      <c r="E36" s="88">
        <v>4</v>
      </c>
      <c r="F36" s="88">
        <v>4</v>
      </c>
      <c r="G36" s="88">
        <v>4</v>
      </c>
      <c r="H36" s="88">
        <v>4</v>
      </c>
      <c r="I36" s="88">
        <v>4</v>
      </c>
      <c r="J36" s="88">
        <v>4</v>
      </c>
      <c r="K36" s="88">
        <v>4</v>
      </c>
      <c r="L36" s="88">
        <v>4</v>
      </c>
      <c r="M36" s="88">
        <v>4</v>
      </c>
      <c r="N36" s="88">
        <v>4</v>
      </c>
      <c r="O36" s="88">
        <v>4</v>
      </c>
    </row>
    <row r="37" spans="3:15" x14ac:dyDescent="0.2">
      <c r="C37" s="36" t="s">
        <v>130</v>
      </c>
      <c r="D37" s="88">
        <v>4</v>
      </c>
      <c r="E37" s="88">
        <v>4</v>
      </c>
      <c r="F37" s="88">
        <v>4</v>
      </c>
      <c r="G37" s="88">
        <v>4</v>
      </c>
      <c r="H37" s="88">
        <v>4</v>
      </c>
      <c r="I37" s="88">
        <v>4</v>
      </c>
      <c r="J37" s="88">
        <v>4</v>
      </c>
      <c r="K37" s="88">
        <v>4</v>
      </c>
      <c r="L37" s="88">
        <v>4</v>
      </c>
      <c r="M37" s="88">
        <v>4</v>
      </c>
      <c r="N37" s="88">
        <v>4</v>
      </c>
      <c r="O37" s="88">
        <v>4</v>
      </c>
    </row>
    <row r="38" spans="3:15" x14ac:dyDescent="0.2">
      <c r="C38" s="36" t="s">
        <v>131</v>
      </c>
      <c r="D38" s="88">
        <v>4</v>
      </c>
      <c r="E38" s="88">
        <v>4</v>
      </c>
      <c r="F38" s="88">
        <v>4</v>
      </c>
      <c r="G38" s="88">
        <v>4</v>
      </c>
      <c r="H38" s="88">
        <v>4</v>
      </c>
      <c r="I38" s="88">
        <v>4</v>
      </c>
      <c r="J38" s="88">
        <v>4</v>
      </c>
      <c r="K38" s="88">
        <v>4</v>
      </c>
      <c r="L38" s="88">
        <v>4</v>
      </c>
      <c r="M38" s="88">
        <v>4</v>
      </c>
      <c r="N38" s="88">
        <v>4</v>
      </c>
      <c r="O38" s="88">
        <v>4</v>
      </c>
    </row>
    <row r="39" spans="3:15" x14ac:dyDescent="0.2">
      <c r="C39" s="37" t="s">
        <v>132</v>
      </c>
      <c r="D39" s="88">
        <v>4</v>
      </c>
      <c r="E39" s="88">
        <v>4</v>
      </c>
      <c r="F39" s="88">
        <v>4</v>
      </c>
      <c r="G39" s="88">
        <v>4</v>
      </c>
      <c r="H39" s="88">
        <v>4</v>
      </c>
      <c r="I39" s="88">
        <v>4</v>
      </c>
      <c r="J39" s="88">
        <v>4</v>
      </c>
      <c r="K39" s="88">
        <v>4</v>
      </c>
      <c r="L39" s="88">
        <v>4</v>
      </c>
      <c r="M39" s="88">
        <v>4</v>
      </c>
      <c r="N39" s="88">
        <v>4</v>
      </c>
      <c r="O39" s="88">
        <v>4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412</v>
      </c>
      <c r="D3" s="187"/>
      <c r="E3" s="187"/>
      <c r="F3" s="187"/>
      <c r="G3" s="187"/>
    </row>
    <row r="5" spans="1:20" ht="15.75" x14ac:dyDescent="0.25">
      <c r="A5" s="188" t="s">
        <v>351</v>
      </c>
      <c r="B5" s="189"/>
      <c r="G5" s="190"/>
      <c r="L5" s="188" t="s">
        <v>352</v>
      </c>
      <c r="M5" s="189"/>
      <c r="R5" s="190"/>
    </row>
    <row r="6" spans="1:20" x14ac:dyDescent="0.2">
      <c r="A6" s="191" t="s">
        <v>353</v>
      </c>
      <c r="B6" s="189"/>
      <c r="G6" s="192"/>
      <c r="H6" s="116"/>
      <c r="L6" s="191" t="s">
        <v>354</v>
      </c>
      <c r="M6" s="189"/>
      <c r="S6" s="131"/>
    </row>
    <row r="7" spans="1:20" x14ac:dyDescent="0.2">
      <c r="A7" s="189"/>
      <c r="B7" s="189" t="s">
        <v>355</v>
      </c>
      <c r="G7" s="192"/>
      <c r="H7" s="193">
        <f>SUM(ORA!$D$116:$O$116)</f>
        <v>276394</v>
      </c>
      <c r="L7" s="189"/>
      <c r="M7" s="189" t="s">
        <v>355</v>
      </c>
      <c r="S7" s="194">
        <f>SUM(ORA!$D$127:$O$127)</f>
        <v>609297650.69441128</v>
      </c>
    </row>
    <row r="8" spans="1:20" x14ac:dyDescent="0.2">
      <c r="A8" s="189"/>
      <c r="B8" s="189" t="s">
        <v>356</v>
      </c>
      <c r="G8" s="192"/>
      <c r="H8" s="195">
        <f>SUM(POJ!$D$116:$O$116)</f>
        <v>108109.73833787857</v>
      </c>
      <c r="L8" s="189"/>
      <c r="M8" s="189" t="s">
        <v>356</v>
      </c>
      <c r="S8" s="196">
        <f>SUM(POJ!$D$127:$O$127)</f>
        <v>280011236.61547291</v>
      </c>
    </row>
    <row r="9" spans="1:20" x14ac:dyDescent="0.2">
      <c r="A9" s="189"/>
      <c r="B9" s="189" t="s">
        <v>357</v>
      </c>
      <c r="G9" s="192"/>
      <c r="H9" s="195">
        <f>SUM(ROJ!$D$116:$O$116)</f>
        <v>0</v>
      </c>
      <c r="L9" s="189"/>
      <c r="M9" s="189" t="s">
        <v>357</v>
      </c>
      <c r="S9" s="196">
        <f>SUM(ROJ!$D$127:$O$127)</f>
        <v>0</v>
      </c>
    </row>
    <row r="10" spans="1:20" x14ac:dyDescent="0.2">
      <c r="A10" s="189"/>
      <c r="B10" s="189" t="s">
        <v>358</v>
      </c>
      <c r="G10" s="192"/>
      <c r="H10" s="197">
        <f>SUM(FCOJ!$D$116:$O$116)</f>
        <v>0</v>
      </c>
      <c r="L10" s="189"/>
      <c r="M10" s="189" t="s">
        <v>358</v>
      </c>
      <c r="S10" s="198">
        <f>SUM(FCOJ!$D$127:$O$127)</f>
        <v>0</v>
      </c>
    </row>
    <row r="11" spans="1:20" x14ac:dyDescent="0.2">
      <c r="A11" s="189"/>
      <c r="B11" s="189"/>
      <c r="G11" s="192"/>
      <c r="M11" s="189" t="s">
        <v>359</v>
      </c>
      <c r="T11" s="199">
        <f>SUM($S$7:$S$10)</f>
        <v>889308887.30988419</v>
      </c>
    </row>
    <row r="12" spans="1:20" x14ac:dyDescent="0.2">
      <c r="A12" s="191" t="s">
        <v>360</v>
      </c>
      <c r="B12" s="189"/>
      <c r="G12" s="192"/>
    </row>
    <row r="13" spans="1:20" x14ac:dyDescent="0.2">
      <c r="A13" s="189"/>
      <c r="B13" s="189" t="s">
        <v>361</v>
      </c>
      <c r="G13" s="192"/>
      <c r="H13" s="200">
        <f>SUM(grove!$C$48:$AX$53)</f>
        <v>424032</v>
      </c>
      <c r="L13" s="191" t="s">
        <v>362</v>
      </c>
      <c r="M13" s="189"/>
    </row>
    <row r="14" spans="1:20" x14ac:dyDescent="0.2">
      <c r="A14" s="189"/>
      <c r="B14" s="189" t="s">
        <v>363</v>
      </c>
      <c r="G14" s="192"/>
      <c r="H14" s="193">
        <f>raw_materials!$P$30</f>
        <v>0</v>
      </c>
      <c r="L14" s="189"/>
      <c r="M14" s="189" t="s">
        <v>364</v>
      </c>
      <c r="S14" s="194">
        <f>SUM(grove!$C$58:$AX$63)</f>
        <v>571816815.35298085</v>
      </c>
    </row>
    <row r="15" spans="1:20" x14ac:dyDescent="0.2">
      <c r="A15" s="189"/>
      <c r="B15" s="189" t="s">
        <v>365</v>
      </c>
      <c r="G15" s="192"/>
      <c r="H15" s="197">
        <f>raw_materials!$P$36</f>
        <v>0</v>
      </c>
      <c r="L15" s="189"/>
      <c r="M15" s="189" t="s">
        <v>366</v>
      </c>
      <c r="S15" s="196">
        <f>(raw_materials!D30*raw_materials!E30+raw_materials!F30*raw_materials!G30+raw_materials!H30*raw_materials!I30+raw_materials!J30*raw_materials!K30+raw_materials!L30*raw_materials!M30)*2000</f>
        <v>0</v>
      </c>
    </row>
    <row r="16" spans="1:20" x14ac:dyDescent="0.2">
      <c r="A16" s="189"/>
      <c r="B16" s="189" t="s">
        <v>367</v>
      </c>
      <c r="G16" s="192"/>
      <c r="H16" s="201">
        <v>112742.10420554047</v>
      </c>
      <c r="L16" s="189"/>
      <c r="M16" s="189" t="s">
        <v>368</v>
      </c>
      <c r="S16" s="196">
        <f>(raw_materials!D36*raw_materials!E36+raw_materials!F36*raw_materials!G36+raw_materials!H36*raw_materials!I36+raw_materials!J36*raw_materials!K36+raw_materials!L36*raw_materials!M36)*2000</f>
        <v>0</v>
      </c>
    </row>
    <row r="17" spans="1:21" x14ac:dyDescent="0.2">
      <c r="A17" s="189"/>
      <c r="B17" s="189" t="s">
        <v>369</v>
      </c>
      <c r="G17" s="192"/>
      <c r="H17" s="202">
        <v>0</v>
      </c>
      <c r="L17" s="189"/>
      <c r="M17" s="189" t="s">
        <v>370</v>
      </c>
      <c r="S17" s="196">
        <v>84668184.069998518</v>
      </c>
    </row>
    <row r="18" spans="1:21" x14ac:dyDescent="0.2">
      <c r="A18" s="189"/>
      <c r="B18" s="189" t="s">
        <v>371</v>
      </c>
      <c r="G18" s="192"/>
      <c r="H18" s="203">
        <v>0</v>
      </c>
      <c r="L18" s="189"/>
      <c r="M18" s="189" t="s">
        <v>372</v>
      </c>
      <c r="S18" s="198">
        <v>0</v>
      </c>
    </row>
    <row r="19" spans="1:21" x14ac:dyDescent="0.2">
      <c r="A19" s="189"/>
      <c r="B19" s="189" t="s">
        <v>373</v>
      </c>
      <c r="G19" s="192"/>
      <c r="H19" s="202">
        <v>2769.0004306014071</v>
      </c>
      <c r="L19" s="189"/>
      <c r="M19" s="189" t="s">
        <v>374</v>
      </c>
      <c r="S19" s="204" t="s">
        <v>375</v>
      </c>
      <c r="T19" s="205">
        <f>SUM($S$14:$S$18)</f>
        <v>656484999.42297935</v>
      </c>
      <c r="U19" s="106" t="s">
        <v>376</v>
      </c>
    </row>
    <row r="20" spans="1:21" x14ac:dyDescent="0.2">
      <c r="A20" s="189"/>
      <c r="B20" s="189" t="s">
        <v>377</v>
      </c>
      <c r="G20" s="192"/>
      <c r="H20" s="197">
        <v>14466.944595952367</v>
      </c>
      <c r="L20" s="189"/>
      <c r="M20" s="189"/>
    </row>
    <row r="21" spans="1:21" x14ac:dyDescent="0.2">
      <c r="A21" s="189"/>
      <c r="B21" s="189"/>
      <c r="G21" s="192"/>
      <c r="L21" s="191" t="s">
        <v>378</v>
      </c>
      <c r="M21" s="189"/>
      <c r="S21" s="131"/>
    </row>
    <row r="22" spans="1:21" x14ac:dyDescent="0.2">
      <c r="A22" s="191" t="s">
        <v>379</v>
      </c>
      <c r="B22" s="189"/>
      <c r="G22" s="192"/>
      <c r="L22" s="189"/>
      <c r="M22" s="189" t="s">
        <v>380</v>
      </c>
      <c r="S22" s="196">
        <v>225484208.41108084</v>
      </c>
    </row>
    <row r="23" spans="1:21" x14ac:dyDescent="0.2">
      <c r="A23" s="189"/>
      <c r="B23" s="189" t="s">
        <v>381</v>
      </c>
      <c r="G23" s="192"/>
      <c r="H23" s="193">
        <f>SUM(raw_materials!$O$31:$O$35)</f>
        <v>0</v>
      </c>
      <c r="L23" s="189"/>
      <c r="M23" s="189" t="s">
        <v>382</v>
      </c>
      <c r="S23" s="196">
        <v>0</v>
      </c>
    </row>
    <row r="24" spans="1:21" x14ac:dyDescent="0.2">
      <c r="A24" s="189"/>
      <c r="B24" s="189" t="s">
        <v>383</v>
      </c>
      <c r="G24" s="192"/>
      <c r="H24" s="197">
        <f>SUM(raw_materials!$O$37:$O$41)</f>
        <v>680000</v>
      </c>
      <c r="L24" s="189"/>
      <c r="M24" s="189" t="s">
        <v>384</v>
      </c>
      <c r="S24" s="198">
        <v>0</v>
      </c>
    </row>
    <row r="25" spans="1:21" x14ac:dyDescent="0.2">
      <c r="A25" s="189"/>
      <c r="B25" s="189"/>
      <c r="G25" s="192"/>
      <c r="L25" s="189"/>
      <c r="M25" s="189" t="s">
        <v>385</v>
      </c>
      <c r="S25" s="204" t="s">
        <v>375</v>
      </c>
      <c r="T25" s="205">
        <f>SUM($S$22:$S$24)</f>
        <v>225484208.41108084</v>
      </c>
      <c r="U25" s="106" t="s">
        <v>376</v>
      </c>
    </row>
    <row r="26" spans="1:21" x14ac:dyDescent="0.2">
      <c r="A26" s="191" t="s">
        <v>386</v>
      </c>
      <c r="B26" s="189"/>
      <c r="G26" s="192"/>
      <c r="L26" s="189"/>
      <c r="M26" s="189"/>
    </row>
    <row r="27" spans="1:21" x14ac:dyDescent="0.2">
      <c r="A27" s="189"/>
      <c r="B27" s="189" t="s">
        <v>387</v>
      </c>
      <c r="G27" s="192"/>
      <c r="H27" s="193">
        <f>SUMIF(facilities!$C$6:$C$15,"&gt;0",facilities!$C$6:$C$15)</f>
        <v>10300</v>
      </c>
      <c r="L27" s="191" t="s">
        <v>388</v>
      </c>
      <c r="M27" s="189"/>
    </row>
    <row r="28" spans="1:21" x14ac:dyDescent="0.2">
      <c r="A28" s="189"/>
      <c r="B28" s="189" t="s">
        <v>389</v>
      </c>
      <c r="G28" s="192"/>
      <c r="H28" s="195">
        <f>SUMIF(facilities!$C$36:$C$106,"&gt;0",facilities!$C$36:$C$106)</f>
        <v>23000</v>
      </c>
      <c r="L28" s="189"/>
      <c r="M28" s="189" t="s">
        <v>390</v>
      </c>
      <c r="S28" s="194">
        <v>70319088</v>
      </c>
    </row>
    <row r="29" spans="1:21" x14ac:dyDescent="0.2">
      <c r="A29" s="189"/>
      <c r="B29" s="189" t="s">
        <v>391</v>
      </c>
      <c r="G29" s="192"/>
      <c r="H29" s="195">
        <f>SUMIF(facilities!$C$6:$C$15,"&lt;0",facilities!$C$6:$C$15)</f>
        <v>-3934</v>
      </c>
      <c r="L29" s="189"/>
      <c r="M29" s="189" t="s">
        <v>392</v>
      </c>
      <c r="S29" s="196">
        <v>26754575.33769916</v>
      </c>
    </row>
    <row r="30" spans="1:21" x14ac:dyDescent="0.2">
      <c r="A30" s="189"/>
      <c r="B30" s="189" t="s">
        <v>393</v>
      </c>
      <c r="G30" s="192"/>
      <c r="H30" s="197">
        <f>SUMIF(facilities!$C$36:$C$106,"&lt;0",facilities!$C$36:$C$106)</f>
        <v>-101000</v>
      </c>
      <c r="L30" s="189"/>
      <c r="M30" s="189" t="s">
        <v>394</v>
      </c>
      <c r="S30" s="196">
        <v>33115117.178125449</v>
      </c>
    </row>
    <row r="31" spans="1:21" x14ac:dyDescent="0.2">
      <c r="L31" s="189"/>
      <c r="M31" s="189" t="s">
        <v>395</v>
      </c>
      <c r="S31" s="198">
        <f>SUM(ORA!D138:O138)+SUM(POJ!D138:O138)+SUM(ROJ!D138:O138)+SUM(FCOJ!D138:O138)</f>
        <v>275854977.31083274</v>
      </c>
    </row>
    <row r="32" spans="1:21" x14ac:dyDescent="0.2">
      <c r="A32" s="191" t="s">
        <v>396</v>
      </c>
      <c r="B32" s="189"/>
      <c r="G32" s="192"/>
      <c r="L32" s="189"/>
      <c r="M32" s="189" t="s">
        <v>397</v>
      </c>
      <c r="S32" s="119" t="s">
        <v>375</v>
      </c>
      <c r="T32" s="205">
        <f>SUM($S$28:$S$31)</f>
        <v>406043757.82665735</v>
      </c>
      <c r="U32" s="106" t="s">
        <v>376</v>
      </c>
    </row>
    <row r="33" spans="1:21" x14ac:dyDescent="0.2">
      <c r="A33" s="189"/>
      <c r="B33" s="189" t="s">
        <v>398</v>
      </c>
      <c r="G33" s="192"/>
      <c r="H33" s="193">
        <f>COUNTIF(facilities!$H$6:$H$15,"=new")</f>
        <v>3</v>
      </c>
      <c r="M33" s="189"/>
    </row>
    <row r="34" spans="1:21" x14ac:dyDescent="0.2">
      <c r="A34" s="189"/>
      <c r="B34" s="189" t="s">
        <v>399</v>
      </c>
      <c r="G34" s="192"/>
      <c r="H34" s="195">
        <f>COUNTIF(facilities!$H$36:$H$106,"=new")</f>
        <v>4</v>
      </c>
      <c r="L34" s="191" t="s">
        <v>400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319</v>
      </c>
      <c r="L35" s="189"/>
      <c r="M35" s="189" t="s">
        <v>401</v>
      </c>
      <c r="S35" s="194">
        <v>35085000</v>
      </c>
    </row>
    <row r="36" spans="1:21" x14ac:dyDescent="0.2">
      <c r="L36" s="189"/>
      <c r="M36" s="189" t="s">
        <v>402</v>
      </c>
      <c r="S36" s="196">
        <f>H33*12000000-H38*70/100*12000000</f>
        <v>19200000</v>
      </c>
    </row>
    <row r="37" spans="1:21" x14ac:dyDescent="0.2">
      <c r="A37" s="191" t="s">
        <v>403</v>
      </c>
      <c r="L37" s="189"/>
      <c r="M37" s="189" t="s">
        <v>404</v>
      </c>
      <c r="S37" s="196">
        <f>H27*8000+H29*70/100*8000</f>
        <v>60369600</v>
      </c>
    </row>
    <row r="38" spans="1:21" x14ac:dyDescent="0.2">
      <c r="B38" s="189" t="s">
        <v>398</v>
      </c>
      <c r="H38" s="193">
        <f>COUNTIF(facilities!$H$6:$H$15,"=sold")</f>
        <v>2</v>
      </c>
      <c r="L38" s="189"/>
      <c r="M38" s="189" t="s">
        <v>405</v>
      </c>
      <c r="S38" s="196">
        <v>80650000</v>
      </c>
    </row>
    <row r="39" spans="1:21" x14ac:dyDescent="0.2">
      <c r="B39" s="189" t="s">
        <v>399</v>
      </c>
      <c r="H39" s="195">
        <f>COUNTIF(facilities!$H$36:$H$106,"=sold")</f>
        <v>2</v>
      </c>
      <c r="L39" s="189"/>
      <c r="M39" s="189" t="s">
        <v>406</v>
      </c>
      <c r="S39" s="196">
        <f>H34*9000000-H39*80/100*9000000</f>
        <v>21600000</v>
      </c>
    </row>
    <row r="40" spans="1:21" x14ac:dyDescent="0.2">
      <c r="B40" s="189" t="s">
        <v>18</v>
      </c>
      <c r="H40" s="197">
        <f>-SUMIF(facilities!$C$21:$C$30,"&lt;0",facilities!$C$21:$C$30)</f>
        <v>64</v>
      </c>
      <c r="L40" s="189"/>
      <c r="M40" s="189" t="s">
        <v>407</v>
      </c>
      <c r="S40" s="196">
        <f>H28*6000+H30*80/100*6000</f>
        <v>-346800000</v>
      </c>
    </row>
    <row r="41" spans="1:21" x14ac:dyDescent="0.2">
      <c r="L41" s="189"/>
      <c r="M41" s="189" t="s">
        <v>408</v>
      </c>
      <c r="S41" s="196">
        <v>22240</v>
      </c>
    </row>
    <row r="42" spans="1:21" x14ac:dyDescent="0.2">
      <c r="L42" s="189"/>
      <c r="M42" s="189" t="s">
        <v>409</v>
      </c>
      <c r="S42" s="198">
        <f>H35*100000-H40*60/100*100000</f>
        <v>28060000</v>
      </c>
    </row>
    <row r="43" spans="1:21" x14ac:dyDescent="0.2">
      <c r="L43" s="189"/>
      <c r="M43" s="189" t="s">
        <v>410</v>
      </c>
      <c r="S43" s="183" t="s">
        <v>375</v>
      </c>
      <c r="T43" s="205">
        <f>SUM($S$35:$S$42)</f>
        <v>-101813160</v>
      </c>
      <c r="U43" s="106" t="s">
        <v>376</v>
      </c>
    </row>
    <row r="44" spans="1:21" x14ac:dyDescent="0.2">
      <c r="L44" s="189"/>
      <c r="S44" s="116"/>
    </row>
    <row r="45" spans="1:21" ht="14.25" thickBot="1" x14ac:dyDescent="0.3">
      <c r="L45" s="206" t="s">
        <v>411</v>
      </c>
      <c r="M45" s="189"/>
      <c r="T45" s="207">
        <f>$T$11-$T$19-$T$25-$T$32-$T$43</f>
        <v>-296890918.35083336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AY133"/>
  <sheetViews>
    <sheetView topLeftCell="A25"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312</v>
      </c>
    </row>
    <row r="3" spans="2:14" x14ac:dyDescent="0.2">
      <c r="B3" s="109" t="s">
        <v>313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0.67741335649818157</v>
      </c>
      <c r="D5" s="106">
        <v>0.67306361198030706</v>
      </c>
      <c r="E5" s="106">
        <v>0.63429629856453007</v>
      </c>
      <c r="F5" s="106">
        <v>0.69808639721708632</v>
      </c>
      <c r="G5" s="106">
        <v>0.70724112769495295</v>
      </c>
      <c r="H5" s="106">
        <v>0.5980741799547814</v>
      </c>
      <c r="I5" s="106">
        <v>0.64506078081390494</v>
      </c>
      <c r="J5" s="106">
        <v>0.61950430111258814</v>
      </c>
      <c r="K5" s="106">
        <v>0.56488458101668704</v>
      </c>
      <c r="L5" s="106">
        <v>0.71102622222764644</v>
      </c>
      <c r="M5" s="106">
        <v>0.7237409010704714</v>
      </c>
      <c r="N5" s="106">
        <v>0.60245694919618742</v>
      </c>
    </row>
    <row r="6" spans="2:14" x14ac:dyDescent="0.2">
      <c r="B6" s="177" t="s">
        <v>105</v>
      </c>
      <c r="C6" s="106">
        <v>0.691208702247601</v>
      </c>
      <c r="D6" s="106">
        <v>0.70639888532671125</v>
      </c>
      <c r="E6" s="106">
        <v>0.76501668382618615</v>
      </c>
      <c r="F6" s="106">
        <v>0.72298609822691973</v>
      </c>
      <c r="G6" s="106">
        <v>1.1000000000000001</v>
      </c>
      <c r="H6" s="106">
        <v>0.64659236005882259</v>
      </c>
      <c r="I6" s="106">
        <v>0.68560090947596286</v>
      </c>
      <c r="J6" s="106">
        <v>0.75559927261542148</v>
      </c>
      <c r="K6" s="106">
        <v>0.68375421684460724</v>
      </c>
      <c r="L6" s="106">
        <v>0.64755122745263294</v>
      </c>
      <c r="M6" s="106">
        <v>0.63517291777709128</v>
      </c>
      <c r="N6" s="106">
        <v>0.63837736899357989</v>
      </c>
    </row>
    <row r="7" spans="2:14" x14ac:dyDescent="0.2">
      <c r="B7" s="177" t="s">
        <v>106</v>
      </c>
      <c r="C7" s="106">
        <v>0.74760657902859307</v>
      </c>
      <c r="D7" s="106">
        <v>0.74080361230218661</v>
      </c>
      <c r="E7" s="106">
        <v>0.8298758235733199</v>
      </c>
      <c r="F7" s="106">
        <v>0.77506638069977385</v>
      </c>
      <c r="G7" s="106">
        <v>0.76779382237498128</v>
      </c>
      <c r="H7" s="106">
        <v>0.74768532912835473</v>
      </c>
      <c r="I7" s="106">
        <v>0.82467407343282673</v>
      </c>
      <c r="J7" s="106">
        <v>0.71140085518471019</v>
      </c>
      <c r="K7" s="106">
        <v>0.759502607055347</v>
      </c>
      <c r="L7" s="106">
        <v>0.72680293984924138</v>
      </c>
      <c r="M7" s="106">
        <v>0.71092183472043169</v>
      </c>
      <c r="N7" s="106">
        <v>0.73518345285574338</v>
      </c>
    </row>
    <row r="8" spans="2:14" x14ac:dyDescent="0.2">
      <c r="B8" s="177" t="s">
        <v>107</v>
      </c>
      <c r="C8" s="106">
        <v>0.74188668678311898</v>
      </c>
      <c r="D8" s="106">
        <v>0.74118622729628425</v>
      </c>
      <c r="E8" s="106">
        <v>0.7788210606208763</v>
      </c>
      <c r="F8" s="106">
        <v>0.69670912194501333</v>
      </c>
      <c r="G8" s="106">
        <v>0.73675634680278757</v>
      </c>
      <c r="H8" s="106">
        <v>0.68704235712703154</v>
      </c>
      <c r="I8" s="106">
        <v>0.72054500128757304</v>
      </c>
      <c r="J8" s="106">
        <v>0.73222811197822635</v>
      </c>
      <c r="K8" s="106">
        <v>0.70228298792888555</v>
      </c>
      <c r="L8" s="106">
        <v>0.71493581395385453</v>
      </c>
      <c r="M8" s="106">
        <v>0.68316600733067545</v>
      </c>
      <c r="N8" s="106">
        <v>0.67111377312283682</v>
      </c>
    </row>
    <row r="9" spans="2:14" x14ac:dyDescent="0.2">
      <c r="B9" s="177" t="s">
        <v>108</v>
      </c>
      <c r="C9" s="106">
        <v>2.0939883327484132</v>
      </c>
      <c r="D9" s="106">
        <v>2.0252206122875216</v>
      </c>
      <c r="E9" s="106">
        <v>2.1070303654670717</v>
      </c>
      <c r="F9" s="106">
        <v>2.053831330537796</v>
      </c>
      <c r="G9" s="106">
        <v>2.0804877614974977</v>
      </c>
      <c r="H9" s="106">
        <v>2.0680904901027679</v>
      </c>
      <c r="I9" s="106">
        <v>2.0963162398338318</v>
      </c>
      <c r="J9" s="106">
        <v>2.0572871840000153</v>
      </c>
      <c r="K9" s="106">
        <v>2.08117977142334</v>
      </c>
      <c r="L9" s="106">
        <v>2.0578357493877411</v>
      </c>
      <c r="M9" s="106">
        <v>2.0766165947914126</v>
      </c>
      <c r="N9" s="106">
        <v>2.0927777206897735</v>
      </c>
    </row>
    <row r="10" spans="2:14" x14ac:dyDescent="0.2">
      <c r="B10" s="177" t="s">
        <v>109</v>
      </c>
      <c r="C10" s="106">
        <v>0.66053335666656499</v>
      </c>
      <c r="D10" s="106">
        <v>0.6172994077205658</v>
      </c>
      <c r="E10" s="106">
        <v>0.67065237760543828</v>
      </c>
      <c r="F10" s="106">
        <v>0.65839009881019595</v>
      </c>
      <c r="G10" s="106">
        <v>0.69553704261779792</v>
      </c>
      <c r="H10" s="106">
        <v>0.65176588892936704</v>
      </c>
      <c r="I10" s="106">
        <v>0.67382031679153442</v>
      </c>
      <c r="J10" s="106">
        <v>0.65418413281440735</v>
      </c>
      <c r="K10" s="106">
        <v>0.61726138591766355</v>
      </c>
      <c r="L10" s="106">
        <v>0.68427352309226996</v>
      </c>
      <c r="M10" s="106">
        <v>0.60825542211532591</v>
      </c>
      <c r="N10" s="106">
        <v>0.68000479340553288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314</v>
      </c>
      <c r="C12" s="107"/>
      <c r="D12" s="107"/>
      <c r="E12" s="107"/>
      <c r="F12" s="107"/>
      <c r="G12" s="107"/>
    </row>
    <row r="13" spans="2:14" x14ac:dyDescent="0.2">
      <c r="B13" s="177" t="s">
        <v>315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316</v>
      </c>
      <c r="C14" s="107">
        <v>0.34973536705607911</v>
      </c>
      <c r="D14" s="107">
        <v>0.3510335405330573</v>
      </c>
      <c r="E14" s="107">
        <v>0.3523280611870756</v>
      </c>
      <c r="F14" s="107">
        <v>0.35361528647355034</v>
      </c>
      <c r="G14" s="107">
        <v>0.35489159437572926</v>
      </c>
      <c r="H14" s="106">
        <v>0.35615339359638459</v>
      </c>
      <c r="I14" s="106">
        <v>0.3573971336630673</v>
      </c>
      <c r="J14" s="106">
        <v>0.35861931491848792</v>
      </c>
      <c r="K14" s="106">
        <v>0.35981649836791257</v>
      </c>
      <c r="L14" s="106">
        <v>0.36098531535586564</v>
      </c>
      <c r="M14" s="106">
        <v>0.3621224770449113</v>
      </c>
      <c r="N14" s="106">
        <v>0.36322478366984046</v>
      </c>
    </row>
    <row r="15" spans="2:14" x14ac:dyDescent="0.2">
      <c r="B15" s="176" t="s">
        <v>317</v>
      </c>
      <c r="C15" s="106">
        <v>1.1972566932870639</v>
      </c>
      <c r="D15" s="106">
        <v>1.2004310257982889</v>
      </c>
      <c r="E15" s="106">
        <v>1.2035964263178465</v>
      </c>
      <c r="F15" s="106">
        <v>1.2067439879870612</v>
      </c>
      <c r="G15" s="106">
        <v>1.2098648541425234</v>
      </c>
      <c r="H15" s="106">
        <v>1.2129502432371213</v>
      </c>
      <c r="I15" s="106">
        <v>1.2159914735497097</v>
      </c>
      <c r="J15" s="106">
        <v>1.2189799876138872</v>
      </c>
      <c r="K15" s="106">
        <v>1.2219073762971431</v>
      </c>
      <c r="L15" s="106">
        <v>1.2247654024626202</v>
      </c>
      <c r="M15" s="106">
        <v>1.2275460241469112</v>
      </c>
      <c r="N15" s="106">
        <v>1.2302414171886766</v>
      </c>
    </row>
    <row r="16" spans="2:14" x14ac:dyDescent="0.2">
      <c r="B16" s="107"/>
    </row>
    <row r="17" spans="2:14" x14ac:dyDescent="0.2">
      <c r="B17" s="109" t="s">
        <v>318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0.67741335649818157</v>
      </c>
      <c r="D19" s="106">
        <f t="shared" ref="D19:N20" si="0">D5</f>
        <v>0.67306361198030706</v>
      </c>
      <c r="E19" s="106">
        <f t="shared" si="0"/>
        <v>0.63429629856453007</v>
      </c>
      <c r="F19" s="106">
        <f t="shared" si="0"/>
        <v>0.69808639721708632</v>
      </c>
      <c r="G19" s="106">
        <f t="shared" si="0"/>
        <v>0.70724112769495295</v>
      </c>
      <c r="H19" s="106">
        <f t="shared" si="0"/>
        <v>0.5980741799547814</v>
      </c>
      <c r="I19" s="106">
        <f t="shared" si="0"/>
        <v>0.64506078081390494</v>
      </c>
      <c r="J19" s="106">
        <f t="shared" si="0"/>
        <v>0.61950430111258814</v>
      </c>
      <c r="K19" s="106">
        <f t="shared" si="0"/>
        <v>0.56488458101668704</v>
      </c>
      <c r="L19" s="106">
        <f t="shared" si="0"/>
        <v>0.71102622222764644</v>
      </c>
      <c r="M19" s="106">
        <f t="shared" si="0"/>
        <v>0.7237409010704714</v>
      </c>
      <c r="N19" s="106">
        <f t="shared" si="0"/>
        <v>0.60245694919618742</v>
      </c>
    </row>
    <row r="20" spans="2:14" x14ac:dyDescent="0.2">
      <c r="B20" s="179" t="s">
        <v>105</v>
      </c>
      <c r="C20" s="106">
        <f>C6</f>
        <v>0.691208702247601</v>
      </c>
      <c r="D20" s="106">
        <f t="shared" si="0"/>
        <v>0.70639888532671125</v>
      </c>
      <c r="E20" s="106">
        <f t="shared" si="0"/>
        <v>0.76501668382618615</v>
      </c>
      <c r="F20" s="106">
        <f t="shared" si="0"/>
        <v>0.72298609822691973</v>
      </c>
      <c r="G20" s="106">
        <f t="shared" si="0"/>
        <v>1.1000000000000001</v>
      </c>
      <c r="H20" s="106">
        <f t="shared" si="0"/>
        <v>0.64659236005882259</v>
      </c>
      <c r="I20" s="106">
        <f t="shared" si="0"/>
        <v>0.68560090947596286</v>
      </c>
      <c r="J20" s="106">
        <f t="shared" si="0"/>
        <v>0.75559927261542148</v>
      </c>
      <c r="K20" s="106">
        <f t="shared" si="0"/>
        <v>0.68375421684460724</v>
      </c>
      <c r="L20" s="106">
        <f t="shared" si="0"/>
        <v>0.64755122745263294</v>
      </c>
      <c r="M20" s="106">
        <f t="shared" si="0"/>
        <v>0.63517291777709128</v>
      </c>
      <c r="N20" s="106">
        <f t="shared" si="0"/>
        <v>0.63837736899357989</v>
      </c>
    </row>
    <row r="21" spans="2:14" x14ac:dyDescent="0.2">
      <c r="B21" s="179" t="s">
        <v>106</v>
      </c>
      <c r="C21" s="106">
        <f t="shared" ref="C21:N22" si="1">C7</f>
        <v>0.74760657902859307</v>
      </c>
      <c r="D21" s="106">
        <f t="shared" si="1"/>
        <v>0.74080361230218661</v>
      </c>
      <c r="E21" s="106">
        <f t="shared" si="1"/>
        <v>0.8298758235733199</v>
      </c>
      <c r="F21" s="106">
        <f t="shared" si="1"/>
        <v>0.77506638069977385</v>
      </c>
      <c r="G21" s="106">
        <f t="shared" si="1"/>
        <v>0.76779382237498128</v>
      </c>
      <c r="H21" s="106">
        <f t="shared" si="1"/>
        <v>0.74768532912835473</v>
      </c>
      <c r="I21" s="106">
        <f t="shared" si="1"/>
        <v>0.82467407343282673</v>
      </c>
      <c r="J21" s="106">
        <f t="shared" si="1"/>
        <v>0.71140085518471019</v>
      </c>
      <c r="K21" s="106">
        <f t="shared" si="1"/>
        <v>0.759502607055347</v>
      </c>
      <c r="L21" s="106">
        <f t="shared" si="1"/>
        <v>0.72680293984924138</v>
      </c>
      <c r="M21" s="106">
        <f t="shared" si="1"/>
        <v>0.71092183472043169</v>
      </c>
      <c r="N21" s="106">
        <f t="shared" si="1"/>
        <v>0.73518345285574338</v>
      </c>
    </row>
    <row r="22" spans="2:14" x14ac:dyDescent="0.2">
      <c r="B22" s="179" t="s">
        <v>107</v>
      </c>
      <c r="C22" s="106">
        <f t="shared" si="1"/>
        <v>0.74188668678311898</v>
      </c>
      <c r="D22" s="106">
        <f t="shared" si="1"/>
        <v>0.74118622729628425</v>
      </c>
      <c r="E22" s="106">
        <f t="shared" si="1"/>
        <v>0.7788210606208763</v>
      </c>
      <c r="F22" s="106">
        <f t="shared" si="1"/>
        <v>0.69670912194501333</v>
      </c>
      <c r="G22" s="106">
        <f t="shared" si="1"/>
        <v>0.73675634680278757</v>
      </c>
      <c r="H22" s="106">
        <f t="shared" si="1"/>
        <v>0.68704235712703154</v>
      </c>
      <c r="I22" s="106">
        <f t="shared" si="1"/>
        <v>0.72054500128757304</v>
      </c>
      <c r="J22" s="106">
        <f t="shared" si="1"/>
        <v>0.73222811197822635</v>
      </c>
      <c r="K22" s="106">
        <f t="shared" si="1"/>
        <v>0.70228298792888555</v>
      </c>
      <c r="L22" s="106">
        <f t="shared" si="1"/>
        <v>0.71493581395385453</v>
      </c>
      <c r="M22" s="106">
        <f t="shared" si="1"/>
        <v>0.68316600733067545</v>
      </c>
      <c r="N22" s="106">
        <f t="shared" si="1"/>
        <v>0.67111377312283682</v>
      </c>
    </row>
    <row r="23" spans="2:14" x14ac:dyDescent="0.2">
      <c r="B23" s="179" t="s">
        <v>108</v>
      </c>
      <c r="C23" s="106">
        <f>C9*C14</f>
        <v>0.73234177816491342</v>
      </c>
      <c r="D23" s="106">
        <f t="shared" ref="D23:N24" si="2">D9*D14</f>
        <v>0.71092036189181484</v>
      </c>
      <c r="E23" s="106">
        <f t="shared" si="2"/>
        <v>0.74236592352730868</v>
      </c>
      <c r="F23" s="106">
        <f t="shared" si="2"/>
        <v>0.72626615431647579</v>
      </c>
      <c r="G23" s="106">
        <f t="shared" si="2"/>
        <v>0.73834761875703891</v>
      </c>
      <c r="H23" s="106">
        <f t="shared" si="2"/>
        <v>0.73655744631451103</v>
      </c>
      <c r="I23" s="106">
        <f t="shared" si="2"/>
        <v>0.74921741536795061</v>
      </c>
      <c r="J23" s="106">
        <f t="shared" si="2"/>
        <v>0.73778292051667071</v>
      </c>
      <c r="K23" s="106">
        <f t="shared" si="2"/>
        <v>0.74884281782767892</v>
      </c>
      <c r="L23" s="106">
        <f t="shared" si="2"/>
        <v>0.74284848694330785</v>
      </c>
      <c r="M23" s="106">
        <f t="shared" si="2"/>
        <v>0.75198954517843519</v>
      </c>
      <c r="N23" s="106">
        <f t="shared" si="2"/>
        <v>0.76014873486660484</v>
      </c>
    </row>
    <row r="24" spans="2:14" x14ac:dyDescent="0.2">
      <c r="B24" s="179" t="s">
        <v>109</v>
      </c>
      <c r="C24" s="106">
        <f>C10*C15</f>
        <v>0.79082798240841634</v>
      </c>
      <c r="D24" s="106">
        <f t="shared" si="2"/>
        <v>0.741025361234675</v>
      </c>
      <c r="E24" s="106">
        <f t="shared" si="2"/>
        <v>0.80719480498747243</v>
      </c>
      <c r="F24" s="106">
        <f t="shared" si="2"/>
        <v>0.7945082934894111</v>
      </c>
      <c r="G24" s="106">
        <f t="shared" si="2"/>
        <v>0.84150582261750417</v>
      </c>
      <c r="H24" s="106">
        <f t="shared" si="2"/>
        <v>0.7905595935105344</v>
      </c>
      <c r="I24" s="106">
        <f t="shared" si="2"/>
        <v>0.8193597599230702</v>
      </c>
      <c r="J24" s="106">
        <f t="shared" si="2"/>
        <v>0.7974373661153078</v>
      </c>
      <c r="K24" s="106">
        <f t="shared" si="2"/>
        <v>0.75423624055619054</v>
      </c>
      <c r="L24" s="106">
        <f t="shared" si="2"/>
        <v>0.83807453690461908</v>
      </c>
      <c r="M24" s="106">
        <f t="shared" si="2"/>
        <v>0.7466615250834695</v>
      </c>
      <c r="N24" s="106">
        <f t="shared" si="2"/>
        <v>0.83657006073431606</v>
      </c>
    </row>
    <row r="25" spans="2:14" x14ac:dyDescent="0.2">
      <c r="B25" s="178"/>
    </row>
    <row r="26" spans="2:14" x14ac:dyDescent="0.2">
      <c r="B26" s="110" t="s">
        <v>319</v>
      </c>
    </row>
    <row r="27" spans="2:14" x14ac:dyDescent="0.2">
      <c r="B27" s="105" t="s">
        <v>320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321</v>
      </c>
    </row>
    <row r="36" spans="2:50" x14ac:dyDescent="0.2">
      <c r="B36" s="176" t="s">
        <v>273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322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25054.902514011505</v>
      </c>
      <c r="D38" s="106">
        <v>25109.81675262624</v>
      </c>
      <c r="E38" s="106">
        <v>25164.733912812586</v>
      </c>
      <c r="F38" s="106">
        <v>25219.64518704552</v>
      </c>
      <c r="G38" s="106">
        <v>25274.541764850626</v>
      </c>
      <c r="H38" s="106">
        <v>25329.41483434946</v>
      </c>
      <c r="I38" s="106">
        <v>25384.255583806131</v>
      </c>
      <c r="J38" s="106">
        <v>25439.055203174696</v>
      </c>
      <c r="K38" s="106">
        <v>25493.804885647136</v>
      </c>
      <c r="L38" s="106">
        <v>25548.495829201689</v>
      </c>
      <c r="M38" s="106">
        <v>25603.119238151201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25982.855339308269</v>
      </c>
      <c r="U38" s="106">
        <v>26036.623097350748</v>
      </c>
      <c r="V38" s="106">
        <v>26090.24469980675</v>
      </c>
      <c r="W38" s="106">
        <v>26143.711499307632</v>
      </c>
      <c r="X38" s="106">
        <v>26197.014871775551</v>
      </c>
      <c r="Y38" s="106">
        <v>26250.146217950878</v>
      </c>
      <c r="Z38" s="106">
        <v>18412.167875441355</v>
      </c>
      <c r="AA38" s="106">
        <v>26355.858567616488</v>
      </c>
      <c r="AB38" s="106">
        <v>26408.422510375025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26770.127180149142</v>
      </c>
      <c r="AJ38" s="106">
        <v>26820.807301044035</v>
      </c>
      <c r="AK38" s="106">
        <v>26871.21469072756</v>
      </c>
      <c r="AL38" s="106">
        <v>26921.341209603564</v>
      </c>
      <c r="AM38" s="106">
        <v>26971.178763785614</v>
      </c>
      <c r="AN38" s="106">
        <v>18914.503514580269</v>
      </c>
      <c r="AO38" s="106">
        <v>18948.968387818528</v>
      </c>
      <c r="AP38" s="106">
        <v>18983.2141906877</v>
      </c>
      <c r="AQ38" s="106">
        <v>27167.47913646403</v>
      </c>
      <c r="AR38" s="106">
        <v>27215.752159530173</v>
      </c>
      <c r="AS38" s="106">
        <v>27263.688694937566</v>
      </c>
      <c r="AT38" s="106">
        <v>27311.281008823513</v>
      </c>
      <c r="AU38" s="106">
        <v>27358.521424379818</v>
      </c>
      <c r="AV38" s="106">
        <v>27405.40232323145</v>
      </c>
      <c r="AW38" s="106">
        <v>27451.916146805794</v>
      </c>
      <c r="AX38" s="106">
        <v>27498.055397691911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15131.787112227312</v>
      </c>
      <c r="G39" s="106">
        <v>15164.725058910377</v>
      </c>
      <c r="H39" s="106">
        <v>15197.648900609674</v>
      </c>
      <c r="I39" s="106">
        <v>15230.553350283679</v>
      </c>
      <c r="J39" s="106">
        <v>15263.433121904818</v>
      </c>
      <c r="K39" s="106">
        <v>15296.282931388283</v>
      </c>
      <c r="L39" s="106">
        <v>10730.368248264709</v>
      </c>
      <c r="M39" s="106">
        <v>15361.87154289072</v>
      </c>
      <c r="N39" s="106">
        <v>10776.21985637031</v>
      </c>
      <c r="O39" s="106">
        <v>10799.093890388011</v>
      </c>
      <c r="P39" s="106">
        <v>10821.928499769892</v>
      </c>
      <c r="Q39" s="106">
        <v>10844.720007468877</v>
      </c>
      <c r="R39" s="106">
        <v>15524.949631923135</v>
      </c>
      <c r="S39" s="106">
        <v>1555.7370056884831</v>
      </c>
      <c r="T39" s="106">
        <v>1558.9713203584963</v>
      </c>
      <c r="U39" s="106">
        <v>1562.1973858410449</v>
      </c>
      <c r="V39" s="106">
        <v>15654.14681988405</v>
      </c>
      <c r="W39" s="106">
        <v>15686.226899584581</v>
      </c>
      <c r="X39" s="106">
        <v>15718.208923065331</v>
      </c>
      <c r="Y39" s="106">
        <v>15750.087730770527</v>
      </c>
      <c r="Z39" s="106">
        <v>15781.858178949733</v>
      </c>
      <c r="AA39" s="106">
        <v>15813.515140569893</v>
      </c>
      <c r="AB39" s="106">
        <v>15845.053506225015</v>
      </c>
      <c r="AC39" s="106">
        <v>15876.468185043188</v>
      </c>
      <c r="AD39" s="106">
        <v>15907.754105590879</v>
      </c>
      <c r="AE39" s="106">
        <v>1593.890621677428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11264.739066438493</v>
      </c>
      <c r="AK39" s="106">
        <v>11285.910170105573</v>
      </c>
      <c r="AL39" s="106">
        <v>16152.80472576214</v>
      </c>
      <c r="AM39" s="106">
        <v>16182.707258271368</v>
      </c>
      <c r="AN39" s="106">
        <v>16212.431583925947</v>
      </c>
      <c r="AO39" s="106">
        <v>16241.972903844453</v>
      </c>
      <c r="AP39" s="106">
        <v>16271.326449160888</v>
      </c>
      <c r="AQ39" s="106">
        <v>16300.487481878417</v>
      </c>
      <c r="AR39" s="106">
        <v>16329.451295718105</v>
      </c>
      <c r="AS39" s="106">
        <v>16358.213216962538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5032.946782562517</v>
      </c>
      <c r="F40" s="106">
        <v>5043.9290374091042</v>
      </c>
      <c r="G40" s="106">
        <v>5054.9083529701256</v>
      </c>
      <c r="H40" s="106">
        <v>5065.8829668698918</v>
      </c>
      <c r="I40" s="106">
        <v>5076.851116761226</v>
      </c>
      <c r="J40" s="106">
        <v>5087.8110406349388</v>
      </c>
      <c r="K40" s="106">
        <v>3569.1326839905992</v>
      </c>
      <c r="L40" s="106">
        <v>3576.7894160882365</v>
      </c>
      <c r="M40" s="106">
        <v>3584.4366933411679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5250.0292435901756</v>
      </c>
      <c r="Z40" s="106">
        <v>5260.6193929832443</v>
      </c>
      <c r="AA40" s="106">
        <v>5271.1717135232975</v>
      </c>
      <c r="AB40" s="106">
        <v>5281.6845020750052</v>
      </c>
      <c r="AC40" s="106">
        <v>2116.8624246724253</v>
      </c>
      <c r="AD40" s="106">
        <v>3711.8092913045384</v>
      </c>
      <c r="AE40" s="106">
        <v>5312.9687389247601</v>
      </c>
      <c r="AF40" s="106">
        <v>5323.3064962458566</v>
      </c>
      <c r="AG40" s="106">
        <v>5333.5963045859717</v>
      </c>
      <c r="AH40" s="106">
        <v>5343.8365023790293</v>
      </c>
      <c r="AI40" s="106">
        <v>5354.0254360298286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5413.9909679481507</v>
      </c>
      <c r="AP40" s="106">
        <v>5423.7754830536296</v>
      </c>
      <c r="AQ40" s="106">
        <v>5433.4958272928061</v>
      </c>
      <c r="AR40" s="106">
        <v>3810.2053023342241</v>
      </c>
      <c r="AS40" s="106">
        <v>5452.7377389875128</v>
      </c>
      <c r="AT40" s="106">
        <v>5462.2562017647024</v>
      </c>
      <c r="AU40" s="106">
        <v>5471.7042848759638</v>
      </c>
      <c r="AV40" s="106">
        <v>5481.0804646462902</v>
      </c>
      <c r="AW40" s="106">
        <v>5490.3832293611586</v>
      </c>
      <c r="AX40" s="106">
        <v>5499.611079538382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2132.277469039715</v>
      </c>
      <c r="J41" s="106">
        <v>3052.6866243809636</v>
      </c>
      <c r="K41" s="106">
        <v>3059.2565862776564</v>
      </c>
      <c r="L41" s="106">
        <v>3065.8194995042027</v>
      </c>
      <c r="M41" s="106">
        <v>2150.6620160047005</v>
      </c>
      <c r="N41" s="106">
        <v>3078.9199589629461</v>
      </c>
      <c r="O41" s="106">
        <v>3085.4553972537178</v>
      </c>
      <c r="P41" s="106">
        <v>3091.9795713628264</v>
      </c>
      <c r="Q41" s="106">
        <v>3098.4914307053937</v>
      </c>
      <c r="R41" s="106">
        <v>3104.9899263846269</v>
      </c>
      <c r="S41" s="106">
        <v>2178.031807963876</v>
      </c>
      <c r="T41" s="106">
        <v>3117.9426407169926</v>
      </c>
      <c r="U41" s="106">
        <v>3124.3947716820899</v>
      </c>
      <c r="V41" s="106">
        <v>3130.8293639768099</v>
      </c>
      <c r="W41" s="106">
        <v>3137.2453799169161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3187.7812433548561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3230.5609451524278</v>
      </c>
      <c r="AM41" s="106">
        <v>3236.5414516542737</v>
      </c>
      <c r="AN41" s="106">
        <v>3242.486316785189</v>
      </c>
      <c r="AO41" s="106">
        <v>3248.3945807688906</v>
      </c>
      <c r="AP41" s="106">
        <v>3254.2652898321776</v>
      </c>
      <c r="AQ41" s="106">
        <v>3260.0974963756835</v>
      </c>
      <c r="AR41" s="106">
        <v>3265.8902591436208</v>
      </c>
      <c r="AS41" s="106">
        <v>3271.6426433925076</v>
      </c>
      <c r="AT41" s="106">
        <v>3277.3537210588215</v>
      </c>
      <c r="AU41" s="106">
        <v>3283.0225709255783</v>
      </c>
      <c r="AV41" s="106">
        <v>3288.648278787774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323</v>
      </c>
    </row>
    <row r="46" spans="2:50" x14ac:dyDescent="0.2">
      <c r="B46" s="105" t="s">
        <v>273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324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6934</v>
      </c>
      <c r="D48" s="106">
        <v>6934</v>
      </c>
      <c r="E48" s="106">
        <v>6934</v>
      </c>
      <c r="F48" s="106">
        <v>6934</v>
      </c>
      <c r="G48" s="106">
        <v>6934</v>
      </c>
      <c r="H48" s="106">
        <v>6934</v>
      </c>
      <c r="I48" s="106">
        <v>6934</v>
      </c>
      <c r="J48" s="106">
        <v>6934</v>
      </c>
      <c r="K48" s="106">
        <v>6934</v>
      </c>
      <c r="L48" s="106">
        <v>6934</v>
      </c>
      <c r="M48" s="106">
        <v>6934</v>
      </c>
      <c r="N48" s="106">
        <v>6934</v>
      </c>
      <c r="O48" s="106">
        <v>6934</v>
      </c>
      <c r="P48" s="106">
        <v>6934</v>
      </c>
      <c r="Q48" s="106">
        <v>6934</v>
      </c>
      <c r="R48" s="106">
        <v>6934</v>
      </c>
      <c r="S48" s="106">
        <v>6934</v>
      </c>
      <c r="T48" s="106">
        <v>6934</v>
      </c>
      <c r="U48" s="106">
        <v>6934</v>
      </c>
      <c r="V48" s="106">
        <v>6934</v>
      </c>
      <c r="W48" s="106">
        <v>6934</v>
      </c>
      <c r="X48" s="106">
        <v>6934</v>
      </c>
      <c r="Y48" s="106">
        <v>6934</v>
      </c>
      <c r="Z48" s="106">
        <v>6934</v>
      </c>
      <c r="AA48" s="106">
        <v>6934</v>
      </c>
      <c r="AB48" s="106">
        <v>6934</v>
      </c>
      <c r="AC48" s="106">
        <v>6934</v>
      </c>
      <c r="AD48" s="106">
        <v>6934</v>
      </c>
      <c r="AE48" s="106">
        <v>6934</v>
      </c>
      <c r="AF48" s="106">
        <v>6934</v>
      </c>
      <c r="AG48" s="106">
        <v>6934</v>
      </c>
      <c r="AH48" s="106">
        <v>6934</v>
      </c>
      <c r="AI48" s="106">
        <v>6934</v>
      </c>
      <c r="AJ48" s="106">
        <v>6934</v>
      </c>
      <c r="AK48" s="106">
        <v>6934</v>
      </c>
      <c r="AL48" s="106">
        <v>6934</v>
      </c>
      <c r="AM48" s="106">
        <v>6934</v>
      </c>
      <c r="AN48" s="106">
        <v>6934</v>
      </c>
      <c r="AO48" s="106">
        <v>6934</v>
      </c>
      <c r="AP48" s="106">
        <v>6934</v>
      </c>
      <c r="AQ48" s="106">
        <v>6934</v>
      </c>
      <c r="AR48" s="106">
        <v>6934</v>
      </c>
      <c r="AS48" s="106">
        <v>6934</v>
      </c>
      <c r="AT48" s="106">
        <v>6934</v>
      </c>
      <c r="AU48" s="106">
        <v>6934</v>
      </c>
      <c r="AV48" s="106">
        <v>6934</v>
      </c>
      <c r="AW48" s="106">
        <v>6934</v>
      </c>
      <c r="AX48" s="106">
        <v>6934</v>
      </c>
    </row>
    <row r="49" spans="2:51" x14ac:dyDescent="0.2">
      <c r="B49" s="105" t="s">
        <v>105</v>
      </c>
      <c r="C49" s="106">
        <v>0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0</v>
      </c>
      <c r="M49" s="106">
        <v>0</v>
      </c>
      <c r="N49" s="106">
        <v>0</v>
      </c>
      <c r="O49" s="106">
        <v>0</v>
      </c>
      <c r="P49" s="106">
        <v>0</v>
      </c>
      <c r="Q49" s="106">
        <v>0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</row>
    <row r="50" spans="2:51" x14ac:dyDescent="0.2">
      <c r="B50" s="105" t="s">
        <v>106</v>
      </c>
      <c r="C50" s="106">
        <v>1400</v>
      </c>
      <c r="D50" s="106">
        <v>1400</v>
      </c>
      <c r="E50" s="106">
        <v>1400</v>
      </c>
      <c r="F50" s="106">
        <v>1400</v>
      </c>
      <c r="G50" s="106">
        <v>1400</v>
      </c>
      <c r="H50" s="106">
        <v>1400</v>
      </c>
      <c r="I50" s="106">
        <v>1400</v>
      </c>
      <c r="J50" s="106">
        <v>1400</v>
      </c>
      <c r="K50" s="106">
        <v>1400</v>
      </c>
      <c r="L50" s="106">
        <v>1400</v>
      </c>
      <c r="M50" s="106">
        <v>1400</v>
      </c>
      <c r="N50" s="106">
        <v>1400</v>
      </c>
      <c r="O50" s="106">
        <v>1400</v>
      </c>
      <c r="P50" s="106">
        <v>1400</v>
      </c>
      <c r="Q50" s="106">
        <v>1400</v>
      </c>
      <c r="R50" s="106">
        <v>1400</v>
      </c>
      <c r="S50" s="106">
        <v>1400</v>
      </c>
      <c r="T50" s="106">
        <v>1400</v>
      </c>
      <c r="U50" s="106">
        <v>1400</v>
      </c>
      <c r="V50" s="106">
        <v>1400</v>
      </c>
      <c r="W50" s="106">
        <v>1400</v>
      </c>
      <c r="X50" s="106">
        <v>1400</v>
      </c>
      <c r="Y50" s="106">
        <v>1400</v>
      </c>
      <c r="Z50" s="106">
        <v>1400</v>
      </c>
      <c r="AA50" s="106">
        <v>1400</v>
      </c>
      <c r="AB50" s="106">
        <v>1400</v>
      </c>
      <c r="AC50" s="106">
        <v>1400</v>
      </c>
      <c r="AD50" s="106">
        <v>1400</v>
      </c>
      <c r="AE50" s="106">
        <v>1400</v>
      </c>
      <c r="AF50" s="106">
        <v>1400</v>
      </c>
      <c r="AG50" s="106">
        <v>1400</v>
      </c>
      <c r="AH50" s="106">
        <v>1400</v>
      </c>
      <c r="AI50" s="106">
        <v>1400</v>
      </c>
      <c r="AJ50" s="106">
        <v>1400</v>
      </c>
      <c r="AK50" s="106">
        <v>1400</v>
      </c>
      <c r="AL50" s="106">
        <v>1400</v>
      </c>
      <c r="AM50" s="106">
        <v>1400</v>
      </c>
      <c r="AN50" s="106">
        <v>1400</v>
      </c>
      <c r="AO50" s="106">
        <v>1400</v>
      </c>
      <c r="AP50" s="106">
        <v>1400</v>
      </c>
      <c r="AQ50" s="106">
        <v>1400</v>
      </c>
      <c r="AR50" s="106">
        <v>1400</v>
      </c>
      <c r="AS50" s="106">
        <v>1400</v>
      </c>
      <c r="AT50" s="106">
        <v>1400</v>
      </c>
      <c r="AU50" s="106">
        <v>1400</v>
      </c>
      <c r="AV50" s="106">
        <v>1400</v>
      </c>
      <c r="AW50" s="106">
        <v>1400</v>
      </c>
      <c r="AX50" s="106">
        <v>1400</v>
      </c>
      <c r="AY50" s="118"/>
    </row>
    <row r="51" spans="2:51" x14ac:dyDescent="0.2">
      <c r="B51" s="105" t="s">
        <v>107</v>
      </c>
      <c r="C51" s="106">
        <v>500</v>
      </c>
      <c r="D51" s="106">
        <v>500</v>
      </c>
      <c r="E51" s="106">
        <v>500</v>
      </c>
      <c r="F51" s="106">
        <v>500</v>
      </c>
      <c r="G51" s="106">
        <v>500</v>
      </c>
      <c r="H51" s="106">
        <v>500</v>
      </c>
      <c r="I51" s="106">
        <v>500</v>
      </c>
      <c r="J51" s="106">
        <v>500</v>
      </c>
      <c r="K51" s="106">
        <v>500</v>
      </c>
      <c r="L51" s="106">
        <v>500</v>
      </c>
      <c r="M51" s="106">
        <v>500</v>
      </c>
      <c r="N51" s="106">
        <v>500</v>
      </c>
      <c r="O51" s="106">
        <v>500</v>
      </c>
      <c r="P51" s="106">
        <v>500</v>
      </c>
      <c r="Q51" s="106">
        <v>500</v>
      </c>
      <c r="R51" s="106">
        <v>500</v>
      </c>
      <c r="S51" s="106">
        <v>500</v>
      </c>
      <c r="T51" s="106">
        <v>500</v>
      </c>
      <c r="U51" s="106">
        <v>500</v>
      </c>
      <c r="V51" s="106">
        <v>500</v>
      </c>
      <c r="W51" s="106">
        <v>500</v>
      </c>
      <c r="X51" s="106">
        <v>500</v>
      </c>
      <c r="Y51" s="106">
        <v>500</v>
      </c>
      <c r="Z51" s="106">
        <v>500</v>
      </c>
      <c r="AA51" s="106">
        <v>500</v>
      </c>
      <c r="AB51" s="106">
        <v>500</v>
      </c>
      <c r="AC51" s="106">
        <v>500</v>
      </c>
      <c r="AD51" s="106">
        <v>500</v>
      </c>
      <c r="AE51" s="106">
        <v>500</v>
      </c>
      <c r="AF51" s="106">
        <v>500</v>
      </c>
      <c r="AG51" s="106">
        <v>500</v>
      </c>
      <c r="AH51" s="106">
        <v>500</v>
      </c>
      <c r="AI51" s="106">
        <v>500</v>
      </c>
      <c r="AJ51" s="106">
        <v>500</v>
      </c>
      <c r="AK51" s="106">
        <v>500</v>
      </c>
      <c r="AL51" s="106">
        <v>500</v>
      </c>
      <c r="AM51" s="106">
        <v>500</v>
      </c>
      <c r="AN51" s="106">
        <v>500</v>
      </c>
      <c r="AO51" s="106">
        <v>500</v>
      </c>
      <c r="AP51" s="106">
        <v>500</v>
      </c>
      <c r="AQ51" s="106">
        <v>500</v>
      </c>
      <c r="AR51" s="106">
        <v>500</v>
      </c>
      <c r="AS51" s="106">
        <v>500</v>
      </c>
      <c r="AT51" s="106">
        <v>500</v>
      </c>
      <c r="AU51" s="106">
        <v>500</v>
      </c>
      <c r="AV51" s="106">
        <v>500</v>
      </c>
      <c r="AW51" s="106">
        <v>500</v>
      </c>
      <c r="AX51" s="106">
        <v>500</v>
      </c>
      <c r="AY51" s="117"/>
    </row>
    <row r="52" spans="2:51" x14ac:dyDescent="0.2">
      <c r="B52" s="105" t="s">
        <v>108</v>
      </c>
      <c r="C52" s="106">
        <v>0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325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273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324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9394368.427916782</v>
      </c>
      <c r="D58" s="106">
        <v>9394368.427916782</v>
      </c>
      <c r="E58" s="106">
        <v>9394368.427916782</v>
      </c>
      <c r="F58" s="106">
        <v>9394368.427916782</v>
      </c>
      <c r="G58" s="106">
        <v>9334046.1709428988</v>
      </c>
      <c r="H58" s="106">
        <v>9334046.1709428988</v>
      </c>
      <c r="I58" s="106">
        <v>9334046.1709428988</v>
      </c>
      <c r="J58" s="106">
        <v>9334046.1709428988</v>
      </c>
      <c r="K58" s="106">
        <v>8796421.0684929024</v>
      </c>
      <c r="L58" s="106">
        <v>8796421.0684929024</v>
      </c>
      <c r="M58" s="106">
        <v>8796421.0684929024</v>
      </c>
      <c r="N58" s="106">
        <v>8796421.0684929024</v>
      </c>
      <c r="O58" s="106">
        <v>9681062.1566065531</v>
      </c>
      <c r="P58" s="106">
        <v>9681062.1566065531</v>
      </c>
      <c r="Q58" s="106">
        <v>9681062.1566065531</v>
      </c>
      <c r="R58" s="106">
        <v>9681062.1566065531</v>
      </c>
      <c r="S58" s="106">
        <v>9808019.9588736072</v>
      </c>
      <c r="T58" s="106">
        <v>9808019.9588736072</v>
      </c>
      <c r="U58" s="106">
        <v>9808019.9588736072</v>
      </c>
      <c r="V58" s="106">
        <v>9808019.9588736072</v>
      </c>
      <c r="W58" s="106">
        <v>8294092.727612908</v>
      </c>
      <c r="X58" s="106">
        <v>8294092.727612908</v>
      </c>
      <c r="Y58" s="106">
        <v>8294092.727612908</v>
      </c>
      <c r="Z58" s="106">
        <v>8294092.727612908</v>
      </c>
      <c r="AA58" s="106">
        <v>8945702.908327233</v>
      </c>
      <c r="AB58" s="106">
        <v>8945702.908327233</v>
      </c>
      <c r="AC58" s="106">
        <v>8945702.908327233</v>
      </c>
      <c r="AD58" s="106">
        <v>8945702.908327233</v>
      </c>
      <c r="AE58" s="106">
        <v>8591285.6478293724</v>
      </c>
      <c r="AF58" s="106">
        <v>8591285.6478293724</v>
      </c>
      <c r="AG58" s="106">
        <v>8591285.6478293724</v>
      </c>
      <c r="AH58" s="106">
        <v>8591285.6478293724</v>
      </c>
      <c r="AI58" s="106">
        <v>7833819.3695394155</v>
      </c>
      <c r="AJ58" s="106">
        <v>7833819.3695394155</v>
      </c>
      <c r="AK58" s="106">
        <v>7833819.3695394155</v>
      </c>
      <c r="AL58" s="106">
        <v>7833819.3695394155</v>
      </c>
      <c r="AM58" s="106">
        <v>9860511.6498530004</v>
      </c>
      <c r="AN58" s="106">
        <v>9860511.6498530004</v>
      </c>
      <c r="AO58" s="106">
        <v>9860511.6498530004</v>
      </c>
      <c r="AP58" s="106">
        <v>9860511.6498530004</v>
      </c>
      <c r="AQ58" s="106">
        <v>10036838.816045297</v>
      </c>
      <c r="AR58" s="106">
        <v>10036838.816045297</v>
      </c>
      <c r="AS58" s="106">
        <v>10036838.816045297</v>
      </c>
      <c r="AT58" s="106">
        <v>10036838.816045297</v>
      </c>
      <c r="AU58" s="106">
        <v>8354872.971452727</v>
      </c>
      <c r="AV58" s="106">
        <v>8354872.971452727</v>
      </c>
      <c r="AW58" s="106">
        <v>8354872.971452727</v>
      </c>
      <c r="AX58" s="106">
        <v>8354872.971452727</v>
      </c>
    </row>
    <row r="59" spans="2:51" x14ac:dyDescent="0.2">
      <c r="B59" s="111" t="s">
        <v>105</v>
      </c>
      <c r="C59" s="106">
        <v>0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</row>
    <row r="60" spans="2:51" x14ac:dyDescent="0.2">
      <c r="B60" s="111" t="s">
        <v>106</v>
      </c>
      <c r="C60" s="106">
        <v>2093298.4212800607</v>
      </c>
      <c r="D60" s="106">
        <v>2093298.4212800607</v>
      </c>
      <c r="E60" s="106">
        <v>2093298.4212800607</v>
      </c>
      <c r="F60" s="106">
        <v>2093298.4212800607</v>
      </c>
      <c r="G60" s="106">
        <v>2074250.1144461227</v>
      </c>
      <c r="H60" s="106">
        <v>2074250.1144461227</v>
      </c>
      <c r="I60" s="106">
        <v>2074250.1144461227</v>
      </c>
      <c r="J60" s="106">
        <v>2074250.1144461227</v>
      </c>
      <c r="K60" s="106">
        <v>2323652.3060052958</v>
      </c>
      <c r="L60" s="106">
        <v>2323652.3060052958</v>
      </c>
      <c r="M60" s="106">
        <v>2323652.3060052958</v>
      </c>
      <c r="N60" s="106">
        <v>2323652.3060052958</v>
      </c>
      <c r="O60" s="106">
        <v>2170185.8659593668</v>
      </c>
      <c r="P60" s="106">
        <v>2170185.8659593668</v>
      </c>
      <c r="Q60" s="106">
        <v>2170185.8659593668</v>
      </c>
      <c r="R60" s="106">
        <v>2170185.8659593668</v>
      </c>
      <c r="S60" s="106">
        <v>2149822.7026499477</v>
      </c>
      <c r="T60" s="106">
        <v>2149822.7026499477</v>
      </c>
      <c r="U60" s="106">
        <v>2149822.7026499477</v>
      </c>
      <c r="V60" s="106">
        <v>2149822.7026499477</v>
      </c>
      <c r="W60" s="106">
        <v>2093518.9215593932</v>
      </c>
      <c r="X60" s="106">
        <v>2093518.9215593932</v>
      </c>
      <c r="Y60" s="106">
        <v>2093518.9215593932</v>
      </c>
      <c r="Z60" s="106">
        <v>2093518.9215593932</v>
      </c>
      <c r="AA60" s="106">
        <v>2309087.4056119146</v>
      </c>
      <c r="AB60" s="106">
        <v>2309087.4056119146</v>
      </c>
      <c r="AC60" s="106">
        <v>2309087.4056119146</v>
      </c>
      <c r="AD60" s="106">
        <v>2309087.4056119146</v>
      </c>
      <c r="AE60" s="106">
        <v>1991922.3945171884</v>
      </c>
      <c r="AF60" s="106">
        <v>1991922.3945171884</v>
      </c>
      <c r="AG60" s="106">
        <v>1991922.3945171884</v>
      </c>
      <c r="AH60" s="106">
        <v>1991922.3945171884</v>
      </c>
      <c r="AI60" s="106">
        <v>2126607.2997549716</v>
      </c>
      <c r="AJ60" s="106">
        <v>2126607.2997549716</v>
      </c>
      <c r="AK60" s="106">
        <v>2126607.2997549716</v>
      </c>
      <c r="AL60" s="106">
        <v>2126607.2997549716</v>
      </c>
      <c r="AM60" s="106">
        <v>2035048.2315778758</v>
      </c>
      <c r="AN60" s="106">
        <v>2035048.2315778758</v>
      </c>
      <c r="AO60" s="106">
        <v>2035048.2315778758</v>
      </c>
      <c r="AP60" s="106">
        <v>2035048.2315778758</v>
      </c>
      <c r="AQ60" s="106">
        <v>1990581.1372172087</v>
      </c>
      <c r="AR60" s="106">
        <v>1990581.1372172087</v>
      </c>
      <c r="AS60" s="106">
        <v>1990581.1372172087</v>
      </c>
      <c r="AT60" s="106">
        <v>1990581.1372172087</v>
      </c>
      <c r="AU60" s="106">
        <v>2058513.6679960815</v>
      </c>
      <c r="AV60" s="106">
        <v>2058513.6679960815</v>
      </c>
      <c r="AW60" s="106">
        <v>2058513.6679960815</v>
      </c>
      <c r="AX60" s="106">
        <v>2058513.6679960815</v>
      </c>
    </row>
    <row r="61" spans="2:51" x14ac:dyDescent="0.2">
      <c r="B61" s="111" t="s">
        <v>107</v>
      </c>
      <c r="C61" s="106">
        <v>741886.68678311899</v>
      </c>
      <c r="D61" s="106">
        <v>741886.68678311899</v>
      </c>
      <c r="E61" s="106">
        <v>741886.68678311899</v>
      </c>
      <c r="F61" s="106">
        <v>741886.68678311899</v>
      </c>
      <c r="G61" s="106">
        <v>741186.22729628428</v>
      </c>
      <c r="H61" s="106">
        <v>741186.22729628428</v>
      </c>
      <c r="I61" s="106">
        <v>741186.22729628428</v>
      </c>
      <c r="J61" s="106">
        <v>741186.22729628428</v>
      </c>
      <c r="K61" s="106">
        <v>778821.06062087638</v>
      </c>
      <c r="L61" s="106">
        <v>778821.06062087638</v>
      </c>
      <c r="M61" s="106">
        <v>778821.06062087638</v>
      </c>
      <c r="N61" s="106">
        <v>778821.06062087638</v>
      </c>
      <c r="O61" s="106">
        <v>696709.12194501329</v>
      </c>
      <c r="P61" s="106">
        <v>696709.12194501329</v>
      </c>
      <c r="Q61" s="106">
        <v>696709.12194501329</v>
      </c>
      <c r="R61" s="106">
        <v>696709.12194501329</v>
      </c>
      <c r="S61" s="106">
        <v>736756.34680278751</v>
      </c>
      <c r="T61" s="106">
        <v>736756.34680278751</v>
      </c>
      <c r="U61" s="106">
        <v>736756.34680278751</v>
      </c>
      <c r="V61" s="106">
        <v>736756.34680278751</v>
      </c>
      <c r="W61" s="106">
        <v>687042.35712703154</v>
      </c>
      <c r="X61" s="106">
        <v>687042.35712703154</v>
      </c>
      <c r="Y61" s="106">
        <v>687042.35712703154</v>
      </c>
      <c r="Z61" s="106">
        <v>687042.35712703154</v>
      </c>
      <c r="AA61" s="106">
        <v>720545.00128757313</v>
      </c>
      <c r="AB61" s="106">
        <v>720545.00128757313</v>
      </c>
      <c r="AC61" s="106">
        <v>720545.00128757313</v>
      </c>
      <c r="AD61" s="106">
        <v>720545.00128757313</v>
      </c>
      <c r="AE61" s="106">
        <v>732228.11197822634</v>
      </c>
      <c r="AF61" s="106">
        <v>732228.11197822634</v>
      </c>
      <c r="AG61" s="106">
        <v>732228.11197822634</v>
      </c>
      <c r="AH61" s="106">
        <v>732228.11197822634</v>
      </c>
      <c r="AI61" s="106">
        <v>702282.9879288855</v>
      </c>
      <c r="AJ61" s="106">
        <v>702282.9879288855</v>
      </c>
      <c r="AK61" s="106">
        <v>702282.9879288855</v>
      </c>
      <c r="AL61" s="106">
        <v>702282.9879288855</v>
      </c>
      <c r="AM61" s="106">
        <v>714935.81395385461</v>
      </c>
      <c r="AN61" s="106">
        <v>714935.81395385461</v>
      </c>
      <c r="AO61" s="106">
        <v>714935.81395385461</v>
      </c>
      <c r="AP61" s="106">
        <v>714935.81395385461</v>
      </c>
      <c r="AQ61" s="106">
        <v>683166.00733067549</v>
      </c>
      <c r="AR61" s="106">
        <v>683166.00733067549</v>
      </c>
      <c r="AS61" s="106">
        <v>683166.00733067549</v>
      </c>
      <c r="AT61" s="106">
        <v>683166.00733067549</v>
      </c>
      <c r="AU61" s="106">
        <v>671113.77312283684</v>
      </c>
      <c r="AV61" s="106">
        <v>671113.77312283684</v>
      </c>
      <c r="AW61" s="106">
        <v>671113.77312283684</v>
      </c>
      <c r="AX61" s="106">
        <v>671113.77312283684</v>
      </c>
    </row>
    <row r="62" spans="2:51" x14ac:dyDescent="0.2">
      <c r="B62" s="111" t="s">
        <v>108</v>
      </c>
      <c r="C62" s="106">
        <v>0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326</v>
      </c>
    </row>
    <row r="66" spans="1:14" x14ac:dyDescent="0.2">
      <c r="B66" s="105" t="s">
        <v>327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328</v>
      </c>
      <c r="C67" s="106">
        <v>0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</row>
    <row r="68" spans="1:14" x14ac:dyDescent="0.2">
      <c r="B68" s="105" t="s">
        <v>329</v>
      </c>
      <c r="C68" s="106">
        <v>0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</row>
    <row r="70" spans="1:14" x14ac:dyDescent="0.2">
      <c r="B70" s="110" t="s">
        <v>330</v>
      </c>
    </row>
    <row r="71" spans="1:14" x14ac:dyDescent="0.2">
      <c r="A71" s="111" t="s">
        <v>121</v>
      </c>
      <c r="B71" s="111" t="s">
        <v>331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0</v>
      </c>
      <c r="D72" s="106">
        <v>0</v>
      </c>
    </row>
    <row r="73" spans="1:14" x14ac:dyDescent="0.2">
      <c r="B73" s="111" t="s">
        <v>93</v>
      </c>
      <c r="C73" s="106">
        <v>0</v>
      </c>
      <c r="D73" s="106">
        <v>0</v>
      </c>
    </row>
    <row r="74" spans="1:14" x14ac:dyDescent="0.2">
      <c r="B74" s="111" t="s">
        <v>94</v>
      </c>
      <c r="C74" s="106">
        <v>0</v>
      </c>
      <c r="D74" s="106">
        <v>0</v>
      </c>
    </row>
    <row r="75" spans="1:14" x14ac:dyDescent="0.2">
      <c r="B75" s="111" t="s">
        <v>95</v>
      </c>
      <c r="C75" s="106">
        <v>0</v>
      </c>
      <c r="D75" s="106">
        <v>0</v>
      </c>
    </row>
    <row r="76" spans="1:14" x14ac:dyDescent="0.2">
      <c r="B76" s="111" t="s">
        <v>96</v>
      </c>
      <c r="C76" s="106">
        <v>0</v>
      </c>
      <c r="D76" s="106">
        <v>0</v>
      </c>
    </row>
    <row r="77" spans="1:14" x14ac:dyDescent="0.2">
      <c r="B77" s="111" t="s">
        <v>97</v>
      </c>
      <c r="C77" s="106">
        <v>0</v>
      </c>
      <c r="D77" s="106">
        <v>0</v>
      </c>
    </row>
    <row r="78" spans="1:14" x14ac:dyDescent="0.2">
      <c r="B78" s="111" t="s">
        <v>98</v>
      </c>
      <c r="C78" s="106">
        <v>0</v>
      </c>
      <c r="D78" s="106">
        <v>0</v>
      </c>
    </row>
    <row r="79" spans="1:14" x14ac:dyDescent="0.2">
      <c r="B79" s="111" t="s">
        <v>99</v>
      </c>
      <c r="C79" s="106">
        <v>0</v>
      </c>
      <c r="D79" s="106">
        <v>0</v>
      </c>
    </row>
    <row r="80" spans="1:14" x14ac:dyDescent="0.2">
      <c r="B80" s="111" t="s">
        <v>100</v>
      </c>
      <c r="C80" s="106">
        <v>0</v>
      </c>
      <c r="D80" s="106">
        <v>0</v>
      </c>
    </row>
    <row r="81" spans="2:50" x14ac:dyDescent="0.2">
      <c r="B81" s="111" t="s">
        <v>101</v>
      </c>
      <c r="C81" s="106">
        <v>0</v>
      </c>
      <c r="D81" s="106">
        <v>0</v>
      </c>
    </row>
    <row r="82" spans="2:50" x14ac:dyDescent="0.2">
      <c r="B82" s="111" t="s">
        <v>102</v>
      </c>
      <c r="C82" s="106">
        <v>0</v>
      </c>
      <c r="D82" s="106">
        <v>0</v>
      </c>
    </row>
    <row r="83" spans="2:50" x14ac:dyDescent="0.2">
      <c r="B83" s="111" t="s">
        <v>103</v>
      </c>
      <c r="C83" s="106">
        <v>0</v>
      </c>
      <c r="D83" s="106">
        <v>0</v>
      </c>
    </row>
    <row r="85" spans="2:50" x14ac:dyDescent="0.2">
      <c r="B85" s="109" t="s">
        <v>332</v>
      </c>
    </row>
    <row r="86" spans="2:50" x14ac:dyDescent="0.2">
      <c r="B86" s="105" t="s">
        <v>273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333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6934</v>
      </c>
      <c r="D88" s="106">
        <f>D48+$C$67/4</f>
        <v>6934</v>
      </c>
      <c r="E88" s="106">
        <f>E48+$C$67/4</f>
        <v>6934</v>
      </c>
      <c r="F88" s="106">
        <f>F48+$C$67/4</f>
        <v>6934</v>
      </c>
      <c r="G88" s="106">
        <f>G48+$D$67/4</f>
        <v>6934</v>
      </c>
      <c r="H88" s="106">
        <f>H48+$D$67/4</f>
        <v>6934</v>
      </c>
      <c r="I88" s="106">
        <f>I48+$D$67/4</f>
        <v>6934</v>
      </c>
      <c r="J88" s="106">
        <f>J48+$D$67/4</f>
        <v>6934</v>
      </c>
      <c r="K88" s="106">
        <f>K48+$E$67/4</f>
        <v>6934</v>
      </c>
      <c r="L88" s="106">
        <f>L48+$E$67/4</f>
        <v>6934</v>
      </c>
      <c r="M88" s="106">
        <f>M48+$E$67/4</f>
        <v>6934</v>
      </c>
      <c r="N88" s="106">
        <f>N48+$E$67/4</f>
        <v>6934</v>
      </c>
      <c r="O88" s="106">
        <f>O48+$F$67/4</f>
        <v>6934</v>
      </c>
      <c r="P88" s="106">
        <f>P48+$F$67/4</f>
        <v>6934</v>
      </c>
      <c r="Q88" s="106">
        <f>Q48+$F$67/4</f>
        <v>6934</v>
      </c>
      <c r="R88" s="106">
        <f>R48+$F$67/4</f>
        <v>6934</v>
      </c>
      <c r="S88" s="106">
        <f>S48+$G$67/4</f>
        <v>6934</v>
      </c>
      <c r="T88" s="106">
        <f>T48+$G$67/4</f>
        <v>6934</v>
      </c>
      <c r="U88" s="106">
        <f>U48+$G$67/4</f>
        <v>6934</v>
      </c>
      <c r="V88" s="106">
        <f>V48+$G$67/4</f>
        <v>6934</v>
      </c>
      <c r="W88" s="106">
        <f>W48+$H$67/4</f>
        <v>6934</v>
      </c>
      <c r="X88" s="106">
        <f>X48+$H$67/4</f>
        <v>6934</v>
      </c>
      <c r="Y88" s="106">
        <f>Y48+$H$67/4</f>
        <v>6934</v>
      </c>
      <c r="Z88" s="106">
        <f>Z48+$H$67/4</f>
        <v>6934</v>
      </c>
      <c r="AA88" s="106">
        <f>AA48+$I$67/4</f>
        <v>6934</v>
      </c>
      <c r="AB88" s="106">
        <f>AB48+$I$67/4</f>
        <v>6934</v>
      </c>
      <c r="AC88" s="106">
        <f>AC48+$I$67/4</f>
        <v>6934</v>
      </c>
      <c r="AD88" s="106">
        <f>AD48+$I$67/4</f>
        <v>6934</v>
      </c>
      <c r="AE88" s="106">
        <f>AE48+$J$67/4</f>
        <v>6934</v>
      </c>
      <c r="AF88" s="106">
        <f>AF48+$J$67/4</f>
        <v>6934</v>
      </c>
      <c r="AG88" s="106">
        <f>AG48+$J$67/4</f>
        <v>6934</v>
      </c>
      <c r="AH88" s="106">
        <f>AH48+$J$67/4</f>
        <v>6934</v>
      </c>
      <c r="AI88" s="106">
        <f>AI48+$K$67/4</f>
        <v>6934</v>
      </c>
      <c r="AJ88" s="106">
        <f>AJ48+$K$67/4</f>
        <v>6934</v>
      </c>
      <c r="AK88" s="106">
        <f>AK48+$K$67/4</f>
        <v>6934</v>
      </c>
      <c r="AL88" s="106">
        <f>AL48+$K$67/4</f>
        <v>6934</v>
      </c>
      <c r="AM88" s="106">
        <f>AM48+$L$67/4</f>
        <v>6934</v>
      </c>
      <c r="AN88" s="106">
        <f>AN48+$L$67/4</f>
        <v>6934</v>
      </c>
      <c r="AO88" s="106">
        <f>AO48+$L$67/4</f>
        <v>6934</v>
      </c>
      <c r="AP88" s="106">
        <f>AP48+$L$67/4</f>
        <v>6934</v>
      </c>
      <c r="AQ88" s="106">
        <f>AQ48+$M$67/4</f>
        <v>6934</v>
      </c>
      <c r="AR88" s="106">
        <f>AR48+$M$67/4</f>
        <v>6934</v>
      </c>
      <c r="AS88" s="106">
        <f>AS48+$M$67/4</f>
        <v>6934</v>
      </c>
      <c r="AT88" s="106">
        <f>AT48+$M$67/4</f>
        <v>6934</v>
      </c>
      <c r="AU88" s="106">
        <f>AU48+$N$67/4</f>
        <v>6934</v>
      </c>
      <c r="AV88" s="106">
        <f>AV48+$N$67/4</f>
        <v>6934</v>
      </c>
      <c r="AW88" s="106">
        <f>AW48+$N$67/4</f>
        <v>6934</v>
      </c>
      <c r="AX88" s="106">
        <f>AX48+$N$67/4</f>
        <v>6934</v>
      </c>
    </row>
    <row r="89" spans="2:50" x14ac:dyDescent="0.2">
      <c r="B89" s="105" t="s">
        <v>105</v>
      </c>
      <c r="C89" s="106">
        <f>C49</f>
        <v>0</v>
      </c>
      <c r="D89" s="106">
        <f t="shared" ref="D89:AX93" si="3">D49</f>
        <v>0</v>
      </c>
      <c r="E89" s="106">
        <f t="shared" si="3"/>
        <v>0</v>
      </c>
      <c r="F89" s="106">
        <f t="shared" si="3"/>
        <v>0</v>
      </c>
      <c r="G89" s="106">
        <f t="shared" si="3"/>
        <v>0</v>
      </c>
      <c r="H89" s="106">
        <f t="shared" si="3"/>
        <v>0</v>
      </c>
      <c r="I89" s="106">
        <f t="shared" si="3"/>
        <v>0</v>
      </c>
      <c r="J89" s="106">
        <f t="shared" si="3"/>
        <v>0</v>
      </c>
      <c r="K89" s="106">
        <f t="shared" si="3"/>
        <v>0</v>
      </c>
      <c r="L89" s="106">
        <f t="shared" si="3"/>
        <v>0</v>
      </c>
      <c r="M89" s="106">
        <f t="shared" si="3"/>
        <v>0</v>
      </c>
      <c r="N89" s="106">
        <f t="shared" si="3"/>
        <v>0</v>
      </c>
      <c r="O89" s="106">
        <f t="shared" si="3"/>
        <v>0</v>
      </c>
      <c r="P89" s="106">
        <f t="shared" si="3"/>
        <v>0</v>
      </c>
      <c r="Q89" s="106">
        <f t="shared" si="3"/>
        <v>0</v>
      </c>
      <c r="R89" s="106">
        <f t="shared" si="3"/>
        <v>0</v>
      </c>
      <c r="S89" s="106">
        <f t="shared" si="3"/>
        <v>0</v>
      </c>
      <c r="T89" s="106">
        <f t="shared" si="3"/>
        <v>0</v>
      </c>
      <c r="U89" s="106">
        <f t="shared" si="3"/>
        <v>0</v>
      </c>
      <c r="V89" s="106">
        <f t="shared" si="3"/>
        <v>0</v>
      </c>
      <c r="W89" s="106">
        <f t="shared" si="3"/>
        <v>0</v>
      </c>
      <c r="X89" s="106">
        <f t="shared" si="3"/>
        <v>0</v>
      </c>
      <c r="Y89" s="106">
        <f t="shared" si="3"/>
        <v>0</v>
      </c>
      <c r="Z89" s="106">
        <f t="shared" si="3"/>
        <v>0</v>
      </c>
      <c r="AA89" s="106">
        <f t="shared" si="3"/>
        <v>0</v>
      </c>
      <c r="AB89" s="106">
        <f t="shared" si="3"/>
        <v>0</v>
      </c>
      <c r="AC89" s="106">
        <f t="shared" si="3"/>
        <v>0</v>
      </c>
      <c r="AD89" s="106">
        <f t="shared" si="3"/>
        <v>0</v>
      </c>
      <c r="AE89" s="106">
        <f t="shared" si="3"/>
        <v>0</v>
      </c>
      <c r="AF89" s="106">
        <f t="shared" si="3"/>
        <v>0</v>
      </c>
      <c r="AG89" s="106">
        <f t="shared" si="3"/>
        <v>0</v>
      </c>
      <c r="AH89" s="106">
        <f t="shared" si="3"/>
        <v>0</v>
      </c>
      <c r="AI89" s="106">
        <f t="shared" si="3"/>
        <v>0</v>
      </c>
      <c r="AJ89" s="106">
        <f t="shared" si="3"/>
        <v>0</v>
      </c>
      <c r="AK89" s="106">
        <f t="shared" si="3"/>
        <v>0</v>
      </c>
      <c r="AL89" s="106">
        <f t="shared" si="3"/>
        <v>0</v>
      </c>
      <c r="AM89" s="106">
        <f t="shared" si="3"/>
        <v>0</v>
      </c>
      <c r="AN89" s="106">
        <f t="shared" si="3"/>
        <v>0</v>
      </c>
      <c r="AO89" s="106">
        <f t="shared" si="3"/>
        <v>0</v>
      </c>
      <c r="AP89" s="106">
        <f t="shared" si="3"/>
        <v>0</v>
      </c>
      <c r="AQ89" s="106">
        <f t="shared" si="3"/>
        <v>0</v>
      </c>
      <c r="AR89" s="106">
        <f t="shared" si="3"/>
        <v>0</v>
      </c>
      <c r="AS89" s="106">
        <f t="shared" si="3"/>
        <v>0</v>
      </c>
      <c r="AT89" s="106">
        <f t="shared" si="3"/>
        <v>0</v>
      </c>
      <c r="AU89" s="106">
        <f t="shared" si="3"/>
        <v>0</v>
      </c>
      <c r="AV89" s="106">
        <f t="shared" si="3"/>
        <v>0</v>
      </c>
      <c r="AW89" s="106">
        <f t="shared" si="3"/>
        <v>0</v>
      </c>
      <c r="AX89" s="106">
        <f t="shared" si="3"/>
        <v>0</v>
      </c>
    </row>
    <row r="90" spans="2:50" x14ac:dyDescent="0.2">
      <c r="B90" s="105" t="s">
        <v>106</v>
      </c>
      <c r="C90" s="106">
        <f t="shared" ref="C90:R93" si="4">C50</f>
        <v>1400</v>
      </c>
      <c r="D90" s="106">
        <f t="shared" si="4"/>
        <v>1400</v>
      </c>
      <c r="E90" s="106">
        <f t="shared" si="4"/>
        <v>1400</v>
      </c>
      <c r="F90" s="106">
        <f t="shared" si="4"/>
        <v>1400</v>
      </c>
      <c r="G90" s="106">
        <f t="shared" si="4"/>
        <v>1400</v>
      </c>
      <c r="H90" s="106">
        <f t="shared" si="4"/>
        <v>1400</v>
      </c>
      <c r="I90" s="106">
        <f t="shared" si="4"/>
        <v>1400</v>
      </c>
      <c r="J90" s="106">
        <f t="shared" si="4"/>
        <v>1400</v>
      </c>
      <c r="K90" s="106">
        <f t="shared" si="4"/>
        <v>1400</v>
      </c>
      <c r="L90" s="106">
        <f t="shared" si="4"/>
        <v>1400</v>
      </c>
      <c r="M90" s="106">
        <f t="shared" si="4"/>
        <v>1400</v>
      </c>
      <c r="N90" s="106">
        <f t="shared" si="4"/>
        <v>1400</v>
      </c>
      <c r="O90" s="106">
        <f t="shared" si="4"/>
        <v>1400</v>
      </c>
      <c r="P90" s="106">
        <f t="shared" si="4"/>
        <v>1400</v>
      </c>
      <c r="Q90" s="106">
        <f t="shared" si="4"/>
        <v>1400</v>
      </c>
      <c r="R90" s="106">
        <f t="shared" si="4"/>
        <v>1400</v>
      </c>
      <c r="S90" s="106">
        <f t="shared" si="3"/>
        <v>1400</v>
      </c>
      <c r="T90" s="106">
        <f t="shared" si="3"/>
        <v>1400</v>
      </c>
      <c r="U90" s="106">
        <f t="shared" si="3"/>
        <v>1400</v>
      </c>
      <c r="V90" s="106">
        <f t="shared" si="3"/>
        <v>1400</v>
      </c>
      <c r="W90" s="106">
        <f t="shared" si="3"/>
        <v>1400</v>
      </c>
      <c r="X90" s="106">
        <f t="shared" si="3"/>
        <v>1400</v>
      </c>
      <c r="Y90" s="106">
        <f t="shared" si="3"/>
        <v>1400</v>
      </c>
      <c r="Z90" s="106">
        <f t="shared" si="3"/>
        <v>1400</v>
      </c>
      <c r="AA90" s="106">
        <f t="shared" si="3"/>
        <v>1400</v>
      </c>
      <c r="AB90" s="106">
        <f t="shared" si="3"/>
        <v>1400</v>
      </c>
      <c r="AC90" s="106">
        <f t="shared" si="3"/>
        <v>1400</v>
      </c>
      <c r="AD90" s="106">
        <f t="shared" si="3"/>
        <v>1400</v>
      </c>
      <c r="AE90" s="106">
        <f t="shared" si="3"/>
        <v>1400</v>
      </c>
      <c r="AF90" s="106">
        <f t="shared" si="3"/>
        <v>1400</v>
      </c>
      <c r="AG90" s="106">
        <f t="shared" si="3"/>
        <v>1400</v>
      </c>
      <c r="AH90" s="106">
        <f t="shared" si="3"/>
        <v>1400</v>
      </c>
      <c r="AI90" s="106">
        <f t="shared" si="3"/>
        <v>1400</v>
      </c>
      <c r="AJ90" s="106">
        <f t="shared" si="3"/>
        <v>1400</v>
      </c>
      <c r="AK90" s="106">
        <f t="shared" si="3"/>
        <v>1400</v>
      </c>
      <c r="AL90" s="106">
        <f t="shared" si="3"/>
        <v>1400</v>
      </c>
      <c r="AM90" s="106">
        <f t="shared" si="3"/>
        <v>1400</v>
      </c>
      <c r="AN90" s="106">
        <f t="shared" si="3"/>
        <v>1400</v>
      </c>
      <c r="AO90" s="106">
        <f t="shared" si="3"/>
        <v>1400</v>
      </c>
      <c r="AP90" s="106">
        <f t="shared" si="3"/>
        <v>1400</v>
      </c>
      <c r="AQ90" s="106">
        <f t="shared" si="3"/>
        <v>1400</v>
      </c>
      <c r="AR90" s="106">
        <f t="shared" si="3"/>
        <v>1400</v>
      </c>
      <c r="AS90" s="106">
        <f t="shared" si="3"/>
        <v>1400</v>
      </c>
      <c r="AT90" s="106">
        <f t="shared" si="3"/>
        <v>1400</v>
      </c>
      <c r="AU90" s="106">
        <f t="shared" si="3"/>
        <v>1400</v>
      </c>
      <c r="AV90" s="106">
        <f t="shared" si="3"/>
        <v>1400</v>
      </c>
      <c r="AW90" s="106">
        <f t="shared" si="3"/>
        <v>1400</v>
      </c>
      <c r="AX90" s="106">
        <f t="shared" si="3"/>
        <v>1400</v>
      </c>
    </row>
    <row r="91" spans="2:50" x14ac:dyDescent="0.2">
      <c r="B91" s="105" t="s">
        <v>107</v>
      </c>
      <c r="C91" s="106">
        <f t="shared" si="4"/>
        <v>500</v>
      </c>
      <c r="D91" s="106">
        <f t="shared" si="3"/>
        <v>500</v>
      </c>
      <c r="E91" s="106">
        <f t="shared" si="3"/>
        <v>500</v>
      </c>
      <c r="F91" s="106">
        <f t="shared" si="3"/>
        <v>500</v>
      </c>
      <c r="G91" s="106">
        <f t="shared" si="3"/>
        <v>500</v>
      </c>
      <c r="H91" s="106">
        <f t="shared" si="3"/>
        <v>500</v>
      </c>
      <c r="I91" s="106">
        <f t="shared" si="3"/>
        <v>500</v>
      </c>
      <c r="J91" s="106">
        <f t="shared" si="3"/>
        <v>500</v>
      </c>
      <c r="K91" s="106">
        <f t="shared" si="3"/>
        <v>500</v>
      </c>
      <c r="L91" s="106">
        <f t="shared" si="3"/>
        <v>500</v>
      </c>
      <c r="M91" s="106">
        <f t="shared" si="3"/>
        <v>500</v>
      </c>
      <c r="N91" s="106">
        <f t="shared" si="3"/>
        <v>500</v>
      </c>
      <c r="O91" s="106">
        <f t="shared" si="3"/>
        <v>500</v>
      </c>
      <c r="P91" s="106">
        <f t="shared" si="3"/>
        <v>500</v>
      </c>
      <c r="Q91" s="106">
        <f t="shared" si="3"/>
        <v>500</v>
      </c>
      <c r="R91" s="106">
        <f t="shared" si="3"/>
        <v>500</v>
      </c>
      <c r="S91" s="106">
        <f t="shared" si="3"/>
        <v>500</v>
      </c>
      <c r="T91" s="106">
        <f t="shared" si="3"/>
        <v>500</v>
      </c>
      <c r="U91" s="106">
        <f t="shared" si="3"/>
        <v>500</v>
      </c>
      <c r="V91" s="106">
        <f t="shared" si="3"/>
        <v>500</v>
      </c>
      <c r="W91" s="106">
        <f t="shared" si="3"/>
        <v>500</v>
      </c>
      <c r="X91" s="106">
        <f t="shared" si="3"/>
        <v>500</v>
      </c>
      <c r="Y91" s="106">
        <f t="shared" si="3"/>
        <v>500</v>
      </c>
      <c r="Z91" s="106">
        <f t="shared" si="3"/>
        <v>500</v>
      </c>
      <c r="AA91" s="106">
        <f t="shared" si="3"/>
        <v>500</v>
      </c>
      <c r="AB91" s="106">
        <f t="shared" si="3"/>
        <v>500</v>
      </c>
      <c r="AC91" s="106">
        <f t="shared" si="3"/>
        <v>500</v>
      </c>
      <c r="AD91" s="106">
        <f t="shared" si="3"/>
        <v>500</v>
      </c>
      <c r="AE91" s="106">
        <f t="shared" si="3"/>
        <v>500</v>
      </c>
      <c r="AF91" s="106">
        <f t="shared" si="3"/>
        <v>500</v>
      </c>
      <c r="AG91" s="106">
        <f t="shared" si="3"/>
        <v>500</v>
      </c>
      <c r="AH91" s="106">
        <f t="shared" si="3"/>
        <v>500</v>
      </c>
      <c r="AI91" s="106">
        <f t="shared" si="3"/>
        <v>500</v>
      </c>
      <c r="AJ91" s="106">
        <f t="shared" si="3"/>
        <v>500</v>
      </c>
      <c r="AK91" s="106">
        <f t="shared" si="3"/>
        <v>500</v>
      </c>
      <c r="AL91" s="106">
        <f t="shared" si="3"/>
        <v>500</v>
      </c>
      <c r="AM91" s="106">
        <f t="shared" si="3"/>
        <v>500</v>
      </c>
      <c r="AN91" s="106">
        <f t="shared" si="3"/>
        <v>500</v>
      </c>
      <c r="AO91" s="106">
        <f t="shared" si="3"/>
        <v>500</v>
      </c>
      <c r="AP91" s="106">
        <f t="shared" si="3"/>
        <v>500</v>
      </c>
      <c r="AQ91" s="106">
        <f t="shared" si="3"/>
        <v>500</v>
      </c>
      <c r="AR91" s="106">
        <f t="shared" si="3"/>
        <v>500</v>
      </c>
      <c r="AS91" s="106">
        <f t="shared" si="3"/>
        <v>500</v>
      </c>
      <c r="AT91" s="106">
        <f t="shared" si="3"/>
        <v>500</v>
      </c>
      <c r="AU91" s="106">
        <f t="shared" si="3"/>
        <v>500</v>
      </c>
      <c r="AV91" s="106">
        <f t="shared" si="3"/>
        <v>500</v>
      </c>
      <c r="AW91" s="106">
        <f t="shared" si="3"/>
        <v>500</v>
      </c>
      <c r="AX91" s="106">
        <f t="shared" si="3"/>
        <v>500</v>
      </c>
    </row>
    <row r="92" spans="2:50" x14ac:dyDescent="0.2">
      <c r="B92" s="105" t="s">
        <v>108</v>
      </c>
      <c r="C92" s="106">
        <f t="shared" si="4"/>
        <v>0</v>
      </c>
      <c r="D92" s="106">
        <f t="shared" si="4"/>
        <v>0</v>
      </c>
      <c r="E92" s="106">
        <f t="shared" si="4"/>
        <v>0</v>
      </c>
      <c r="F92" s="106">
        <f t="shared" si="4"/>
        <v>0</v>
      </c>
      <c r="G92" s="106">
        <f t="shared" si="4"/>
        <v>0</v>
      </c>
      <c r="H92" s="106">
        <f t="shared" si="4"/>
        <v>0</v>
      </c>
      <c r="I92" s="106">
        <f t="shared" si="4"/>
        <v>0</v>
      </c>
      <c r="J92" s="106">
        <f t="shared" si="4"/>
        <v>0</v>
      </c>
      <c r="K92" s="106">
        <f t="shared" si="4"/>
        <v>0</v>
      </c>
      <c r="L92" s="106">
        <f t="shared" si="4"/>
        <v>0</v>
      </c>
      <c r="M92" s="106">
        <f t="shared" si="4"/>
        <v>0</v>
      </c>
      <c r="N92" s="106">
        <f t="shared" si="4"/>
        <v>0</v>
      </c>
      <c r="O92" s="106">
        <f t="shared" si="4"/>
        <v>0</v>
      </c>
      <c r="P92" s="106">
        <f t="shared" si="4"/>
        <v>0</v>
      </c>
      <c r="Q92" s="106">
        <f t="shared" si="4"/>
        <v>0</v>
      </c>
      <c r="R92" s="106">
        <f t="shared" si="4"/>
        <v>0</v>
      </c>
      <c r="S92" s="106">
        <f t="shared" si="3"/>
        <v>0</v>
      </c>
      <c r="T92" s="106">
        <f t="shared" si="3"/>
        <v>0</v>
      </c>
      <c r="U92" s="106">
        <f t="shared" si="3"/>
        <v>0</v>
      </c>
      <c r="V92" s="106">
        <f t="shared" si="3"/>
        <v>0</v>
      </c>
      <c r="W92" s="106">
        <f t="shared" si="3"/>
        <v>0</v>
      </c>
      <c r="X92" s="106">
        <f t="shared" si="3"/>
        <v>0</v>
      </c>
      <c r="Y92" s="106">
        <f t="shared" si="3"/>
        <v>0</v>
      </c>
      <c r="Z92" s="106">
        <f t="shared" si="3"/>
        <v>0</v>
      </c>
      <c r="AA92" s="106">
        <f t="shared" si="3"/>
        <v>0</v>
      </c>
      <c r="AB92" s="106">
        <f t="shared" si="3"/>
        <v>0</v>
      </c>
      <c r="AC92" s="106">
        <f t="shared" si="3"/>
        <v>0</v>
      </c>
      <c r="AD92" s="106">
        <f t="shared" si="3"/>
        <v>0</v>
      </c>
      <c r="AE92" s="106">
        <f t="shared" si="3"/>
        <v>0</v>
      </c>
      <c r="AF92" s="106">
        <f t="shared" si="3"/>
        <v>0</v>
      </c>
      <c r="AG92" s="106">
        <f t="shared" si="3"/>
        <v>0</v>
      </c>
      <c r="AH92" s="106">
        <f t="shared" si="3"/>
        <v>0</v>
      </c>
      <c r="AI92" s="106">
        <f t="shared" si="3"/>
        <v>0</v>
      </c>
      <c r="AJ92" s="106">
        <f t="shared" si="3"/>
        <v>0</v>
      </c>
      <c r="AK92" s="106">
        <f t="shared" si="3"/>
        <v>0</v>
      </c>
      <c r="AL92" s="106">
        <f t="shared" si="3"/>
        <v>0</v>
      </c>
      <c r="AM92" s="106">
        <f t="shared" si="3"/>
        <v>0</v>
      </c>
      <c r="AN92" s="106">
        <f t="shared" si="3"/>
        <v>0</v>
      </c>
      <c r="AO92" s="106">
        <f t="shared" si="3"/>
        <v>0</v>
      </c>
      <c r="AP92" s="106">
        <f t="shared" si="3"/>
        <v>0</v>
      </c>
      <c r="AQ92" s="106">
        <f t="shared" si="3"/>
        <v>0</v>
      </c>
      <c r="AR92" s="106">
        <f t="shared" si="3"/>
        <v>0</v>
      </c>
      <c r="AS92" s="106">
        <f t="shared" si="3"/>
        <v>0</v>
      </c>
      <c r="AT92" s="106">
        <f t="shared" si="3"/>
        <v>0</v>
      </c>
      <c r="AU92" s="106">
        <f t="shared" si="3"/>
        <v>0</v>
      </c>
      <c r="AV92" s="106">
        <f t="shared" si="3"/>
        <v>0</v>
      </c>
      <c r="AW92" s="106">
        <f t="shared" si="3"/>
        <v>0</v>
      </c>
      <c r="AX92" s="106">
        <f t="shared" si="3"/>
        <v>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334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335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17147.69143103201</v>
      </c>
      <c r="D98" s="106">
        <v>17147.69143103201</v>
      </c>
      <c r="E98" s="106">
        <v>17147.69143103201</v>
      </c>
      <c r="F98" s="106">
        <v>17147.69143103201</v>
      </c>
      <c r="G98" s="106">
        <v>17147.69143103201</v>
      </c>
      <c r="H98" s="106">
        <v>17147.69143103201</v>
      </c>
      <c r="I98" s="106">
        <v>17147.69143103201</v>
      </c>
      <c r="J98" s="106">
        <v>17147.69143103201</v>
      </c>
      <c r="K98" s="106">
        <v>17147.69143103201</v>
      </c>
      <c r="L98" s="106">
        <v>17147.69143103201</v>
      </c>
      <c r="M98" s="106">
        <v>17147.69143103201</v>
      </c>
      <c r="N98" s="106">
        <v>17147.69143103201</v>
      </c>
      <c r="O98" s="106">
        <v>17147.69143103201</v>
      </c>
      <c r="P98" s="106">
        <v>17147.69143103201</v>
      </c>
      <c r="Q98" s="106">
        <v>17147.69143103201</v>
      </c>
      <c r="R98" s="106">
        <v>17147.69143103201</v>
      </c>
      <c r="S98" s="106">
        <v>17147.69143103201</v>
      </c>
      <c r="T98" s="106">
        <v>17147.69143103201</v>
      </c>
      <c r="U98" s="106">
        <v>17147.69143103201</v>
      </c>
      <c r="V98" s="106">
        <v>17147.69143103201</v>
      </c>
      <c r="W98" s="106">
        <v>17147.69143103201</v>
      </c>
      <c r="X98" s="106">
        <v>17147.69143103201</v>
      </c>
      <c r="Y98" s="106">
        <v>17147.69143103201</v>
      </c>
      <c r="Z98" s="106">
        <v>17147.69143103201</v>
      </c>
      <c r="AA98" s="106">
        <v>17147.69143103201</v>
      </c>
      <c r="AB98" s="106">
        <v>17147.69143103201</v>
      </c>
      <c r="AC98" s="106">
        <v>17147.69143103201</v>
      </c>
      <c r="AD98" s="106">
        <v>17147.69143103201</v>
      </c>
      <c r="AE98" s="106">
        <v>17147.69143103201</v>
      </c>
      <c r="AF98" s="106">
        <v>17147.69143103201</v>
      </c>
      <c r="AG98" s="106">
        <v>17147.69143103201</v>
      </c>
      <c r="AH98" s="106">
        <v>17147.69143103201</v>
      </c>
      <c r="AI98" s="106">
        <v>17147.69143103201</v>
      </c>
      <c r="AJ98" s="106">
        <v>17147.69143103201</v>
      </c>
      <c r="AK98" s="106">
        <v>17147.69143103201</v>
      </c>
      <c r="AL98" s="106">
        <v>17147.69143103201</v>
      </c>
      <c r="AM98" s="106">
        <v>17147.69143103201</v>
      </c>
      <c r="AN98" s="106">
        <v>17147.69143103201</v>
      </c>
      <c r="AO98" s="106">
        <v>17147.69143103201</v>
      </c>
      <c r="AP98" s="106">
        <v>17147.69143103201</v>
      </c>
      <c r="AQ98" s="106">
        <v>17147.69143103201</v>
      </c>
      <c r="AR98" s="106">
        <v>17147.69143103201</v>
      </c>
      <c r="AS98" s="106">
        <v>17147.69143103201</v>
      </c>
      <c r="AT98" s="106">
        <v>17147.69143103201</v>
      </c>
      <c r="AU98" s="106">
        <v>17147.69143103201</v>
      </c>
      <c r="AV98" s="106">
        <v>17147.69143103201</v>
      </c>
      <c r="AW98" s="106">
        <v>17147.69143103201</v>
      </c>
      <c r="AX98" s="106">
        <v>17147.69143103201</v>
      </c>
    </row>
    <row r="99" spans="1:50" x14ac:dyDescent="0.2">
      <c r="B99" s="111" t="s">
        <v>10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12</v>
      </c>
      <c r="C100" s="106">
        <v>456180.15666140377</v>
      </c>
      <c r="D100" s="106">
        <v>456180.15666140377</v>
      </c>
      <c r="E100" s="106">
        <v>456180.15666140377</v>
      </c>
      <c r="F100" s="106">
        <v>456180.15666140377</v>
      </c>
      <c r="G100" s="106">
        <v>456180.15666140377</v>
      </c>
      <c r="H100" s="106">
        <v>456180.15666140377</v>
      </c>
      <c r="I100" s="106">
        <v>456180.15666140377</v>
      </c>
      <c r="J100" s="106">
        <v>456180.15666140377</v>
      </c>
      <c r="K100" s="106">
        <v>456180.15666140377</v>
      </c>
      <c r="L100" s="106">
        <v>456180.15666140377</v>
      </c>
      <c r="M100" s="106">
        <v>456180.15666140377</v>
      </c>
      <c r="N100" s="106">
        <v>456180.15666140377</v>
      </c>
      <c r="O100" s="106">
        <v>456180.15666140377</v>
      </c>
      <c r="P100" s="106">
        <v>456180.15666140377</v>
      </c>
      <c r="Q100" s="106">
        <v>456180.15666140377</v>
      </c>
      <c r="R100" s="106">
        <v>456180.15666140377</v>
      </c>
      <c r="S100" s="106">
        <v>456180.15666140377</v>
      </c>
      <c r="T100" s="106">
        <v>456180.15666140377</v>
      </c>
      <c r="U100" s="106">
        <v>456180.15666140377</v>
      </c>
      <c r="V100" s="106">
        <v>456180.15666140377</v>
      </c>
      <c r="W100" s="106">
        <v>456180.15666140377</v>
      </c>
      <c r="X100" s="106">
        <v>456180.15666140377</v>
      </c>
      <c r="Y100" s="106">
        <v>456180.15666140377</v>
      </c>
      <c r="Z100" s="106">
        <v>456180.15666140377</v>
      </c>
      <c r="AA100" s="106">
        <v>456180.15666140377</v>
      </c>
      <c r="AB100" s="106">
        <v>456180.15666140377</v>
      </c>
      <c r="AC100" s="106">
        <v>456180.15666140377</v>
      </c>
      <c r="AD100" s="106">
        <v>456180.15666140377</v>
      </c>
      <c r="AE100" s="106">
        <v>456180.15666140377</v>
      </c>
      <c r="AF100" s="106">
        <v>456180.15666140377</v>
      </c>
      <c r="AG100" s="106">
        <v>456180.15666140377</v>
      </c>
      <c r="AH100" s="106">
        <v>456180.15666140377</v>
      </c>
      <c r="AI100" s="106">
        <v>456180.15666140377</v>
      </c>
      <c r="AJ100" s="106">
        <v>456180.15666140377</v>
      </c>
      <c r="AK100" s="106">
        <v>456180.15666140377</v>
      </c>
      <c r="AL100" s="106">
        <v>456180.15666140377</v>
      </c>
      <c r="AM100" s="106">
        <v>456180.15666140377</v>
      </c>
      <c r="AN100" s="106">
        <v>456180.15666140377</v>
      </c>
      <c r="AO100" s="106">
        <v>456180.15666140377</v>
      </c>
      <c r="AP100" s="106">
        <v>456180.15666140377</v>
      </c>
      <c r="AQ100" s="106">
        <v>456180.15666140377</v>
      </c>
      <c r="AR100" s="106">
        <v>456180.15666140377</v>
      </c>
      <c r="AS100" s="106">
        <v>456180.15666140377</v>
      </c>
      <c r="AT100" s="106">
        <v>456180.15666140377</v>
      </c>
      <c r="AU100" s="106">
        <v>456180.15666140377</v>
      </c>
      <c r="AV100" s="106">
        <v>456180.15666140377</v>
      </c>
      <c r="AW100" s="106">
        <v>456180.15666140377</v>
      </c>
      <c r="AX100" s="106">
        <v>456180.15666140377</v>
      </c>
    </row>
    <row r="101" spans="1:50" x14ac:dyDescent="0.2">
      <c r="B101" s="111" t="s">
        <v>22</v>
      </c>
      <c r="C101" s="106">
        <v>0</v>
      </c>
      <c r="D101" s="106">
        <v>0</v>
      </c>
      <c r="E101" s="106">
        <v>0</v>
      </c>
      <c r="F101" s="106">
        <v>0</v>
      </c>
      <c r="G101" s="106">
        <v>0</v>
      </c>
      <c r="H101" s="106">
        <v>0</v>
      </c>
      <c r="I101" s="106">
        <v>0</v>
      </c>
      <c r="J101" s="106">
        <v>0</v>
      </c>
      <c r="K101" s="106">
        <v>0</v>
      </c>
      <c r="L101" s="106">
        <v>0</v>
      </c>
      <c r="M101" s="106">
        <v>0</v>
      </c>
      <c r="N101" s="106">
        <v>0</v>
      </c>
      <c r="O101" s="106">
        <v>0</v>
      </c>
      <c r="P101" s="106">
        <v>0</v>
      </c>
      <c r="Q101" s="106">
        <v>0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0</v>
      </c>
      <c r="AW101" s="106">
        <v>0</v>
      </c>
      <c r="AX101" s="106">
        <v>0</v>
      </c>
    </row>
    <row r="102" spans="1:50" x14ac:dyDescent="0.2">
      <c r="B102" s="111" t="s">
        <v>59</v>
      </c>
      <c r="C102" s="106">
        <v>1251344.6533658677</v>
      </c>
      <c r="D102" s="106">
        <v>1251344.6533658677</v>
      </c>
      <c r="E102" s="106">
        <v>1251344.6533658677</v>
      </c>
      <c r="F102" s="106">
        <v>1251344.6533658677</v>
      </c>
      <c r="G102" s="106">
        <v>1251344.6533658677</v>
      </c>
      <c r="H102" s="106">
        <v>1251344.6533658677</v>
      </c>
      <c r="I102" s="106">
        <v>1251344.6533658677</v>
      </c>
      <c r="J102" s="106">
        <v>1251344.6533658677</v>
      </c>
      <c r="K102" s="106">
        <v>1251344.6533658677</v>
      </c>
      <c r="L102" s="106">
        <v>1251344.6533658677</v>
      </c>
      <c r="M102" s="106">
        <v>1251344.6533658677</v>
      </c>
      <c r="N102" s="106">
        <v>1251344.6533658677</v>
      </c>
      <c r="O102" s="106">
        <v>1251344.6533658677</v>
      </c>
      <c r="P102" s="106">
        <v>1251344.6533658677</v>
      </c>
      <c r="Q102" s="106">
        <v>1251344.6533658677</v>
      </c>
      <c r="R102" s="106">
        <v>1251344.6533658677</v>
      </c>
      <c r="S102" s="106">
        <v>1251344.6533658677</v>
      </c>
      <c r="T102" s="106">
        <v>1251344.6533658677</v>
      </c>
      <c r="U102" s="106">
        <v>1251344.6533658677</v>
      </c>
      <c r="V102" s="106">
        <v>1251344.6533658677</v>
      </c>
      <c r="W102" s="106">
        <v>1251344.6533658677</v>
      </c>
      <c r="X102" s="106">
        <v>1251344.6533658677</v>
      </c>
      <c r="Y102" s="106">
        <v>1251344.6533658677</v>
      </c>
      <c r="Z102" s="106">
        <v>1251344.6533658677</v>
      </c>
      <c r="AA102" s="106">
        <v>1251344.6533658677</v>
      </c>
      <c r="AB102" s="106">
        <v>1251344.6533658677</v>
      </c>
      <c r="AC102" s="106">
        <v>1251344.6533658677</v>
      </c>
      <c r="AD102" s="106">
        <v>1251344.6533658677</v>
      </c>
      <c r="AE102" s="106">
        <v>1251344.6533658677</v>
      </c>
      <c r="AF102" s="106">
        <v>1251344.6533658677</v>
      </c>
      <c r="AG102" s="106">
        <v>1251344.6533658677</v>
      </c>
      <c r="AH102" s="106">
        <v>1251344.6533658677</v>
      </c>
      <c r="AI102" s="106">
        <v>1251344.6533658677</v>
      </c>
      <c r="AJ102" s="106">
        <v>1251344.6533658677</v>
      </c>
      <c r="AK102" s="106">
        <v>1251344.6533658677</v>
      </c>
      <c r="AL102" s="106">
        <v>1251344.6533658677</v>
      </c>
      <c r="AM102" s="106">
        <v>1251344.6533658677</v>
      </c>
      <c r="AN102" s="106">
        <v>1251344.6533658677</v>
      </c>
      <c r="AO102" s="106">
        <v>1251344.6533658677</v>
      </c>
      <c r="AP102" s="106">
        <v>1251344.6533658677</v>
      </c>
      <c r="AQ102" s="106">
        <v>1251344.6533658677</v>
      </c>
      <c r="AR102" s="106">
        <v>1251344.6533658677</v>
      </c>
      <c r="AS102" s="106">
        <v>1251344.6533658677</v>
      </c>
      <c r="AT102" s="106">
        <v>1251344.6533658677</v>
      </c>
      <c r="AU102" s="106">
        <v>1251344.6533658677</v>
      </c>
      <c r="AV102" s="106">
        <v>1251344.6533658677</v>
      </c>
      <c r="AW102" s="106">
        <v>1251344.6533658677</v>
      </c>
      <c r="AX102" s="106">
        <v>1251344.6533658677</v>
      </c>
    </row>
    <row r="103" spans="1:50" x14ac:dyDescent="0.2">
      <c r="B103" s="106" t="s">
        <v>277</v>
      </c>
      <c r="C103" s="111">
        <f>SUM(C$98:C$102)</f>
        <v>1724672.5014583035</v>
      </c>
      <c r="D103" s="111">
        <f t="shared" ref="D103:AX103" si="5">SUM(D$98:D$102)</f>
        <v>1724672.5014583035</v>
      </c>
      <c r="E103" s="111">
        <f t="shared" si="5"/>
        <v>1724672.5014583035</v>
      </c>
      <c r="F103" s="111">
        <f t="shared" si="5"/>
        <v>1724672.5014583035</v>
      </c>
      <c r="G103" s="111">
        <f t="shared" si="5"/>
        <v>1724672.5014583035</v>
      </c>
      <c r="H103" s="111">
        <f t="shared" si="5"/>
        <v>1724672.5014583035</v>
      </c>
      <c r="I103" s="111">
        <f t="shared" si="5"/>
        <v>1724672.5014583035</v>
      </c>
      <c r="J103" s="111">
        <f t="shared" si="5"/>
        <v>1724672.5014583035</v>
      </c>
      <c r="K103" s="111">
        <f t="shared" si="5"/>
        <v>1724672.5014583035</v>
      </c>
      <c r="L103" s="111">
        <f t="shared" si="5"/>
        <v>1724672.5014583035</v>
      </c>
      <c r="M103" s="111">
        <f t="shared" si="5"/>
        <v>1724672.5014583035</v>
      </c>
      <c r="N103" s="111">
        <f t="shared" si="5"/>
        <v>1724672.5014583035</v>
      </c>
      <c r="O103" s="111">
        <f t="shared" si="5"/>
        <v>1724672.5014583035</v>
      </c>
      <c r="P103" s="111">
        <f t="shared" si="5"/>
        <v>1724672.5014583035</v>
      </c>
      <c r="Q103" s="111">
        <f t="shared" si="5"/>
        <v>1724672.5014583035</v>
      </c>
      <c r="R103" s="111">
        <f t="shared" si="5"/>
        <v>1724672.5014583035</v>
      </c>
      <c r="S103" s="111">
        <f t="shared" si="5"/>
        <v>1724672.5014583035</v>
      </c>
      <c r="T103" s="111">
        <f t="shared" si="5"/>
        <v>1724672.5014583035</v>
      </c>
      <c r="U103" s="111">
        <f t="shared" si="5"/>
        <v>1724672.5014583035</v>
      </c>
      <c r="V103" s="111">
        <f t="shared" si="5"/>
        <v>1724672.5014583035</v>
      </c>
      <c r="W103" s="111">
        <f t="shared" si="5"/>
        <v>1724672.5014583035</v>
      </c>
      <c r="X103" s="111">
        <f t="shared" si="5"/>
        <v>1724672.5014583035</v>
      </c>
      <c r="Y103" s="111">
        <f t="shared" si="5"/>
        <v>1724672.5014583035</v>
      </c>
      <c r="Z103" s="111">
        <f t="shared" si="5"/>
        <v>1724672.5014583035</v>
      </c>
      <c r="AA103" s="111">
        <f t="shared" si="5"/>
        <v>1724672.5014583035</v>
      </c>
      <c r="AB103" s="111">
        <f t="shared" si="5"/>
        <v>1724672.5014583035</v>
      </c>
      <c r="AC103" s="111">
        <f t="shared" si="5"/>
        <v>1724672.5014583035</v>
      </c>
      <c r="AD103" s="111">
        <f t="shared" si="5"/>
        <v>1724672.5014583035</v>
      </c>
      <c r="AE103" s="111">
        <f t="shared" si="5"/>
        <v>1724672.5014583035</v>
      </c>
      <c r="AF103" s="111">
        <f t="shared" si="5"/>
        <v>1724672.5014583035</v>
      </c>
      <c r="AG103" s="111">
        <f t="shared" si="5"/>
        <v>1724672.5014583035</v>
      </c>
      <c r="AH103" s="111">
        <f t="shared" si="5"/>
        <v>1724672.5014583035</v>
      </c>
      <c r="AI103" s="111">
        <f t="shared" si="5"/>
        <v>1724672.5014583035</v>
      </c>
      <c r="AJ103" s="111">
        <f t="shared" si="5"/>
        <v>1724672.5014583035</v>
      </c>
      <c r="AK103" s="111">
        <f t="shared" si="5"/>
        <v>1724672.5014583035</v>
      </c>
      <c r="AL103" s="111">
        <f t="shared" si="5"/>
        <v>1724672.5014583035</v>
      </c>
      <c r="AM103" s="111">
        <f t="shared" si="5"/>
        <v>1724672.5014583035</v>
      </c>
      <c r="AN103" s="111">
        <f t="shared" si="5"/>
        <v>1724672.5014583035</v>
      </c>
      <c r="AO103" s="111">
        <f t="shared" si="5"/>
        <v>1724672.5014583035</v>
      </c>
      <c r="AP103" s="111">
        <f t="shared" si="5"/>
        <v>1724672.5014583035</v>
      </c>
      <c r="AQ103" s="111">
        <f t="shared" si="5"/>
        <v>1724672.5014583035</v>
      </c>
      <c r="AR103" s="111">
        <f t="shared" si="5"/>
        <v>1724672.5014583035</v>
      </c>
      <c r="AS103" s="111">
        <f t="shared" si="5"/>
        <v>1724672.5014583035</v>
      </c>
      <c r="AT103" s="111">
        <f t="shared" si="5"/>
        <v>1724672.5014583035</v>
      </c>
      <c r="AU103" s="111">
        <f t="shared" si="5"/>
        <v>1724672.5014583035</v>
      </c>
      <c r="AV103" s="111">
        <f t="shared" si="5"/>
        <v>1724672.5014583035</v>
      </c>
      <c r="AW103" s="111">
        <f t="shared" si="5"/>
        <v>1724672.5014583035</v>
      </c>
      <c r="AX103" s="111">
        <f t="shared" si="5"/>
        <v>1724672.5014583035</v>
      </c>
    </row>
    <row r="104" spans="1:50" x14ac:dyDescent="0.2">
      <c r="A104" s="111" t="s">
        <v>105</v>
      </c>
      <c r="B104" s="111" t="s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10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</row>
    <row r="106" spans="1:50" x14ac:dyDescent="0.2"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</row>
    <row r="108" spans="1:50" x14ac:dyDescent="0.2">
      <c r="B108" s="111" t="s">
        <v>59</v>
      </c>
      <c r="C108" s="106">
        <v>0</v>
      </c>
      <c r="D108" s="106">
        <v>0</v>
      </c>
      <c r="E108" s="106">
        <v>0</v>
      </c>
      <c r="F108" s="106">
        <v>0</v>
      </c>
      <c r="G108" s="106">
        <v>0</v>
      </c>
      <c r="H108" s="106">
        <v>0</v>
      </c>
      <c r="I108" s="106">
        <v>0</v>
      </c>
      <c r="J108" s="106">
        <v>0</v>
      </c>
      <c r="K108" s="106">
        <v>0</v>
      </c>
      <c r="L108" s="106">
        <v>0</v>
      </c>
      <c r="M108" s="106">
        <v>0</v>
      </c>
      <c r="N108" s="106">
        <v>0</v>
      </c>
      <c r="O108" s="106">
        <v>0</v>
      </c>
      <c r="P108" s="106">
        <v>0</v>
      </c>
      <c r="Q108" s="106">
        <v>0</v>
      </c>
      <c r="R108" s="106">
        <v>0</v>
      </c>
      <c r="S108" s="106">
        <v>0</v>
      </c>
      <c r="T108" s="106">
        <v>0</v>
      </c>
      <c r="U108" s="106">
        <v>0</v>
      </c>
      <c r="V108" s="106">
        <v>0</v>
      </c>
      <c r="W108" s="106">
        <v>0</v>
      </c>
      <c r="X108" s="106">
        <v>0</v>
      </c>
      <c r="Y108" s="106">
        <v>0</v>
      </c>
      <c r="Z108" s="106">
        <v>0</v>
      </c>
      <c r="AA108" s="106">
        <v>0</v>
      </c>
      <c r="AB108" s="106">
        <v>0</v>
      </c>
      <c r="AC108" s="106">
        <v>0</v>
      </c>
      <c r="AD108" s="106">
        <v>0</v>
      </c>
      <c r="AE108" s="106">
        <v>0</v>
      </c>
      <c r="AF108" s="106">
        <v>0</v>
      </c>
      <c r="AG108" s="106">
        <v>0</v>
      </c>
      <c r="AH108" s="106">
        <v>0</v>
      </c>
      <c r="AI108" s="106">
        <v>0</v>
      </c>
      <c r="AJ108" s="106">
        <v>0</v>
      </c>
      <c r="AK108" s="106">
        <v>0</v>
      </c>
      <c r="AL108" s="106">
        <v>0</v>
      </c>
      <c r="AM108" s="106">
        <v>0</v>
      </c>
      <c r="AN108" s="106">
        <v>0</v>
      </c>
      <c r="AO108" s="106">
        <v>0</v>
      </c>
      <c r="AP108" s="106">
        <v>0</v>
      </c>
      <c r="AQ108" s="106">
        <v>0</v>
      </c>
      <c r="AR108" s="106">
        <v>0</v>
      </c>
      <c r="AS108" s="106">
        <v>0</v>
      </c>
      <c r="AT108" s="106">
        <v>0</v>
      </c>
      <c r="AU108" s="106">
        <v>0</v>
      </c>
      <c r="AV108" s="106">
        <v>0</v>
      </c>
      <c r="AW108" s="106">
        <v>0</v>
      </c>
      <c r="AX108" s="106">
        <v>0</v>
      </c>
    </row>
    <row r="109" spans="1:50" x14ac:dyDescent="0.2">
      <c r="B109" s="107" t="s">
        <v>277</v>
      </c>
      <c r="C109" s="111">
        <f>SUM(C$104:C$108)</f>
        <v>0</v>
      </c>
      <c r="D109" s="111">
        <f t="shared" ref="D109:AX109" si="6">SUM(D$104:D$108)</f>
        <v>0</v>
      </c>
      <c r="E109" s="111">
        <f t="shared" si="6"/>
        <v>0</v>
      </c>
      <c r="F109" s="111">
        <f t="shared" si="6"/>
        <v>0</v>
      </c>
      <c r="G109" s="111">
        <f t="shared" si="6"/>
        <v>0</v>
      </c>
      <c r="H109" s="111">
        <f t="shared" si="6"/>
        <v>0</v>
      </c>
      <c r="I109" s="111">
        <f t="shared" si="6"/>
        <v>0</v>
      </c>
      <c r="J109" s="111">
        <f t="shared" si="6"/>
        <v>0</v>
      </c>
      <c r="K109" s="111">
        <f t="shared" si="6"/>
        <v>0</v>
      </c>
      <c r="L109" s="111">
        <f t="shared" si="6"/>
        <v>0</v>
      </c>
      <c r="M109" s="111">
        <f t="shared" si="6"/>
        <v>0</v>
      </c>
      <c r="N109" s="111">
        <f t="shared" si="6"/>
        <v>0</v>
      </c>
      <c r="O109" s="111">
        <f t="shared" si="6"/>
        <v>0</v>
      </c>
      <c r="P109" s="111">
        <f t="shared" si="6"/>
        <v>0</v>
      </c>
      <c r="Q109" s="111">
        <f t="shared" si="6"/>
        <v>0</v>
      </c>
      <c r="R109" s="111">
        <f t="shared" si="6"/>
        <v>0</v>
      </c>
      <c r="S109" s="111">
        <f t="shared" si="6"/>
        <v>0</v>
      </c>
      <c r="T109" s="111">
        <f t="shared" si="6"/>
        <v>0</v>
      </c>
      <c r="U109" s="111">
        <f t="shared" si="6"/>
        <v>0</v>
      </c>
      <c r="V109" s="111">
        <f t="shared" si="6"/>
        <v>0</v>
      </c>
      <c r="W109" s="111">
        <f t="shared" si="6"/>
        <v>0</v>
      </c>
      <c r="X109" s="111">
        <f t="shared" si="6"/>
        <v>0</v>
      </c>
      <c r="Y109" s="111">
        <f t="shared" si="6"/>
        <v>0</v>
      </c>
      <c r="Z109" s="111">
        <f t="shared" si="6"/>
        <v>0</v>
      </c>
      <c r="AA109" s="111">
        <f t="shared" si="6"/>
        <v>0</v>
      </c>
      <c r="AB109" s="111">
        <f t="shared" si="6"/>
        <v>0</v>
      </c>
      <c r="AC109" s="111">
        <f t="shared" si="6"/>
        <v>0</v>
      </c>
      <c r="AD109" s="111">
        <f t="shared" si="6"/>
        <v>0</v>
      </c>
      <c r="AE109" s="111">
        <f t="shared" si="6"/>
        <v>0</v>
      </c>
      <c r="AF109" s="111">
        <f t="shared" si="6"/>
        <v>0</v>
      </c>
      <c r="AG109" s="111">
        <f t="shared" si="6"/>
        <v>0</v>
      </c>
      <c r="AH109" s="111">
        <f t="shared" si="6"/>
        <v>0</v>
      </c>
      <c r="AI109" s="111">
        <f t="shared" si="6"/>
        <v>0</v>
      </c>
      <c r="AJ109" s="111">
        <f t="shared" si="6"/>
        <v>0</v>
      </c>
      <c r="AK109" s="111">
        <f t="shared" si="6"/>
        <v>0</v>
      </c>
      <c r="AL109" s="111">
        <f t="shared" si="6"/>
        <v>0</v>
      </c>
      <c r="AM109" s="111">
        <f t="shared" si="6"/>
        <v>0</v>
      </c>
      <c r="AN109" s="111">
        <f t="shared" si="6"/>
        <v>0</v>
      </c>
      <c r="AO109" s="111">
        <f t="shared" si="6"/>
        <v>0</v>
      </c>
      <c r="AP109" s="111">
        <f t="shared" si="6"/>
        <v>0</v>
      </c>
      <c r="AQ109" s="111">
        <f t="shared" si="6"/>
        <v>0</v>
      </c>
      <c r="AR109" s="111">
        <f t="shared" si="6"/>
        <v>0</v>
      </c>
      <c r="AS109" s="111">
        <f t="shared" si="6"/>
        <v>0</v>
      </c>
      <c r="AT109" s="111">
        <f t="shared" si="6"/>
        <v>0</v>
      </c>
      <c r="AU109" s="111">
        <f t="shared" si="6"/>
        <v>0</v>
      </c>
      <c r="AV109" s="111">
        <f t="shared" si="6"/>
        <v>0</v>
      </c>
      <c r="AW109" s="111">
        <f t="shared" si="6"/>
        <v>0</v>
      </c>
      <c r="AX109" s="111">
        <f t="shared" si="6"/>
        <v>0</v>
      </c>
    </row>
    <row r="110" spans="1:50" x14ac:dyDescent="0.2">
      <c r="A110" s="111" t="s">
        <v>106</v>
      </c>
      <c r="B110" s="111" t="s">
        <v>5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10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</row>
    <row r="112" spans="1:50" x14ac:dyDescent="0.2">
      <c r="B112" s="111" t="s">
        <v>12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11" t="s">
        <v>22</v>
      </c>
      <c r="C113" s="106">
        <v>29568</v>
      </c>
      <c r="D113" s="106">
        <v>29568</v>
      </c>
      <c r="E113" s="106">
        <v>29568</v>
      </c>
      <c r="F113" s="106">
        <v>29568</v>
      </c>
      <c r="G113" s="106">
        <v>29568</v>
      </c>
      <c r="H113" s="106">
        <v>29568</v>
      </c>
      <c r="I113" s="106">
        <v>29568</v>
      </c>
      <c r="J113" s="106">
        <v>29568</v>
      </c>
      <c r="K113" s="106">
        <v>29568</v>
      </c>
      <c r="L113" s="106">
        <v>29568</v>
      </c>
      <c r="M113" s="106">
        <v>29568</v>
      </c>
      <c r="N113" s="106">
        <v>29568</v>
      </c>
      <c r="O113" s="106">
        <v>29568</v>
      </c>
      <c r="P113" s="106">
        <v>29568</v>
      </c>
      <c r="Q113" s="106">
        <v>29568</v>
      </c>
      <c r="R113" s="106">
        <v>29568</v>
      </c>
      <c r="S113" s="106">
        <v>29568</v>
      </c>
      <c r="T113" s="106">
        <v>29568</v>
      </c>
      <c r="U113" s="106">
        <v>29568</v>
      </c>
      <c r="V113" s="106">
        <v>29568</v>
      </c>
      <c r="W113" s="106">
        <v>29568</v>
      </c>
      <c r="X113" s="106">
        <v>29568</v>
      </c>
      <c r="Y113" s="106">
        <v>29568</v>
      </c>
      <c r="Z113" s="106">
        <v>29568</v>
      </c>
      <c r="AA113" s="106">
        <v>29568</v>
      </c>
      <c r="AB113" s="106">
        <v>29568</v>
      </c>
      <c r="AC113" s="106">
        <v>29568</v>
      </c>
      <c r="AD113" s="106">
        <v>29568</v>
      </c>
      <c r="AE113" s="106">
        <v>29568</v>
      </c>
      <c r="AF113" s="106">
        <v>29568</v>
      </c>
      <c r="AG113" s="106">
        <v>29568</v>
      </c>
      <c r="AH113" s="106">
        <v>29568</v>
      </c>
      <c r="AI113" s="106">
        <v>29568</v>
      </c>
      <c r="AJ113" s="106">
        <v>29568</v>
      </c>
      <c r="AK113" s="106">
        <v>29568</v>
      </c>
      <c r="AL113" s="106">
        <v>29568</v>
      </c>
      <c r="AM113" s="106">
        <v>29568</v>
      </c>
      <c r="AN113" s="106">
        <v>29568</v>
      </c>
      <c r="AO113" s="106">
        <v>29568</v>
      </c>
      <c r="AP113" s="106">
        <v>29568</v>
      </c>
      <c r="AQ113" s="106">
        <v>29568</v>
      </c>
      <c r="AR113" s="106">
        <v>29568</v>
      </c>
      <c r="AS113" s="106">
        <v>29568</v>
      </c>
      <c r="AT113" s="106">
        <v>29568</v>
      </c>
      <c r="AU113" s="106">
        <v>29568</v>
      </c>
      <c r="AV113" s="106">
        <v>29568</v>
      </c>
      <c r="AW113" s="106">
        <v>29568</v>
      </c>
      <c r="AX113" s="106">
        <v>29568</v>
      </c>
    </row>
    <row r="114" spans="1:50" x14ac:dyDescent="0.2">
      <c r="B114" s="111" t="s">
        <v>59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</row>
    <row r="115" spans="1:50" x14ac:dyDescent="0.2">
      <c r="B115" s="106" t="s">
        <v>277</v>
      </c>
      <c r="C115" s="111">
        <f>SUM(C$110:C$114)</f>
        <v>29568</v>
      </c>
      <c r="D115" s="111">
        <f t="shared" ref="D115:AX115" si="7">SUM(D$110:D$114)</f>
        <v>29568</v>
      </c>
      <c r="E115" s="111">
        <f t="shared" si="7"/>
        <v>29568</v>
      </c>
      <c r="F115" s="111">
        <f t="shared" si="7"/>
        <v>29568</v>
      </c>
      <c r="G115" s="111">
        <f t="shared" si="7"/>
        <v>29568</v>
      </c>
      <c r="H115" s="111">
        <f t="shared" si="7"/>
        <v>29568</v>
      </c>
      <c r="I115" s="111">
        <f t="shared" si="7"/>
        <v>29568</v>
      </c>
      <c r="J115" s="111">
        <f t="shared" si="7"/>
        <v>29568</v>
      </c>
      <c r="K115" s="111">
        <f t="shared" si="7"/>
        <v>29568</v>
      </c>
      <c r="L115" s="111">
        <f t="shared" si="7"/>
        <v>29568</v>
      </c>
      <c r="M115" s="111">
        <f t="shared" si="7"/>
        <v>29568</v>
      </c>
      <c r="N115" s="111">
        <f t="shared" si="7"/>
        <v>29568</v>
      </c>
      <c r="O115" s="111">
        <f t="shared" si="7"/>
        <v>29568</v>
      </c>
      <c r="P115" s="111">
        <f t="shared" si="7"/>
        <v>29568</v>
      </c>
      <c r="Q115" s="111">
        <f t="shared" si="7"/>
        <v>29568</v>
      </c>
      <c r="R115" s="111">
        <f t="shared" si="7"/>
        <v>29568</v>
      </c>
      <c r="S115" s="111">
        <f t="shared" si="7"/>
        <v>29568</v>
      </c>
      <c r="T115" s="111">
        <f t="shared" si="7"/>
        <v>29568</v>
      </c>
      <c r="U115" s="111">
        <f t="shared" si="7"/>
        <v>29568</v>
      </c>
      <c r="V115" s="111">
        <f t="shared" si="7"/>
        <v>29568</v>
      </c>
      <c r="W115" s="111">
        <f t="shared" si="7"/>
        <v>29568</v>
      </c>
      <c r="X115" s="111">
        <f t="shared" si="7"/>
        <v>29568</v>
      </c>
      <c r="Y115" s="111">
        <f t="shared" si="7"/>
        <v>29568</v>
      </c>
      <c r="Z115" s="111">
        <f t="shared" si="7"/>
        <v>29568</v>
      </c>
      <c r="AA115" s="111">
        <f t="shared" si="7"/>
        <v>29568</v>
      </c>
      <c r="AB115" s="111">
        <f t="shared" si="7"/>
        <v>29568</v>
      </c>
      <c r="AC115" s="111">
        <f t="shared" si="7"/>
        <v>29568</v>
      </c>
      <c r="AD115" s="111">
        <f t="shared" si="7"/>
        <v>29568</v>
      </c>
      <c r="AE115" s="111">
        <f t="shared" si="7"/>
        <v>29568</v>
      </c>
      <c r="AF115" s="111">
        <f t="shared" si="7"/>
        <v>29568</v>
      </c>
      <c r="AG115" s="111">
        <f t="shared" si="7"/>
        <v>29568</v>
      </c>
      <c r="AH115" s="111">
        <f t="shared" si="7"/>
        <v>29568</v>
      </c>
      <c r="AI115" s="111">
        <f t="shared" si="7"/>
        <v>29568</v>
      </c>
      <c r="AJ115" s="111">
        <f t="shared" si="7"/>
        <v>29568</v>
      </c>
      <c r="AK115" s="111">
        <f t="shared" si="7"/>
        <v>29568</v>
      </c>
      <c r="AL115" s="111">
        <f t="shared" si="7"/>
        <v>29568</v>
      </c>
      <c r="AM115" s="111">
        <f t="shared" si="7"/>
        <v>29568</v>
      </c>
      <c r="AN115" s="111">
        <f t="shared" si="7"/>
        <v>29568</v>
      </c>
      <c r="AO115" s="111">
        <f t="shared" si="7"/>
        <v>29568</v>
      </c>
      <c r="AP115" s="111">
        <f t="shared" si="7"/>
        <v>29568</v>
      </c>
      <c r="AQ115" s="111">
        <f t="shared" si="7"/>
        <v>29568</v>
      </c>
      <c r="AR115" s="111">
        <f t="shared" si="7"/>
        <v>29568</v>
      </c>
      <c r="AS115" s="111">
        <f t="shared" si="7"/>
        <v>29568</v>
      </c>
      <c r="AT115" s="111">
        <f t="shared" si="7"/>
        <v>29568</v>
      </c>
      <c r="AU115" s="111">
        <f t="shared" si="7"/>
        <v>29568</v>
      </c>
      <c r="AV115" s="111">
        <f t="shared" si="7"/>
        <v>29568</v>
      </c>
      <c r="AW115" s="111">
        <f t="shared" si="7"/>
        <v>29568</v>
      </c>
      <c r="AX115" s="111">
        <f t="shared" si="7"/>
        <v>29568</v>
      </c>
    </row>
    <row r="116" spans="1:50" x14ac:dyDescent="0.2">
      <c r="A116" s="111" t="s">
        <v>107</v>
      </c>
      <c r="B116" s="111" t="s">
        <v>5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11" t="s">
        <v>10</v>
      </c>
      <c r="C117" s="106">
        <v>9680</v>
      </c>
      <c r="D117" s="106">
        <v>9680</v>
      </c>
      <c r="E117" s="106">
        <v>9680</v>
      </c>
      <c r="F117" s="106">
        <v>9680</v>
      </c>
      <c r="G117" s="106">
        <v>9680</v>
      </c>
      <c r="H117" s="106">
        <v>9680</v>
      </c>
      <c r="I117" s="106">
        <v>9680</v>
      </c>
      <c r="J117" s="106">
        <v>9680</v>
      </c>
      <c r="K117" s="106">
        <v>9680</v>
      </c>
      <c r="L117" s="106">
        <v>9680</v>
      </c>
      <c r="M117" s="106">
        <v>9680</v>
      </c>
      <c r="N117" s="106">
        <v>9680</v>
      </c>
      <c r="O117" s="106">
        <v>9680</v>
      </c>
      <c r="P117" s="106">
        <v>9680</v>
      </c>
      <c r="Q117" s="106">
        <v>9680</v>
      </c>
      <c r="R117" s="106">
        <v>9680</v>
      </c>
      <c r="S117" s="106">
        <v>9680</v>
      </c>
      <c r="T117" s="106">
        <v>9680</v>
      </c>
      <c r="U117" s="106">
        <v>9680</v>
      </c>
      <c r="V117" s="106">
        <v>9680</v>
      </c>
      <c r="W117" s="106">
        <v>9680</v>
      </c>
      <c r="X117" s="106">
        <v>9680</v>
      </c>
      <c r="Y117" s="106">
        <v>9680</v>
      </c>
      <c r="Z117" s="106">
        <v>9680</v>
      </c>
      <c r="AA117" s="106">
        <v>9680</v>
      </c>
      <c r="AB117" s="106">
        <v>9680</v>
      </c>
      <c r="AC117" s="106">
        <v>9680</v>
      </c>
      <c r="AD117" s="106">
        <v>9680</v>
      </c>
      <c r="AE117" s="106">
        <v>9680</v>
      </c>
      <c r="AF117" s="106">
        <v>9680</v>
      </c>
      <c r="AG117" s="106">
        <v>9680</v>
      </c>
      <c r="AH117" s="106">
        <v>9680</v>
      </c>
      <c r="AI117" s="106">
        <v>9680</v>
      </c>
      <c r="AJ117" s="106">
        <v>9680</v>
      </c>
      <c r="AK117" s="106">
        <v>9680</v>
      </c>
      <c r="AL117" s="106">
        <v>9680</v>
      </c>
      <c r="AM117" s="106">
        <v>9680</v>
      </c>
      <c r="AN117" s="106">
        <v>9680</v>
      </c>
      <c r="AO117" s="106">
        <v>9680</v>
      </c>
      <c r="AP117" s="106">
        <v>9680</v>
      </c>
      <c r="AQ117" s="106">
        <v>9680</v>
      </c>
      <c r="AR117" s="106">
        <v>9680</v>
      </c>
      <c r="AS117" s="106">
        <v>9680</v>
      </c>
      <c r="AT117" s="106">
        <v>9680</v>
      </c>
      <c r="AU117" s="106">
        <v>9680</v>
      </c>
      <c r="AV117" s="106">
        <v>9680</v>
      </c>
      <c r="AW117" s="106">
        <v>9680</v>
      </c>
      <c r="AX117" s="106">
        <v>9680</v>
      </c>
    </row>
    <row r="118" spans="1:50" x14ac:dyDescent="0.2"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277</v>
      </c>
      <c r="C121" s="111">
        <f>SUM(C$116:C$120)</f>
        <v>9680</v>
      </c>
      <c r="D121" s="111">
        <f t="shared" ref="D121:AX121" si="8">SUM(D$116:D$120)</f>
        <v>9680</v>
      </c>
      <c r="E121" s="111">
        <f t="shared" si="8"/>
        <v>9680</v>
      </c>
      <c r="F121" s="111">
        <f t="shared" si="8"/>
        <v>9680</v>
      </c>
      <c r="G121" s="111">
        <f t="shared" si="8"/>
        <v>9680</v>
      </c>
      <c r="H121" s="111">
        <f t="shared" si="8"/>
        <v>9680</v>
      </c>
      <c r="I121" s="111">
        <f t="shared" si="8"/>
        <v>9680</v>
      </c>
      <c r="J121" s="111">
        <f t="shared" si="8"/>
        <v>9680</v>
      </c>
      <c r="K121" s="111">
        <f t="shared" si="8"/>
        <v>9680</v>
      </c>
      <c r="L121" s="111">
        <f t="shared" si="8"/>
        <v>9680</v>
      </c>
      <c r="M121" s="111">
        <f t="shared" si="8"/>
        <v>9680</v>
      </c>
      <c r="N121" s="111">
        <f t="shared" si="8"/>
        <v>9680</v>
      </c>
      <c r="O121" s="111">
        <f t="shared" si="8"/>
        <v>9680</v>
      </c>
      <c r="P121" s="111">
        <f t="shared" si="8"/>
        <v>9680</v>
      </c>
      <c r="Q121" s="111">
        <f t="shared" si="8"/>
        <v>9680</v>
      </c>
      <c r="R121" s="111">
        <f t="shared" si="8"/>
        <v>9680</v>
      </c>
      <c r="S121" s="111">
        <f t="shared" si="8"/>
        <v>9680</v>
      </c>
      <c r="T121" s="111">
        <f t="shared" si="8"/>
        <v>9680</v>
      </c>
      <c r="U121" s="111">
        <f t="shared" si="8"/>
        <v>9680</v>
      </c>
      <c r="V121" s="111">
        <f t="shared" si="8"/>
        <v>9680</v>
      </c>
      <c r="W121" s="111">
        <f t="shared" si="8"/>
        <v>9680</v>
      </c>
      <c r="X121" s="111">
        <f t="shared" si="8"/>
        <v>9680</v>
      </c>
      <c r="Y121" s="111">
        <f t="shared" si="8"/>
        <v>9680</v>
      </c>
      <c r="Z121" s="111">
        <f t="shared" si="8"/>
        <v>9680</v>
      </c>
      <c r="AA121" s="111">
        <f t="shared" si="8"/>
        <v>9680</v>
      </c>
      <c r="AB121" s="111">
        <f t="shared" si="8"/>
        <v>9680</v>
      </c>
      <c r="AC121" s="111">
        <f t="shared" si="8"/>
        <v>9680</v>
      </c>
      <c r="AD121" s="111">
        <f t="shared" si="8"/>
        <v>9680</v>
      </c>
      <c r="AE121" s="111">
        <f t="shared" si="8"/>
        <v>9680</v>
      </c>
      <c r="AF121" s="111">
        <f t="shared" si="8"/>
        <v>9680</v>
      </c>
      <c r="AG121" s="111">
        <f t="shared" si="8"/>
        <v>9680</v>
      </c>
      <c r="AH121" s="111">
        <f t="shared" si="8"/>
        <v>9680</v>
      </c>
      <c r="AI121" s="111">
        <f t="shared" si="8"/>
        <v>9680</v>
      </c>
      <c r="AJ121" s="111">
        <f t="shared" si="8"/>
        <v>9680</v>
      </c>
      <c r="AK121" s="111">
        <f t="shared" si="8"/>
        <v>9680</v>
      </c>
      <c r="AL121" s="111">
        <f t="shared" si="8"/>
        <v>9680</v>
      </c>
      <c r="AM121" s="111">
        <f t="shared" si="8"/>
        <v>9680</v>
      </c>
      <c r="AN121" s="111">
        <f t="shared" si="8"/>
        <v>9680</v>
      </c>
      <c r="AO121" s="111">
        <f t="shared" si="8"/>
        <v>9680</v>
      </c>
      <c r="AP121" s="111">
        <f t="shared" si="8"/>
        <v>9680</v>
      </c>
      <c r="AQ121" s="111">
        <f t="shared" si="8"/>
        <v>9680</v>
      </c>
      <c r="AR121" s="111">
        <f t="shared" si="8"/>
        <v>9680</v>
      </c>
      <c r="AS121" s="111">
        <f t="shared" si="8"/>
        <v>9680</v>
      </c>
      <c r="AT121" s="111">
        <f t="shared" si="8"/>
        <v>9680</v>
      </c>
      <c r="AU121" s="111">
        <f t="shared" si="8"/>
        <v>9680</v>
      </c>
      <c r="AV121" s="111">
        <f t="shared" si="8"/>
        <v>9680</v>
      </c>
      <c r="AW121" s="111">
        <f t="shared" si="8"/>
        <v>9680</v>
      </c>
      <c r="AX121" s="111">
        <f t="shared" si="8"/>
        <v>9680</v>
      </c>
    </row>
    <row r="122" spans="1:50" x14ac:dyDescent="0.2">
      <c r="A122" s="111" t="s">
        <v>108</v>
      </c>
      <c r="B122" s="111" t="s">
        <v>5</v>
      </c>
      <c r="C122" s="106">
        <v>0</v>
      </c>
      <c r="D122" s="106">
        <v>0</v>
      </c>
      <c r="E122" s="106">
        <v>0</v>
      </c>
      <c r="F122" s="106">
        <v>0</v>
      </c>
      <c r="G122" s="106">
        <v>0</v>
      </c>
      <c r="H122" s="106">
        <v>0</v>
      </c>
      <c r="I122" s="106">
        <v>0</v>
      </c>
      <c r="J122" s="106">
        <v>0</v>
      </c>
      <c r="K122" s="106">
        <v>0</v>
      </c>
      <c r="L122" s="106">
        <v>0</v>
      </c>
      <c r="M122" s="106">
        <v>0</v>
      </c>
      <c r="N122" s="106">
        <v>0</v>
      </c>
      <c r="O122" s="106">
        <v>0</v>
      </c>
      <c r="P122" s="106">
        <v>0</v>
      </c>
      <c r="Q122" s="106">
        <v>0</v>
      </c>
      <c r="R122" s="106">
        <v>0</v>
      </c>
      <c r="S122" s="106">
        <v>0</v>
      </c>
      <c r="T122" s="106">
        <v>0</v>
      </c>
      <c r="U122" s="106">
        <v>0</v>
      </c>
      <c r="V122" s="106">
        <v>0</v>
      </c>
      <c r="W122" s="106">
        <v>0</v>
      </c>
      <c r="X122" s="106">
        <v>0</v>
      </c>
      <c r="Y122" s="106">
        <v>0</v>
      </c>
      <c r="Z122" s="106">
        <v>0</v>
      </c>
      <c r="AA122" s="106">
        <v>0</v>
      </c>
      <c r="AB122" s="106">
        <v>0</v>
      </c>
      <c r="AC122" s="106">
        <v>0</v>
      </c>
      <c r="AD122" s="106">
        <v>0</v>
      </c>
      <c r="AE122" s="106">
        <v>0</v>
      </c>
      <c r="AF122" s="106">
        <v>0</v>
      </c>
      <c r="AG122" s="106">
        <v>0</v>
      </c>
      <c r="AH122" s="106">
        <v>0</v>
      </c>
      <c r="AI122" s="106">
        <v>0</v>
      </c>
      <c r="AJ122" s="106">
        <v>0</v>
      </c>
      <c r="AK122" s="106">
        <v>0</v>
      </c>
      <c r="AL122" s="106">
        <v>0</v>
      </c>
      <c r="AM122" s="106">
        <v>0</v>
      </c>
      <c r="AN122" s="106">
        <v>0</v>
      </c>
      <c r="AO122" s="106">
        <v>0</v>
      </c>
      <c r="AP122" s="106">
        <v>0</v>
      </c>
      <c r="AQ122" s="106">
        <v>0</v>
      </c>
      <c r="AR122" s="106">
        <v>0</v>
      </c>
      <c r="AS122" s="106">
        <v>0</v>
      </c>
      <c r="AT122" s="106">
        <v>0</v>
      </c>
      <c r="AU122" s="106">
        <v>0</v>
      </c>
      <c r="AV122" s="106">
        <v>0</v>
      </c>
      <c r="AW122" s="106">
        <v>0</v>
      </c>
      <c r="AX122" s="106">
        <v>0</v>
      </c>
    </row>
    <row r="123" spans="1:50" x14ac:dyDescent="0.2">
      <c r="B123" s="111" t="s">
        <v>10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</row>
    <row r="125" spans="1:50" x14ac:dyDescent="0.2">
      <c r="B125" s="111" t="s">
        <v>22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</row>
    <row r="126" spans="1:50" x14ac:dyDescent="0.2">
      <c r="B126" s="111" t="s">
        <v>59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</row>
    <row r="127" spans="1:50" x14ac:dyDescent="0.2">
      <c r="B127" s="106" t="s">
        <v>277</v>
      </c>
      <c r="C127" s="111">
        <f>SUM(C$122:C$126)</f>
        <v>0</v>
      </c>
      <c r="D127" s="111">
        <f t="shared" ref="D127:AX127" si="9">SUM(D$122:D$126)</f>
        <v>0</v>
      </c>
      <c r="E127" s="111">
        <f t="shared" si="9"/>
        <v>0</v>
      </c>
      <c r="F127" s="111">
        <f t="shared" si="9"/>
        <v>0</v>
      </c>
      <c r="G127" s="111">
        <f t="shared" si="9"/>
        <v>0</v>
      </c>
      <c r="H127" s="111">
        <f t="shared" si="9"/>
        <v>0</v>
      </c>
      <c r="I127" s="111">
        <f t="shared" si="9"/>
        <v>0</v>
      </c>
      <c r="J127" s="111">
        <f t="shared" si="9"/>
        <v>0</v>
      </c>
      <c r="K127" s="111">
        <f t="shared" si="9"/>
        <v>0</v>
      </c>
      <c r="L127" s="111">
        <f t="shared" si="9"/>
        <v>0</v>
      </c>
      <c r="M127" s="111">
        <f t="shared" si="9"/>
        <v>0</v>
      </c>
      <c r="N127" s="111">
        <f t="shared" si="9"/>
        <v>0</v>
      </c>
      <c r="O127" s="111">
        <f t="shared" si="9"/>
        <v>0</v>
      </c>
      <c r="P127" s="111">
        <f t="shared" si="9"/>
        <v>0</v>
      </c>
      <c r="Q127" s="111">
        <f t="shared" si="9"/>
        <v>0</v>
      </c>
      <c r="R127" s="111">
        <f t="shared" si="9"/>
        <v>0</v>
      </c>
      <c r="S127" s="111">
        <f t="shared" si="9"/>
        <v>0</v>
      </c>
      <c r="T127" s="111">
        <f t="shared" si="9"/>
        <v>0</v>
      </c>
      <c r="U127" s="111">
        <f t="shared" si="9"/>
        <v>0</v>
      </c>
      <c r="V127" s="111">
        <f t="shared" si="9"/>
        <v>0</v>
      </c>
      <c r="W127" s="111">
        <f t="shared" si="9"/>
        <v>0</v>
      </c>
      <c r="X127" s="111">
        <f t="shared" si="9"/>
        <v>0</v>
      </c>
      <c r="Y127" s="111">
        <f t="shared" si="9"/>
        <v>0</v>
      </c>
      <c r="Z127" s="111">
        <f t="shared" si="9"/>
        <v>0</v>
      </c>
      <c r="AA127" s="111">
        <f t="shared" si="9"/>
        <v>0</v>
      </c>
      <c r="AB127" s="111">
        <f t="shared" si="9"/>
        <v>0</v>
      </c>
      <c r="AC127" s="111">
        <f t="shared" si="9"/>
        <v>0</v>
      </c>
      <c r="AD127" s="111">
        <f t="shared" si="9"/>
        <v>0</v>
      </c>
      <c r="AE127" s="111">
        <f t="shared" si="9"/>
        <v>0</v>
      </c>
      <c r="AF127" s="111">
        <f t="shared" si="9"/>
        <v>0</v>
      </c>
      <c r="AG127" s="111">
        <f t="shared" si="9"/>
        <v>0</v>
      </c>
      <c r="AH127" s="111">
        <f t="shared" si="9"/>
        <v>0</v>
      </c>
      <c r="AI127" s="111">
        <f t="shared" si="9"/>
        <v>0</v>
      </c>
      <c r="AJ127" s="111">
        <f t="shared" si="9"/>
        <v>0</v>
      </c>
      <c r="AK127" s="111">
        <f t="shared" si="9"/>
        <v>0</v>
      </c>
      <c r="AL127" s="111">
        <f t="shared" si="9"/>
        <v>0</v>
      </c>
      <c r="AM127" s="111">
        <f t="shared" si="9"/>
        <v>0</v>
      </c>
      <c r="AN127" s="111">
        <f t="shared" si="9"/>
        <v>0</v>
      </c>
      <c r="AO127" s="111">
        <f t="shared" si="9"/>
        <v>0</v>
      </c>
      <c r="AP127" s="111">
        <f t="shared" si="9"/>
        <v>0</v>
      </c>
      <c r="AQ127" s="111">
        <f t="shared" si="9"/>
        <v>0</v>
      </c>
      <c r="AR127" s="111">
        <f t="shared" si="9"/>
        <v>0</v>
      </c>
      <c r="AS127" s="111">
        <f t="shared" si="9"/>
        <v>0</v>
      </c>
      <c r="AT127" s="111">
        <f t="shared" si="9"/>
        <v>0</v>
      </c>
      <c r="AU127" s="111">
        <f t="shared" si="9"/>
        <v>0</v>
      </c>
      <c r="AV127" s="111">
        <f t="shared" si="9"/>
        <v>0</v>
      </c>
      <c r="AW127" s="111">
        <f t="shared" si="9"/>
        <v>0</v>
      </c>
      <c r="AX127" s="111">
        <f t="shared" si="9"/>
        <v>0</v>
      </c>
    </row>
    <row r="128" spans="1:50" x14ac:dyDescent="0.2">
      <c r="A128" s="111" t="s">
        <v>109</v>
      </c>
      <c r="B128" s="111" t="s">
        <v>5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</row>
    <row r="129" spans="2:50" x14ac:dyDescent="0.2">
      <c r="B129" s="111" t="s">
        <v>10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</row>
    <row r="130" spans="2:50" x14ac:dyDescent="0.2">
      <c r="B130" s="111" t="s">
        <v>12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</row>
    <row r="131" spans="2:50" x14ac:dyDescent="0.2">
      <c r="B131" s="111" t="s">
        <v>22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</row>
    <row r="132" spans="2:50" x14ac:dyDescent="0.2">
      <c r="B132" s="111" t="s">
        <v>59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</row>
    <row r="133" spans="2:50" x14ac:dyDescent="0.2">
      <c r="B133" s="106" t="s">
        <v>277</v>
      </c>
      <c r="C133" s="111">
        <f>SUM(C$128:C$132)</f>
        <v>0</v>
      </c>
      <c r="D133" s="111">
        <f t="shared" ref="D133:AX133" si="10">SUM(D$128:D$132)</f>
        <v>0</v>
      </c>
      <c r="E133" s="111">
        <f t="shared" si="10"/>
        <v>0</v>
      </c>
      <c r="F133" s="111">
        <f t="shared" si="10"/>
        <v>0</v>
      </c>
      <c r="G133" s="111">
        <f t="shared" si="10"/>
        <v>0</v>
      </c>
      <c r="H133" s="111">
        <f t="shared" si="10"/>
        <v>0</v>
      </c>
      <c r="I133" s="111">
        <f t="shared" si="10"/>
        <v>0</v>
      </c>
      <c r="J133" s="111">
        <f t="shared" si="10"/>
        <v>0</v>
      </c>
      <c r="K133" s="111">
        <f t="shared" si="10"/>
        <v>0</v>
      </c>
      <c r="L133" s="111">
        <f t="shared" si="10"/>
        <v>0</v>
      </c>
      <c r="M133" s="111">
        <f t="shared" si="10"/>
        <v>0</v>
      </c>
      <c r="N133" s="111">
        <f t="shared" si="10"/>
        <v>0</v>
      </c>
      <c r="O133" s="111">
        <f t="shared" si="10"/>
        <v>0</v>
      </c>
      <c r="P133" s="111">
        <f t="shared" si="10"/>
        <v>0</v>
      </c>
      <c r="Q133" s="111">
        <f t="shared" si="10"/>
        <v>0</v>
      </c>
      <c r="R133" s="111">
        <f t="shared" si="10"/>
        <v>0</v>
      </c>
      <c r="S133" s="111">
        <f t="shared" si="10"/>
        <v>0</v>
      </c>
      <c r="T133" s="111">
        <f t="shared" si="10"/>
        <v>0</v>
      </c>
      <c r="U133" s="111">
        <f t="shared" si="10"/>
        <v>0</v>
      </c>
      <c r="V133" s="111">
        <f t="shared" si="10"/>
        <v>0</v>
      </c>
      <c r="W133" s="111">
        <f t="shared" si="10"/>
        <v>0</v>
      </c>
      <c r="X133" s="111">
        <f t="shared" si="10"/>
        <v>0</v>
      </c>
      <c r="Y133" s="111">
        <f t="shared" si="10"/>
        <v>0</v>
      </c>
      <c r="Z133" s="111">
        <f t="shared" si="10"/>
        <v>0</v>
      </c>
      <c r="AA133" s="111">
        <f t="shared" si="10"/>
        <v>0</v>
      </c>
      <c r="AB133" s="111">
        <f t="shared" si="10"/>
        <v>0</v>
      </c>
      <c r="AC133" s="111">
        <f t="shared" si="10"/>
        <v>0</v>
      </c>
      <c r="AD133" s="111">
        <f t="shared" si="10"/>
        <v>0</v>
      </c>
      <c r="AE133" s="111">
        <f t="shared" si="10"/>
        <v>0</v>
      </c>
      <c r="AF133" s="111">
        <f t="shared" si="10"/>
        <v>0</v>
      </c>
      <c r="AG133" s="111">
        <f t="shared" si="10"/>
        <v>0</v>
      </c>
      <c r="AH133" s="111">
        <f t="shared" si="10"/>
        <v>0</v>
      </c>
      <c r="AI133" s="111">
        <f t="shared" si="10"/>
        <v>0</v>
      </c>
      <c r="AJ133" s="111">
        <f t="shared" si="10"/>
        <v>0</v>
      </c>
      <c r="AK133" s="111">
        <f t="shared" si="10"/>
        <v>0</v>
      </c>
      <c r="AL133" s="111">
        <f t="shared" si="10"/>
        <v>0</v>
      </c>
      <c r="AM133" s="111">
        <f t="shared" si="10"/>
        <v>0</v>
      </c>
      <c r="AN133" s="111">
        <f t="shared" si="10"/>
        <v>0</v>
      </c>
      <c r="AO133" s="111">
        <f t="shared" si="10"/>
        <v>0</v>
      </c>
      <c r="AP133" s="111">
        <f t="shared" si="10"/>
        <v>0</v>
      </c>
      <c r="AQ133" s="111">
        <f t="shared" si="10"/>
        <v>0</v>
      </c>
      <c r="AR133" s="111">
        <f t="shared" si="10"/>
        <v>0</v>
      </c>
      <c r="AS133" s="111">
        <f t="shared" si="10"/>
        <v>0</v>
      </c>
      <c r="AT133" s="111">
        <f t="shared" si="10"/>
        <v>0</v>
      </c>
      <c r="AU133" s="111">
        <f t="shared" si="10"/>
        <v>0</v>
      </c>
      <c r="AV133" s="111">
        <f t="shared" si="10"/>
        <v>0</v>
      </c>
      <c r="AW133" s="111">
        <f t="shared" si="10"/>
        <v>0</v>
      </c>
      <c r="AX133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302</v>
      </c>
      <c r="B2" s="113" t="s">
        <v>5</v>
      </c>
      <c r="E2" s="116"/>
    </row>
    <row r="3" spans="1:52" x14ac:dyDescent="0.2">
      <c r="A3" s="106" t="s">
        <v>285</v>
      </c>
      <c r="B3" s="113">
        <v>345</v>
      </c>
      <c r="E3" s="116"/>
    </row>
    <row r="4" spans="1:52" x14ac:dyDescent="0.2">
      <c r="A4" s="108"/>
      <c r="C4" s="117" t="s">
        <v>286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303</v>
      </c>
      <c r="B6" s="120"/>
      <c r="C6" s="119" t="s">
        <v>287</v>
      </c>
      <c r="D6" s="118" t="s">
        <v>288</v>
      </c>
      <c r="E6" s="118" t="s">
        <v>288</v>
      </c>
      <c r="F6" s="118" t="s">
        <v>288</v>
      </c>
      <c r="G6" s="118" t="s">
        <v>288</v>
      </c>
      <c r="H6" s="118" t="s">
        <v>288</v>
      </c>
      <c r="I6" s="118" t="s">
        <v>288</v>
      </c>
      <c r="J6" s="118" t="s">
        <v>288</v>
      </c>
      <c r="K6" s="118" t="s">
        <v>288</v>
      </c>
      <c r="L6" s="118" t="s">
        <v>288</v>
      </c>
      <c r="M6" s="118" t="s">
        <v>288</v>
      </c>
      <c r="N6" s="118" t="s">
        <v>288</v>
      </c>
      <c r="O6" s="118" t="s">
        <v>288</v>
      </c>
      <c r="P6" s="118" t="s">
        <v>288</v>
      </c>
      <c r="Q6" s="118" t="s">
        <v>288</v>
      </c>
      <c r="R6" s="118" t="s">
        <v>288</v>
      </c>
      <c r="S6" s="118" t="s">
        <v>288</v>
      </c>
      <c r="T6" s="118" t="s">
        <v>288</v>
      </c>
      <c r="U6" s="118" t="s">
        <v>288</v>
      </c>
      <c r="V6" s="118" t="s">
        <v>288</v>
      </c>
      <c r="W6" s="118" t="s">
        <v>288</v>
      </c>
      <c r="X6" s="118" t="s">
        <v>288</v>
      </c>
      <c r="Y6" s="118" t="s">
        <v>288</v>
      </c>
      <c r="Z6" s="118" t="s">
        <v>288</v>
      </c>
      <c r="AA6" s="118" t="s">
        <v>288</v>
      </c>
      <c r="AB6" s="118" t="s">
        <v>288</v>
      </c>
      <c r="AC6" s="118" t="s">
        <v>288</v>
      </c>
      <c r="AD6" s="118" t="s">
        <v>288</v>
      </c>
      <c r="AE6" s="118" t="s">
        <v>288</v>
      </c>
      <c r="AF6" s="118" t="s">
        <v>288</v>
      </c>
      <c r="AG6" s="118" t="s">
        <v>288</v>
      </c>
      <c r="AH6" s="118" t="s">
        <v>288</v>
      </c>
      <c r="AI6" s="118" t="s">
        <v>288</v>
      </c>
      <c r="AJ6" s="118" t="s">
        <v>288</v>
      </c>
      <c r="AK6" s="118" t="s">
        <v>288</v>
      </c>
      <c r="AL6" s="118" t="s">
        <v>288</v>
      </c>
      <c r="AM6" s="118" t="s">
        <v>288</v>
      </c>
      <c r="AN6" s="118" t="s">
        <v>288</v>
      </c>
      <c r="AO6" s="118" t="s">
        <v>288</v>
      </c>
      <c r="AP6" s="118" t="s">
        <v>288</v>
      </c>
      <c r="AQ6" s="118" t="s">
        <v>288</v>
      </c>
      <c r="AR6" s="118" t="s">
        <v>288</v>
      </c>
      <c r="AS6" s="118" t="s">
        <v>288</v>
      </c>
      <c r="AT6" s="118" t="s">
        <v>288</v>
      </c>
      <c r="AU6" s="118" t="s">
        <v>288</v>
      </c>
      <c r="AV6" s="118" t="s">
        <v>288</v>
      </c>
      <c r="AW6" s="118" t="s">
        <v>288</v>
      </c>
      <c r="AX6" s="118" t="s">
        <v>288</v>
      </c>
      <c r="AY6" s="117" t="s">
        <v>289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292</v>
      </c>
      <c r="D7" s="150">
        <v>171.68293383091716</v>
      </c>
      <c r="E7" s="150">
        <v>171.68293383091716</v>
      </c>
      <c r="F7" s="150">
        <v>171.68293383091716</v>
      </c>
      <c r="G7" s="150">
        <v>171.68293383091716</v>
      </c>
      <c r="H7" s="150">
        <v>171.68293383091716</v>
      </c>
      <c r="I7" s="150">
        <v>171.68293383091716</v>
      </c>
      <c r="J7" s="150">
        <v>171.68293383091716</v>
      </c>
      <c r="K7" s="150">
        <v>171.68293383091716</v>
      </c>
      <c r="L7" s="150">
        <v>171.68293383091716</v>
      </c>
      <c r="M7" s="150">
        <v>171.68293383091716</v>
      </c>
      <c r="N7" s="150">
        <v>171.68293383091716</v>
      </c>
      <c r="O7" s="150">
        <v>171.68293383091716</v>
      </c>
      <c r="P7" s="150">
        <v>171.68293383091716</v>
      </c>
      <c r="Q7" s="150">
        <v>171.68293383091716</v>
      </c>
      <c r="R7" s="150">
        <v>171.68293383091716</v>
      </c>
      <c r="S7" s="150">
        <v>171.68293383091716</v>
      </c>
      <c r="T7" s="150">
        <v>171.68293383091716</v>
      </c>
      <c r="U7" s="150">
        <v>171.68293383091716</v>
      </c>
      <c r="V7" s="150">
        <v>171.68293383091716</v>
      </c>
      <c r="W7" s="150">
        <v>171.68293383091716</v>
      </c>
      <c r="X7" s="150">
        <v>171.68293383091716</v>
      </c>
      <c r="Y7" s="150">
        <v>171.68293383091716</v>
      </c>
      <c r="Z7" s="150">
        <v>171.68293383091716</v>
      </c>
      <c r="AA7" s="150">
        <v>171.68293383091716</v>
      </c>
      <c r="AB7" s="150">
        <v>171.68293383091716</v>
      </c>
      <c r="AC7" s="150">
        <v>171.68293383091716</v>
      </c>
      <c r="AD7" s="150">
        <v>171.68293383091716</v>
      </c>
      <c r="AE7" s="150">
        <v>171.68293383091716</v>
      </c>
      <c r="AF7" s="150">
        <v>171.68293383091716</v>
      </c>
      <c r="AG7" s="150">
        <v>171.68293383091716</v>
      </c>
      <c r="AH7" s="150">
        <v>171.68293383091716</v>
      </c>
      <c r="AI7" s="150">
        <v>171.68293383091716</v>
      </c>
      <c r="AJ7" s="150">
        <v>171.68293383091716</v>
      </c>
      <c r="AK7" s="150">
        <v>171.68293383091716</v>
      </c>
      <c r="AL7" s="150">
        <v>171.68293383091716</v>
      </c>
      <c r="AM7" s="150">
        <v>171.68293383091716</v>
      </c>
      <c r="AN7" s="150">
        <v>171.68293383091716</v>
      </c>
      <c r="AO7" s="150">
        <v>171.68293383091716</v>
      </c>
      <c r="AP7" s="150">
        <v>171.68293383091716</v>
      </c>
      <c r="AQ7" s="150">
        <v>171.68293383091716</v>
      </c>
      <c r="AR7" s="150">
        <v>171.68293383091716</v>
      </c>
      <c r="AS7" s="150">
        <v>171.68293383091716</v>
      </c>
      <c r="AT7" s="150">
        <v>171.68293383091716</v>
      </c>
      <c r="AU7" s="150">
        <v>171.68293383091716</v>
      </c>
      <c r="AV7" s="150">
        <v>171.68293383091716</v>
      </c>
      <c r="AW7" s="150">
        <v>171.68293383091716</v>
      </c>
      <c r="AX7" s="150">
        <v>171.68293383091716</v>
      </c>
      <c r="AY7" s="150">
        <v>171.68293383091716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293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292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294</v>
      </c>
      <c r="B12" s="152"/>
      <c r="C12" s="116"/>
    </row>
    <row r="13" spans="1:52" x14ac:dyDescent="0.2">
      <c r="A13" s="128" t="s">
        <v>125</v>
      </c>
      <c r="B13" s="129">
        <v>1</v>
      </c>
      <c r="C13" s="130"/>
      <c r="D13" s="144">
        <f t="shared" ref="D13:AY13" si="1">D$7-D$10</f>
        <v>171.68293383091716</v>
      </c>
      <c r="E13" s="144">
        <f t="shared" si="1"/>
        <v>171.68293383091716</v>
      </c>
      <c r="F13" s="144">
        <f t="shared" si="1"/>
        <v>171.68293383091716</v>
      </c>
      <c r="G13" s="144">
        <f t="shared" si="1"/>
        <v>171.68293383091716</v>
      </c>
      <c r="H13" s="144">
        <f t="shared" si="1"/>
        <v>171.68293383091716</v>
      </c>
      <c r="I13" s="144">
        <f t="shared" si="1"/>
        <v>171.68293383091716</v>
      </c>
      <c r="J13" s="144">
        <f t="shared" si="1"/>
        <v>171.68293383091716</v>
      </c>
      <c r="K13" s="144">
        <f t="shared" si="1"/>
        <v>171.68293383091716</v>
      </c>
      <c r="L13" s="144">
        <f t="shared" si="1"/>
        <v>171.68293383091716</v>
      </c>
      <c r="M13" s="144">
        <f t="shared" si="1"/>
        <v>171.68293383091716</v>
      </c>
      <c r="N13" s="144">
        <f t="shared" si="1"/>
        <v>171.68293383091716</v>
      </c>
      <c r="O13" s="144">
        <f t="shared" si="1"/>
        <v>171.68293383091716</v>
      </c>
      <c r="P13" s="144">
        <f t="shared" si="1"/>
        <v>171.68293383091716</v>
      </c>
      <c r="Q13" s="144">
        <f t="shared" si="1"/>
        <v>171.68293383091716</v>
      </c>
      <c r="R13" s="144">
        <f t="shared" si="1"/>
        <v>171.68293383091716</v>
      </c>
      <c r="S13" s="144">
        <f t="shared" si="1"/>
        <v>171.68293383091716</v>
      </c>
      <c r="T13" s="144">
        <f t="shared" si="1"/>
        <v>171.68293383091716</v>
      </c>
      <c r="U13" s="144">
        <f t="shared" si="1"/>
        <v>171.68293383091716</v>
      </c>
      <c r="V13" s="144">
        <f t="shared" si="1"/>
        <v>171.68293383091716</v>
      </c>
      <c r="W13" s="144">
        <f t="shared" si="1"/>
        <v>171.68293383091716</v>
      </c>
      <c r="X13" s="144">
        <f t="shared" si="1"/>
        <v>171.68293383091716</v>
      </c>
      <c r="Y13" s="144">
        <f t="shared" si="1"/>
        <v>171.68293383091716</v>
      </c>
      <c r="Z13" s="144">
        <f t="shared" si="1"/>
        <v>171.68293383091716</v>
      </c>
      <c r="AA13" s="144">
        <f t="shared" si="1"/>
        <v>171.68293383091716</v>
      </c>
      <c r="AB13" s="144">
        <f t="shared" si="1"/>
        <v>171.68293383091716</v>
      </c>
      <c r="AC13" s="144">
        <f t="shared" si="1"/>
        <v>171.68293383091716</v>
      </c>
      <c r="AD13" s="144">
        <f t="shared" si="1"/>
        <v>171.68293383091716</v>
      </c>
      <c r="AE13" s="144">
        <f t="shared" si="1"/>
        <v>171.68293383091716</v>
      </c>
      <c r="AF13" s="144">
        <f t="shared" si="1"/>
        <v>171.68293383091716</v>
      </c>
      <c r="AG13" s="144">
        <f t="shared" si="1"/>
        <v>171.68293383091716</v>
      </c>
      <c r="AH13" s="144">
        <f t="shared" si="1"/>
        <v>171.68293383091716</v>
      </c>
      <c r="AI13" s="144">
        <f t="shared" si="1"/>
        <v>171.68293383091716</v>
      </c>
      <c r="AJ13" s="144">
        <f t="shared" si="1"/>
        <v>171.68293383091716</v>
      </c>
      <c r="AK13" s="144">
        <f t="shared" si="1"/>
        <v>171.68293383091716</v>
      </c>
      <c r="AL13" s="144">
        <f t="shared" si="1"/>
        <v>171.68293383091716</v>
      </c>
      <c r="AM13" s="144">
        <f t="shared" si="1"/>
        <v>171.68293383091716</v>
      </c>
      <c r="AN13" s="144">
        <f t="shared" si="1"/>
        <v>171.68293383091716</v>
      </c>
      <c r="AO13" s="144">
        <f t="shared" si="1"/>
        <v>171.68293383091716</v>
      </c>
      <c r="AP13" s="144">
        <f t="shared" si="1"/>
        <v>171.68293383091716</v>
      </c>
      <c r="AQ13" s="144">
        <f t="shared" si="1"/>
        <v>171.68293383091716</v>
      </c>
      <c r="AR13" s="144">
        <f t="shared" si="1"/>
        <v>171.68293383091716</v>
      </c>
      <c r="AS13" s="144">
        <f t="shared" si="1"/>
        <v>171.68293383091716</v>
      </c>
      <c r="AT13" s="144">
        <f t="shared" si="1"/>
        <v>171.68293383091716</v>
      </c>
      <c r="AU13" s="144">
        <f t="shared" si="1"/>
        <v>171.68293383091716</v>
      </c>
      <c r="AV13" s="144">
        <f t="shared" si="1"/>
        <v>171.68293383091716</v>
      </c>
      <c r="AW13" s="144">
        <f t="shared" si="1"/>
        <v>171.68293383091716</v>
      </c>
      <c r="AX13" s="144">
        <f t="shared" si="1"/>
        <v>171.68293383091716</v>
      </c>
      <c r="AY13" s="144">
        <f t="shared" si="1"/>
        <v>171.68293383091716</v>
      </c>
      <c r="AZ13" s="115"/>
    </row>
    <row r="14" spans="1:52" x14ac:dyDescent="0.2">
      <c r="A14" s="116"/>
      <c r="B14" s="126">
        <v>2</v>
      </c>
      <c r="C14" s="116"/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171.68293383091716</v>
      </c>
      <c r="AP14" s="112">
        <f t="shared" si="2"/>
        <v>0</v>
      </c>
      <c r="AQ14" s="112">
        <f t="shared" si="2"/>
        <v>0</v>
      </c>
      <c r="AR14" s="112">
        <f t="shared" si="2"/>
        <v>171.68293383091716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/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/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295</v>
      </c>
      <c r="C17" s="131"/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304</v>
      </c>
      <c r="B20" s="160" t="s">
        <v>305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 t="s">
        <v>338</v>
      </c>
      <c r="AO20" s="123"/>
      <c r="AP20" s="123"/>
      <c r="AQ20" s="123" t="s">
        <v>338</v>
      </c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1</v>
      </c>
      <c r="C21" s="162" t="s">
        <v>292</v>
      </c>
      <c r="D21" s="112">
        <f>IF(C$20="Yes",0,SUM(C$13:C$16)*$B$21)</f>
        <v>0</v>
      </c>
      <c r="E21" s="112">
        <f t="shared" ref="E21:AY21" si="3">IF(D$20="Yes",0,SUM(D$13:D$16)*$B$21)</f>
        <v>171.68293383091716</v>
      </c>
      <c r="F21" s="112">
        <f t="shared" si="3"/>
        <v>171.68293383091716</v>
      </c>
      <c r="G21" s="112">
        <f t="shared" si="3"/>
        <v>171.68293383091716</v>
      </c>
      <c r="H21" s="112">
        <f t="shared" si="3"/>
        <v>171.68293383091716</v>
      </c>
      <c r="I21" s="112">
        <f t="shared" si="3"/>
        <v>171.68293383091716</v>
      </c>
      <c r="J21" s="112">
        <f t="shared" si="3"/>
        <v>171.68293383091716</v>
      </c>
      <c r="K21" s="112">
        <f t="shared" si="3"/>
        <v>171.68293383091716</v>
      </c>
      <c r="L21" s="112">
        <f t="shared" si="3"/>
        <v>171.68293383091716</v>
      </c>
      <c r="M21" s="112">
        <f t="shared" si="3"/>
        <v>171.68293383091716</v>
      </c>
      <c r="N21" s="112">
        <f t="shared" si="3"/>
        <v>171.68293383091716</v>
      </c>
      <c r="O21" s="112">
        <f t="shared" si="3"/>
        <v>171.68293383091716</v>
      </c>
      <c r="P21" s="112">
        <f t="shared" si="3"/>
        <v>171.68293383091716</v>
      </c>
      <c r="Q21" s="112">
        <f t="shared" si="3"/>
        <v>171.68293383091716</v>
      </c>
      <c r="R21" s="112">
        <f t="shared" si="3"/>
        <v>171.68293383091716</v>
      </c>
      <c r="S21" s="112">
        <f t="shared" si="3"/>
        <v>171.68293383091716</v>
      </c>
      <c r="T21" s="112">
        <f t="shared" si="3"/>
        <v>171.68293383091716</v>
      </c>
      <c r="U21" s="112">
        <f t="shared" si="3"/>
        <v>171.68293383091716</v>
      </c>
      <c r="V21" s="112">
        <f t="shared" si="3"/>
        <v>171.68293383091716</v>
      </c>
      <c r="W21" s="112">
        <f t="shared" si="3"/>
        <v>171.68293383091716</v>
      </c>
      <c r="X21" s="112">
        <f t="shared" si="3"/>
        <v>171.68293383091716</v>
      </c>
      <c r="Y21" s="112">
        <f t="shared" si="3"/>
        <v>171.68293383091716</v>
      </c>
      <c r="Z21" s="112">
        <f t="shared" si="3"/>
        <v>171.68293383091716</v>
      </c>
      <c r="AA21" s="112">
        <f t="shared" si="3"/>
        <v>171.68293383091716</v>
      </c>
      <c r="AB21" s="112">
        <f t="shared" si="3"/>
        <v>171.68293383091716</v>
      </c>
      <c r="AC21" s="112">
        <f t="shared" si="3"/>
        <v>171.68293383091716</v>
      </c>
      <c r="AD21" s="112">
        <f t="shared" si="3"/>
        <v>171.68293383091716</v>
      </c>
      <c r="AE21" s="112">
        <f t="shared" si="3"/>
        <v>171.68293383091716</v>
      </c>
      <c r="AF21" s="112">
        <f t="shared" si="3"/>
        <v>171.68293383091716</v>
      </c>
      <c r="AG21" s="112">
        <f t="shared" si="3"/>
        <v>171.68293383091716</v>
      </c>
      <c r="AH21" s="112">
        <f t="shared" si="3"/>
        <v>171.68293383091716</v>
      </c>
      <c r="AI21" s="112">
        <f t="shared" si="3"/>
        <v>171.68293383091716</v>
      </c>
      <c r="AJ21" s="112">
        <f t="shared" si="3"/>
        <v>171.68293383091716</v>
      </c>
      <c r="AK21" s="112">
        <f t="shared" si="3"/>
        <v>171.68293383091716</v>
      </c>
      <c r="AL21" s="112">
        <f t="shared" si="3"/>
        <v>171.68293383091716</v>
      </c>
      <c r="AM21" s="112">
        <f t="shared" si="3"/>
        <v>171.68293383091716</v>
      </c>
      <c r="AN21" s="112">
        <f t="shared" si="3"/>
        <v>171.68293383091716</v>
      </c>
      <c r="AO21" s="112">
        <f t="shared" si="3"/>
        <v>0</v>
      </c>
      <c r="AP21" s="112">
        <f t="shared" si="3"/>
        <v>343.36586766183433</v>
      </c>
      <c r="AQ21" s="112">
        <f t="shared" si="3"/>
        <v>171.68293383091716</v>
      </c>
      <c r="AR21" s="112">
        <f t="shared" si="3"/>
        <v>0</v>
      </c>
      <c r="AS21" s="112">
        <f t="shared" si="3"/>
        <v>343.36586766183433</v>
      </c>
      <c r="AT21" s="112">
        <f t="shared" si="3"/>
        <v>171.68293383091716</v>
      </c>
      <c r="AU21" s="112">
        <f t="shared" si="3"/>
        <v>171.68293383091716</v>
      </c>
      <c r="AV21" s="112">
        <f t="shared" si="3"/>
        <v>171.68293383091716</v>
      </c>
      <c r="AW21" s="112">
        <f t="shared" si="3"/>
        <v>171.68293383091716</v>
      </c>
      <c r="AX21" s="112">
        <f t="shared" si="3"/>
        <v>171.68293383091716</v>
      </c>
      <c r="AY21" s="112">
        <f t="shared" si="3"/>
        <v>171.68293383091716</v>
      </c>
      <c r="AZ21" s="163">
        <f>SUM($D21:$AY21)</f>
        <v>8069.0978900531063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292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306</v>
      </c>
      <c r="B23" s="130">
        <v>2000</v>
      </c>
      <c r="C23" s="106" t="s">
        <v>292</v>
      </c>
      <c r="D23" s="106">
        <f>D$21*$B$23</f>
        <v>0</v>
      </c>
      <c r="E23" s="106">
        <f t="shared" ref="E23:AY23" si="6">E$21*$B$23</f>
        <v>343365.86766183435</v>
      </c>
      <c r="F23" s="106">
        <f t="shared" si="6"/>
        <v>343365.86766183435</v>
      </c>
      <c r="G23" s="106">
        <f t="shared" si="6"/>
        <v>343365.86766183435</v>
      </c>
      <c r="H23" s="106">
        <f t="shared" si="6"/>
        <v>343365.86766183435</v>
      </c>
      <c r="I23" s="106">
        <f t="shared" si="6"/>
        <v>343365.86766183435</v>
      </c>
      <c r="J23" s="106">
        <f t="shared" si="6"/>
        <v>343365.86766183435</v>
      </c>
      <c r="K23" s="106">
        <f t="shared" si="6"/>
        <v>343365.86766183435</v>
      </c>
      <c r="L23" s="106">
        <f t="shared" si="6"/>
        <v>343365.86766183435</v>
      </c>
      <c r="M23" s="106">
        <f t="shared" si="6"/>
        <v>343365.86766183435</v>
      </c>
      <c r="N23" s="106">
        <f t="shared" si="6"/>
        <v>343365.86766183435</v>
      </c>
      <c r="O23" s="106">
        <f t="shared" si="6"/>
        <v>343365.86766183435</v>
      </c>
      <c r="P23" s="106">
        <f t="shared" si="6"/>
        <v>343365.86766183435</v>
      </c>
      <c r="Q23" s="106">
        <f t="shared" si="6"/>
        <v>343365.86766183435</v>
      </c>
      <c r="R23" s="106">
        <f t="shared" si="6"/>
        <v>343365.86766183435</v>
      </c>
      <c r="S23" s="106">
        <f t="shared" si="6"/>
        <v>343365.86766183435</v>
      </c>
      <c r="T23" s="106">
        <f t="shared" si="6"/>
        <v>343365.86766183435</v>
      </c>
      <c r="U23" s="106">
        <f t="shared" si="6"/>
        <v>343365.86766183435</v>
      </c>
      <c r="V23" s="106">
        <f t="shared" si="6"/>
        <v>343365.86766183435</v>
      </c>
      <c r="W23" s="106">
        <f t="shared" si="6"/>
        <v>343365.86766183435</v>
      </c>
      <c r="X23" s="106">
        <f t="shared" si="6"/>
        <v>343365.86766183435</v>
      </c>
      <c r="Y23" s="106">
        <f t="shared" si="6"/>
        <v>343365.86766183435</v>
      </c>
      <c r="Z23" s="106">
        <f t="shared" si="6"/>
        <v>343365.86766183435</v>
      </c>
      <c r="AA23" s="106">
        <f t="shared" si="6"/>
        <v>343365.86766183435</v>
      </c>
      <c r="AB23" s="106">
        <f t="shared" si="6"/>
        <v>343365.86766183435</v>
      </c>
      <c r="AC23" s="106">
        <f t="shared" si="6"/>
        <v>343365.86766183435</v>
      </c>
      <c r="AD23" s="106">
        <f t="shared" si="6"/>
        <v>343365.86766183435</v>
      </c>
      <c r="AE23" s="106">
        <f t="shared" si="6"/>
        <v>343365.86766183435</v>
      </c>
      <c r="AF23" s="106">
        <f t="shared" si="6"/>
        <v>343365.86766183435</v>
      </c>
      <c r="AG23" s="106">
        <f t="shared" si="6"/>
        <v>343365.86766183435</v>
      </c>
      <c r="AH23" s="106">
        <f t="shared" si="6"/>
        <v>343365.86766183435</v>
      </c>
      <c r="AI23" s="106">
        <f t="shared" si="6"/>
        <v>343365.86766183435</v>
      </c>
      <c r="AJ23" s="106">
        <f t="shared" si="6"/>
        <v>343365.86766183435</v>
      </c>
      <c r="AK23" s="106">
        <f t="shared" si="6"/>
        <v>343365.86766183435</v>
      </c>
      <c r="AL23" s="106">
        <f t="shared" si="6"/>
        <v>343365.86766183435</v>
      </c>
      <c r="AM23" s="106">
        <f t="shared" si="6"/>
        <v>343365.86766183435</v>
      </c>
      <c r="AN23" s="106">
        <f t="shared" si="6"/>
        <v>343365.86766183435</v>
      </c>
      <c r="AO23" s="106">
        <f t="shared" si="6"/>
        <v>0</v>
      </c>
      <c r="AP23" s="106">
        <f t="shared" si="6"/>
        <v>686731.73532366869</v>
      </c>
      <c r="AQ23" s="106">
        <f t="shared" si="6"/>
        <v>343365.86766183435</v>
      </c>
      <c r="AR23" s="106">
        <f t="shared" si="6"/>
        <v>0</v>
      </c>
      <c r="AS23" s="106">
        <f t="shared" si="6"/>
        <v>686731.73532366869</v>
      </c>
      <c r="AT23" s="106">
        <f t="shared" si="6"/>
        <v>343365.86766183435</v>
      </c>
      <c r="AU23" s="106">
        <f t="shared" si="6"/>
        <v>343365.86766183435</v>
      </c>
      <c r="AV23" s="106">
        <f t="shared" si="6"/>
        <v>343365.86766183435</v>
      </c>
      <c r="AW23" s="106">
        <f t="shared" si="6"/>
        <v>343365.86766183435</v>
      </c>
      <c r="AX23" s="106">
        <f t="shared" si="6"/>
        <v>343365.86766183435</v>
      </c>
      <c r="AY23" s="106">
        <f t="shared" si="6"/>
        <v>343365.86766183435</v>
      </c>
      <c r="AZ23" s="145">
        <f t="shared" si="5"/>
        <v>16138195.780106207</v>
      </c>
    </row>
    <row r="24" spans="1:52" s="116" customFormat="1" x14ac:dyDescent="0.2">
      <c r="A24" s="167" t="s">
        <v>307</v>
      </c>
      <c r="B24" s="168">
        <v>1000</v>
      </c>
      <c r="C24" s="162" t="s">
        <v>292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308</v>
      </c>
      <c r="C27" s="130">
        <v>11</v>
      </c>
      <c r="D27" s="130">
        <f>C$27-C$28+C$29</f>
        <v>11</v>
      </c>
      <c r="E27" s="130">
        <f t="shared" ref="E27:AY27" si="8">D27-D28+D29</f>
        <v>11</v>
      </c>
      <c r="F27" s="130">
        <f t="shared" si="8"/>
        <v>5</v>
      </c>
      <c r="G27" s="130">
        <f t="shared" si="8"/>
        <v>6</v>
      </c>
      <c r="H27" s="130">
        <f t="shared" si="8"/>
        <v>5</v>
      </c>
      <c r="I27" s="130">
        <f t="shared" si="8"/>
        <v>6</v>
      </c>
      <c r="J27" s="130">
        <f t="shared" si="8"/>
        <v>5</v>
      </c>
      <c r="K27" s="130">
        <f t="shared" si="8"/>
        <v>6</v>
      </c>
      <c r="L27" s="130">
        <f t="shared" si="8"/>
        <v>5</v>
      </c>
      <c r="M27" s="130">
        <f t="shared" si="8"/>
        <v>6</v>
      </c>
      <c r="N27" s="130">
        <f t="shared" si="8"/>
        <v>5</v>
      </c>
      <c r="O27" s="130">
        <f t="shared" si="8"/>
        <v>6</v>
      </c>
      <c r="P27" s="130">
        <f t="shared" si="8"/>
        <v>5</v>
      </c>
      <c r="Q27" s="130">
        <f t="shared" si="8"/>
        <v>6</v>
      </c>
      <c r="R27" s="130">
        <f t="shared" si="8"/>
        <v>5</v>
      </c>
      <c r="S27" s="130">
        <f t="shared" si="8"/>
        <v>6</v>
      </c>
      <c r="T27" s="130">
        <f t="shared" si="8"/>
        <v>5</v>
      </c>
      <c r="U27" s="130">
        <f t="shared" si="8"/>
        <v>6</v>
      </c>
      <c r="V27" s="130">
        <f t="shared" si="8"/>
        <v>5</v>
      </c>
      <c r="W27" s="130">
        <f t="shared" si="8"/>
        <v>6</v>
      </c>
      <c r="X27" s="130">
        <f t="shared" si="8"/>
        <v>5</v>
      </c>
      <c r="Y27" s="130">
        <f t="shared" si="8"/>
        <v>6</v>
      </c>
      <c r="Z27" s="130">
        <f t="shared" si="8"/>
        <v>5</v>
      </c>
      <c r="AA27" s="130">
        <f t="shared" si="8"/>
        <v>6</v>
      </c>
      <c r="AB27" s="130">
        <f t="shared" si="8"/>
        <v>5</v>
      </c>
      <c r="AC27" s="130">
        <f t="shared" si="8"/>
        <v>6</v>
      </c>
      <c r="AD27" s="130">
        <f t="shared" si="8"/>
        <v>5</v>
      </c>
      <c r="AE27" s="130">
        <f t="shared" si="8"/>
        <v>6</v>
      </c>
      <c r="AF27" s="130">
        <f t="shared" si="8"/>
        <v>5</v>
      </c>
      <c r="AG27" s="130">
        <f t="shared" si="8"/>
        <v>6</v>
      </c>
      <c r="AH27" s="130">
        <f t="shared" si="8"/>
        <v>5</v>
      </c>
      <c r="AI27" s="130">
        <f t="shared" si="8"/>
        <v>6</v>
      </c>
      <c r="AJ27" s="130">
        <f t="shared" si="8"/>
        <v>5</v>
      </c>
      <c r="AK27" s="130">
        <f t="shared" si="8"/>
        <v>6</v>
      </c>
      <c r="AL27" s="130">
        <f t="shared" si="8"/>
        <v>5</v>
      </c>
      <c r="AM27" s="130">
        <f t="shared" si="8"/>
        <v>6</v>
      </c>
      <c r="AN27" s="130">
        <f t="shared" si="8"/>
        <v>5</v>
      </c>
      <c r="AO27" s="130">
        <f t="shared" si="8"/>
        <v>6</v>
      </c>
      <c r="AP27" s="130">
        <f t="shared" si="8"/>
        <v>11</v>
      </c>
      <c r="AQ27" s="130">
        <f t="shared" si="8"/>
        <v>0</v>
      </c>
      <c r="AR27" s="130">
        <f t="shared" si="8"/>
        <v>11</v>
      </c>
      <c r="AS27" s="130">
        <f t="shared" si="8"/>
        <v>11</v>
      </c>
      <c r="AT27" s="130">
        <f t="shared" si="8"/>
        <v>0</v>
      </c>
      <c r="AU27" s="130">
        <f t="shared" si="8"/>
        <v>11</v>
      </c>
      <c r="AV27" s="130">
        <f t="shared" si="8"/>
        <v>5</v>
      </c>
      <c r="AW27" s="130">
        <f t="shared" si="8"/>
        <v>6</v>
      </c>
      <c r="AX27" s="130">
        <f t="shared" si="8"/>
        <v>5</v>
      </c>
      <c r="AY27" s="170">
        <f t="shared" si="8"/>
        <v>6</v>
      </c>
      <c r="AZ27" s="112"/>
    </row>
    <row r="28" spans="1:52" x14ac:dyDescent="0.2">
      <c r="B28" s="171" t="s">
        <v>309</v>
      </c>
      <c r="C28" s="116"/>
      <c r="D28" s="116">
        <v>0</v>
      </c>
      <c r="E28" s="116">
        <v>6</v>
      </c>
      <c r="F28" s="116">
        <v>5</v>
      </c>
      <c r="G28" s="116">
        <v>6</v>
      </c>
      <c r="H28" s="116">
        <v>5</v>
      </c>
      <c r="I28" s="116">
        <v>6</v>
      </c>
      <c r="J28" s="116">
        <v>5</v>
      </c>
      <c r="K28" s="116">
        <v>6</v>
      </c>
      <c r="L28" s="116">
        <v>5</v>
      </c>
      <c r="M28" s="116">
        <v>6</v>
      </c>
      <c r="N28" s="116">
        <v>5</v>
      </c>
      <c r="O28" s="116">
        <v>6</v>
      </c>
      <c r="P28" s="116">
        <v>5</v>
      </c>
      <c r="Q28" s="116">
        <v>6</v>
      </c>
      <c r="R28" s="116">
        <v>5</v>
      </c>
      <c r="S28" s="116">
        <v>6</v>
      </c>
      <c r="T28" s="116">
        <v>5</v>
      </c>
      <c r="U28" s="116">
        <v>6</v>
      </c>
      <c r="V28" s="116">
        <v>5</v>
      </c>
      <c r="W28" s="116">
        <v>6</v>
      </c>
      <c r="X28" s="116">
        <v>5</v>
      </c>
      <c r="Y28" s="116">
        <v>6</v>
      </c>
      <c r="Z28" s="116">
        <v>5</v>
      </c>
      <c r="AA28" s="116">
        <v>6</v>
      </c>
      <c r="AB28" s="116">
        <v>5</v>
      </c>
      <c r="AC28" s="116">
        <v>6</v>
      </c>
      <c r="AD28" s="116">
        <v>5</v>
      </c>
      <c r="AE28" s="116">
        <v>6</v>
      </c>
      <c r="AF28" s="116">
        <v>5</v>
      </c>
      <c r="AG28" s="116">
        <v>6</v>
      </c>
      <c r="AH28" s="116">
        <v>5</v>
      </c>
      <c r="AI28" s="116">
        <v>6</v>
      </c>
      <c r="AJ28" s="116">
        <v>5</v>
      </c>
      <c r="AK28" s="116">
        <v>6</v>
      </c>
      <c r="AL28" s="116">
        <v>5</v>
      </c>
      <c r="AM28" s="116">
        <v>6</v>
      </c>
      <c r="AN28" s="116">
        <v>5</v>
      </c>
      <c r="AO28" s="116">
        <v>0</v>
      </c>
      <c r="AP28" s="116">
        <v>11</v>
      </c>
      <c r="AQ28" s="116">
        <v>0</v>
      </c>
      <c r="AR28" s="116">
        <v>0</v>
      </c>
      <c r="AS28" s="116">
        <v>11</v>
      </c>
      <c r="AT28" s="116">
        <v>0</v>
      </c>
      <c r="AU28" s="116">
        <v>6</v>
      </c>
      <c r="AV28" s="116">
        <v>5</v>
      </c>
      <c r="AW28" s="116">
        <v>6</v>
      </c>
      <c r="AX28" s="116">
        <v>5</v>
      </c>
      <c r="AY28" s="172">
        <v>6</v>
      </c>
      <c r="AZ28" s="112"/>
    </row>
    <row r="29" spans="1:52" x14ac:dyDescent="0.2">
      <c r="B29" s="142" t="s">
        <v>310</v>
      </c>
      <c r="C29" s="131"/>
      <c r="D29" s="131">
        <f>C$28</f>
        <v>0</v>
      </c>
      <c r="E29" s="131">
        <f t="shared" ref="E29:AY29" si="9">D$28</f>
        <v>0</v>
      </c>
      <c r="F29" s="131">
        <f t="shared" si="9"/>
        <v>6</v>
      </c>
      <c r="G29" s="131">
        <f t="shared" si="9"/>
        <v>5</v>
      </c>
      <c r="H29" s="131">
        <f t="shared" si="9"/>
        <v>6</v>
      </c>
      <c r="I29" s="131">
        <f t="shared" si="9"/>
        <v>5</v>
      </c>
      <c r="J29" s="131">
        <f t="shared" si="9"/>
        <v>6</v>
      </c>
      <c r="K29" s="131">
        <f t="shared" si="9"/>
        <v>5</v>
      </c>
      <c r="L29" s="131">
        <f t="shared" si="9"/>
        <v>6</v>
      </c>
      <c r="M29" s="131">
        <f t="shared" si="9"/>
        <v>5</v>
      </c>
      <c r="N29" s="131">
        <f t="shared" si="9"/>
        <v>6</v>
      </c>
      <c r="O29" s="131">
        <f t="shared" si="9"/>
        <v>5</v>
      </c>
      <c r="P29" s="131">
        <f t="shared" si="9"/>
        <v>6</v>
      </c>
      <c r="Q29" s="131">
        <f t="shared" si="9"/>
        <v>5</v>
      </c>
      <c r="R29" s="131">
        <f t="shared" si="9"/>
        <v>6</v>
      </c>
      <c r="S29" s="131">
        <f t="shared" si="9"/>
        <v>5</v>
      </c>
      <c r="T29" s="131">
        <f t="shared" si="9"/>
        <v>6</v>
      </c>
      <c r="U29" s="131">
        <f t="shared" si="9"/>
        <v>5</v>
      </c>
      <c r="V29" s="131">
        <f t="shared" si="9"/>
        <v>6</v>
      </c>
      <c r="W29" s="131">
        <f t="shared" si="9"/>
        <v>5</v>
      </c>
      <c r="X29" s="131">
        <f t="shared" si="9"/>
        <v>6</v>
      </c>
      <c r="Y29" s="131">
        <f t="shared" si="9"/>
        <v>5</v>
      </c>
      <c r="Z29" s="131">
        <f t="shared" si="9"/>
        <v>6</v>
      </c>
      <c r="AA29" s="131">
        <f t="shared" si="9"/>
        <v>5</v>
      </c>
      <c r="AB29" s="131">
        <f t="shared" si="9"/>
        <v>6</v>
      </c>
      <c r="AC29" s="131">
        <f t="shared" si="9"/>
        <v>5</v>
      </c>
      <c r="AD29" s="131">
        <f t="shared" si="9"/>
        <v>6</v>
      </c>
      <c r="AE29" s="131">
        <f t="shared" si="9"/>
        <v>5</v>
      </c>
      <c r="AF29" s="131">
        <f t="shared" si="9"/>
        <v>6</v>
      </c>
      <c r="AG29" s="131">
        <f t="shared" si="9"/>
        <v>5</v>
      </c>
      <c r="AH29" s="131">
        <f t="shared" si="9"/>
        <v>6</v>
      </c>
      <c r="AI29" s="131">
        <f t="shared" si="9"/>
        <v>5</v>
      </c>
      <c r="AJ29" s="131">
        <f t="shared" si="9"/>
        <v>6</v>
      </c>
      <c r="AK29" s="131">
        <f t="shared" si="9"/>
        <v>5</v>
      </c>
      <c r="AL29" s="131">
        <f t="shared" si="9"/>
        <v>6</v>
      </c>
      <c r="AM29" s="131">
        <f t="shared" si="9"/>
        <v>5</v>
      </c>
      <c r="AN29" s="131">
        <f t="shared" si="9"/>
        <v>6</v>
      </c>
      <c r="AO29" s="131">
        <f t="shared" si="9"/>
        <v>5</v>
      </c>
      <c r="AP29" s="131">
        <f t="shared" si="9"/>
        <v>0</v>
      </c>
      <c r="AQ29" s="131">
        <f t="shared" si="9"/>
        <v>11</v>
      </c>
      <c r="AR29" s="131">
        <f t="shared" si="9"/>
        <v>0</v>
      </c>
      <c r="AS29" s="131">
        <f t="shared" si="9"/>
        <v>0</v>
      </c>
      <c r="AT29" s="131">
        <f t="shared" si="9"/>
        <v>11</v>
      </c>
      <c r="AU29" s="131">
        <f t="shared" si="9"/>
        <v>0</v>
      </c>
      <c r="AV29" s="131">
        <f t="shared" si="9"/>
        <v>6</v>
      </c>
      <c r="AW29" s="131">
        <f t="shared" si="9"/>
        <v>5</v>
      </c>
      <c r="AX29" s="131">
        <f t="shared" si="9"/>
        <v>6</v>
      </c>
      <c r="AY29" s="173">
        <f t="shared" si="9"/>
        <v>5</v>
      </c>
      <c r="AZ29" s="174"/>
    </row>
    <row r="30" spans="1:52" x14ac:dyDescent="0.2">
      <c r="A30" s="175" t="s">
        <v>311</v>
      </c>
      <c r="B30" s="150">
        <v>10</v>
      </c>
      <c r="C30" s="123" t="s">
        <v>292</v>
      </c>
      <c r="D30" s="123">
        <f>D$27*$B$30</f>
        <v>110</v>
      </c>
      <c r="E30" s="123">
        <f t="shared" ref="E30:AY30" si="10">E$27*$B$30</f>
        <v>110</v>
      </c>
      <c r="F30" s="123">
        <f t="shared" si="10"/>
        <v>50</v>
      </c>
      <c r="G30" s="123">
        <f t="shared" si="10"/>
        <v>60</v>
      </c>
      <c r="H30" s="123">
        <f t="shared" si="10"/>
        <v>50</v>
      </c>
      <c r="I30" s="123">
        <f t="shared" si="10"/>
        <v>60</v>
      </c>
      <c r="J30" s="123">
        <f t="shared" si="10"/>
        <v>50</v>
      </c>
      <c r="K30" s="123">
        <f t="shared" si="10"/>
        <v>60</v>
      </c>
      <c r="L30" s="123">
        <f t="shared" si="10"/>
        <v>50</v>
      </c>
      <c r="M30" s="123">
        <f t="shared" si="10"/>
        <v>60</v>
      </c>
      <c r="N30" s="123">
        <f t="shared" si="10"/>
        <v>50</v>
      </c>
      <c r="O30" s="123">
        <f t="shared" si="10"/>
        <v>60</v>
      </c>
      <c r="P30" s="123">
        <f t="shared" si="10"/>
        <v>50</v>
      </c>
      <c r="Q30" s="123">
        <f t="shared" si="10"/>
        <v>60</v>
      </c>
      <c r="R30" s="123">
        <f>R$27*$B$30</f>
        <v>50</v>
      </c>
      <c r="S30" s="123">
        <f t="shared" si="10"/>
        <v>60</v>
      </c>
      <c r="T30" s="123">
        <f t="shared" si="10"/>
        <v>50</v>
      </c>
      <c r="U30" s="123">
        <f t="shared" si="10"/>
        <v>60</v>
      </c>
      <c r="V30" s="123">
        <f t="shared" si="10"/>
        <v>50</v>
      </c>
      <c r="W30" s="123">
        <f t="shared" si="10"/>
        <v>60</v>
      </c>
      <c r="X30" s="123">
        <f t="shared" si="10"/>
        <v>50</v>
      </c>
      <c r="Y30" s="123">
        <f t="shared" si="10"/>
        <v>60</v>
      </c>
      <c r="Z30" s="123">
        <f t="shared" si="10"/>
        <v>50</v>
      </c>
      <c r="AA30" s="123">
        <f t="shared" si="10"/>
        <v>60</v>
      </c>
      <c r="AB30" s="123">
        <f t="shared" si="10"/>
        <v>50</v>
      </c>
      <c r="AC30" s="123">
        <f t="shared" si="10"/>
        <v>60</v>
      </c>
      <c r="AD30" s="123">
        <f t="shared" si="10"/>
        <v>50</v>
      </c>
      <c r="AE30" s="123">
        <f>AE$27*$B$30</f>
        <v>60</v>
      </c>
      <c r="AF30" s="123">
        <f t="shared" si="10"/>
        <v>50</v>
      </c>
      <c r="AG30" s="123">
        <f t="shared" si="10"/>
        <v>60</v>
      </c>
      <c r="AH30" s="123">
        <f t="shared" si="10"/>
        <v>50</v>
      </c>
      <c r="AI30" s="123">
        <f t="shared" si="10"/>
        <v>60</v>
      </c>
      <c r="AJ30" s="123">
        <f t="shared" si="10"/>
        <v>50</v>
      </c>
      <c r="AK30" s="123">
        <f t="shared" si="10"/>
        <v>60</v>
      </c>
      <c r="AL30" s="123">
        <f t="shared" si="10"/>
        <v>50</v>
      </c>
      <c r="AM30" s="123">
        <f t="shared" si="10"/>
        <v>60</v>
      </c>
      <c r="AN30" s="123">
        <f t="shared" si="10"/>
        <v>50</v>
      </c>
      <c r="AO30" s="123">
        <f t="shared" si="10"/>
        <v>60</v>
      </c>
      <c r="AP30" s="123">
        <f t="shared" si="10"/>
        <v>110</v>
      </c>
      <c r="AQ30" s="123">
        <f t="shared" si="10"/>
        <v>0</v>
      </c>
      <c r="AR30" s="123">
        <f t="shared" si="10"/>
        <v>110</v>
      </c>
      <c r="AS30" s="123">
        <f t="shared" si="10"/>
        <v>110</v>
      </c>
      <c r="AT30" s="123">
        <f t="shared" si="10"/>
        <v>0</v>
      </c>
      <c r="AU30" s="123">
        <f t="shared" si="10"/>
        <v>110</v>
      </c>
      <c r="AV30" s="123">
        <f t="shared" si="10"/>
        <v>50</v>
      </c>
      <c r="AW30" s="123">
        <f t="shared" si="10"/>
        <v>60</v>
      </c>
      <c r="AX30" s="123">
        <f t="shared" si="10"/>
        <v>50</v>
      </c>
      <c r="AY30" s="123">
        <f t="shared" si="10"/>
        <v>60</v>
      </c>
      <c r="AZ30" s="147">
        <f t="shared" si="5"/>
        <v>2860</v>
      </c>
    </row>
    <row r="32" spans="1:52" x14ac:dyDescent="0.2">
      <c r="A32" s="108" t="s">
        <v>299</v>
      </c>
    </row>
    <row r="33" spans="1:52" x14ac:dyDescent="0.2">
      <c r="A33" s="141" t="s">
        <v>22</v>
      </c>
      <c r="B33" s="141" t="s">
        <v>340</v>
      </c>
      <c r="C33" s="130"/>
      <c r="D33" s="130">
        <f>D$21*shipping_manufacturing!$D$27/100</f>
        <v>0</v>
      </c>
      <c r="E33" s="130">
        <f>E$21*shipping_manufacturing!$D$27/100</f>
        <v>0</v>
      </c>
      <c r="F33" s="130">
        <f>F$21*shipping_manufacturing!$D$27/100</f>
        <v>0</v>
      </c>
      <c r="G33" s="130">
        <f>G$21*shipping_manufacturing!$D$27/100</f>
        <v>0</v>
      </c>
      <c r="H33" s="130">
        <f>H$21*shipping_manufacturing!$D$27/100</f>
        <v>0</v>
      </c>
      <c r="I33" s="130">
        <f>I$21*shipping_manufacturing!$D$27/100</f>
        <v>0</v>
      </c>
      <c r="J33" s="130">
        <f>J$21*shipping_manufacturing!$D$27/100</f>
        <v>0</v>
      </c>
      <c r="K33" s="130">
        <f>K$21*shipping_manufacturing!$D$27/100</f>
        <v>0</v>
      </c>
      <c r="L33" s="130">
        <f>L$21*shipping_manufacturing!$D$27/100</f>
        <v>0</v>
      </c>
      <c r="M33" s="130">
        <f>M$21*shipping_manufacturing!$D$27/100</f>
        <v>0</v>
      </c>
      <c r="N33" s="130">
        <f>N$21*shipping_manufacturing!$D$27/100</f>
        <v>0</v>
      </c>
      <c r="O33" s="130">
        <f>O$21*shipping_manufacturing!$D$27/100</f>
        <v>0</v>
      </c>
      <c r="P33" s="130">
        <f>P$21*shipping_manufacturing!$D$27/100</f>
        <v>0</v>
      </c>
      <c r="Q33" s="130">
        <f>Q$21*shipping_manufacturing!$D$27/100</f>
        <v>0</v>
      </c>
      <c r="R33" s="130">
        <f>R$21*shipping_manufacturing!$D$27/100</f>
        <v>0</v>
      </c>
      <c r="S33" s="130">
        <f>S$21*shipping_manufacturing!$D$27/100</f>
        <v>0</v>
      </c>
      <c r="T33" s="130">
        <f>T$21*shipping_manufacturing!$D$27/100</f>
        <v>0</v>
      </c>
      <c r="U33" s="130">
        <f>U$21*shipping_manufacturing!$D$27/100</f>
        <v>0</v>
      </c>
      <c r="V33" s="130">
        <f>V$21*shipping_manufacturing!$D$27/100</f>
        <v>0</v>
      </c>
      <c r="W33" s="130">
        <f>W$21*shipping_manufacturing!$D$27/100</f>
        <v>0</v>
      </c>
      <c r="X33" s="130">
        <f>X$21*shipping_manufacturing!$D$27/100</f>
        <v>0</v>
      </c>
      <c r="Y33" s="130">
        <f>Y$21*shipping_manufacturing!$D$27/100</f>
        <v>0</v>
      </c>
      <c r="Z33" s="130">
        <f>Z$21*shipping_manufacturing!$D$27/100</f>
        <v>0</v>
      </c>
      <c r="AA33" s="130">
        <f>AA$21*shipping_manufacturing!$D$27/100</f>
        <v>0</v>
      </c>
      <c r="AB33" s="130">
        <f>AB$21*shipping_manufacturing!$D$27/100</f>
        <v>0</v>
      </c>
      <c r="AC33" s="130">
        <f>AC$21*shipping_manufacturing!$D$27/100</f>
        <v>0</v>
      </c>
      <c r="AD33" s="130">
        <f>AD$21*shipping_manufacturing!$D$27/100</f>
        <v>0</v>
      </c>
      <c r="AE33" s="130">
        <f>AE$21*shipping_manufacturing!$D$27/100</f>
        <v>0</v>
      </c>
      <c r="AF33" s="130">
        <f>AF$21*shipping_manufacturing!$D$27/100</f>
        <v>0</v>
      </c>
      <c r="AG33" s="130">
        <f>AG$21*shipping_manufacturing!$D$27/100</f>
        <v>0</v>
      </c>
      <c r="AH33" s="130">
        <f>AH$21*shipping_manufacturing!$D$27/100</f>
        <v>0</v>
      </c>
      <c r="AI33" s="130">
        <f>AI$21*shipping_manufacturing!$D$27/100</f>
        <v>0</v>
      </c>
      <c r="AJ33" s="130">
        <f>AJ$21*shipping_manufacturing!$D$27/100</f>
        <v>0</v>
      </c>
      <c r="AK33" s="130">
        <f>AK$21*shipping_manufacturing!$D$27/100</f>
        <v>0</v>
      </c>
      <c r="AL33" s="130">
        <f>AL$21*shipping_manufacturing!$D$27/100</f>
        <v>0</v>
      </c>
      <c r="AM33" s="130">
        <f>AM$21*shipping_manufacturing!$D$27/100</f>
        <v>0</v>
      </c>
      <c r="AN33" s="130">
        <f>AN$21*shipping_manufacturing!$D$27/100</f>
        <v>0</v>
      </c>
      <c r="AO33" s="130">
        <f>AO$21*shipping_manufacturing!$D$27/100</f>
        <v>0</v>
      </c>
      <c r="AP33" s="130">
        <f>AP$21*shipping_manufacturing!$D$27/100</f>
        <v>0</v>
      </c>
      <c r="AQ33" s="130">
        <f>AQ$21*shipping_manufacturing!$D$27/100</f>
        <v>0</v>
      </c>
      <c r="AR33" s="130">
        <f>AR$21*shipping_manufacturing!$D$27/100</f>
        <v>0</v>
      </c>
      <c r="AS33" s="130">
        <f>AS$21*shipping_manufacturing!$D$27/100</f>
        <v>0</v>
      </c>
      <c r="AT33" s="130">
        <f>AT$21*shipping_manufacturing!$D$27/100</f>
        <v>0</v>
      </c>
      <c r="AU33" s="130">
        <f>AU$21*shipping_manufacturing!$D$27/100</f>
        <v>0</v>
      </c>
      <c r="AV33" s="130">
        <f>AV$21*shipping_manufacturing!$D$27/100</f>
        <v>0</v>
      </c>
      <c r="AW33" s="130">
        <f>AW$21*shipping_manufacturing!$D$27/100</f>
        <v>0</v>
      </c>
      <c r="AX33" s="130">
        <f>AX$21*shipping_manufacturing!$D$27/100</f>
        <v>0</v>
      </c>
      <c r="AY33" s="130">
        <f>AY$21*shipping_manufacturing!$D$27/100</f>
        <v>0</v>
      </c>
    </row>
    <row r="34" spans="1:52" x14ac:dyDescent="0.2">
      <c r="A34" s="119" t="s">
        <v>339</v>
      </c>
      <c r="B34" s="171" t="s">
        <v>341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1335</v>
      </c>
      <c r="B35" s="171" t="s">
        <v>342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343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344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345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346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347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348</v>
      </c>
      <c r="C41" s="116"/>
      <c r="D41" s="116">
        <v>1</v>
      </c>
      <c r="E41" s="116">
        <v>1</v>
      </c>
      <c r="F41" s="116">
        <v>1</v>
      </c>
      <c r="G41" s="116">
        <v>2</v>
      </c>
      <c r="H41" s="116">
        <v>2</v>
      </c>
      <c r="I41" s="116">
        <v>1</v>
      </c>
      <c r="J41" s="116">
        <v>1</v>
      </c>
      <c r="K41" s="116">
        <v>2</v>
      </c>
      <c r="L41" s="116">
        <v>2</v>
      </c>
      <c r="M41" s="116">
        <v>1</v>
      </c>
      <c r="N41" s="116">
        <v>2</v>
      </c>
      <c r="O41" s="116">
        <v>1</v>
      </c>
      <c r="P41" s="116">
        <v>1</v>
      </c>
      <c r="Q41" s="116">
        <v>2</v>
      </c>
      <c r="R41" s="116">
        <v>1</v>
      </c>
      <c r="S41" s="116">
        <v>2</v>
      </c>
      <c r="T41" s="116">
        <v>1</v>
      </c>
      <c r="U41" s="116">
        <v>1</v>
      </c>
      <c r="V41" s="116">
        <v>2</v>
      </c>
      <c r="W41" s="116">
        <v>1</v>
      </c>
      <c r="X41" s="116">
        <v>1</v>
      </c>
      <c r="Y41" s="116">
        <v>2</v>
      </c>
      <c r="Z41" s="116">
        <v>1</v>
      </c>
      <c r="AA41" s="116">
        <v>1</v>
      </c>
      <c r="AB41" s="116">
        <v>2</v>
      </c>
      <c r="AC41" s="116">
        <v>3</v>
      </c>
      <c r="AD41" s="116">
        <v>1</v>
      </c>
      <c r="AE41" s="116">
        <v>2</v>
      </c>
      <c r="AF41" s="116">
        <v>1</v>
      </c>
      <c r="AG41" s="116">
        <v>2</v>
      </c>
      <c r="AH41" s="116">
        <v>3</v>
      </c>
      <c r="AI41" s="116">
        <v>1</v>
      </c>
      <c r="AJ41" s="116">
        <v>2</v>
      </c>
      <c r="AK41" s="116">
        <v>3</v>
      </c>
      <c r="AL41" s="116">
        <v>2</v>
      </c>
      <c r="AM41" s="116">
        <v>1</v>
      </c>
      <c r="AN41" s="116">
        <v>2</v>
      </c>
      <c r="AO41" s="116">
        <v>2</v>
      </c>
      <c r="AP41" s="116">
        <v>3</v>
      </c>
      <c r="AQ41" s="116">
        <v>1</v>
      </c>
      <c r="AR41" s="116">
        <v>2</v>
      </c>
      <c r="AS41" s="116">
        <v>1</v>
      </c>
      <c r="AT41" s="116">
        <v>1</v>
      </c>
      <c r="AU41" s="116">
        <v>2</v>
      </c>
      <c r="AV41" s="116">
        <v>2</v>
      </c>
      <c r="AW41" s="116">
        <v>1</v>
      </c>
      <c r="AX41" s="116">
        <v>1</v>
      </c>
      <c r="AY41" s="116">
        <v>1</v>
      </c>
    </row>
    <row r="42" spans="1:52" x14ac:dyDescent="0.2">
      <c r="A42" s="116"/>
      <c r="B42" s="184" t="s">
        <v>349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350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340</v>
      </c>
      <c r="C44" s="130"/>
      <c r="D44" s="130">
        <f>D$21*shipping_manufacturing!$D$28/100</f>
        <v>0</v>
      </c>
      <c r="E44" s="130">
        <f>E$21*shipping_manufacturing!$D$28/100</f>
        <v>171.68293383091716</v>
      </c>
      <c r="F44" s="130">
        <f>F$21*shipping_manufacturing!$D$28/100</f>
        <v>171.68293383091716</v>
      </c>
      <c r="G44" s="130">
        <f>G$21*shipping_manufacturing!$D$28/100</f>
        <v>171.68293383091716</v>
      </c>
      <c r="H44" s="130">
        <f>H$21*shipping_manufacturing!$D$28/100</f>
        <v>171.68293383091716</v>
      </c>
      <c r="I44" s="130">
        <f>I$21*shipping_manufacturing!$D$28/100</f>
        <v>171.68293383091716</v>
      </c>
      <c r="J44" s="130">
        <f>J$21*shipping_manufacturing!$D$28/100</f>
        <v>171.68293383091716</v>
      </c>
      <c r="K44" s="130">
        <f>K$21*shipping_manufacturing!$D$28/100</f>
        <v>171.68293383091716</v>
      </c>
      <c r="L44" s="130">
        <f>L$21*shipping_manufacturing!$D$28/100</f>
        <v>171.68293383091716</v>
      </c>
      <c r="M44" s="130">
        <f>M$21*shipping_manufacturing!$D$28/100</f>
        <v>171.68293383091716</v>
      </c>
      <c r="N44" s="130">
        <f>N$21*shipping_manufacturing!$D$28/100</f>
        <v>171.68293383091716</v>
      </c>
      <c r="O44" s="130">
        <f>O$21*shipping_manufacturing!$D$28/100</f>
        <v>171.68293383091716</v>
      </c>
      <c r="P44" s="130">
        <f>P$21*shipping_manufacturing!$D$28/100</f>
        <v>171.68293383091716</v>
      </c>
      <c r="Q44" s="130">
        <f>Q$21*shipping_manufacturing!$D$28/100</f>
        <v>171.68293383091716</v>
      </c>
      <c r="R44" s="130">
        <f>R$21*shipping_manufacturing!$D$28/100</f>
        <v>171.68293383091716</v>
      </c>
      <c r="S44" s="130">
        <f>S$21*shipping_manufacturing!$D$28/100</f>
        <v>171.68293383091716</v>
      </c>
      <c r="T44" s="130">
        <f>T$21*shipping_manufacturing!$D$28/100</f>
        <v>171.68293383091716</v>
      </c>
      <c r="U44" s="130">
        <f>U$21*shipping_manufacturing!$D$28/100</f>
        <v>171.68293383091716</v>
      </c>
      <c r="V44" s="130">
        <f>V$21*shipping_manufacturing!$D$28/100</f>
        <v>171.68293383091716</v>
      </c>
      <c r="W44" s="130">
        <f>W$21*shipping_manufacturing!$D$28/100</f>
        <v>171.68293383091716</v>
      </c>
      <c r="X44" s="130">
        <f>X$21*shipping_manufacturing!$D$28/100</f>
        <v>171.68293383091716</v>
      </c>
      <c r="Y44" s="130">
        <f>Y$21*shipping_manufacturing!$D$28/100</f>
        <v>171.68293383091716</v>
      </c>
      <c r="Z44" s="130">
        <f>Z$21*shipping_manufacturing!$D$28/100</f>
        <v>171.68293383091716</v>
      </c>
      <c r="AA44" s="130">
        <f>AA$21*shipping_manufacturing!$D$28/100</f>
        <v>171.68293383091716</v>
      </c>
      <c r="AB44" s="130">
        <f>AB$21*shipping_manufacturing!$D$28/100</f>
        <v>171.68293383091716</v>
      </c>
      <c r="AC44" s="130">
        <f>AC$21*shipping_manufacturing!$D$28/100</f>
        <v>171.68293383091716</v>
      </c>
      <c r="AD44" s="130">
        <f>AD$21*shipping_manufacturing!$D$28/100</f>
        <v>171.68293383091716</v>
      </c>
      <c r="AE44" s="130">
        <f>AE$21*shipping_manufacturing!$D$28/100</f>
        <v>171.68293383091716</v>
      </c>
      <c r="AF44" s="130">
        <f>AF$21*shipping_manufacturing!$D$28/100</f>
        <v>171.68293383091716</v>
      </c>
      <c r="AG44" s="130">
        <f>AG$21*shipping_manufacturing!$D$28/100</f>
        <v>171.68293383091716</v>
      </c>
      <c r="AH44" s="130">
        <f>AH$21*shipping_manufacturing!$D$28/100</f>
        <v>171.68293383091716</v>
      </c>
      <c r="AI44" s="130">
        <f>AI$21*shipping_manufacturing!$D$28/100</f>
        <v>171.68293383091716</v>
      </c>
      <c r="AJ44" s="130">
        <f>AJ$21*shipping_manufacturing!$D$28/100</f>
        <v>171.68293383091716</v>
      </c>
      <c r="AK44" s="130">
        <f>AK$21*shipping_manufacturing!$D$28/100</f>
        <v>171.68293383091716</v>
      </c>
      <c r="AL44" s="130">
        <f>AL$21*shipping_manufacturing!$D$28/100</f>
        <v>171.68293383091716</v>
      </c>
      <c r="AM44" s="130">
        <f>AM$21*shipping_manufacturing!$D$28/100</f>
        <v>171.68293383091716</v>
      </c>
      <c r="AN44" s="130">
        <f>AN$21*shipping_manufacturing!$D$28/100</f>
        <v>171.68293383091716</v>
      </c>
      <c r="AO44" s="130">
        <f>AO$21*shipping_manufacturing!$D$28/100</f>
        <v>0</v>
      </c>
      <c r="AP44" s="130">
        <f>AP$21*shipping_manufacturing!$D$28/100</f>
        <v>343.36586766183433</v>
      </c>
      <c r="AQ44" s="130">
        <f>AQ$21*shipping_manufacturing!$D$28/100</f>
        <v>171.68293383091716</v>
      </c>
      <c r="AR44" s="130">
        <f>AR$21*shipping_manufacturing!$D$28/100</f>
        <v>0</v>
      </c>
      <c r="AS44" s="130">
        <f>AS$21*shipping_manufacturing!$D$28/100</f>
        <v>343.36586766183433</v>
      </c>
      <c r="AT44" s="130">
        <f>AT$21*shipping_manufacturing!$D$28/100</f>
        <v>171.68293383091716</v>
      </c>
      <c r="AU44" s="130">
        <f>AU$21*shipping_manufacturing!$D$28/100</f>
        <v>171.68293383091716</v>
      </c>
      <c r="AV44" s="130">
        <f>AV$21*shipping_manufacturing!$D$28/100</f>
        <v>171.68293383091716</v>
      </c>
      <c r="AW44" s="130">
        <f>AW$21*shipping_manufacturing!$D$28/100</f>
        <v>171.68293383091716</v>
      </c>
      <c r="AX44" s="130">
        <f>AX$21*shipping_manufacturing!$D$28/100</f>
        <v>171.68293383091716</v>
      </c>
      <c r="AY44" s="130">
        <f>AY$21*shipping_manufacturing!$D$28/100</f>
        <v>171.68293383091716</v>
      </c>
    </row>
    <row r="45" spans="1:52" x14ac:dyDescent="0.2">
      <c r="A45" s="119" t="s">
        <v>339</v>
      </c>
      <c r="B45" s="171" t="s">
        <v>341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718</v>
      </c>
      <c r="B46" s="171" t="s">
        <v>342</v>
      </c>
      <c r="C46" s="116"/>
      <c r="D46" s="116">
        <f>SUM(D44:D45)</f>
        <v>0</v>
      </c>
      <c r="E46" s="116">
        <f t="shared" ref="E46:AY46" si="14">SUM(E44:E45)</f>
        <v>171.68293383091716</v>
      </c>
      <c r="F46" s="116">
        <f t="shared" si="14"/>
        <v>171.68293383091716</v>
      </c>
      <c r="G46" s="116">
        <f t="shared" si="14"/>
        <v>171.68293383091716</v>
      </c>
      <c r="H46" s="116">
        <f t="shared" si="14"/>
        <v>171.68293383091716</v>
      </c>
      <c r="I46" s="116">
        <f t="shared" si="14"/>
        <v>171.68293383091716</v>
      </c>
      <c r="J46" s="116">
        <f t="shared" si="14"/>
        <v>171.68293383091716</v>
      </c>
      <c r="K46" s="116">
        <f t="shared" si="14"/>
        <v>171.68293383091716</v>
      </c>
      <c r="L46" s="116">
        <f t="shared" si="14"/>
        <v>171.68293383091716</v>
      </c>
      <c r="M46" s="116">
        <f t="shared" si="14"/>
        <v>171.68293383091716</v>
      </c>
      <c r="N46" s="116">
        <f t="shared" si="14"/>
        <v>171.68293383091716</v>
      </c>
      <c r="O46" s="116">
        <f t="shared" si="14"/>
        <v>171.68293383091716</v>
      </c>
      <c r="P46" s="116">
        <f t="shared" si="14"/>
        <v>171.68293383091716</v>
      </c>
      <c r="Q46" s="116">
        <f t="shared" si="14"/>
        <v>171.68293383091716</v>
      </c>
      <c r="R46" s="116">
        <f t="shared" si="14"/>
        <v>171.68293383091716</v>
      </c>
      <c r="S46" s="116">
        <f t="shared" si="14"/>
        <v>171.68293383091716</v>
      </c>
      <c r="T46" s="116">
        <f t="shared" si="14"/>
        <v>171.68293383091716</v>
      </c>
      <c r="U46" s="116">
        <f t="shared" si="14"/>
        <v>171.68293383091716</v>
      </c>
      <c r="V46" s="116">
        <f t="shared" si="14"/>
        <v>171.68293383091716</v>
      </c>
      <c r="W46" s="116">
        <f t="shared" si="14"/>
        <v>171.68293383091716</v>
      </c>
      <c r="X46" s="116">
        <f t="shared" si="14"/>
        <v>171.68293383091716</v>
      </c>
      <c r="Y46" s="116">
        <f t="shared" si="14"/>
        <v>171.68293383091716</v>
      </c>
      <c r="Z46" s="116">
        <f t="shared" si="14"/>
        <v>171.68293383091716</v>
      </c>
      <c r="AA46" s="116">
        <f t="shared" si="14"/>
        <v>171.68293383091716</v>
      </c>
      <c r="AB46" s="116">
        <f t="shared" si="14"/>
        <v>171.68293383091716</v>
      </c>
      <c r="AC46" s="116">
        <f t="shared" si="14"/>
        <v>171.68293383091716</v>
      </c>
      <c r="AD46" s="116">
        <f t="shared" si="14"/>
        <v>171.68293383091716</v>
      </c>
      <c r="AE46" s="116">
        <f t="shared" si="14"/>
        <v>171.68293383091716</v>
      </c>
      <c r="AF46" s="116">
        <f t="shared" si="14"/>
        <v>171.68293383091716</v>
      </c>
      <c r="AG46" s="116">
        <f t="shared" si="14"/>
        <v>171.68293383091716</v>
      </c>
      <c r="AH46" s="116">
        <f t="shared" si="14"/>
        <v>171.68293383091716</v>
      </c>
      <c r="AI46" s="116">
        <f t="shared" si="14"/>
        <v>171.68293383091716</v>
      </c>
      <c r="AJ46" s="116">
        <f t="shared" si="14"/>
        <v>171.68293383091716</v>
      </c>
      <c r="AK46" s="116">
        <f t="shared" si="14"/>
        <v>171.68293383091716</v>
      </c>
      <c r="AL46" s="116">
        <f t="shared" si="14"/>
        <v>171.68293383091716</v>
      </c>
      <c r="AM46" s="116">
        <f t="shared" si="14"/>
        <v>171.68293383091716</v>
      </c>
      <c r="AN46" s="116">
        <f t="shared" si="14"/>
        <v>171.68293383091716</v>
      </c>
      <c r="AO46" s="116">
        <f t="shared" si="14"/>
        <v>0</v>
      </c>
      <c r="AP46" s="116">
        <f t="shared" si="14"/>
        <v>343.36586766183433</v>
      </c>
      <c r="AQ46" s="116">
        <f t="shared" si="14"/>
        <v>171.68293383091716</v>
      </c>
      <c r="AR46" s="116">
        <f t="shared" si="14"/>
        <v>0</v>
      </c>
      <c r="AS46" s="116">
        <f t="shared" si="14"/>
        <v>343.36586766183433</v>
      </c>
      <c r="AT46" s="116">
        <f t="shared" si="14"/>
        <v>171.68293383091716</v>
      </c>
      <c r="AU46" s="116">
        <f t="shared" si="14"/>
        <v>171.68293383091716</v>
      </c>
      <c r="AV46" s="116">
        <f t="shared" si="14"/>
        <v>171.68293383091716</v>
      </c>
      <c r="AW46" s="116">
        <f t="shared" si="14"/>
        <v>171.68293383091716</v>
      </c>
      <c r="AX46" s="116">
        <f t="shared" si="14"/>
        <v>171.68293383091716</v>
      </c>
      <c r="AY46" s="116">
        <f t="shared" si="14"/>
        <v>171.68293383091716</v>
      </c>
    </row>
    <row r="47" spans="1:52" x14ac:dyDescent="0.2">
      <c r="A47" s="116"/>
      <c r="B47" s="171" t="s">
        <v>343</v>
      </c>
      <c r="C47" s="116"/>
      <c r="D47" s="116"/>
      <c r="E47" s="116">
        <v>171.68293383091716</v>
      </c>
      <c r="F47" s="116">
        <v>150</v>
      </c>
      <c r="G47" s="116">
        <v>171.68293383091716</v>
      </c>
      <c r="H47" s="116">
        <v>150</v>
      </c>
      <c r="I47" s="116">
        <v>171.68293383091716</v>
      </c>
      <c r="J47" s="116">
        <v>150</v>
      </c>
      <c r="K47" s="116">
        <v>171.68293383091716</v>
      </c>
      <c r="L47" s="116">
        <v>150</v>
      </c>
      <c r="M47" s="116">
        <v>171.68293383091716</v>
      </c>
      <c r="N47" s="116">
        <v>150</v>
      </c>
      <c r="O47" s="116">
        <v>171.68293383091716</v>
      </c>
      <c r="P47" s="116">
        <v>150</v>
      </c>
      <c r="Q47" s="116">
        <v>171.68293383091716</v>
      </c>
      <c r="R47" s="116">
        <v>150</v>
      </c>
      <c r="S47" s="116">
        <v>171.68293383091716</v>
      </c>
      <c r="T47" s="116">
        <v>150</v>
      </c>
      <c r="U47" s="116">
        <v>171.68293383091716</v>
      </c>
      <c r="V47" s="116">
        <v>150</v>
      </c>
      <c r="W47" s="116">
        <v>171.68293383091716</v>
      </c>
      <c r="X47" s="116">
        <v>150</v>
      </c>
      <c r="Y47" s="116">
        <v>171.68293383091716</v>
      </c>
      <c r="Z47" s="116">
        <v>150</v>
      </c>
      <c r="AA47" s="116">
        <v>171.68293383091716</v>
      </c>
      <c r="AB47" s="116">
        <v>150</v>
      </c>
      <c r="AC47" s="116">
        <v>171.68293383091716</v>
      </c>
      <c r="AD47" s="116">
        <v>150</v>
      </c>
      <c r="AE47" s="116">
        <v>171.68293383091716</v>
      </c>
      <c r="AF47" s="116">
        <v>150</v>
      </c>
      <c r="AG47" s="116">
        <v>171.68293383091716</v>
      </c>
      <c r="AH47" s="116">
        <v>150</v>
      </c>
      <c r="AI47" s="116">
        <v>171.68293383091716</v>
      </c>
      <c r="AJ47" s="116">
        <v>150</v>
      </c>
      <c r="AK47" s="116">
        <v>171.68293383091716</v>
      </c>
      <c r="AL47" s="116">
        <v>150</v>
      </c>
      <c r="AM47" s="116">
        <v>171.68293383091716</v>
      </c>
      <c r="AN47" s="116">
        <v>150</v>
      </c>
      <c r="AO47" s="116"/>
      <c r="AP47" s="116">
        <v>330</v>
      </c>
      <c r="AQ47" s="116"/>
      <c r="AR47" s="116"/>
      <c r="AS47" s="116">
        <v>330</v>
      </c>
      <c r="AT47" s="116"/>
      <c r="AU47" s="116">
        <v>171.68293383091716</v>
      </c>
      <c r="AV47" s="116">
        <v>150</v>
      </c>
      <c r="AW47" s="116">
        <v>171.68293383091716</v>
      </c>
      <c r="AX47" s="116">
        <v>150</v>
      </c>
      <c r="AY47" s="116">
        <v>171.68293383091716</v>
      </c>
    </row>
    <row r="48" spans="1:52" x14ac:dyDescent="0.2">
      <c r="A48" s="116"/>
      <c r="B48" s="171" t="s">
        <v>344</v>
      </c>
      <c r="C48" s="116"/>
      <c r="D48" s="116"/>
      <c r="E48" s="116">
        <v>0</v>
      </c>
      <c r="F48" s="116">
        <v>0</v>
      </c>
      <c r="G48" s="116">
        <v>0</v>
      </c>
      <c r="H48" s="116">
        <v>0</v>
      </c>
      <c r="I48" s="116">
        <v>0</v>
      </c>
      <c r="J48" s="116">
        <v>0</v>
      </c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/>
      <c r="AP48" s="116">
        <v>0</v>
      </c>
      <c r="AQ48" s="116"/>
      <c r="AR48" s="116"/>
      <c r="AS48" s="116">
        <v>0</v>
      </c>
      <c r="AT48" s="116"/>
      <c r="AU48" s="116">
        <v>0</v>
      </c>
      <c r="AV48" s="116">
        <v>0</v>
      </c>
      <c r="AW48" s="116">
        <v>0</v>
      </c>
      <c r="AX48" s="116">
        <v>0</v>
      </c>
      <c r="AY48" s="116">
        <v>0</v>
      </c>
    </row>
    <row r="49" spans="1:52" x14ac:dyDescent="0.2">
      <c r="A49" s="116"/>
      <c r="B49" s="171" t="s">
        <v>345</v>
      </c>
      <c r="C49" s="116"/>
      <c r="D49" s="116"/>
      <c r="E49" s="116">
        <v>6</v>
      </c>
      <c r="F49" s="116">
        <v>5</v>
      </c>
      <c r="G49" s="116">
        <v>6</v>
      </c>
      <c r="H49" s="116">
        <v>5</v>
      </c>
      <c r="I49" s="116">
        <v>6</v>
      </c>
      <c r="J49" s="116">
        <v>5</v>
      </c>
      <c r="K49" s="116">
        <v>6</v>
      </c>
      <c r="L49" s="116">
        <v>5</v>
      </c>
      <c r="M49" s="116">
        <v>6</v>
      </c>
      <c r="N49" s="116">
        <v>5</v>
      </c>
      <c r="O49" s="116">
        <v>6</v>
      </c>
      <c r="P49" s="116">
        <v>5</v>
      </c>
      <c r="Q49" s="116">
        <v>6</v>
      </c>
      <c r="R49" s="116">
        <v>5</v>
      </c>
      <c r="S49" s="116">
        <v>6</v>
      </c>
      <c r="T49" s="116">
        <v>5</v>
      </c>
      <c r="U49" s="116">
        <v>6</v>
      </c>
      <c r="V49" s="116">
        <v>5</v>
      </c>
      <c r="W49" s="116">
        <v>6</v>
      </c>
      <c r="X49" s="116">
        <v>5</v>
      </c>
      <c r="Y49" s="116">
        <v>6</v>
      </c>
      <c r="Z49" s="116">
        <v>5</v>
      </c>
      <c r="AA49" s="116">
        <v>6</v>
      </c>
      <c r="AB49" s="116">
        <v>5</v>
      </c>
      <c r="AC49" s="116">
        <v>6</v>
      </c>
      <c r="AD49" s="116">
        <v>5</v>
      </c>
      <c r="AE49" s="116">
        <v>6</v>
      </c>
      <c r="AF49" s="116">
        <v>5</v>
      </c>
      <c r="AG49" s="116">
        <v>6</v>
      </c>
      <c r="AH49" s="116">
        <v>5</v>
      </c>
      <c r="AI49" s="116">
        <v>6</v>
      </c>
      <c r="AJ49" s="116">
        <v>5</v>
      </c>
      <c r="AK49" s="116">
        <v>6</v>
      </c>
      <c r="AL49" s="116">
        <v>5</v>
      </c>
      <c r="AM49" s="116">
        <v>6</v>
      </c>
      <c r="AN49" s="116">
        <v>5</v>
      </c>
      <c r="AO49" s="116"/>
      <c r="AP49" s="116">
        <v>11</v>
      </c>
      <c r="AQ49" s="116"/>
      <c r="AR49" s="116"/>
      <c r="AS49" s="116">
        <v>11</v>
      </c>
      <c r="AT49" s="116"/>
      <c r="AU49" s="116">
        <v>6</v>
      </c>
      <c r="AV49" s="116">
        <v>5</v>
      </c>
      <c r="AW49" s="116">
        <v>6</v>
      </c>
      <c r="AX49" s="116">
        <v>5</v>
      </c>
      <c r="AY49" s="116">
        <v>6</v>
      </c>
    </row>
    <row r="50" spans="1:52" x14ac:dyDescent="0.2">
      <c r="A50" s="116"/>
      <c r="B50" s="171" t="s">
        <v>346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21.682933830917165</v>
      </c>
      <c r="G50" s="116">
        <f t="shared" si="15"/>
        <v>0</v>
      </c>
      <c r="H50" s="116">
        <f t="shared" si="15"/>
        <v>21.682933830917165</v>
      </c>
      <c r="I50" s="116">
        <f t="shared" si="15"/>
        <v>0</v>
      </c>
      <c r="J50" s="116">
        <f t="shared" si="15"/>
        <v>21.682933830917165</v>
      </c>
      <c r="K50" s="116">
        <f t="shared" si="15"/>
        <v>0</v>
      </c>
      <c r="L50" s="116">
        <f t="shared" si="15"/>
        <v>21.682933830917165</v>
      </c>
      <c r="M50" s="116">
        <f t="shared" si="15"/>
        <v>0</v>
      </c>
      <c r="N50" s="116">
        <f t="shared" si="15"/>
        <v>21.682933830917165</v>
      </c>
      <c r="O50" s="116">
        <f t="shared" si="15"/>
        <v>0</v>
      </c>
      <c r="P50" s="116">
        <f t="shared" si="15"/>
        <v>21.682933830917165</v>
      </c>
      <c r="Q50" s="116">
        <f t="shared" si="15"/>
        <v>0</v>
      </c>
      <c r="R50" s="116">
        <f t="shared" si="15"/>
        <v>21.682933830917165</v>
      </c>
      <c r="S50" s="116">
        <f t="shared" si="15"/>
        <v>0</v>
      </c>
      <c r="T50" s="116">
        <f t="shared" si="15"/>
        <v>21.682933830917165</v>
      </c>
      <c r="U50" s="116">
        <f t="shared" si="15"/>
        <v>0</v>
      </c>
      <c r="V50" s="116">
        <f t="shared" si="15"/>
        <v>21.682933830917165</v>
      </c>
      <c r="W50" s="116">
        <f t="shared" si="15"/>
        <v>0</v>
      </c>
      <c r="X50" s="116">
        <f t="shared" si="15"/>
        <v>21.682933830917165</v>
      </c>
      <c r="Y50" s="116">
        <f t="shared" si="15"/>
        <v>0</v>
      </c>
      <c r="Z50" s="116">
        <f t="shared" si="15"/>
        <v>21.682933830917165</v>
      </c>
      <c r="AA50" s="116">
        <f t="shared" si="15"/>
        <v>0</v>
      </c>
      <c r="AB50" s="116">
        <f t="shared" si="15"/>
        <v>21.682933830917165</v>
      </c>
      <c r="AC50" s="116">
        <f t="shared" si="15"/>
        <v>0</v>
      </c>
      <c r="AD50" s="116">
        <f t="shared" si="15"/>
        <v>21.682933830917165</v>
      </c>
      <c r="AE50" s="116">
        <f t="shared" si="15"/>
        <v>0</v>
      </c>
      <c r="AF50" s="116">
        <f t="shared" si="15"/>
        <v>21.682933830917165</v>
      </c>
      <c r="AG50" s="116">
        <f t="shared" si="15"/>
        <v>0</v>
      </c>
      <c r="AH50" s="116">
        <f t="shared" si="15"/>
        <v>21.682933830917165</v>
      </c>
      <c r="AI50" s="116">
        <f t="shared" si="15"/>
        <v>0</v>
      </c>
      <c r="AJ50" s="116">
        <f t="shared" si="15"/>
        <v>21.682933830917165</v>
      </c>
      <c r="AK50" s="116">
        <f t="shared" si="15"/>
        <v>0</v>
      </c>
      <c r="AL50" s="116">
        <f t="shared" si="15"/>
        <v>21.682933830917165</v>
      </c>
      <c r="AM50" s="116">
        <f t="shared" si="15"/>
        <v>0</v>
      </c>
      <c r="AN50" s="116">
        <f t="shared" si="15"/>
        <v>21.682933830917165</v>
      </c>
      <c r="AO50" s="116">
        <f t="shared" si="15"/>
        <v>0</v>
      </c>
      <c r="AP50" s="116">
        <f t="shared" si="15"/>
        <v>13.365867661834329</v>
      </c>
      <c r="AQ50" s="116">
        <f t="shared" si="15"/>
        <v>171.68293383091716</v>
      </c>
      <c r="AR50" s="116">
        <f t="shared" si="15"/>
        <v>0</v>
      </c>
      <c r="AS50" s="116">
        <f t="shared" si="15"/>
        <v>13.365867661834329</v>
      </c>
      <c r="AT50" s="116">
        <f t="shared" si="15"/>
        <v>171.68293383091716</v>
      </c>
      <c r="AU50" s="116">
        <f t="shared" si="15"/>
        <v>0</v>
      </c>
      <c r="AV50" s="116">
        <f t="shared" si="15"/>
        <v>21.682933830917165</v>
      </c>
      <c r="AW50" s="116">
        <f t="shared" si="15"/>
        <v>0</v>
      </c>
      <c r="AX50" s="116">
        <f t="shared" si="15"/>
        <v>21.682933830917165</v>
      </c>
      <c r="AY50" s="116">
        <f t="shared" si="15"/>
        <v>0</v>
      </c>
    </row>
    <row r="51" spans="1:52" x14ac:dyDescent="0.2">
      <c r="A51" s="116"/>
      <c r="B51" s="171" t="s">
        <v>347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348</v>
      </c>
      <c r="C52" s="116"/>
      <c r="D52" s="116">
        <v>1</v>
      </c>
      <c r="E52" s="116">
        <v>1</v>
      </c>
      <c r="F52" s="116">
        <v>1</v>
      </c>
      <c r="G52" s="116">
        <v>1</v>
      </c>
      <c r="H52" s="116">
        <v>1</v>
      </c>
      <c r="I52" s="116">
        <v>1</v>
      </c>
      <c r="J52" s="116">
        <v>1</v>
      </c>
      <c r="K52" s="116">
        <v>2</v>
      </c>
      <c r="L52" s="116">
        <v>2</v>
      </c>
      <c r="M52" s="116">
        <v>2</v>
      </c>
      <c r="N52" s="116">
        <v>2</v>
      </c>
      <c r="O52" s="116">
        <v>1</v>
      </c>
      <c r="P52" s="116">
        <v>2</v>
      </c>
      <c r="Q52" s="116">
        <v>2</v>
      </c>
      <c r="R52" s="116">
        <v>1</v>
      </c>
      <c r="S52" s="116">
        <v>3</v>
      </c>
      <c r="T52" s="116">
        <v>1</v>
      </c>
      <c r="U52" s="116">
        <v>3</v>
      </c>
      <c r="V52" s="116">
        <v>1</v>
      </c>
      <c r="W52" s="116">
        <v>3</v>
      </c>
      <c r="X52" s="116">
        <v>1</v>
      </c>
      <c r="Y52" s="116">
        <v>1</v>
      </c>
      <c r="Z52" s="116">
        <v>2</v>
      </c>
      <c r="AA52" s="116">
        <v>2</v>
      </c>
      <c r="AB52" s="116">
        <v>1</v>
      </c>
      <c r="AC52" s="116">
        <v>1</v>
      </c>
      <c r="AD52" s="116">
        <v>2</v>
      </c>
      <c r="AE52" s="116">
        <v>1</v>
      </c>
      <c r="AF52" s="116">
        <v>1</v>
      </c>
      <c r="AG52" s="116">
        <v>1</v>
      </c>
      <c r="AH52" s="116">
        <v>2</v>
      </c>
      <c r="AI52" s="116">
        <v>2</v>
      </c>
      <c r="AJ52" s="116">
        <v>1</v>
      </c>
      <c r="AK52" s="116">
        <v>2</v>
      </c>
      <c r="AL52" s="116">
        <v>1</v>
      </c>
      <c r="AM52" s="116">
        <v>2</v>
      </c>
      <c r="AN52" s="116">
        <v>1</v>
      </c>
      <c r="AO52" s="116">
        <v>1</v>
      </c>
      <c r="AP52" s="116">
        <v>1</v>
      </c>
      <c r="AQ52" s="116">
        <v>1</v>
      </c>
      <c r="AR52" s="116">
        <v>1</v>
      </c>
      <c r="AS52" s="116">
        <v>1</v>
      </c>
      <c r="AT52" s="116">
        <v>2</v>
      </c>
      <c r="AU52" s="116">
        <v>1</v>
      </c>
      <c r="AV52" s="116">
        <v>1</v>
      </c>
      <c r="AW52" s="116">
        <v>1</v>
      </c>
      <c r="AX52" s="116">
        <v>2</v>
      </c>
      <c r="AY52" s="116">
        <v>2</v>
      </c>
    </row>
    <row r="53" spans="1:52" x14ac:dyDescent="0.2">
      <c r="A53" s="116"/>
      <c r="B53" s="184" t="s">
        <v>349</v>
      </c>
      <c r="C53" s="116"/>
      <c r="D53" s="116">
        <v>0</v>
      </c>
      <c r="E53" s="116">
        <v>155088</v>
      </c>
      <c r="F53" s="116">
        <v>129240</v>
      </c>
      <c r="G53" s="116">
        <v>155088</v>
      </c>
      <c r="H53" s="116">
        <v>129240</v>
      </c>
      <c r="I53" s="116">
        <v>155088</v>
      </c>
      <c r="J53" s="116">
        <v>129240</v>
      </c>
      <c r="K53" s="116">
        <v>155088</v>
      </c>
      <c r="L53" s="116">
        <v>129240</v>
      </c>
      <c r="M53" s="116">
        <v>155088</v>
      </c>
      <c r="N53" s="116">
        <v>129240</v>
      </c>
      <c r="O53" s="116">
        <v>155088</v>
      </c>
      <c r="P53" s="116">
        <v>129240</v>
      </c>
      <c r="Q53" s="116">
        <v>155088</v>
      </c>
      <c r="R53" s="116">
        <v>129240</v>
      </c>
      <c r="S53" s="116">
        <v>155088</v>
      </c>
      <c r="T53" s="116">
        <v>129240</v>
      </c>
      <c r="U53" s="116">
        <v>155088</v>
      </c>
      <c r="V53" s="116">
        <v>129240</v>
      </c>
      <c r="W53" s="116">
        <v>155088</v>
      </c>
      <c r="X53" s="116">
        <v>129240</v>
      </c>
      <c r="Y53" s="116">
        <v>155088</v>
      </c>
      <c r="Z53" s="116">
        <v>129240</v>
      </c>
      <c r="AA53" s="116">
        <v>155088</v>
      </c>
      <c r="AB53" s="116">
        <v>129240</v>
      </c>
      <c r="AC53" s="116">
        <v>155088</v>
      </c>
      <c r="AD53" s="116">
        <v>129240</v>
      </c>
      <c r="AE53" s="116">
        <v>155088</v>
      </c>
      <c r="AF53" s="116">
        <v>129240</v>
      </c>
      <c r="AG53" s="116">
        <v>155088</v>
      </c>
      <c r="AH53" s="116">
        <v>129240</v>
      </c>
      <c r="AI53" s="116">
        <v>155088</v>
      </c>
      <c r="AJ53" s="116">
        <v>129240</v>
      </c>
      <c r="AK53" s="116">
        <v>155088</v>
      </c>
      <c r="AL53" s="116">
        <v>129240</v>
      </c>
      <c r="AM53" s="116">
        <v>155088</v>
      </c>
      <c r="AN53" s="116">
        <v>129240</v>
      </c>
      <c r="AO53" s="116">
        <v>0</v>
      </c>
      <c r="AP53" s="116">
        <v>284328</v>
      </c>
      <c r="AQ53" s="116">
        <v>0</v>
      </c>
      <c r="AR53" s="116">
        <v>0</v>
      </c>
      <c r="AS53" s="116">
        <v>284328</v>
      </c>
      <c r="AT53" s="116">
        <v>0</v>
      </c>
      <c r="AU53" s="116">
        <v>155088</v>
      </c>
      <c r="AV53" s="116">
        <v>129240</v>
      </c>
      <c r="AW53" s="116">
        <v>155088</v>
      </c>
      <c r="AX53" s="116">
        <v>129240</v>
      </c>
      <c r="AY53" s="116">
        <v>155088</v>
      </c>
      <c r="AZ53" s="106">
        <f>SUM($D$53:$AY$53)</f>
        <v>6410304</v>
      </c>
    </row>
    <row r="54" spans="1:52" x14ac:dyDescent="0.2">
      <c r="A54" s="131"/>
      <c r="B54" s="146" t="s">
        <v>350</v>
      </c>
      <c r="C54" s="131"/>
      <c r="D54" s="131">
        <v>0</v>
      </c>
      <c r="E54" s="131">
        <v>0</v>
      </c>
      <c r="F54" s="131">
        <v>10119.42521888904</v>
      </c>
      <c r="G54" s="131">
        <v>0</v>
      </c>
      <c r="H54" s="131">
        <v>10119.42521888904</v>
      </c>
      <c r="I54" s="131">
        <v>0</v>
      </c>
      <c r="J54" s="131">
        <v>10119.42521888904</v>
      </c>
      <c r="K54" s="131">
        <v>0</v>
      </c>
      <c r="L54" s="131">
        <v>10119.42521888904</v>
      </c>
      <c r="M54" s="131">
        <v>0</v>
      </c>
      <c r="N54" s="131">
        <v>10119.42521888904</v>
      </c>
      <c r="O54" s="131">
        <v>0</v>
      </c>
      <c r="P54" s="131">
        <v>10119.42521888904</v>
      </c>
      <c r="Q54" s="131">
        <v>0</v>
      </c>
      <c r="R54" s="131">
        <v>10119.42521888904</v>
      </c>
      <c r="S54" s="131">
        <v>0</v>
      </c>
      <c r="T54" s="131">
        <v>10119.42521888904</v>
      </c>
      <c r="U54" s="131">
        <v>0</v>
      </c>
      <c r="V54" s="131">
        <v>10119.42521888904</v>
      </c>
      <c r="W54" s="131">
        <v>0</v>
      </c>
      <c r="X54" s="131">
        <v>10119.42521888904</v>
      </c>
      <c r="Y54" s="131">
        <v>0</v>
      </c>
      <c r="Z54" s="131">
        <v>10119.42521888904</v>
      </c>
      <c r="AA54" s="131">
        <v>0</v>
      </c>
      <c r="AB54" s="131">
        <v>10119.42521888904</v>
      </c>
      <c r="AC54" s="131">
        <v>0</v>
      </c>
      <c r="AD54" s="131">
        <v>10119.42521888904</v>
      </c>
      <c r="AE54" s="131">
        <v>0</v>
      </c>
      <c r="AF54" s="131">
        <v>10119.42521888904</v>
      </c>
      <c r="AG54" s="131">
        <v>0</v>
      </c>
      <c r="AH54" s="131">
        <v>10119.42521888904</v>
      </c>
      <c r="AI54" s="131">
        <v>0</v>
      </c>
      <c r="AJ54" s="131">
        <v>10119.42521888904</v>
      </c>
      <c r="AK54" s="131">
        <v>0</v>
      </c>
      <c r="AL54" s="131">
        <v>10119.42521888904</v>
      </c>
      <c r="AM54" s="131">
        <v>0</v>
      </c>
      <c r="AN54" s="131">
        <v>10119.42521888904</v>
      </c>
      <c r="AO54" s="131">
        <v>0</v>
      </c>
      <c r="AP54" s="131">
        <v>6237.850437778081</v>
      </c>
      <c r="AQ54" s="131">
        <v>80124.425218889053</v>
      </c>
      <c r="AR54" s="131">
        <v>0</v>
      </c>
      <c r="AS54" s="131">
        <v>6237.850437778081</v>
      </c>
      <c r="AT54" s="131">
        <v>80124.425218889053</v>
      </c>
      <c r="AU54" s="131">
        <v>0</v>
      </c>
      <c r="AV54" s="131">
        <v>10119.42521888904</v>
      </c>
      <c r="AW54" s="131">
        <v>0</v>
      </c>
      <c r="AX54" s="131">
        <v>10119.42521888904</v>
      </c>
      <c r="AY54" s="131">
        <v>0</v>
      </c>
      <c r="AZ54" s="106">
        <f>SUM($D$54:$AY$54)</f>
        <v>375113.05569111509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302</v>
      </c>
      <c r="B2" s="113" t="s">
        <v>10</v>
      </c>
      <c r="E2" s="116"/>
    </row>
    <row r="3" spans="1:52" x14ac:dyDescent="0.2">
      <c r="A3" s="106" t="s">
        <v>285</v>
      </c>
      <c r="B3" s="113">
        <v>500</v>
      </c>
      <c r="E3" s="116"/>
    </row>
    <row r="4" spans="1:52" x14ac:dyDescent="0.2">
      <c r="A4" s="108"/>
      <c r="C4" s="117" t="s">
        <v>286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303</v>
      </c>
      <c r="B6" s="120"/>
      <c r="C6" s="119" t="s">
        <v>287</v>
      </c>
      <c r="D6" s="118" t="s">
        <v>288</v>
      </c>
      <c r="E6" s="118" t="s">
        <v>288</v>
      </c>
      <c r="F6" s="118" t="s">
        <v>288</v>
      </c>
      <c r="G6" s="118" t="s">
        <v>288</v>
      </c>
      <c r="H6" s="118" t="s">
        <v>288</v>
      </c>
      <c r="I6" s="118" t="s">
        <v>288</v>
      </c>
      <c r="J6" s="118" t="s">
        <v>288</v>
      </c>
      <c r="K6" s="118" t="s">
        <v>288</v>
      </c>
      <c r="L6" s="118" t="s">
        <v>288</v>
      </c>
      <c r="M6" s="118" t="s">
        <v>288</v>
      </c>
      <c r="N6" s="118" t="s">
        <v>288</v>
      </c>
      <c r="O6" s="118" t="s">
        <v>288</v>
      </c>
      <c r="P6" s="118" t="s">
        <v>288</v>
      </c>
      <c r="Q6" s="118" t="s">
        <v>288</v>
      </c>
      <c r="R6" s="118" t="s">
        <v>288</v>
      </c>
      <c r="S6" s="118" t="s">
        <v>288</v>
      </c>
      <c r="T6" s="118" t="s">
        <v>288</v>
      </c>
      <c r="U6" s="118" t="s">
        <v>288</v>
      </c>
      <c r="V6" s="118" t="s">
        <v>288</v>
      </c>
      <c r="W6" s="118" t="s">
        <v>288</v>
      </c>
      <c r="X6" s="118" t="s">
        <v>288</v>
      </c>
      <c r="Y6" s="118" t="s">
        <v>288</v>
      </c>
      <c r="Z6" s="118" t="s">
        <v>288</v>
      </c>
      <c r="AA6" s="118" t="s">
        <v>288</v>
      </c>
      <c r="AB6" s="118" t="s">
        <v>288</v>
      </c>
      <c r="AC6" s="118" t="s">
        <v>288</v>
      </c>
      <c r="AD6" s="118" t="s">
        <v>288</v>
      </c>
      <c r="AE6" s="118" t="s">
        <v>288</v>
      </c>
      <c r="AF6" s="118" t="s">
        <v>288</v>
      </c>
      <c r="AG6" s="118" t="s">
        <v>288</v>
      </c>
      <c r="AH6" s="118" t="s">
        <v>288</v>
      </c>
      <c r="AI6" s="118" t="s">
        <v>288</v>
      </c>
      <c r="AJ6" s="118" t="s">
        <v>288</v>
      </c>
      <c r="AK6" s="118" t="s">
        <v>288</v>
      </c>
      <c r="AL6" s="118" t="s">
        <v>288</v>
      </c>
      <c r="AM6" s="118" t="s">
        <v>288</v>
      </c>
      <c r="AN6" s="118" t="s">
        <v>288</v>
      </c>
      <c r="AO6" s="118" t="s">
        <v>288</v>
      </c>
      <c r="AP6" s="118" t="s">
        <v>288</v>
      </c>
      <c r="AQ6" s="118" t="s">
        <v>288</v>
      </c>
      <c r="AR6" s="118" t="s">
        <v>288</v>
      </c>
      <c r="AS6" s="118" t="s">
        <v>288</v>
      </c>
      <c r="AT6" s="118" t="s">
        <v>288</v>
      </c>
      <c r="AU6" s="118" t="s">
        <v>288</v>
      </c>
      <c r="AV6" s="118" t="s">
        <v>288</v>
      </c>
      <c r="AW6" s="118" t="s">
        <v>288</v>
      </c>
      <c r="AX6" s="118" t="s">
        <v>288</v>
      </c>
      <c r="AY6" s="117" t="s">
        <v>289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292</v>
      </c>
      <c r="D7" s="150">
        <v>500</v>
      </c>
      <c r="E7" s="150">
        <v>500</v>
      </c>
      <c r="F7" s="150">
        <v>500</v>
      </c>
      <c r="G7" s="150">
        <v>500</v>
      </c>
      <c r="H7" s="150">
        <v>500</v>
      </c>
      <c r="I7" s="150">
        <v>500</v>
      </c>
      <c r="J7" s="150">
        <v>500</v>
      </c>
      <c r="K7" s="150">
        <v>500</v>
      </c>
      <c r="L7" s="150">
        <v>500</v>
      </c>
      <c r="M7" s="150">
        <v>500</v>
      </c>
      <c r="N7" s="150">
        <v>500</v>
      </c>
      <c r="O7" s="150">
        <v>500</v>
      </c>
      <c r="P7" s="150">
        <v>500</v>
      </c>
      <c r="Q7" s="150">
        <v>500</v>
      </c>
      <c r="R7" s="150">
        <v>500</v>
      </c>
      <c r="S7" s="150">
        <v>500</v>
      </c>
      <c r="T7" s="150">
        <v>500</v>
      </c>
      <c r="U7" s="150">
        <v>500</v>
      </c>
      <c r="V7" s="150">
        <v>500</v>
      </c>
      <c r="W7" s="150">
        <v>500</v>
      </c>
      <c r="X7" s="150">
        <v>500</v>
      </c>
      <c r="Y7" s="150">
        <v>500</v>
      </c>
      <c r="Z7" s="150">
        <v>500</v>
      </c>
      <c r="AA7" s="150">
        <v>500</v>
      </c>
      <c r="AB7" s="150">
        <v>500</v>
      </c>
      <c r="AC7" s="150">
        <v>500</v>
      </c>
      <c r="AD7" s="150">
        <v>500</v>
      </c>
      <c r="AE7" s="150">
        <v>500</v>
      </c>
      <c r="AF7" s="150">
        <v>500</v>
      </c>
      <c r="AG7" s="150">
        <v>500</v>
      </c>
      <c r="AH7" s="150">
        <v>500</v>
      </c>
      <c r="AI7" s="150">
        <v>500</v>
      </c>
      <c r="AJ7" s="150">
        <v>500</v>
      </c>
      <c r="AK7" s="150">
        <v>500</v>
      </c>
      <c r="AL7" s="150">
        <v>500</v>
      </c>
      <c r="AM7" s="150">
        <v>500</v>
      </c>
      <c r="AN7" s="150">
        <v>500</v>
      </c>
      <c r="AO7" s="150">
        <v>500</v>
      </c>
      <c r="AP7" s="150">
        <v>500</v>
      </c>
      <c r="AQ7" s="150">
        <v>500</v>
      </c>
      <c r="AR7" s="150">
        <v>500</v>
      </c>
      <c r="AS7" s="150">
        <v>500</v>
      </c>
      <c r="AT7" s="150">
        <v>500</v>
      </c>
      <c r="AU7" s="150">
        <v>500</v>
      </c>
      <c r="AV7" s="150">
        <v>500</v>
      </c>
      <c r="AW7" s="150">
        <v>500</v>
      </c>
      <c r="AX7" s="150">
        <v>500</v>
      </c>
      <c r="AY7" s="150">
        <v>500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293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292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500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500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1000</v>
      </c>
    </row>
    <row r="11" spans="1:52" x14ac:dyDescent="0.2">
      <c r="C11" s="116"/>
    </row>
    <row r="12" spans="1:52" x14ac:dyDescent="0.2">
      <c r="A12" s="158" t="s">
        <v>294</v>
      </c>
      <c r="B12" s="152"/>
      <c r="C12" s="116"/>
    </row>
    <row r="13" spans="1:52" x14ac:dyDescent="0.2">
      <c r="A13" s="128" t="s">
        <v>125</v>
      </c>
      <c r="B13" s="129">
        <v>1</v>
      </c>
      <c r="C13" s="130"/>
      <c r="D13" s="144">
        <f t="shared" ref="D13:AY13" si="1">D$7-D$10</f>
        <v>500</v>
      </c>
      <c r="E13" s="144">
        <f t="shared" si="1"/>
        <v>500</v>
      </c>
      <c r="F13" s="144">
        <f t="shared" si="1"/>
        <v>500</v>
      </c>
      <c r="G13" s="144">
        <f t="shared" si="1"/>
        <v>500</v>
      </c>
      <c r="H13" s="144">
        <f t="shared" si="1"/>
        <v>0</v>
      </c>
      <c r="I13" s="144">
        <f t="shared" si="1"/>
        <v>500</v>
      </c>
      <c r="J13" s="144">
        <f t="shared" si="1"/>
        <v>500</v>
      </c>
      <c r="K13" s="144">
        <f t="shared" si="1"/>
        <v>500</v>
      </c>
      <c r="L13" s="144">
        <f t="shared" si="1"/>
        <v>500</v>
      </c>
      <c r="M13" s="144">
        <f t="shared" si="1"/>
        <v>500</v>
      </c>
      <c r="N13" s="144">
        <f t="shared" si="1"/>
        <v>500</v>
      </c>
      <c r="O13" s="144">
        <f t="shared" si="1"/>
        <v>500</v>
      </c>
      <c r="P13" s="144">
        <f t="shared" si="1"/>
        <v>500</v>
      </c>
      <c r="Q13" s="144">
        <f t="shared" si="1"/>
        <v>500</v>
      </c>
      <c r="R13" s="144">
        <f t="shared" si="1"/>
        <v>500</v>
      </c>
      <c r="S13" s="144">
        <f t="shared" si="1"/>
        <v>500</v>
      </c>
      <c r="T13" s="144">
        <f t="shared" si="1"/>
        <v>500</v>
      </c>
      <c r="U13" s="144">
        <f t="shared" si="1"/>
        <v>500</v>
      </c>
      <c r="V13" s="144">
        <f t="shared" si="1"/>
        <v>500</v>
      </c>
      <c r="W13" s="144">
        <f t="shared" si="1"/>
        <v>500</v>
      </c>
      <c r="X13" s="144">
        <f t="shared" si="1"/>
        <v>500</v>
      </c>
      <c r="Y13" s="144">
        <f t="shared" si="1"/>
        <v>500</v>
      </c>
      <c r="Z13" s="144">
        <f t="shared" si="1"/>
        <v>500</v>
      </c>
      <c r="AA13" s="144">
        <f t="shared" si="1"/>
        <v>500</v>
      </c>
      <c r="AB13" s="144">
        <f t="shared" si="1"/>
        <v>500</v>
      </c>
      <c r="AC13" s="144">
        <f t="shared" si="1"/>
        <v>500</v>
      </c>
      <c r="AD13" s="144">
        <f t="shared" si="1"/>
        <v>500</v>
      </c>
      <c r="AE13" s="144">
        <f t="shared" si="1"/>
        <v>500</v>
      </c>
      <c r="AF13" s="144">
        <f t="shared" si="1"/>
        <v>500</v>
      </c>
      <c r="AG13" s="144">
        <f t="shared" si="1"/>
        <v>500</v>
      </c>
      <c r="AH13" s="144">
        <f t="shared" si="1"/>
        <v>500</v>
      </c>
      <c r="AI13" s="144">
        <f t="shared" si="1"/>
        <v>500</v>
      </c>
      <c r="AJ13" s="144">
        <f t="shared" si="1"/>
        <v>500</v>
      </c>
      <c r="AK13" s="144">
        <f t="shared" si="1"/>
        <v>500</v>
      </c>
      <c r="AL13" s="144">
        <f t="shared" si="1"/>
        <v>500</v>
      </c>
      <c r="AM13" s="144">
        <f t="shared" si="1"/>
        <v>500</v>
      </c>
      <c r="AN13" s="144">
        <f t="shared" si="1"/>
        <v>500</v>
      </c>
      <c r="AO13" s="144">
        <f t="shared" si="1"/>
        <v>500</v>
      </c>
      <c r="AP13" s="144">
        <f t="shared" si="1"/>
        <v>500</v>
      </c>
      <c r="AQ13" s="144">
        <f t="shared" si="1"/>
        <v>0</v>
      </c>
      <c r="AR13" s="144">
        <f t="shared" si="1"/>
        <v>500</v>
      </c>
      <c r="AS13" s="144">
        <f t="shared" si="1"/>
        <v>500</v>
      </c>
      <c r="AT13" s="144">
        <f t="shared" si="1"/>
        <v>500</v>
      </c>
      <c r="AU13" s="144">
        <f t="shared" si="1"/>
        <v>500</v>
      </c>
      <c r="AV13" s="144">
        <f t="shared" si="1"/>
        <v>500</v>
      </c>
      <c r="AW13" s="144">
        <f t="shared" si="1"/>
        <v>500</v>
      </c>
      <c r="AX13" s="144">
        <f t="shared" si="1"/>
        <v>500</v>
      </c>
      <c r="AY13" s="144">
        <f t="shared" si="1"/>
        <v>500</v>
      </c>
      <c r="AZ13" s="115"/>
    </row>
    <row r="14" spans="1:52" x14ac:dyDescent="0.2">
      <c r="A14" s="116"/>
      <c r="B14" s="126">
        <v>2</v>
      </c>
      <c r="C14" s="116"/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500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500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/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/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295</v>
      </c>
      <c r="C17" s="131"/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304</v>
      </c>
      <c r="B20" s="160" t="s">
        <v>305</v>
      </c>
      <c r="C20" s="123"/>
      <c r="D20" s="123"/>
      <c r="E20" s="123"/>
      <c r="F20" s="123"/>
      <c r="G20" s="123" t="s">
        <v>338</v>
      </c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 t="s">
        <v>338</v>
      </c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shipping_manufacturing!$E$19/100</f>
        <v>1</v>
      </c>
      <c r="C21" s="162" t="s">
        <v>292</v>
      </c>
      <c r="D21" s="112">
        <f>IF(C$20="Yes",0,SUM(C$13:C$16)*$B$21)</f>
        <v>0</v>
      </c>
      <c r="E21" s="112">
        <f t="shared" ref="E21:AY21" si="3">IF(D$20="Yes",0,SUM(D$13:D$16)*$B$21)</f>
        <v>500</v>
      </c>
      <c r="F21" s="112">
        <f t="shared" si="3"/>
        <v>500</v>
      </c>
      <c r="G21" s="112">
        <f t="shared" si="3"/>
        <v>500</v>
      </c>
      <c r="H21" s="112">
        <f t="shared" si="3"/>
        <v>0</v>
      </c>
      <c r="I21" s="112">
        <f t="shared" si="3"/>
        <v>500</v>
      </c>
      <c r="J21" s="112">
        <f t="shared" si="3"/>
        <v>500</v>
      </c>
      <c r="K21" s="112">
        <f t="shared" si="3"/>
        <v>500</v>
      </c>
      <c r="L21" s="112">
        <f t="shared" si="3"/>
        <v>500</v>
      </c>
      <c r="M21" s="112">
        <f t="shared" si="3"/>
        <v>500</v>
      </c>
      <c r="N21" s="112">
        <f t="shared" si="3"/>
        <v>500</v>
      </c>
      <c r="O21" s="112">
        <f t="shared" si="3"/>
        <v>500</v>
      </c>
      <c r="P21" s="112">
        <f t="shared" si="3"/>
        <v>500</v>
      </c>
      <c r="Q21" s="112">
        <f t="shared" si="3"/>
        <v>500</v>
      </c>
      <c r="R21" s="112">
        <f t="shared" si="3"/>
        <v>500</v>
      </c>
      <c r="S21" s="112">
        <f t="shared" si="3"/>
        <v>500</v>
      </c>
      <c r="T21" s="112">
        <f t="shared" si="3"/>
        <v>500</v>
      </c>
      <c r="U21" s="112">
        <f t="shared" si="3"/>
        <v>500</v>
      </c>
      <c r="V21" s="112">
        <f t="shared" si="3"/>
        <v>500</v>
      </c>
      <c r="W21" s="112">
        <f t="shared" si="3"/>
        <v>500</v>
      </c>
      <c r="X21" s="112">
        <f t="shared" si="3"/>
        <v>500</v>
      </c>
      <c r="Y21" s="112">
        <f t="shared" si="3"/>
        <v>500</v>
      </c>
      <c r="Z21" s="112">
        <f t="shared" si="3"/>
        <v>500</v>
      </c>
      <c r="AA21" s="112">
        <f t="shared" si="3"/>
        <v>500</v>
      </c>
      <c r="AB21" s="112">
        <f t="shared" si="3"/>
        <v>500</v>
      </c>
      <c r="AC21" s="112">
        <f t="shared" si="3"/>
        <v>500</v>
      </c>
      <c r="AD21" s="112">
        <f t="shared" si="3"/>
        <v>500</v>
      </c>
      <c r="AE21" s="112">
        <f t="shared" si="3"/>
        <v>500</v>
      </c>
      <c r="AF21" s="112">
        <f t="shared" si="3"/>
        <v>500</v>
      </c>
      <c r="AG21" s="112">
        <f t="shared" si="3"/>
        <v>500</v>
      </c>
      <c r="AH21" s="112">
        <f t="shared" si="3"/>
        <v>500</v>
      </c>
      <c r="AI21" s="112">
        <f t="shared" si="3"/>
        <v>500</v>
      </c>
      <c r="AJ21" s="112">
        <f t="shared" si="3"/>
        <v>500</v>
      </c>
      <c r="AK21" s="112">
        <f t="shared" si="3"/>
        <v>500</v>
      </c>
      <c r="AL21" s="112">
        <f t="shared" si="3"/>
        <v>500</v>
      </c>
      <c r="AM21" s="112">
        <f t="shared" si="3"/>
        <v>500</v>
      </c>
      <c r="AN21" s="112">
        <f t="shared" si="3"/>
        <v>500</v>
      </c>
      <c r="AO21" s="112">
        <f t="shared" si="3"/>
        <v>500</v>
      </c>
      <c r="AP21" s="112">
        <f t="shared" si="3"/>
        <v>500</v>
      </c>
      <c r="AQ21" s="112">
        <f t="shared" si="3"/>
        <v>0</v>
      </c>
      <c r="AR21" s="112">
        <f t="shared" si="3"/>
        <v>500</v>
      </c>
      <c r="AS21" s="112">
        <f t="shared" si="3"/>
        <v>500</v>
      </c>
      <c r="AT21" s="112">
        <f t="shared" si="3"/>
        <v>500</v>
      </c>
      <c r="AU21" s="112">
        <f t="shared" si="3"/>
        <v>500</v>
      </c>
      <c r="AV21" s="112">
        <f t="shared" si="3"/>
        <v>500</v>
      </c>
      <c r="AW21" s="112">
        <f t="shared" si="3"/>
        <v>500</v>
      </c>
      <c r="AX21" s="112">
        <f t="shared" si="3"/>
        <v>500</v>
      </c>
      <c r="AY21" s="112">
        <f t="shared" si="3"/>
        <v>500</v>
      </c>
      <c r="AZ21" s="163">
        <f>SUM($D21:$AY21)</f>
        <v>22500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292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306</v>
      </c>
      <c r="B23" s="130">
        <v>2000</v>
      </c>
      <c r="C23" s="106" t="s">
        <v>292</v>
      </c>
      <c r="D23" s="106">
        <f>D$21*$B$23</f>
        <v>0</v>
      </c>
      <c r="E23" s="106">
        <f t="shared" ref="E23:AY23" si="6">E$21*$B$23</f>
        <v>1000000</v>
      </c>
      <c r="F23" s="106">
        <f t="shared" si="6"/>
        <v>1000000</v>
      </c>
      <c r="G23" s="106">
        <f t="shared" si="6"/>
        <v>1000000</v>
      </c>
      <c r="H23" s="106">
        <f t="shared" si="6"/>
        <v>0</v>
      </c>
      <c r="I23" s="106">
        <f t="shared" si="6"/>
        <v>1000000</v>
      </c>
      <c r="J23" s="106">
        <f t="shared" si="6"/>
        <v>1000000</v>
      </c>
      <c r="K23" s="106">
        <f t="shared" si="6"/>
        <v>1000000</v>
      </c>
      <c r="L23" s="106">
        <f t="shared" si="6"/>
        <v>1000000</v>
      </c>
      <c r="M23" s="106">
        <f t="shared" si="6"/>
        <v>1000000</v>
      </c>
      <c r="N23" s="106">
        <f t="shared" si="6"/>
        <v>1000000</v>
      </c>
      <c r="O23" s="106">
        <f t="shared" si="6"/>
        <v>1000000</v>
      </c>
      <c r="P23" s="106">
        <f t="shared" si="6"/>
        <v>1000000</v>
      </c>
      <c r="Q23" s="106">
        <f t="shared" si="6"/>
        <v>1000000</v>
      </c>
      <c r="R23" s="106">
        <f t="shared" si="6"/>
        <v>1000000</v>
      </c>
      <c r="S23" s="106">
        <f t="shared" si="6"/>
        <v>1000000</v>
      </c>
      <c r="T23" s="106">
        <f t="shared" si="6"/>
        <v>1000000</v>
      </c>
      <c r="U23" s="106">
        <f t="shared" si="6"/>
        <v>1000000</v>
      </c>
      <c r="V23" s="106">
        <f t="shared" si="6"/>
        <v>1000000</v>
      </c>
      <c r="W23" s="106">
        <f t="shared" si="6"/>
        <v>1000000</v>
      </c>
      <c r="X23" s="106">
        <f t="shared" si="6"/>
        <v>1000000</v>
      </c>
      <c r="Y23" s="106">
        <f t="shared" si="6"/>
        <v>1000000</v>
      </c>
      <c r="Z23" s="106">
        <f t="shared" si="6"/>
        <v>1000000</v>
      </c>
      <c r="AA23" s="106">
        <f t="shared" si="6"/>
        <v>1000000</v>
      </c>
      <c r="AB23" s="106">
        <f t="shared" si="6"/>
        <v>1000000</v>
      </c>
      <c r="AC23" s="106">
        <f t="shared" si="6"/>
        <v>1000000</v>
      </c>
      <c r="AD23" s="106">
        <f t="shared" si="6"/>
        <v>1000000</v>
      </c>
      <c r="AE23" s="106">
        <f t="shared" si="6"/>
        <v>1000000</v>
      </c>
      <c r="AF23" s="106">
        <f t="shared" si="6"/>
        <v>1000000</v>
      </c>
      <c r="AG23" s="106">
        <f t="shared" si="6"/>
        <v>1000000</v>
      </c>
      <c r="AH23" s="106">
        <f t="shared" si="6"/>
        <v>1000000</v>
      </c>
      <c r="AI23" s="106">
        <f t="shared" si="6"/>
        <v>1000000</v>
      </c>
      <c r="AJ23" s="106">
        <f t="shared" si="6"/>
        <v>1000000</v>
      </c>
      <c r="AK23" s="106">
        <f t="shared" si="6"/>
        <v>1000000</v>
      </c>
      <c r="AL23" s="106">
        <f t="shared" si="6"/>
        <v>1000000</v>
      </c>
      <c r="AM23" s="106">
        <f t="shared" si="6"/>
        <v>1000000</v>
      </c>
      <c r="AN23" s="106">
        <f t="shared" si="6"/>
        <v>1000000</v>
      </c>
      <c r="AO23" s="106">
        <f t="shared" si="6"/>
        <v>1000000</v>
      </c>
      <c r="AP23" s="106">
        <f t="shared" si="6"/>
        <v>1000000</v>
      </c>
      <c r="AQ23" s="106">
        <f t="shared" si="6"/>
        <v>0</v>
      </c>
      <c r="AR23" s="106">
        <f t="shared" si="6"/>
        <v>1000000</v>
      </c>
      <c r="AS23" s="106">
        <f t="shared" si="6"/>
        <v>1000000</v>
      </c>
      <c r="AT23" s="106">
        <f t="shared" si="6"/>
        <v>1000000</v>
      </c>
      <c r="AU23" s="106">
        <f t="shared" si="6"/>
        <v>1000000</v>
      </c>
      <c r="AV23" s="106">
        <f t="shared" si="6"/>
        <v>1000000</v>
      </c>
      <c r="AW23" s="106">
        <f t="shared" si="6"/>
        <v>1000000</v>
      </c>
      <c r="AX23" s="106">
        <f t="shared" si="6"/>
        <v>1000000</v>
      </c>
      <c r="AY23" s="106">
        <f t="shared" si="6"/>
        <v>1000000</v>
      </c>
      <c r="AZ23" s="145">
        <f t="shared" si="5"/>
        <v>45000000</v>
      </c>
    </row>
    <row r="24" spans="1:52" s="116" customFormat="1" x14ac:dyDescent="0.2">
      <c r="A24" s="167" t="s">
        <v>307</v>
      </c>
      <c r="B24" s="168">
        <v>1000</v>
      </c>
      <c r="C24" s="162" t="s">
        <v>292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308</v>
      </c>
      <c r="C27" s="130">
        <v>22</v>
      </c>
      <c r="D27" s="130">
        <f>C$27-C$28+C$29</f>
        <v>22</v>
      </c>
      <c r="E27" s="130">
        <f t="shared" ref="E27:AY27" si="8">D27-D28+D29</f>
        <v>22</v>
      </c>
      <c r="F27" s="130">
        <f t="shared" si="8"/>
        <v>5</v>
      </c>
      <c r="G27" s="130">
        <f t="shared" si="8"/>
        <v>17</v>
      </c>
      <c r="H27" s="130">
        <f t="shared" si="8"/>
        <v>5</v>
      </c>
      <c r="I27" s="130">
        <f t="shared" si="8"/>
        <v>22</v>
      </c>
      <c r="J27" s="130">
        <f t="shared" si="8"/>
        <v>5</v>
      </c>
      <c r="K27" s="130">
        <f t="shared" si="8"/>
        <v>17</v>
      </c>
      <c r="L27" s="130">
        <f t="shared" si="8"/>
        <v>5</v>
      </c>
      <c r="M27" s="130">
        <f t="shared" si="8"/>
        <v>17</v>
      </c>
      <c r="N27" s="130">
        <f t="shared" si="8"/>
        <v>5</v>
      </c>
      <c r="O27" s="130">
        <f t="shared" si="8"/>
        <v>17</v>
      </c>
      <c r="P27" s="130">
        <f t="shared" si="8"/>
        <v>5</v>
      </c>
      <c r="Q27" s="130">
        <f t="shared" si="8"/>
        <v>17</v>
      </c>
      <c r="R27" s="130">
        <f t="shared" si="8"/>
        <v>5</v>
      </c>
      <c r="S27" s="130">
        <f t="shared" si="8"/>
        <v>17</v>
      </c>
      <c r="T27" s="130">
        <f t="shared" si="8"/>
        <v>5</v>
      </c>
      <c r="U27" s="130">
        <f t="shared" si="8"/>
        <v>17</v>
      </c>
      <c r="V27" s="130">
        <f t="shared" si="8"/>
        <v>5</v>
      </c>
      <c r="W27" s="130">
        <f t="shared" si="8"/>
        <v>17</v>
      </c>
      <c r="X27" s="130">
        <f t="shared" si="8"/>
        <v>5</v>
      </c>
      <c r="Y27" s="130">
        <f t="shared" si="8"/>
        <v>17</v>
      </c>
      <c r="Z27" s="130">
        <f t="shared" si="8"/>
        <v>5</v>
      </c>
      <c r="AA27" s="130">
        <f t="shared" si="8"/>
        <v>17</v>
      </c>
      <c r="AB27" s="130">
        <f t="shared" si="8"/>
        <v>5</v>
      </c>
      <c r="AC27" s="130">
        <f t="shared" si="8"/>
        <v>17</v>
      </c>
      <c r="AD27" s="130">
        <f t="shared" si="8"/>
        <v>5</v>
      </c>
      <c r="AE27" s="130">
        <f t="shared" si="8"/>
        <v>17</v>
      </c>
      <c r="AF27" s="130">
        <f t="shared" si="8"/>
        <v>5</v>
      </c>
      <c r="AG27" s="130">
        <f t="shared" si="8"/>
        <v>17</v>
      </c>
      <c r="AH27" s="130">
        <f t="shared" si="8"/>
        <v>5</v>
      </c>
      <c r="AI27" s="130">
        <f t="shared" si="8"/>
        <v>17</v>
      </c>
      <c r="AJ27" s="130">
        <f t="shared" si="8"/>
        <v>5</v>
      </c>
      <c r="AK27" s="130">
        <f t="shared" si="8"/>
        <v>17</v>
      </c>
      <c r="AL27" s="130">
        <f t="shared" si="8"/>
        <v>5</v>
      </c>
      <c r="AM27" s="130">
        <f t="shared" si="8"/>
        <v>17</v>
      </c>
      <c r="AN27" s="130">
        <f t="shared" si="8"/>
        <v>5</v>
      </c>
      <c r="AO27" s="130">
        <f t="shared" si="8"/>
        <v>17</v>
      </c>
      <c r="AP27" s="130">
        <f t="shared" si="8"/>
        <v>5</v>
      </c>
      <c r="AQ27" s="130">
        <f t="shared" si="8"/>
        <v>17</v>
      </c>
      <c r="AR27" s="130">
        <f t="shared" si="8"/>
        <v>22</v>
      </c>
      <c r="AS27" s="130">
        <f t="shared" si="8"/>
        <v>5</v>
      </c>
      <c r="AT27" s="130">
        <f t="shared" si="8"/>
        <v>17</v>
      </c>
      <c r="AU27" s="130">
        <f t="shared" si="8"/>
        <v>5</v>
      </c>
      <c r="AV27" s="130">
        <f t="shared" si="8"/>
        <v>17</v>
      </c>
      <c r="AW27" s="130">
        <f t="shared" si="8"/>
        <v>5</v>
      </c>
      <c r="AX27" s="130">
        <f t="shared" si="8"/>
        <v>17</v>
      </c>
      <c r="AY27" s="170">
        <f t="shared" si="8"/>
        <v>5</v>
      </c>
      <c r="AZ27" s="112"/>
    </row>
    <row r="28" spans="1:52" x14ac:dyDescent="0.2">
      <c r="B28" s="171" t="s">
        <v>309</v>
      </c>
      <c r="C28" s="116"/>
      <c r="D28" s="116">
        <v>0</v>
      </c>
      <c r="E28" s="116">
        <v>17</v>
      </c>
      <c r="F28" s="116">
        <v>5</v>
      </c>
      <c r="G28" s="116">
        <v>17</v>
      </c>
      <c r="H28" s="116">
        <v>0</v>
      </c>
      <c r="I28" s="116">
        <v>17</v>
      </c>
      <c r="J28" s="116">
        <v>5</v>
      </c>
      <c r="K28" s="116">
        <v>17</v>
      </c>
      <c r="L28" s="116">
        <v>5</v>
      </c>
      <c r="M28" s="116">
        <v>17</v>
      </c>
      <c r="N28" s="116">
        <v>5</v>
      </c>
      <c r="O28" s="116">
        <v>17</v>
      </c>
      <c r="P28" s="116">
        <v>5</v>
      </c>
      <c r="Q28" s="116">
        <v>17</v>
      </c>
      <c r="R28" s="116">
        <v>5</v>
      </c>
      <c r="S28" s="116">
        <v>17</v>
      </c>
      <c r="T28" s="116">
        <v>5</v>
      </c>
      <c r="U28" s="116">
        <v>17</v>
      </c>
      <c r="V28" s="116">
        <v>5</v>
      </c>
      <c r="W28" s="116">
        <v>17</v>
      </c>
      <c r="X28" s="116">
        <v>5</v>
      </c>
      <c r="Y28" s="116">
        <v>17</v>
      </c>
      <c r="Z28" s="116">
        <v>5</v>
      </c>
      <c r="AA28" s="116">
        <v>17</v>
      </c>
      <c r="AB28" s="116">
        <v>5</v>
      </c>
      <c r="AC28" s="116">
        <v>17</v>
      </c>
      <c r="AD28" s="116">
        <v>5</v>
      </c>
      <c r="AE28" s="116">
        <v>17</v>
      </c>
      <c r="AF28" s="116">
        <v>5</v>
      </c>
      <c r="AG28" s="116">
        <v>17</v>
      </c>
      <c r="AH28" s="116">
        <v>5</v>
      </c>
      <c r="AI28" s="116">
        <v>17</v>
      </c>
      <c r="AJ28" s="116">
        <v>5</v>
      </c>
      <c r="AK28" s="116">
        <v>17</v>
      </c>
      <c r="AL28" s="116">
        <v>5</v>
      </c>
      <c r="AM28" s="116">
        <v>17</v>
      </c>
      <c r="AN28" s="116">
        <v>5</v>
      </c>
      <c r="AO28" s="116">
        <v>17</v>
      </c>
      <c r="AP28" s="116">
        <v>5</v>
      </c>
      <c r="AQ28" s="116">
        <v>0</v>
      </c>
      <c r="AR28" s="116">
        <v>17</v>
      </c>
      <c r="AS28" s="116">
        <v>5</v>
      </c>
      <c r="AT28" s="116">
        <v>17</v>
      </c>
      <c r="AU28" s="116">
        <v>5</v>
      </c>
      <c r="AV28" s="116">
        <v>17</v>
      </c>
      <c r="AW28" s="116">
        <v>5</v>
      </c>
      <c r="AX28" s="116">
        <v>17</v>
      </c>
      <c r="AY28" s="172">
        <v>5</v>
      </c>
      <c r="AZ28" s="112"/>
    </row>
    <row r="29" spans="1:52" x14ac:dyDescent="0.2">
      <c r="B29" s="142" t="s">
        <v>310</v>
      </c>
      <c r="C29" s="131"/>
      <c r="D29" s="131">
        <f>C$28</f>
        <v>0</v>
      </c>
      <c r="E29" s="131">
        <f t="shared" ref="E29:AY29" si="9">D$28</f>
        <v>0</v>
      </c>
      <c r="F29" s="131">
        <f t="shared" si="9"/>
        <v>17</v>
      </c>
      <c r="G29" s="131">
        <f t="shared" si="9"/>
        <v>5</v>
      </c>
      <c r="H29" s="131">
        <f t="shared" si="9"/>
        <v>17</v>
      </c>
      <c r="I29" s="131">
        <f t="shared" si="9"/>
        <v>0</v>
      </c>
      <c r="J29" s="131">
        <f t="shared" si="9"/>
        <v>17</v>
      </c>
      <c r="K29" s="131">
        <f t="shared" si="9"/>
        <v>5</v>
      </c>
      <c r="L29" s="131">
        <f t="shared" si="9"/>
        <v>17</v>
      </c>
      <c r="M29" s="131">
        <f t="shared" si="9"/>
        <v>5</v>
      </c>
      <c r="N29" s="131">
        <f t="shared" si="9"/>
        <v>17</v>
      </c>
      <c r="O29" s="131">
        <f t="shared" si="9"/>
        <v>5</v>
      </c>
      <c r="P29" s="131">
        <f t="shared" si="9"/>
        <v>17</v>
      </c>
      <c r="Q29" s="131">
        <f t="shared" si="9"/>
        <v>5</v>
      </c>
      <c r="R29" s="131">
        <f t="shared" si="9"/>
        <v>17</v>
      </c>
      <c r="S29" s="131">
        <f t="shared" si="9"/>
        <v>5</v>
      </c>
      <c r="T29" s="131">
        <f t="shared" si="9"/>
        <v>17</v>
      </c>
      <c r="U29" s="131">
        <f t="shared" si="9"/>
        <v>5</v>
      </c>
      <c r="V29" s="131">
        <f t="shared" si="9"/>
        <v>17</v>
      </c>
      <c r="W29" s="131">
        <f t="shared" si="9"/>
        <v>5</v>
      </c>
      <c r="X29" s="131">
        <f t="shared" si="9"/>
        <v>17</v>
      </c>
      <c r="Y29" s="131">
        <f t="shared" si="9"/>
        <v>5</v>
      </c>
      <c r="Z29" s="131">
        <f t="shared" si="9"/>
        <v>17</v>
      </c>
      <c r="AA29" s="131">
        <f t="shared" si="9"/>
        <v>5</v>
      </c>
      <c r="AB29" s="131">
        <f t="shared" si="9"/>
        <v>17</v>
      </c>
      <c r="AC29" s="131">
        <f t="shared" si="9"/>
        <v>5</v>
      </c>
      <c r="AD29" s="131">
        <f t="shared" si="9"/>
        <v>17</v>
      </c>
      <c r="AE29" s="131">
        <f t="shared" si="9"/>
        <v>5</v>
      </c>
      <c r="AF29" s="131">
        <f t="shared" si="9"/>
        <v>17</v>
      </c>
      <c r="AG29" s="131">
        <f t="shared" si="9"/>
        <v>5</v>
      </c>
      <c r="AH29" s="131">
        <f t="shared" si="9"/>
        <v>17</v>
      </c>
      <c r="AI29" s="131">
        <f t="shared" si="9"/>
        <v>5</v>
      </c>
      <c r="AJ29" s="131">
        <f t="shared" si="9"/>
        <v>17</v>
      </c>
      <c r="AK29" s="131">
        <f t="shared" si="9"/>
        <v>5</v>
      </c>
      <c r="AL29" s="131">
        <f t="shared" si="9"/>
        <v>17</v>
      </c>
      <c r="AM29" s="131">
        <f t="shared" si="9"/>
        <v>5</v>
      </c>
      <c r="AN29" s="131">
        <f t="shared" si="9"/>
        <v>17</v>
      </c>
      <c r="AO29" s="131">
        <f t="shared" si="9"/>
        <v>5</v>
      </c>
      <c r="AP29" s="131">
        <f t="shared" si="9"/>
        <v>17</v>
      </c>
      <c r="AQ29" s="131">
        <f t="shared" si="9"/>
        <v>5</v>
      </c>
      <c r="AR29" s="131">
        <f t="shared" si="9"/>
        <v>0</v>
      </c>
      <c r="AS29" s="131">
        <f t="shared" si="9"/>
        <v>17</v>
      </c>
      <c r="AT29" s="131">
        <f t="shared" si="9"/>
        <v>5</v>
      </c>
      <c r="AU29" s="131">
        <f t="shared" si="9"/>
        <v>17</v>
      </c>
      <c r="AV29" s="131">
        <f t="shared" si="9"/>
        <v>5</v>
      </c>
      <c r="AW29" s="131">
        <f t="shared" si="9"/>
        <v>17</v>
      </c>
      <c r="AX29" s="131">
        <f t="shared" si="9"/>
        <v>5</v>
      </c>
      <c r="AY29" s="173">
        <f t="shared" si="9"/>
        <v>17</v>
      </c>
      <c r="AZ29" s="174"/>
    </row>
    <row r="30" spans="1:52" x14ac:dyDescent="0.2">
      <c r="A30" s="175" t="s">
        <v>311</v>
      </c>
      <c r="B30" s="150">
        <v>10</v>
      </c>
      <c r="C30" s="123" t="s">
        <v>292</v>
      </c>
      <c r="D30" s="123">
        <f>D$27*$B$30</f>
        <v>220</v>
      </c>
      <c r="E30" s="123">
        <f t="shared" ref="E30:AY30" si="10">E$27*$B$30</f>
        <v>220</v>
      </c>
      <c r="F30" s="123">
        <f t="shared" si="10"/>
        <v>50</v>
      </c>
      <c r="G30" s="123">
        <f t="shared" si="10"/>
        <v>170</v>
      </c>
      <c r="H30" s="123">
        <f t="shared" si="10"/>
        <v>50</v>
      </c>
      <c r="I30" s="123">
        <f t="shared" si="10"/>
        <v>220</v>
      </c>
      <c r="J30" s="123">
        <f t="shared" si="10"/>
        <v>50</v>
      </c>
      <c r="K30" s="123">
        <f t="shared" si="10"/>
        <v>170</v>
      </c>
      <c r="L30" s="123">
        <f t="shared" si="10"/>
        <v>50</v>
      </c>
      <c r="M30" s="123">
        <f t="shared" si="10"/>
        <v>170</v>
      </c>
      <c r="N30" s="123">
        <f t="shared" si="10"/>
        <v>50</v>
      </c>
      <c r="O30" s="123">
        <f t="shared" si="10"/>
        <v>170</v>
      </c>
      <c r="P30" s="123">
        <f t="shared" si="10"/>
        <v>50</v>
      </c>
      <c r="Q30" s="123">
        <f t="shared" si="10"/>
        <v>170</v>
      </c>
      <c r="R30" s="123">
        <f>R$27*$B$30</f>
        <v>50</v>
      </c>
      <c r="S30" s="123">
        <f t="shared" si="10"/>
        <v>170</v>
      </c>
      <c r="T30" s="123">
        <f t="shared" si="10"/>
        <v>50</v>
      </c>
      <c r="U30" s="123">
        <f t="shared" si="10"/>
        <v>170</v>
      </c>
      <c r="V30" s="123">
        <f t="shared" si="10"/>
        <v>50</v>
      </c>
      <c r="W30" s="123">
        <f t="shared" si="10"/>
        <v>170</v>
      </c>
      <c r="X30" s="123">
        <f t="shared" si="10"/>
        <v>50</v>
      </c>
      <c r="Y30" s="123">
        <f t="shared" si="10"/>
        <v>170</v>
      </c>
      <c r="Z30" s="123">
        <f t="shared" si="10"/>
        <v>50</v>
      </c>
      <c r="AA30" s="123">
        <f t="shared" si="10"/>
        <v>170</v>
      </c>
      <c r="AB30" s="123">
        <f t="shared" si="10"/>
        <v>50</v>
      </c>
      <c r="AC30" s="123">
        <f t="shared" si="10"/>
        <v>170</v>
      </c>
      <c r="AD30" s="123">
        <f t="shared" si="10"/>
        <v>50</v>
      </c>
      <c r="AE30" s="123">
        <f>AE$27*$B$30</f>
        <v>170</v>
      </c>
      <c r="AF30" s="123">
        <f t="shared" si="10"/>
        <v>50</v>
      </c>
      <c r="AG30" s="123">
        <f t="shared" si="10"/>
        <v>170</v>
      </c>
      <c r="AH30" s="123">
        <f t="shared" si="10"/>
        <v>50</v>
      </c>
      <c r="AI30" s="123">
        <f t="shared" si="10"/>
        <v>170</v>
      </c>
      <c r="AJ30" s="123">
        <f t="shared" si="10"/>
        <v>50</v>
      </c>
      <c r="AK30" s="123">
        <f t="shared" si="10"/>
        <v>170</v>
      </c>
      <c r="AL30" s="123">
        <f t="shared" si="10"/>
        <v>50</v>
      </c>
      <c r="AM30" s="123">
        <f t="shared" si="10"/>
        <v>170</v>
      </c>
      <c r="AN30" s="123">
        <f t="shared" si="10"/>
        <v>50</v>
      </c>
      <c r="AO30" s="123">
        <f t="shared" si="10"/>
        <v>170</v>
      </c>
      <c r="AP30" s="123">
        <f t="shared" si="10"/>
        <v>50</v>
      </c>
      <c r="AQ30" s="123">
        <f t="shared" si="10"/>
        <v>170</v>
      </c>
      <c r="AR30" s="123">
        <f t="shared" si="10"/>
        <v>220</v>
      </c>
      <c r="AS30" s="123">
        <f t="shared" si="10"/>
        <v>50</v>
      </c>
      <c r="AT30" s="123">
        <f t="shared" si="10"/>
        <v>170</v>
      </c>
      <c r="AU30" s="123">
        <f t="shared" si="10"/>
        <v>50</v>
      </c>
      <c r="AV30" s="123">
        <f t="shared" si="10"/>
        <v>170</v>
      </c>
      <c r="AW30" s="123">
        <f t="shared" si="10"/>
        <v>50</v>
      </c>
      <c r="AX30" s="123">
        <f t="shared" si="10"/>
        <v>170</v>
      </c>
      <c r="AY30" s="123">
        <f t="shared" si="10"/>
        <v>50</v>
      </c>
      <c r="AZ30" s="147">
        <f t="shared" si="5"/>
        <v>5600</v>
      </c>
    </row>
    <row r="32" spans="1:52" x14ac:dyDescent="0.2">
      <c r="A32" s="108" t="s">
        <v>299</v>
      </c>
    </row>
    <row r="33" spans="1:52" x14ac:dyDescent="0.2">
      <c r="A33" s="141" t="s">
        <v>22</v>
      </c>
      <c r="B33" s="141" t="s">
        <v>340</v>
      </c>
      <c r="C33" s="130"/>
      <c r="D33" s="130">
        <f>D$21*shipping_manufacturing!$F$27/100</f>
        <v>0</v>
      </c>
      <c r="E33" s="130">
        <f>E$21*shipping_manufacturing!$F$27/100</f>
        <v>0</v>
      </c>
      <c r="F33" s="130">
        <f>F$21*shipping_manufacturing!$F$27/100</f>
        <v>0</v>
      </c>
      <c r="G33" s="130">
        <f>G$21*shipping_manufacturing!$F$27/100</f>
        <v>0</v>
      </c>
      <c r="H33" s="130">
        <f>H$21*shipping_manufacturing!$F$27/100</f>
        <v>0</v>
      </c>
      <c r="I33" s="130">
        <f>I$21*shipping_manufacturing!$F$27/100</f>
        <v>0</v>
      </c>
      <c r="J33" s="130">
        <f>J$21*shipping_manufacturing!$F$27/100</f>
        <v>0</v>
      </c>
      <c r="K33" s="130">
        <f>K$21*shipping_manufacturing!$F$27/100</f>
        <v>0</v>
      </c>
      <c r="L33" s="130">
        <f>L$21*shipping_manufacturing!$F$27/100</f>
        <v>0</v>
      </c>
      <c r="M33" s="130">
        <f>M$21*shipping_manufacturing!$F$27/100</f>
        <v>0</v>
      </c>
      <c r="N33" s="130">
        <f>N$21*shipping_manufacturing!$F$27/100</f>
        <v>0</v>
      </c>
      <c r="O33" s="130">
        <f>O$21*shipping_manufacturing!$F$27/100</f>
        <v>0</v>
      </c>
      <c r="P33" s="130">
        <f>P$21*shipping_manufacturing!$F$27/100</f>
        <v>0</v>
      </c>
      <c r="Q33" s="130">
        <f>Q$21*shipping_manufacturing!$F$27/100</f>
        <v>0</v>
      </c>
      <c r="R33" s="130">
        <f>R$21*shipping_manufacturing!$F$27/100</f>
        <v>0</v>
      </c>
      <c r="S33" s="130">
        <f>S$21*shipping_manufacturing!$F$27/100</f>
        <v>0</v>
      </c>
      <c r="T33" s="130">
        <f>T$21*shipping_manufacturing!$F$27/100</f>
        <v>0</v>
      </c>
      <c r="U33" s="130">
        <f>U$21*shipping_manufacturing!$F$27/100</f>
        <v>0</v>
      </c>
      <c r="V33" s="130">
        <f>V$21*shipping_manufacturing!$F$27/100</f>
        <v>0</v>
      </c>
      <c r="W33" s="130">
        <f>W$21*shipping_manufacturing!$F$27/100</f>
        <v>0</v>
      </c>
      <c r="X33" s="130">
        <f>X$21*shipping_manufacturing!$F$27/100</f>
        <v>0</v>
      </c>
      <c r="Y33" s="130">
        <f>Y$21*shipping_manufacturing!$F$27/100</f>
        <v>0</v>
      </c>
      <c r="Z33" s="130">
        <f>Z$21*shipping_manufacturing!$F$27/100</f>
        <v>0</v>
      </c>
      <c r="AA33" s="130">
        <f>AA$21*shipping_manufacturing!$F$27/100</f>
        <v>0</v>
      </c>
      <c r="AB33" s="130">
        <f>AB$21*shipping_manufacturing!$F$27/100</f>
        <v>0</v>
      </c>
      <c r="AC33" s="130">
        <f>AC$21*shipping_manufacturing!$F$27/100</f>
        <v>0</v>
      </c>
      <c r="AD33" s="130">
        <f>AD$21*shipping_manufacturing!$F$27/100</f>
        <v>0</v>
      </c>
      <c r="AE33" s="130">
        <f>AE$21*shipping_manufacturing!$F$27/100</f>
        <v>0</v>
      </c>
      <c r="AF33" s="130">
        <f>AF$21*shipping_manufacturing!$F$27/100</f>
        <v>0</v>
      </c>
      <c r="AG33" s="130">
        <f>AG$21*shipping_manufacturing!$F$27/100</f>
        <v>0</v>
      </c>
      <c r="AH33" s="130">
        <f>AH$21*shipping_manufacturing!$F$27/100</f>
        <v>0</v>
      </c>
      <c r="AI33" s="130">
        <f>AI$21*shipping_manufacturing!$F$27/100</f>
        <v>0</v>
      </c>
      <c r="AJ33" s="130">
        <f>AJ$21*shipping_manufacturing!$F$27/100</f>
        <v>0</v>
      </c>
      <c r="AK33" s="130">
        <f>AK$21*shipping_manufacturing!$F$27/100</f>
        <v>0</v>
      </c>
      <c r="AL33" s="130">
        <f>AL$21*shipping_manufacturing!$F$27/100</f>
        <v>0</v>
      </c>
      <c r="AM33" s="130">
        <f>AM$21*shipping_manufacturing!$F$27/100</f>
        <v>0</v>
      </c>
      <c r="AN33" s="130">
        <f>AN$21*shipping_manufacturing!$F$27/100</f>
        <v>0</v>
      </c>
      <c r="AO33" s="130">
        <f>AO$21*shipping_manufacturing!$F$27/100</f>
        <v>0</v>
      </c>
      <c r="AP33" s="130">
        <f>AP$21*shipping_manufacturing!$F$27/100</f>
        <v>0</v>
      </c>
      <c r="AQ33" s="130">
        <f>AQ$21*shipping_manufacturing!$F$27/100</f>
        <v>0</v>
      </c>
      <c r="AR33" s="130">
        <f>AR$21*shipping_manufacturing!$F$27/100</f>
        <v>0</v>
      </c>
      <c r="AS33" s="130">
        <f>AS$21*shipping_manufacturing!$F$27/100</f>
        <v>0</v>
      </c>
      <c r="AT33" s="130">
        <f>AT$21*shipping_manufacturing!$F$27/100</f>
        <v>0</v>
      </c>
      <c r="AU33" s="130">
        <f>AU$21*shipping_manufacturing!$F$27/100</f>
        <v>0</v>
      </c>
      <c r="AV33" s="130">
        <f>AV$21*shipping_manufacturing!$F$27/100</f>
        <v>0</v>
      </c>
      <c r="AW33" s="130">
        <f>AW$21*shipping_manufacturing!$F$27/100</f>
        <v>0</v>
      </c>
      <c r="AX33" s="130">
        <f>AX$21*shipping_manufacturing!$F$27/100</f>
        <v>0</v>
      </c>
      <c r="AY33" s="130">
        <f>AY$21*shipping_manufacturing!$F$27/100</f>
        <v>0</v>
      </c>
    </row>
    <row r="34" spans="1:52" x14ac:dyDescent="0.2">
      <c r="A34" s="119" t="s">
        <v>339</v>
      </c>
      <c r="B34" s="171" t="s">
        <v>341</v>
      </c>
      <c r="C34" s="116"/>
      <c r="D34" s="116">
        <f>D$22*shipping_manufacturing!$G$27/100</f>
        <v>0</v>
      </c>
      <c r="E34" s="116">
        <f>E$22*shipping_manufacturing!$G$27/100</f>
        <v>0</v>
      </c>
      <c r="F34" s="116">
        <f>F$22*shipping_manufacturing!$G$27/100</f>
        <v>0</v>
      </c>
      <c r="G34" s="116">
        <f>G$22*shipping_manufacturing!$G$27/100</f>
        <v>0</v>
      </c>
      <c r="H34" s="116">
        <f>H$22*shipping_manufacturing!$G$27/100</f>
        <v>0</v>
      </c>
      <c r="I34" s="116">
        <f>I$22*shipping_manufacturing!$G$27/100</f>
        <v>0</v>
      </c>
      <c r="J34" s="116">
        <f>J$22*shipping_manufacturing!$G$27/100</f>
        <v>0</v>
      </c>
      <c r="K34" s="116">
        <f>K$22*shipping_manufacturing!$G$27/100</f>
        <v>0</v>
      </c>
      <c r="L34" s="116">
        <f>L$22*shipping_manufacturing!$G$27/100</f>
        <v>0</v>
      </c>
      <c r="M34" s="116">
        <f>M$22*shipping_manufacturing!$G$27/100</f>
        <v>0</v>
      </c>
      <c r="N34" s="116">
        <f>N$22*shipping_manufacturing!$G$27/100</f>
        <v>0</v>
      </c>
      <c r="O34" s="116">
        <f>O$22*shipping_manufacturing!$G$27/100</f>
        <v>0</v>
      </c>
      <c r="P34" s="116">
        <f>P$22*shipping_manufacturing!$G$27/100</f>
        <v>0</v>
      </c>
      <c r="Q34" s="116">
        <f>Q$22*shipping_manufacturing!$G$27/100</f>
        <v>0</v>
      </c>
      <c r="R34" s="116">
        <f>R$22*shipping_manufacturing!$G$27/100</f>
        <v>0</v>
      </c>
      <c r="S34" s="116">
        <f>S$22*shipping_manufacturing!$G$27/100</f>
        <v>0</v>
      </c>
      <c r="T34" s="116">
        <f>T$22*shipping_manufacturing!$G$27/100</f>
        <v>0</v>
      </c>
      <c r="U34" s="116">
        <f>U$22*shipping_manufacturing!$G$27/100</f>
        <v>0</v>
      </c>
      <c r="V34" s="116">
        <f>V$22*shipping_manufacturing!$G$27/100</f>
        <v>0</v>
      </c>
      <c r="W34" s="116">
        <f>W$22*shipping_manufacturing!$G$27/100</f>
        <v>0</v>
      </c>
      <c r="X34" s="116">
        <f>X$22*shipping_manufacturing!$G$27/100</f>
        <v>0</v>
      </c>
      <c r="Y34" s="116">
        <f>Y$22*shipping_manufacturing!$G$27/100</f>
        <v>0</v>
      </c>
      <c r="Z34" s="116">
        <f>Z$22*shipping_manufacturing!$G$27/100</f>
        <v>0</v>
      </c>
      <c r="AA34" s="116">
        <f>AA$22*shipping_manufacturing!$G$27/100</f>
        <v>0</v>
      </c>
      <c r="AB34" s="116">
        <f>AB$22*shipping_manufacturing!$G$27/100</f>
        <v>0</v>
      </c>
      <c r="AC34" s="116">
        <f>AC$22*shipping_manufacturing!$G$27/100</f>
        <v>0</v>
      </c>
      <c r="AD34" s="116">
        <f>AD$22*shipping_manufacturing!$G$27/100</f>
        <v>0</v>
      </c>
      <c r="AE34" s="116">
        <f>AE$22*shipping_manufacturing!$G$27/100</f>
        <v>0</v>
      </c>
      <c r="AF34" s="116">
        <f>AF$22*shipping_manufacturing!$G$27/100</f>
        <v>0</v>
      </c>
      <c r="AG34" s="116">
        <f>AG$22*shipping_manufacturing!$G$27/100</f>
        <v>0</v>
      </c>
      <c r="AH34" s="116">
        <f>AH$22*shipping_manufacturing!$G$27/100</f>
        <v>0</v>
      </c>
      <c r="AI34" s="116">
        <f>AI$22*shipping_manufacturing!$G$27/100</f>
        <v>0</v>
      </c>
      <c r="AJ34" s="116">
        <f>AJ$22*shipping_manufacturing!$G$27/100</f>
        <v>0</v>
      </c>
      <c r="AK34" s="116">
        <f>AK$22*shipping_manufacturing!$G$27/100</f>
        <v>0</v>
      </c>
      <c r="AL34" s="116">
        <f>AL$22*shipping_manufacturing!$G$27/100</f>
        <v>0</v>
      </c>
      <c r="AM34" s="116">
        <f>AM$22*shipping_manufacturing!$G$27/100</f>
        <v>0</v>
      </c>
      <c r="AN34" s="116">
        <f>AN$22*shipping_manufacturing!$G$27/100</f>
        <v>0</v>
      </c>
      <c r="AO34" s="116">
        <f>AO$22*shipping_manufacturing!$G$27/100</f>
        <v>0</v>
      </c>
      <c r="AP34" s="116">
        <f>AP$22*shipping_manufacturing!$G$27/100</f>
        <v>0</v>
      </c>
      <c r="AQ34" s="116">
        <f>AQ$22*shipping_manufacturing!$G$27/100</f>
        <v>0</v>
      </c>
      <c r="AR34" s="116">
        <f>AR$22*shipping_manufacturing!$G$27/100</f>
        <v>0</v>
      </c>
      <c r="AS34" s="116">
        <f>AS$22*shipping_manufacturing!$G$27/100</f>
        <v>0</v>
      </c>
      <c r="AT34" s="116">
        <f>AT$22*shipping_manufacturing!$G$27/100</f>
        <v>0</v>
      </c>
      <c r="AU34" s="116">
        <f>AU$22*shipping_manufacturing!$G$27/100</f>
        <v>0</v>
      </c>
      <c r="AV34" s="116">
        <f>AV$22*shipping_manufacturing!$G$27/100</f>
        <v>0</v>
      </c>
      <c r="AW34" s="116">
        <f>AW$22*shipping_manufacturing!$G$27/100</f>
        <v>0</v>
      </c>
      <c r="AX34" s="116">
        <f>AX$22*shipping_manufacturing!$G$27/100</f>
        <v>0</v>
      </c>
      <c r="AY34" s="116">
        <f>AY$22*shipping_manufacturing!$G$27/100</f>
        <v>0</v>
      </c>
    </row>
    <row r="35" spans="1:52" x14ac:dyDescent="0.2">
      <c r="A35" s="116">
        <v>1225</v>
      </c>
      <c r="B35" s="171" t="s">
        <v>342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343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344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345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346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347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348</v>
      </c>
      <c r="C41" s="116"/>
      <c r="D41" s="116">
        <v>2</v>
      </c>
      <c r="E41" s="116">
        <v>2</v>
      </c>
      <c r="F41" s="116">
        <v>2</v>
      </c>
      <c r="G41" s="116">
        <v>1</v>
      </c>
      <c r="H41" s="116">
        <v>2</v>
      </c>
      <c r="I41" s="116">
        <v>2</v>
      </c>
      <c r="J41" s="116">
        <v>2</v>
      </c>
      <c r="K41" s="116">
        <v>1</v>
      </c>
      <c r="L41" s="116">
        <v>1</v>
      </c>
      <c r="M41" s="116">
        <v>2</v>
      </c>
      <c r="N41" s="116">
        <v>1</v>
      </c>
      <c r="O41" s="116">
        <v>2</v>
      </c>
      <c r="P41" s="116">
        <v>3</v>
      </c>
      <c r="Q41" s="116">
        <v>1</v>
      </c>
      <c r="R41" s="116">
        <v>1</v>
      </c>
      <c r="S41" s="116">
        <v>2</v>
      </c>
      <c r="T41" s="116">
        <v>1</v>
      </c>
      <c r="U41" s="116">
        <v>1</v>
      </c>
      <c r="V41" s="116">
        <v>1</v>
      </c>
      <c r="W41" s="116">
        <v>1</v>
      </c>
      <c r="X41" s="116">
        <v>3</v>
      </c>
      <c r="Y41" s="116">
        <v>2</v>
      </c>
      <c r="Z41" s="116">
        <v>1</v>
      </c>
      <c r="AA41" s="116">
        <v>2</v>
      </c>
      <c r="AB41" s="116">
        <v>1</v>
      </c>
      <c r="AC41" s="116">
        <v>2</v>
      </c>
      <c r="AD41" s="116">
        <v>1</v>
      </c>
      <c r="AE41" s="116">
        <v>2</v>
      </c>
      <c r="AF41" s="116">
        <v>1</v>
      </c>
      <c r="AG41" s="116">
        <v>1</v>
      </c>
      <c r="AH41" s="116">
        <v>2</v>
      </c>
      <c r="AI41" s="116">
        <v>1</v>
      </c>
      <c r="AJ41" s="116">
        <v>2</v>
      </c>
      <c r="AK41" s="116">
        <v>1</v>
      </c>
      <c r="AL41" s="116">
        <v>1</v>
      </c>
      <c r="AM41" s="116">
        <v>3</v>
      </c>
      <c r="AN41" s="116">
        <v>1</v>
      </c>
      <c r="AO41" s="116">
        <v>1</v>
      </c>
      <c r="AP41" s="116">
        <v>1</v>
      </c>
      <c r="AQ41" s="116">
        <v>1</v>
      </c>
      <c r="AR41" s="116">
        <v>1</v>
      </c>
      <c r="AS41" s="116">
        <v>1</v>
      </c>
      <c r="AT41" s="116">
        <v>1</v>
      </c>
      <c r="AU41" s="116">
        <v>1</v>
      </c>
      <c r="AV41" s="116">
        <v>2</v>
      </c>
      <c r="AW41" s="116">
        <v>1</v>
      </c>
      <c r="AX41" s="116">
        <v>1</v>
      </c>
      <c r="AY41" s="116">
        <v>1</v>
      </c>
    </row>
    <row r="42" spans="1:52" x14ac:dyDescent="0.2">
      <c r="A42" s="116"/>
      <c r="B42" s="184" t="s">
        <v>349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350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340</v>
      </c>
      <c r="C44" s="130"/>
      <c r="D44" s="130">
        <f>D$21*shipping_manufacturing!$F$28/100</f>
        <v>0</v>
      </c>
      <c r="E44" s="130">
        <f>E$21*shipping_manufacturing!$F$28/100</f>
        <v>500</v>
      </c>
      <c r="F44" s="130">
        <f>F$21*shipping_manufacturing!$F$28/100</f>
        <v>500</v>
      </c>
      <c r="G44" s="130">
        <f>G$21*shipping_manufacturing!$F$28/100</f>
        <v>500</v>
      </c>
      <c r="H44" s="130">
        <f>H$21*shipping_manufacturing!$F$28/100</f>
        <v>0</v>
      </c>
      <c r="I44" s="130">
        <f>I$21*shipping_manufacturing!$F$28/100</f>
        <v>500</v>
      </c>
      <c r="J44" s="130">
        <f>J$21*shipping_manufacturing!$F$28/100</f>
        <v>500</v>
      </c>
      <c r="K44" s="130">
        <f>K$21*shipping_manufacturing!$F$28/100</f>
        <v>500</v>
      </c>
      <c r="L44" s="130">
        <f>L$21*shipping_manufacturing!$F$28/100</f>
        <v>500</v>
      </c>
      <c r="M44" s="130">
        <f>M$21*shipping_manufacturing!$F$28/100</f>
        <v>500</v>
      </c>
      <c r="N44" s="130">
        <f>N$21*shipping_manufacturing!$F$28/100</f>
        <v>500</v>
      </c>
      <c r="O44" s="130">
        <f>O$21*shipping_manufacturing!$F$28/100</f>
        <v>500</v>
      </c>
      <c r="P44" s="130">
        <f>P$21*shipping_manufacturing!$F$28/100</f>
        <v>500</v>
      </c>
      <c r="Q44" s="130">
        <f>Q$21*shipping_manufacturing!$F$28/100</f>
        <v>500</v>
      </c>
      <c r="R44" s="130">
        <f>R$21*shipping_manufacturing!$F$28/100</f>
        <v>500</v>
      </c>
      <c r="S44" s="130">
        <f>S$21*shipping_manufacturing!$F$28/100</f>
        <v>500</v>
      </c>
      <c r="T44" s="130">
        <f>T$21*shipping_manufacturing!$F$28/100</f>
        <v>500</v>
      </c>
      <c r="U44" s="130">
        <f>U$21*shipping_manufacturing!$F$28/100</f>
        <v>500</v>
      </c>
      <c r="V44" s="130">
        <f>V$21*shipping_manufacturing!$F$28/100</f>
        <v>500</v>
      </c>
      <c r="W44" s="130">
        <f>W$21*shipping_manufacturing!$F$28/100</f>
        <v>500</v>
      </c>
      <c r="X44" s="130">
        <f>X$21*shipping_manufacturing!$F$28/100</f>
        <v>500</v>
      </c>
      <c r="Y44" s="130">
        <f>Y$21*shipping_manufacturing!$F$28/100</f>
        <v>500</v>
      </c>
      <c r="Z44" s="130">
        <f>Z$21*shipping_manufacturing!$F$28/100</f>
        <v>500</v>
      </c>
      <c r="AA44" s="130">
        <f>AA$21*shipping_manufacturing!$F$28/100</f>
        <v>500</v>
      </c>
      <c r="AB44" s="130">
        <f>AB$21*shipping_manufacturing!$F$28/100</f>
        <v>500</v>
      </c>
      <c r="AC44" s="130">
        <f>AC$21*shipping_manufacturing!$F$28/100</f>
        <v>500</v>
      </c>
      <c r="AD44" s="130">
        <f>AD$21*shipping_manufacturing!$F$28/100</f>
        <v>500</v>
      </c>
      <c r="AE44" s="130">
        <f>AE$21*shipping_manufacturing!$F$28/100</f>
        <v>500</v>
      </c>
      <c r="AF44" s="130">
        <f>AF$21*shipping_manufacturing!$F$28/100</f>
        <v>500</v>
      </c>
      <c r="AG44" s="130">
        <f>AG$21*shipping_manufacturing!$F$28/100</f>
        <v>500</v>
      </c>
      <c r="AH44" s="130">
        <f>AH$21*shipping_manufacturing!$F$28/100</f>
        <v>500</v>
      </c>
      <c r="AI44" s="130">
        <f>AI$21*shipping_manufacturing!$F$28/100</f>
        <v>500</v>
      </c>
      <c r="AJ44" s="130">
        <f>AJ$21*shipping_manufacturing!$F$28/100</f>
        <v>500</v>
      </c>
      <c r="AK44" s="130">
        <f>AK$21*shipping_manufacturing!$F$28/100</f>
        <v>500</v>
      </c>
      <c r="AL44" s="130">
        <f>AL$21*shipping_manufacturing!$F$28/100</f>
        <v>500</v>
      </c>
      <c r="AM44" s="130">
        <f>AM$21*shipping_manufacturing!$F$28/100</f>
        <v>500</v>
      </c>
      <c r="AN44" s="130">
        <f>AN$21*shipping_manufacturing!$F$28/100</f>
        <v>500</v>
      </c>
      <c r="AO44" s="130">
        <f>AO$21*shipping_manufacturing!$F$28/100</f>
        <v>500</v>
      </c>
      <c r="AP44" s="130">
        <f>AP$21*shipping_manufacturing!$F$28/100</f>
        <v>500</v>
      </c>
      <c r="AQ44" s="130">
        <f>AQ$21*shipping_manufacturing!$F$28/100</f>
        <v>0</v>
      </c>
      <c r="AR44" s="130">
        <f>AR$21*shipping_manufacturing!$F$28/100</f>
        <v>500</v>
      </c>
      <c r="AS44" s="130">
        <f>AS$21*shipping_manufacturing!$F$28/100</f>
        <v>500</v>
      </c>
      <c r="AT44" s="130">
        <f>AT$21*shipping_manufacturing!$F$28/100</f>
        <v>500</v>
      </c>
      <c r="AU44" s="130">
        <f>AU$21*shipping_manufacturing!$F$28/100</f>
        <v>500</v>
      </c>
      <c r="AV44" s="130">
        <f>AV$21*shipping_manufacturing!$F$28/100</f>
        <v>500</v>
      </c>
      <c r="AW44" s="130">
        <f>AW$21*shipping_manufacturing!$F$28/100</f>
        <v>500</v>
      </c>
      <c r="AX44" s="130">
        <f>AX$21*shipping_manufacturing!$F$28/100</f>
        <v>500</v>
      </c>
      <c r="AY44" s="130">
        <f>AY$21*shipping_manufacturing!$F$28/100</f>
        <v>500</v>
      </c>
    </row>
    <row r="45" spans="1:52" x14ac:dyDescent="0.2">
      <c r="A45" s="119" t="s">
        <v>339</v>
      </c>
      <c r="B45" s="171" t="s">
        <v>341</v>
      </c>
      <c r="C45" s="116"/>
      <c r="D45" s="116">
        <f>D$22*shipping_manufacturing!$G$28/100</f>
        <v>0</v>
      </c>
      <c r="E45" s="116">
        <f>E$22*shipping_manufacturing!$G$28/100</f>
        <v>0</v>
      </c>
      <c r="F45" s="116">
        <f>F$22*shipping_manufacturing!$G$28/100</f>
        <v>0</v>
      </c>
      <c r="G45" s="116">
        <f>G$22*shipping_manufacturing!$G$28/100</f>
        <v>0</v>
      </c>
      <c r="H45" s="116">
        <f>H$22*shipping_manufacturing!$G$28/100</f>
        <v>0</v>
      </c>
      <c r="I45" s="116">
        <f>I$22*shipping_manufacturing!$G$28/100</f>
        <v>0</v>
      </c>
      <c r="J45" s="116">
        <f>J$22*shipping_manufacturing!$G$28/100</f>
        <v>0</v>
      </c>
      <c r="K45" s="116">
        <f>K$22*shipping_manufacturing!$G$28/100</f>
        <v>0</v>
      </c>
      <c r="L45" s="116">
        <f>L$22*shipping_manufacturing!$G$28/100</f>
        <v>0</v>
      </c>
      <c r="M45" s="116">
        <f>M$22*shipping_manufacturing!$G$28/100</f>
        <v>0</v>
      </c>
      <c r="N45" s="116">
        <f>N$22*shipping_manufacturing!$G$28/100</f>
        <v>0</v>
      </c>
      <c r="O45" s="116">
        <f>O$22*shipping_manufacturing!$G$28/100</f>
        <v>0</v>
      </c>
      <c r="P45" s="116">
        <f>P$22*shipping_manufacturing!$G$28/100</f>
        <v>0</v>
      </c>
      <c r="Q45" s="116">
        <f>Q$22*shipping_manufacturing!$G$28/100</f>
        <v>0</v>
      </c>
      <c r="R45" s="116">
        <f>R$22*shipping_manufacturing!$G$28/100</f>
        <v>0</v>
      </c>
      <c r="S45" s="116">
        <f>S$22*shipping_manufacturing!$G$28/100</f>
        <v>0</v>
      </c>
      <c r="T45" s="116">
        <f>T$22*shipping_manufacturing!$G$28/100</f>
        <v>0</v>
      </c>
      <c r="U45" s="116">
        <f>U$22*shipping_manufacturing!$G$28/100</f>
        <v>0</v>
      </c>
      <c r="V45" s="116">
        <f>V$22*shipping_manufacturing!$G$28/100</f>
        <v>0</v>
      </c>
      <c r="W45" s="116">
        <f>W$22*shipping_manufacturing!$G$28/100</f>
        <v>0</v>
      </c>
      <c r="X45" s="116">
        <f>X$22*shipping_manufacturing!$G$28/100</f>
        <v>0</v>
      </c>
      <c r="Y45" s="116">
        <f>Y$22*shipping_manufacturing!$G$28/100</f>
        <v>0</v>
      </c>
      <c r="Z45" s="116">
        <f>Z$22*shipping_manufacturing!$G$28/100</f>
        <v>0</v>
      </c>
      <c r="AA45" s="116">
        <f>AA$22*shipping_manufacturing!$G$28/100</f>
        <v>0</v>
      </c>
      <c r="AB45" s="116">
        <f>AB$22*shipping_manufacturing!$G$28/100</f>
        <v>0</v>
      </c>
      <c r="AC45" s="116">
        <f>AC$22*shipping_manufacturing!$G$28/100</f>
        <v>0</v>
      </c>
      <c r="AD45" s="116">
        <f>AD$22*shipping_manufacturing!$G$28/100</f>
        <v>0</v>
      </c>
      <c r="AE45" s="116">
        <f>AE$22*shipping_manufacturing!$G$28/100</f>
        <v>0</v>
      </c>
      <c r="AF45" s="116">
        <f>AF$22*shipping_manufacturing!$G$28/100</f>
        <v>0</v>
      </c>
      <c r="AG45" s="116">
        <f>AG$22*shipping_manufacturing!$G$28/100</f>
        <v>0</v>
      </c>
      <c r="AH45" s="116">
        <f>AH$22*shipping_manufacturing!$G$28/100</f>
        <v>0</v>
      </c>
      <c r="AI45" s="116">
        <f>AI$22*shipping_manufacturing!$G$28/100</f>
        <v>0</v>
      </c>
      <c r="AJ45" s="116">
        <f>AJ$22*shipping_manufacturing!$G$28/100</f>
        <v>0</v>
      </c>
      <c r="AK45" s="116">
        <f>AK$22*shipping_manufacturing!$G$28/100</f>
        <v>0</v>
      </c>
      <c r="AL45" s="116">
        <f>AL$22*shipping_manufacturing!$G$28/100</f>
        <v>0</v>
      </c>
      <c r="AM45" s="116">
        <f>AM$22*shipping_manufacturing!$G$28/100</f>
        <v>0</v>
      </c>
      <c r="AN45" s="116">
        <f>AN$22*shipping_manufacturing!$G$28/100</f>
        <v>0</v>
      </c>
      <c r="AO45" s="116">
        <f>AO$22*shipping_manufacturing!$G$28/100</f>
        <v>0</v>
      </c>
      <c r="AP45" s="116">
        <f>AP$22*shipping_manufacturing!$G$28/100</f>
        <v>0</v>
      </c>
      <c r="AQ45" s="116">
        <f>AQ$22*shipping_manufacturing!$G$28/100</f>
        <v>0</v>
      </c>
      <c r="AR45" s="116">
        <f>AR$22*shipping_manufacturing!$G$28/100</f>
        <v>0</v>
      </c>
      <c r="AS45" s="116">
        <f>AS$22*shipping_manufacturing!$G$28/100</f>
        <v>0</v>
      </c>
      <c r="AT45" s="116">
        <f>AT$22*shipping_manufacturing!$G$28/100</f>
        <v>0</v>
      </c>
      <c r="AU45" s="116">
        <f>AU$22*shipping_manufacturing!$G$28/100</f>
        <v>0</v>
      </c>
      <c r="AV45" s="116">
        <f>AV$22*shipping_manufacturing!$G$28/100</f>
        <v>0</v>
      </c>
      <c r="AW45" s="116">
        <f>AW$22*shipping_manufacturing!$G$28/100</f>
        <v>0</v>
      </c>
      <c r="AX45" s="116">
        <f>AX$22*shipping_manufacturing!$G$28/100</f>
        <v>0</v>
      </c>
      <c r="AY45" s="116">
        <f>AY$22*shipping_manufacturing!$G$28/100</f>
        <v>0</v>
      </c>
    </row>
    <row r="46" spans="1:52" x14ac:dyDescent="0.2">
      <c r="A46" s="116">
        <v>2339</v>
      </c>
      <c r="B46" s="171" t="s">
        <v>342</v>
      </c>
      <c r="C46" s="116"/>
      <c r="D46" s="116">
        <f>SUM(D44:D45)</f>
        <v>0</v>
      </c>
      <c r="E46" s="116">
        <f t="shared" ref="E46:AY46" si="14">SUM(E44:E45)</f>
        <v>500</v>
      </c>
      <c r="F46" s="116">
        <f t="shared" si="14"/>
        <v>500</v>
      </c>
      <c r="G46" s="116">
        <f t="shared" si="14"/>
        <v>500</v>
      </c>
      <c r="H46" s="116">
        <f t="shared" si="14"/>
        <v>0</v>
      </c>
      <c r="I46" s="116">
        <f t="shared" si="14"/>
        <v>500</v>
      </c>
      <c r="J46" s="116">
        <f t="shared" si="14"/>
        <v>500</v>
      </c>
      <c r="K46" s="116">
        <f t="shared" si="14"/>
        <v>500</v>
      </c>
      <c r="L46" s="116">
        <f t="shared" si="14"/>
        <v>500</v>
      </c>
      <c r="M46" s="116">
        <f t="shared" si="14"/>
        <v>500</v>
      </c>
      <c r="N46" s="116">
        <f t="shared" si="14"/>
        <v>500</v>
      </c>
      <c r="O46" s="116">
        <f t="shared" si="14"/>
        <v>500</v>
      </c>
      <c r="P46" s="116">
        <f t="shared" si="14"/>
        <v>500</v>
      </c>
      <c r="Q46" s="116">
        <f t="shared" si="14"/>
        <v>500</v>
      </c>
      <c r="R46" s="116">
        <f t="shared" si="14"/>
        <v>500</v>
      </c>
      <c r="S46" s="116">
        <f t="shared" si="14"/>
        <v>500</v>
      </c>
      <c r="T46" s="116">
        <f t="shared" si="14"/>
        <v>500</v>
      </c>
      <c r="U46" s="116">
        <f t="shared" si="14"/>
        <v>500</v>
      </c>
      <c r="V46" s="116">
        <f t="shared" si="14"/>
        <v>500</v>
      </c>
      <c r="W46" s="116">
        <f t="shared" si="14"/>
        <v>500</v>
      </c>
      <c r="X46" s="116">
        <f t="shared" si="14"/>
        <v>500</v>
      </c>
      <c r="Y46" s="116">
        <f t="shared" si="14"/>
        <v>500</v>
      </c>
      <c r="Z46" s="116">
        <f t="shared" si="14"/>
        <v>500</v>
      </c>
      <c r="AA46" s="116">
        <f t="shared" si="14"/>
        <v>500</v>
      </c>
      <c r="AB46" s="116">
        <f t="shared" si="14"/>
        <v>500</v>
      </c>
      <c r="AC46" s="116">
        <f t="shared" si="14"/>
        <v>500</v>
      </c>
      <c r="AD46" s="116">
        <f t="shared" si="14"/>
        <v>500</v>
      </c>
      <c r="AE46" s="116">
        <f t="shared" si="14"/>
        <v>500</v>
      </c>
      <c r="AF46" s="116">
        <f t="shared" si="14"/>
        <v>500</v>
      </c>
      <c r="AG46" s="116">
        <f t="shared" si="14"/>
        <v>500</v>
      </c>
      <c r="AH46" s="116">
        <f t="shared" si="14"/>
        <v>500</v>
      </c>
      <c r="AI46" s="116">
        <f t="shared" si="14"/>
        <v>500</v>
      </c>
      <c r="AJ46" s="116">
        <f t="shared" si="14"/>
        <v>500</v>
      </c>
      <c r="AK46" s="116">
        <f t="shared" si="14"/>
        <v>500</v>
      </c>
      <c r="AL46" s="116">
        <f t="shared" si="14"/>
        <v>500</v>
      </c>
      <c r="AM46" s="116">
        <f t="shared" si="14"/>
        <v>500</v>
      </c>
      <c r="AN46" s="116">
        <f t="shared" si="14"/>
        <v>500</v>
      </c>
      <c r="AO46" s="116">
        <f t="shared" si="14"/>
        <v>500</v>
      </c>
      <c r="AP46" s="116">
        <f t="shared" si="14"/>
        <v>500</v>
      </c>
      <c r="AQ46" s="116">
        <f t="shared" si="14"/>
        <v>0</v>
      </c>
      <c r="AR46" s="116">
        <f t="shared" si="14"/>
        <v>500</v>
      </c>
      <c r="AS46" s="116">
        <f t="shared" si="14"/>
        <v>500</v>
      </c>
      <c r="AT46" s="116">
        <f t="shared" si="14"/>
        <v>500</v>
      </c>
      <c r="AU46" s="116">
        <f t="shared" si="14"/>
        <v>500</v>
      </c>
      <c r="AV46" s="116">
        <f t="shared" si="14"/>
        <v>500</v>
      </c>
      <c r="AW46" s="116">
        <f t="shared" si="14"/>
        <v>500</v>
      </c>
      <c r="AX46" s="116">
        <f t="shared" si="14"/>
        <v>500</v>
      </c>
      <c r="AY46" s="116">
        <f t="shared" si="14"/>
        <v>500</v>
      </c>
    </row>
    <row r="47" spans="1:52" x14ac:dyDescent="0.2">
      <c r="A47" s="116"/>
      <c r="B47" s="171" t="s">
        <v>343</v>
      </c>
      <c r="C47" s="116"/>
      <c r="D47" s="116"/>
      <c r="E47" s="116">
        <v>500</v>
      </c>
      <c r="F47" s="116">
        <v>150</v>
      </c>
      <c r="G47" s="116">
        <v>500</v>
      </c>
      <c r="H47" s="116"/>
      <c r="I47" s="116">
        <v>500</v>
      </c>
      <c r="J47" s="116">
        <v>150</v>
      </c>
      <c r="K47" s="116">
        <v>500</v>
      </c>
      <c r="L47" s="116">
        <v>150</v>
      </c>
      <c r="M47" s="116">
        <v>500</v>
      </c>
      <c r="N47" s="116">
        <v>150</v>
      </c>
      <c r="O47" s="116">
        <v>500</v>
      </c>
      <c r="P47" s="116">
        <v>150</v>
      </c>
      <c r="Q47" s="116">
        <v>500</v>
      </c>
      <c r="R47" s="116">
        <v>150</v>
      </c>
      <c r="S47" s="116">
        <v>500</v>
      </c>
      <c r="T47" s="116">
        <v>150</v>
      </c>
      <c r="U47" s="116">
        <v>500</v>
      </c>
      <c r="V47" s="116">
        <v>150</v>
      </c>
      <c r="W47" s="116">
        <v>500</v>
      </c>
      <c r="X47" s="116">
        <v>150</v>
      </c>
      <c r="Y47" s="116">
        <v>500</v>
      </c>
      <c r="Z47" s="116">
        <v>150</v>
      </c>
      <c r="AA47" s="116">
        <v>500</v>
      </c>
      <c r="AB47" s="116">
        <v>150</v>
      </c>
      <c r="AC47" s="116">
        <v>500</v>
      </c>
      <c r="AD47" s="116">
        <v>150</v>
      </c>
      <c r="AE47" s="116">
        <v>500</v>
      </c>
      <c r="AF47" s="116">
        <v>150</v>
      </c>
      <c r="AG47" s="116">
        <v>500</v>
      </c>
      <c r="AH47" s="116">
        <v>150</v>
      </c>
      <c r="AI47" s="116">
        <v>500</v>
      </c>
      <c r="AJ47" s="116">
        <v>150</v>
      </c>
      <c r="AK47" s="116">
        <v>500</v>
      </c>
      <c r="AL47" s="116">
        <v>150</v>
      </c>
      <c r="AM47" s="116">
        <v>500</v>
      </c>
      <c r="AN47" s="116">
        <v>150</v>
      </c>
      <c r="AO47" s="116">
        <v>500</v>
      </c>
      <c r="AP47" s="116">
        <v>150</v>
      </c>
      <c r="AQ47" s="116"/>
      <c r="AR47" s="116">
        <v>500</v>
      </c>
      <c r="AS47" s="116">
        <v>150</v>
      </c>
      <c r="AT47" s="116">
        <v>500</v>
      </c>
      <c r="AU47" s="116">
        <v>150</v>
      </c>
      <c r="AV47" s="116">
        <v>500</v>
      </c>
      <c r="AW47" s="116">
        <v>150</v>
      </c>
      <c r="AX47" s="116">
        <v>500</v>
      </c>
      <c r="AY47" s="116">
        <v>150</v>
      </c>
    </row>
    <row r="48" spans="1:52" x14ac:dyDescent="0.2">
      <c r="A48" s="116"/>
      <c r="B48" s="171" t="s">
        <v>344</v>
      </c>
      <c r="C48" s="116"/>
      <c r="D48" s="116"/>
      <c r="E48" s="116">
        <v>0</v>
      </c>
      <c r="F48" s="116">
        <v>0</v>
      </c>
      <c r="G48" s="116">
        <v>0</v>
      </c>
      <c r="H48" s="116"/>
      <c r="I48" s="116">
        <v>0</v>
      </c>
      <c r="J48" s="116">
        <v>0</v>
      </c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>
        <v>0</v>
      </c>
      <c r="AQ48" s="116"/>
      <c r="AR48" s="116">
        <v>0</v>
      </c>
      <c r="AS48" s="116">
        <v>0</v>
      </c>
      <c r="AT48" s="116">
        <v>0</v>
      </c>
      <c r="AU48" s="116">
        <v>0</v>
      </c>
      <c r="AV48" s="116">
        <v>0</v>
      </c>
      <c r="AW48" s="116">
        <v>0</v>
      </c>
      <c r="AX48" s="116">
        <v>0</v>
      </c>
      <c r="AY48" s="116">
        <v>0</v>
      </c>
    </row>
    <row r="49" spans="1:52" x14ac:dyDescent="0.2">
      <c r="A49" s="116"/>
      <c r="B49" s="171" t="s">
        <v>345</v>
      </c>
      <c r="C49" s="116"/>
      <c r="D49" s="116"/>
      <c r="E49" s="116">
        <v>17</v>
      </c>
      <c r="F49" s="116">
        <v>5</v>
      </c>
      <c r="G49" s="116">
        <v>17</v>
      </c>
      <c r="H49" s="116"/>
      <c r="I49" s="116">
        <v>17</v>
      </c>
      <c r="J49" s="116">
        <v>5</v>
      </c>
      <c r="K49" s="116">
        <v>17</v>
      </c>
      <c r="L49" s="116">
        <v>5</v>
      </c>
      <c r="M49" s="116">
        <v>17</v>
      </c>
      <c r="N49" s="116">
        <v>5</v>
      </c>
      <c r="O49" s="116">
        <v>17</v>
      </c>
      <c r="P49" s="116">
        <v>5</v>
      </c>
      <c r="Q49" s="116">
        <v>17</v>
      </c>
      <c r="R49" s="116">
        <v>5</v>
      </c>
      <c r="S49" s="116">
        <v>17</v>
      </c>
      <c r="T49" s="116">
        <v>5</v>
      </c>
      <c r="U49" s="116">
        <v>17</v>
      </c>
      <c r="V49" s="116">
        <v>5</v>
      </c>
      <c r="W49" s="116">
        <v>17</v>
      </c>
      <c r="X49" s="116">
        <v>5</v>
      </c>
      <c r="Y49" s="116">
        <v>17</v>
      </c>
      <c r="Z49" s="116">
        <v>5</v>
      </c>
      <c r="AA49" s="116">
        <v>17</v>
      </c>
      <c r="AB49" s="116">
        <v>5</v>
      </c>
      <c r="AC49" s="116">
        <v>17</v>
      </c>
      <c r="AD49" s="116">
        <v>5</v>
      </c>
      <c r="AE49" s="116">
        <v>17</v>
      </c>
      <c r="AF49" s="116">
        <v>5</v>
      </c>
      <c r="AG49" s="116">
        <v>17</v>
      </c>
      <c r="AH49" s="116">
        <v>5</v>
      </c>
      <c r="AI49" s="116">
        <v>17</v>
      </c>
      <c r="AJ49" s="116">
        <v>5</v>
      </c>
      <c r="AK49" s="116">
        <v>17</v>
      </c>
      <c r="AL49" s="116">
        <v>5</v>
      </c>
      <c r="AM49" s="116">
        <v>17</v>
      </c>
      <c r="AN49" s="116">
        <v>5</v>
      </c>
      <c r="AO49" s="116">
        <v>17</v>
      </c>
      <c r="AP49" s="116">
        <v>5</v>
      </c>
      <c r="AQ49" s="116"/>
      <c r="AR49" s="116">
        <v>17</v>
      </c>
      <c r="AS49" s="116">
        <v>5</v>
      </c>
      <c r="AT49" s="116">
        <v>17</v>
      </c>
      <c r="AU49" s="116">
        <v>5</v>
      </c>
      <c r="AV49" s="116">
        <v>17</v>
      </c>
      <c r="AW49" s="116">
        <v>5</v>
      </c>
      <c r="AX49" s="116">
        <v>17</v>
      </c>
      <c r="AY49" s="116">
        <v>5</v>
      </c>
    </row>
    <row r="50" spans="1:52" x14ac:dyDescent="0.2">
      <c r="A50" s="116"/>
      <c r="B50" s="171" t="s">
        <v>346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350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350</v>
      </c>
      <c r="K50" s="116">
        <f t="shared" si="15"/>
        <v>0</v>
      </c>
      <c r="L50" s="116">
        <f t="shared" si="15"/>
        <v>350</v>
      </c>
      <c r="M50" s="116">
        <f t="shared" si="15"/>
        <v>0</v>
      </c>
      <c r="N50" s="116">
        <f t="shared" si="15"/>
        <v>350</v>
      </c>
      <c r="O50" s="116">
        <f t="shared" si="15"/>
        <v>0</v>
      </c>
      <c r="P50" s="116">
        <f t="shared" si="15"/>
        <v>350</v>
      </c>
      <c r="Q50" s="116">
        <f t="shared" si="15"/>
        <v>0</v>
      </c>
      <c r="R50" s="116">
        <f t="shared" si="15"/>
        <v>350</v>
      </c>
      <c r="S50" s="116">
        <f t="shared" si="15"/>
        <v>0</v>
      </c>
      <c r="T50" s="116">
        <f t="shared" si="15"/>
        <v>350</v>
      </c>
      <c r="U50" s="116">
        <f t="shared" si="15"/>
        <v>0</v>
      </c>
      <c r="V50" s="116">
        <f t="shared" si="15"/>
        <v>350</v>
      </c>
      <c r="W50" s="116">
        <f t="shared" si="15"/>
        <v>0</v>
      </c>
      <c r="X50" s="116">
        <f t="shared" si="15"/>
        <v>350</v>
      </c>
      <c r="Y50" s="116">
        <f t="shared" si="15"/>
        <v>0</v>
      </c>
      <c r="Z50" s="116">
        <f t="shared" si="15"/>
        <v>350</v>
      </c>
      <c r="AA50" s="116">
        <f t="shared" si="15"/>
        <v>0</v>
      </c>
      <c r="AB50" s="116">
        <f t="shared" si="15"/>
        <v>350</v>
      </c>
      <c r="AC50" s="116">
        <f t="shared" si="15"/>
        <v>0</v>
      </c>
      <c r="AD50" s="116">
        <f t="shared" si="15"/>
        <v>350</v>
      </c>
      <c r="AE50" s="116">
        <f t="shared" si="15"/>
        <v>0</v>
      </c>
      <c r="AF50" s="116">
        <f t="shared" si="15"/>
        <v>350</v>
      </c>
      <c r="AG50" s="116">
        <f t="shared" si="15"/>
        <v>0</v>
      </c>
      <c r="AH50" s="116">
        <f t="shared" si="15"/>
        <v>350</v>
      </c>
      <c r="AI50" s="116">
        <f t="shared" si="15"/>
        <v>0</v>
      </c>
      <c r="AJ50" s="116">
        <f t="shared" si="15"/>
        <v>350</v>
      </c>
      <c r="AK50" s="116">
        <f t="shared" si="15"/>
        <v>0</v>
      </c>
      <c r="AL50" s="116">
        <f t="shared" si="15"/>
        <v>350</v>
      </c>
      <c r="AM50" s="116">
        <f t="shared" si="15"/>
        <v>0</v>
      </c>
      <c r="AN50" s="116">
        <f t="shared" si="15"/>
        <v>350</v>
      </c>
      <c r="AO50" s="116">
        <f t="shared" si="15"/>
        <v>0</v>
      </c>
      <c r="AP50" s="116">
        <f t="shared" si="15"/>
        <v>350</v>
      </c>
      <c r="AQ50" s="116">
        <f t="shared" si="15"/>
        <v>0</v>
      </c>
      <c r="AR50" s="116">
        <f t="shared" si="15"/>
        <v>0</v>
      </c>
      <c r="AS50" s="116">
        <f t="shared" si="15"/>
        <v>350</v>
      </c>
      <c r="AT50" s="116">
        <f t="shared" si="15"/>
        <v>0</v>
      </c>
      <c r="AU50" s="116">
        <f t="shared" si="15"/>
        <v>350</v>
      </c>
      <c r="AV50" s="116">
        <f t="shared" si="15"/>
        <v>0</v>
      </c>
      <c r="AW50" s="116">
        <f t="shared" si="15"/>
        <v>350</v>
      </c>
      <c r="AX50" s="116">
        <f t="shared" si="15"/>
        <v>0</v>
      </c>
      <c r="AY50" s="116">
        <f t="shared" si="15"/>
        <v>350</v>
      </c>
    </row>
    <row r="51" spans="1:52" x14ac:dyDescent="0.2">
      <c r="A51" s="116"/>
      <c r="B51" s="171" t="s">
        <v>347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348</v>
      </c>
      <c r="C52" s="116"/>
      <c r="D52" s="116">
        <v>4</v>
      </c>
      <c r="E52" s="116">
        <v>2</v>
      </c>
      <c r="F52" s="116">
        <v>3</v>
      </c>
      <c r="G52" s="116">
        <v>2</v>
      </c>
      <c r="H52" s="116">
        <v>3</v>
      </c>
      <c r="I52" s="116">
        <v>2</v>
      </c>
      <c r="J52" s="116">
        <v>3</v>
      </c>
      <c r="K52" s="116">
        <v>2</v>
      </c>
      <c r="L52" s="116">
        <v>2</v>
      </c>
      <c r="M52" s="116">
        <v>4</v>
      </c>
      <c r="N52" s="116">
        <v>3</v>
      </c>
      <c r="O52" s="116">
        <v>3</v>
      </c>
      <c r="P52" s="116">
        <v>2</v>
      </c>
      <c r="Q52" s="116">
        <v>2</v>
      </c>
      <c r="R52" s="116">
        <v>3</v>
      </c>
      <c r="S52" s="116">
        <v>3</v>
      </c>
      <c r="T52" s="116">
        <v>2</v>
      </c>
      <c r="U52" s="116">
        <v>2</v>
      </c>
      <c r="V52" s="116">
        <v>3</v>
      </c>
      <c r="W52" s="116">
        <v>2</v>
      </c>
      <c r="X52" s="116">
        <v>3</v>
      </c>
      <c r="Y52" s="116">
        <v>2</v>
      </c>
      <c r="Z52" s="116">
        <v>3</v>
      </c>
      <c r="AA52" s="116">
        <v>2</v>
      </c>
      <c r="AB52" s="116">
        <v>2</v>
      </c>
      <c r="AC52" s="116">
        <v>4</v>
      </c>
      <c r="AD52" s="116">
        <v>2</v>
      </c>
      <c r="AE52" s="116">
        <v>2</v>
      </c>
      <c r="AF52" s="116">
        <v>2</v>
      </c>
      <c r="AG52" s="116">
        <v>3</v>
      </c>
      <c r="AH52" s="116">
        <v>2</v>
      </c>
      <c r="AI52" s="116">
        <v>2</v>
      </c>
      <c r="AJ52" s="116">
        <v>3</v>
      </c>
      <c r="AK52" s="116">
        <v>2</v>
      </c>
      <c r="AL52" s="116">
        <v>2</v>
      </c>
      <c r="AM52" s="116">
        <v>3</v>
      </c>
      <c r="AN52" s="116">
        <v>2</v>
      </c>
      <c r="AO52" s="116">
        <v>3</v>
      </c>
      <c r="AP52" s="116">
        <v>3</v>
      </c>
      <c r="AQ52" s="116">
        <v>3</v>
      </c>
      <c r="AR52" s="116">
        <v>2</v>
      </c>
      <c r="AS52" s="116">
        <v>2</v>
      </c>
      <c r="AT52" s="116">
        <v>2</v>
      </c>
      <c r="AU52" s="116">
        <v>4</v>
      </c>
      <c r="AV52" s="116">
        <v>3</v>
      </c>
      <c r="AW52" s="116">
        <v>4</v>
      </c>
      <c r="AX52" s="116">
        <v>2</v>
      </c>
      <c r="AY52" s="116">
        <v>3</v>
      </c>
    </row>
    <row r="53" spans="1:52" x14ac:dyDescent="0.2">
      <c r="A53" s="116"/>
      <c r="B53" s="184" t="s">
        <v>349</v>
      </c>
      <c r="C53" s="116"/>
      <c r="D53" s="116">
        <v>0</v>
      </c>
      <c r="E53" s="116">
        <v>1431468</v>
      </c>
      <c r="F53" s="116">
        <v>421020</v>
      </c>
      <c r="G53" s="116">
        <v>1431468</v>
      </c>
      <c r="H53" s="116">
        <v>0</v>
      </c>
      <c r="I53" s="116">
        <v>1431468</v>
      </c>
      <c r="J53" s="116">
        <v>421020</v>
      </c>
      <c r="K53" s="116">
        <v>1431468</v>
      </c>
      <c r="L53" s="116">
        <v>421020</v>
      </c>
      <c r="M53" s="116">
        <v>1431468</v>
      </c>
      <c r="N53" s="116">
        <v>421020</v>
      </c>
      <c r="O53" s="116">
        <v>1431468</v>
      </c>
      <c r="P53" s="116">
        <v>421020</v>
      </c>
      <c r="Q53" s="116">
        <v>1431468</v>
      </c>
      <c r="R53" s="116">
        <v>421020</v>
      </c>
      <c r="S53" s="116">
        <v>1431468</v>
      </c>
      <c r="T53" s="116">
        <v>421020</v>
      </c>
      <c r="U53" s="116">
        <v>1431468</v>
      </c>
      <c r="V53" s="116">
        <v>421020</v>
      </c>
      <c r="W53" s="116">
        <v>1431468</v>
      </c>
      <c r="X53" s="116">
        <v>421020</v>
      </c>
      <c r="Y53" s="116">
        <v>1431468</v>
      </c>
      <c r="Z53" s="116">
        <v>421020</v>
      </c>
      <c r="AA53" s="116">
        <v>1431468</v>
      </c>
      <c r="AB53" s="116">
        <v>421020</v>
      </c>
      <c r="AC53" s="116">
        <v>1431468</v>
      </c>
      <c r="AD53" s="116">
        <v>421020</v>
      </c>
      <c r="AE53" s="116">
        <v>1431468</v>
      </c>
      <c r="AF53" s="116">
        <v>421020</v>
      </c>
      <c r="AG53" s="116">
        <v>1431468</v>
      </c>
      <c r="AH53" s="116">
        <v>421020</v>
      </c>
      <c r="AI53" s="116">
        <v>1431468</v>
      </c>
      <c r="AJ53" s="116">
        <v>421020</v>
      </c>
      <c r="AK53" s="116">
        <v>1431468</v>
      </c>
      <c r="AL53" s="116">
        <v>421020</v>
      </c>
      <c r="AM53" s="116">
        <v>1431468</v>
      </c>
      <c r="AN53" s="116">
        <v>421020</v>
      </c>
      <c r="AO53" s="116">
        <v>1431468</v>
      </c>
      <c r="AP53" s="116">
        <v>421020</v>
      </c>
      <c r="AQ53" s="116">
        <v>0</v>
      </c>
      <c r="AR53" s="116">
        <v>1431468</v>
      </c>
      <c r="AS53" s="116">
        <v>421020</v>
      </c>
      <c r="AT53" s="116">
        <v>1431468</v>
      </c>
      <c r="AU53" s="116">
        <v>421020</v>
      </c>
      <c r="AV53" s="116">
        <v>1431468</v>
      </c>
      <c r="AW53" s="116">
        <v>421020</v>
      </c>
      <c r="AX53" s="116">
        <v>1431468</v>
      </c>
      <c r="AY53" s="116">
        <v>421020</v>
      </c>
      <c r="AZ53" s="106">
        <f>SUM($D$53:$AY$53)</f>
        <v>42186204</v>
      </c>
    </row>
    <row r="54" spans="1:52" x14ac:dyDescent="0.2">
      <c r="A54" s="131"/>
      <c r="B54" s="146" t="s">
        <v>350</v>
      </c>
      <c r="C54" s="131"/>
      <c r="D54" s="131">
        <v>0</v>
      </c>
      <c r="E54" s="131">
        <v>0</v>
      </c>
      <c r="F54" s="131">
        <v>532122.5</v>
      </c>
      <c r="G54" s="131">
        <v>0</v>
      </c>
      <c r="H54" s="131">
        <v>0</v>
      </c>
      <c r="I54" s="131">
        <v>0</v>
      </c>
      <c r="J54" s="131">
        <v>532122.5</v>
      </c>
      <c r="K54" s="131">
        <v>0</v>
      </c>
      <c r="L54" s="131">
        <v>532122.5</v>
      </c>
      <c r="M54" s="131">
        <v>0</v>
      </c>
      <c r="N54" s="131">
        <v>532122.5</v>
      </c>
      <c r="O54" s="131">
        <v>0</v>
      </c>
      <c r="P54" s="131">
        <v>532122.5</v>
      </c>
      <c r="Q54" s="131">
        <v>0</v>
      </c>
      <c r="R54" s="131">
        <v>532122.5</v>
      </c>
      <c r="S54" s="131">
        <v>0</v>
      </c>
      <c r="T54" s="131">
        <v>532122.5</v>
      </c>
      <c r="U54" s="131">
        <v>0</v>
      </c>
      <c r="V54" s="131">
        <v>532122.5</v>
      </c>
      <c r="W54" s="131">
        <v>0</v>
      </c>
      <c r="X54" s="131">
        <v>532122.5</v>
      </c>
      <c r="Y54" s="131">
        <v>0</v>
      </c>
      <c r="Z54" s="131">
        <v>532122.5</v>
      </c>
      <c r="AA54" s="131">
        <v>0</v>
      </c>
      <c r="AB54" s="131">
        <v>532122.5</v>
      </c>
      <c r="AC54" s="131">
        <v>0</v>
      </c>
      <c r="AD54" s="131">
        <v>532122.5</v>
      </c>
      <c r="AE54" s="131">
        <v>0</v>
      </c>
      <c r="AF54" s="131">
        <v>532122.5</v>
      </c>
      <c r="AG54" s="131">
        <v>0</v>
      </c>
      <c r="AH54" s="131">
        <v>532122.5</v>
      </c>
      <c r="AI54" s="131">
        <v>0</v>
      </c>
      <c r="AJ54" s="131">
        <v>532122.5</v>
      </c>
      <c r="AK54" s="131">
        <v>0</v>
      </c>
      <c r="AL54" s="131">
        <v>532122.5</v>
      </c>
      <c r="AM54" s="131">
        <v>0</v>
      </c>
      <c r="AN54" s="131">
        <v>532122.5</v>
      </c>
      <c r="AO54" s="131">
        <v>0</v>
      </c>
      <c r="AP54" s="131">
        <v>532122.5</v>
      </c>
      <c r="AQ54" s="131">
        <v>0</v>
      </c>
      <c r="AR54" s="131">
        <v>0</v>
      </c>
      <c r="AS54" s="131">
        <v>532122.5</v>
      </c>
      <c r="AT54" s="131">
        <v>0</v>
      </c>
      <c r="AU54" s="131">
        <v>532122.5</v>
      </c>
      <c r="AV54" s="131">
        <v>0</v>
      </c>
      <c r="AW54" s="131">
        <v>532122.5</v>
      </c>
      <c r="AX54" s="131">
        <v>0</v>
      </c>
      <c r="AY54" s="131">
        <v>532122.5</v>
      </c>
      <c r="AZ54" s="106">
        <f>SUM($D$54:$AY$54)</f>
        <v>11706695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302</v>
      </c>
      <c r="B2" s="113" t="s">
        <v>12</v>
      </c>
      <c r="E2" s="116"/>
    </row>
    <row r="3" spans="1:52" x14ac:dyDescent="0.2">
      <c r="A3" s="106" t="s">
        <v>285</v>
      </c>
      <c r="B3" s="113">
        <v>3589</v>
      </c>
      <c r="E3" s="116"/>
    </row>
    <row r="4" spans="1:52" x14ac:dyDescent="0.2">
      <c r="A4" s="108"/>
      <c r="C4" s="117" t="s">
        <v>286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303</v>
      </c>
      <c r="B6" s="120"/>
      <c r="C6" s="119" t="s">
        <v>287</v>
      </c>
      <c r="D6" s="118" t="s">
        <v>288</v>
      </c>
      <c r="E6" s="118" t="s">
        <v>288</v>
      </c>
      <c r="F6" s="118" t="s">
        <v>288</v>
      </c>
      <c r="G6" s="118" t="s">
        <v>288</v>
      </c>
      <c r="H6" s="118" t="s">
        <v>288</v>
      </c>
      <c r="I6" s="118" t="s">
        <v>288</v>
      </c>
      <c r="J6" s="118" t="s">
        <v>288</v>
      </c>
      <c r="K6" s="118" t="s">
        <v>288</v>
      </c>
      <c r="L6" s="118" t="s">
        <v>288</v>
      </c>
      <c r="M6" s="118" t="s">
        <v>288</v>
      </c>
      <c r="N6" s="118" t="s">
        <v>288</v>
      </c>
      <c r="O6" s="118" t="s">
        <v>288</v>
      </c>
      <c r="P6" s="118" t="s">
        <v>288</v>
      </c>
      <c r="Q6" s="118" t="s">
        <v>288</v>
      </c>
      <c r="R6" s="118" t="s">
        <v>288</v>
      </c>
      <c r="S6" s="118" t="s">
        <v>288</v>
      </c>
      <c r="T6" s="118" t="s">
        <v>288</v>
      </c>
      <c r="U6" s="118" t="s">
        <v>288</v>
      </c>
      <c r="V6" s="118" t="s">
        <v>288</v>
      </c>
      <c r="W6" s="118" t="s">
        <v>288</v>
      </c>
      <c r="X6" s="118" t="s">
        <v>288</v>
      </c>
      <c r="Y6" s="118" t="s">
        <v>288</v>
      </c>
      <c r="Z6" s="118" t="s">
        <v>288</v>
      </c>
      <c r="AA6" s="118" t="s">
        <v>288</v>
      </c>
      <c r="AB6" s="118" t="s">
        <v>288</v>
      </c>
      <c r="AC6" s="118" t="s">
        <v>288</v>
      </c>
      <c r="AD6" s="118" t="s">
        <v>288</v>
      </c>
      <c r="AE6" s="118" t="s">
        <v>288</v>
      </c>
      <c r="AF6" s="118" t="s">
        <v>288</v>
      </c>
      <c r="AG6" s="118" t="s">
        <v>288</v>
      </c>
      <c r="AH6" s="118" t="s">
        <v>288</v>
      </c>
      <c r="AI6" s="118" t="s">
        <v>288</v>
      </c>
      <c r="AJ6" s="118" t="s">
        <v>288</v>
      </c>
      <c r="AK6" s="118" t="s">
        <v>288</v>
      </c>
      <c r="AL6" s="118" t="s">
        <v>288</v>
      </c>
      <c r="AM6" s="118" t="s">
        <v>288</v>
      </c>
      <c r="AN6" s="118" t="s">
        <v>288</v>
      </c>
      <c r="AO6" s="118" t="s">
        <v>288</v>
      </c>
      <c r="AP6" s="118" t="s">
        <v>288</v>
      </c>
      <c r="AQ6" s="118" t="s">
        <v>288</v>
      </c>
      <c r="AR6" s="118" t="s">
        <v>288</v>
      </c>
      <c r="AS6" s="118" t="s">
        <v>288</v>
      </c>
      <c r="AT6" s="118" t="s">
        <v>288</v>
      </c>
      <c r="AU6" s="118" t="s">
        <v>288</v>
      </c>
      <c r="AV6" s="118" t="s">
        <v>288</v>
      </c>
      <c r="AW6" s="118" t="s">
        <v>288</v>
      </c>
      <c r="AX6" s="118" t="s">
        <v>288</v>
      </c>
      <c r="AY6" s="117" t="s">
        <v>289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292</v>
      </c>
      <c r="D7" s="150">
        <v>1786.0001435338022</v>
      </c>
      <c r="E7" s="150">
        <v>1786.0001435338022</v>
      </c>
      <c r="F7" s="150">
        <v>1786.0001435338022</v>
      </c>
      <c r="G7" s="150">
        <v>1786.0001435338022</v>
      </c>
      <c r="H7" s="150">
        <v>1786.0001435338022</v>
      </c>
      <c r="I7" s="150">
        <v>1786.0001435338022</v>
      </c>
      <c r="J7" s="150">
        <v>1786.0001435338022</v>
      </c>
      <c r="K7" s="150">
        <v>1786.0001435338022</v>
      </c>
      <c r="L7" s="150">
        <v>1786.0001435338022</v>
      </c>
      <c r="M7" s="150">
        <v>1786.0001435338022</v>
      </c>
      <c r="N7" s="150">
        <v>1786.0001435338022</v>
      </c>
      <c r="O7" s="150">
        <v>1786.0001435338022</v>
      </c>
      <c r="P7" s="150">
        <v>1786.0001435338022</v>
      </c>
      <c r="Q7" s="150">
        <v>1786.0001435338022</v>
      </c>
      <c r="R7" s="150">
        <v>1786.0001435338022</v>
      </c>
      <c r="S7" s="150">
        <v>1786.0001435338022</v>
      </c>
      <c r="T7" s="150">
        <v>1786.0001435338022</v>
      </c>
      <c r="U7" s="150">
        <v>1786.0001435338022</v>
      </c>
      <c r="V7" s="150">
        <v>1786.0001435338022</v>
      </c>
      <c r="W7" s="150">
        <v>1786.0001435338022</v>
      </c>
      <c r="X7" s="150">
        <v>1786.0001435338022</v>
      </c>
      <c r="Y7" s="150">
        <v>1786.0001435338022</v>
      </c>
      <c r="Z7" s="150">
        <v>1786.0001435338022</v>
      </c>
      <c r="AA7" s="150">
        <v>1786.0001435338022</v>
      </c>
      <c r="AB7" s="150">
        <v>1786.0001435338022</v>
      </c>
      <c r="AC7" s="150">
        <v>1786.0001435338022</v>
      </c>
      <c r="AD7" s="150">
        <v>1786.0001435338022</v>
      </c>
      <c r="AE7" s="150">
        <v>1786.0001435338022</v>
      </c>
      <c r="AF7" s="150">
        <v>1786.0001435338022</v>
      </c>
      <c r="AG7" s="150">
        <v>1786.0001435338022</v>
      </c>
      <c r="AH7" s="150">
        <v>1786.0001435338022</v>
      </c>
      <c r="AI7" s="150">
        <v>1786.0001435338022</v>
      </c>
      <c r="AJ7" s="150">
        <v>1786.0001435338022</v>
      </c>
      <c r="AK7" s="150">
        <v>1786.0001435338022</v>
      </c>
      <c r="AL7" s="150">
        <v>1786.0001435338022</v>
      </c>
      <c r="AM7" s="150">
        <v>1786.0001435338022</v>
      </c>
      <c r="AN7" s="150">
        <v>1786.0001435338022</v>
      </c>
      <c r="AO7" s="150">
        <v>1786.0001435338022</v>
      </c>
      <c r="AP7" s="150">
        <v>1786.0001435338022</v>
      </c>
      <c r="AQ7" s="150">
        <v>1786.0001435338022</v>
      </c>
      <c r="AR7" s="150">
        <v>1786.0001435338022</v>
      </c>
      <c r="AS7" s="150">
        <v>1786.0001435338022</v>
      </c>
      <c r="AT7" s="150">
        <v>1786.0001435338022</v>
      </c>
      <c r="AU7" s="150">
        <v>1786.0001435338022</v>
      </c>
      <c r="AV7" s="150">
        <v>1786.0001435338022</v>
      </c>
      <c r="AW7" s="150">
        <v>1786.0001435338022</v>
      </c>
      <c r="AX7" s="150">
        <v>1786.0001435338022</v>
      </c>
      <c r="AY7" s="150">
        <v>1786.0001435338022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293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292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1769.0004306014071</v>
      </c>
      <c r="AY10" s="150">
        <f t="shared" si="0"/>
        <v>0</v>
      </c>
      <c r="AZ10" s="157">
        <f>SUM($D10:$AY10)</f>
        <v>1769.0004306014071</v>
      </c>
    </row>
    <row r="11" spans="1:52" x14ac:dyDescent="0.2">
      <c r="C11" s="116"/>
    </row>
    <row r="12" spans="1:52" x14ac:dyDescent="0.2">
      <c r="A12" s="158" t="s">
        <v>294</v>
      </c>
      <c r="B12" s="152"/>
      <c r="C12" s="116"/>
    </row>
    <row r="13" spans="1:52" x14ac:dyDescent="0.2">
      <c r="A13" s="128" t="s">
        <v>125</v>
      </c>
      <c r="B13" s="129">
        <v>1</v>
      </c>
      <c r="C13" s="130"/>
      <c r="D13" s="144">
        <f t="shared" ref="D13:AY13" si="1">D$7-D$10</f>
        <v>1786.0001435338022</v>
      </c>
      <c r="E13" s="144">
        <f t="shared" si="1"/>
        <v>1786.0001435338022</v>
      </c>
      <c r="F13" s="144">
        <f t="shared" si="1"/>
        <v>1786.0001435338022</v>
      </c>
      <c r="G13" s="144">
        <f t="shared" si="1"/>
        <v>1786.0001435338022</v>
      </c>
      <c r="H13" s="144">
        <f t="shared" si="1"/>
        <v>1786.0001435338022</v>
      </c>
      <c r="I13" s="144">
        <f t="shared" si="1"/>
        <v>1786.0001435338022</v>
      </c>
      <c r="J13" s="144">
        <f t="shared" si="1"/>
        <v>1786.0001435338022</v>
      </c>
      <c r="K13" s="144">
        <f t="shared" si="1"/>
        <v>1786.0001435338022</v>
      </c>
      <c r="L13" s="144">
        <f t="shared" si="1"/>
        <v>1786.0001435338022</v>
      </c>
      <c r="M13" s="144">
        <f t="shared" si="1"/>
        <v>1786.0001435338022</v>
      </c>
      <c r="N13" s="144">
        <f t="shared" si="1"/>
        <v>1786.0001435338022</v>
      </c>
      <c r="O13" s="144">
        <f t="shared" si="1"/>
        <v>1786.0001435338022</v>
      </c>
      <c r="P13" s="144">
        <f t="shared" si="1"/>
        <v>1786.0001435338022</v>
      </c>
      <c r="Q13" s="144">
        <f t="shared" si="1"/>
        <v>1786.0001435338022</v>
      </c>
      <c r="R13" s="144">
        <f t="shared" si="1"/>
        <v>1786.0001435338022</v>
      </c>
      <c r="S13" s="144">
        <f t="shared" si="1"/>
        <v>1786.0001435338022</v>
      </c>
      <c r="T13" s="144">
        <f t="shared" si="1"/>
        <v>1786.0001435338022</v>
      </c>
      <c r="U13" s="144">
        <f t="shared" si="1"/>
        <v>1786.0001435338022</v>
      </c>
      <c r="V13" s="144">
        <f t="shared" si="1"/>
        <v>1786.0001435338022</v>
      </c>
      <c r="W13" s="144">
        <f t="shared" si="1"/>
        <v>1786.0001435338022</v>
      </c>
      <c r="X13" s="144">
        <f t="shared" si="1"/>
        <v>1786.0001435338022</v>
      </c>
      <c r="Y13" s="144">
        <f t="shared" si="1"/>
        <v>1786.0001435338022</v>
      </c>
      <c r="Z13" s="144">
        <f t="shared" si="1"/>
        <v>1786.0001435338022</v>
      </c>
      <c r="AA13" s="144">
        <f t="shared" si="1"/>
        <v>1786.0001435338022</v>
      </c>
      <c r="AB13" s="144">
        <f t="shared" si="1"/>
        <v>1786.0001435338022</v>
      </c>
      <c r="AC13" s="144">
        <f t="shared" si="1"/>
        <v>1786.0001435338022</v>
      </c>
      <c r="AD13" s="144">
        <f t="shared" si="1"/>
        <v>1786.0001435338022</v>
      </c>
      <c r="AE13" s="144">
        <f t="shared" si="1"/>
        <v>1786.0001435338022</v>
      </c>
      <c r="AF13" s="144">
        <f t="shared" si="1"/>
        <v>1786.0001435338022</v>
      </c>
      <c r="AG13" s="144">
        <f t="shared" si="1"/>
        <v>1786.0001435338022</v>
      </c>
      <c r="AH13" s="144">
        <f t="shared" si="1"/>
        <v>1786.0001435338022</v>
      </c>
      <c r="AI13" s="144">
        <f t="shared" si="1"/>
        <v>1786.0001435338022</v>
      </c>
      <c r="AJ13" s="144">
        <f t="shared" si="1"/>
        <v>1786.0001435338022</v>
      </c>
      <c r="AK13" s="144">
        <f t="shared" si="1"/>
        <v>1786.0001435338022</v>
      </c>
      <c r="AL13" s="144">
        <f t="shared" si="1"/>
        <v>1786.0001435338022</v>
      </c>
      <c r="AM13" s="144">
        <f t="shared" si="1"/>
        <v>1786.0001435338022</v>
      </c>
      <c r="AN13" s="144">
        <f t="shared" si="1"/>
        <v>1786.0001435338022</v>
      </c>
      <c r="AO13" s="144">
        <f t="shared" si="1"/>
        <v>1786.0001435338022</v>
      </c>
      <c r="AP13" s="144">
        <f t="shared" si="1"/>
        <v>1786.0001435338022</v>
      </c>
      <c r="AQ13" s="144">
        <f t="shared" si="1"/>
        <v>1786.0001435338022</v>
      </c>
      <c r="AR13" s="144">
        <f t="shared" si="1"/>
        <v>1786.0001435338022</v>
      </c>
      <c r="AS13" s="144">
        <f t="shared" si="1"/>
        <v>1786.0001435338022</v>
      </c>
      <c r="AT13" s="144">
        <f t="shared" si="1"/>
        <v>1786.0001435338022</v>
      </c>
      <c r="AU13" s="144">
        <f t="shared" si="1"/>
        <v>1786.0001435338022</v>
      </c>
      <c r="AV13" s="144">
        <f t="shared" si="1"/>
        <v>1786.0001435338022</v>
      </c>
      <c r="AW13" s="144">
        <f t="shared" si="1"/>
        <v>1786.0001435338022</v>
      </c>
      <c r="AX13" s="144">
        <f t="shared" si="1"/>
        <v>16.999712932395141</v>
      </c>
      <c r="AY13" s="144">
        <f t="shared" si="1"/>
        <v>1786.0001435338022</v>
      </c>
      <c r="AZ13" s="115"/>
    </row>
    <row r="14" spans="1:52" x14ac:dyDescent="0.2">
      <c r="A14" s="116"/>
      <c r="B14" s="126">
        <v>2</v>
      </c>
      <c r="C14" s="116"/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1786.0001435338022</v>
      </c>
      <c r="AM14" s="112">
        <f t="shared" si="2"/>
        <v>0</v>
      </c>
      <c r="AN14" s="112">
        <f t="shared" si="2"/>
        <v>1786.0001435338022</v>
      </c>
      <c r="AO14" s="112">
        <f t="shared" si="2"/>
        <v>0</v>
      </c>
      <c r="AP14" s="112">
        <f t="shared" si="2"/>
        <v>0</v>
      </c>
      <c r="AQ14" s="112">
        <f t="shared" si="2"/>
        <v>1786.0001435338022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1786.0001435338022</v>
      </c>
      <c r="AX14" s="112">
        <f t="shared" si="2"/>
        <v>1786.0001435338022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/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1786.0001435338022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/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295</v>
      </c>
      <c r="C17" s="131"/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304</v>
      </c>
      <c r="B20" s="160" t="s">
        <v>305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 t="s">
        <v>338</v>
      </c>
      <c r="AL20" s="123"/>
      <c r="AM20" s="123" t="s">
        <v>338</v>
      </c>
      <c r="AN20" s="123"/>
      <c r="AO20" s="123"/>
      <c r="AP20" s="123" t="s">
        <v>338</v>
      </c>
      <c r="AQ20" s="123"/>
      <c r="AR20" s="123"/>
      <c r="AS20" s="123"/>
      <c r="AT20" s="123"/>
      <c r="AU20" s="123"/>
      <c r="AV20" s="123" t="s">
        <v>338</v>
      </c>
      <c r="AW20" s="123" t="s">
        <v>338</v>
      </c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shipping_manufacturing!$G$19/100</f>
        <v>1</v>
      </c>
      <c r="C21" s="162" t="s">
        <v>292</v>
      </c>
      <c r="D21" s="112">
        <f>IF(C$20="Yes",0,SUM(C$13:C$16)*$B$21)</f>
        <v>0</v>
      </c>
      <c r="E21" s="112">
        <f t="shared" ref="E21:AY21" si="3">IF(D$20="Yes",0,SUM(D$13:D$16)*$B$21)</f>
        <v>1786.0001435338022</v>
      </c>
      <c r="F21" s="112">
        <f t="shared" si="3"/>
        <v>1786.0001435338022</v>
      </c>
      <c r="G21" s="112">
        <f t="shared" si="3"/>
        <v>1786.0001435338022</v>
      </c>
      <c r="H21" s="112">
        <f t="shared" si="3"/>
        <v>1786.0001435338022</v>
      </c>
      <c r="I21" s="112">
        <f t="shared" si="3"/>
        <v>1786.0001435338022</v>
      </c>
      <c r="J21" s="112">
        <f t="shared" si="3"/>
        <v>1786.0001435338022</v>
      </c>
      <c r="K21" s="112">
        <f t="shared" si="3"/>
        <v>1786.0001435338022</v>
      </c>
      <c r="L21" s="112">
        <f t="shared" si="3"/>
        <v>1786.0001435338022</v>
      </c>
      <c r="M21" s="112">
        <f t="shared" si="3"/>
        <v>1786.0001435338022</v>
      </c>
      <c r="N21" s="112">
        <f t="shared" si="3"/>
        <v>1786.0001435338022</v>
      </c>
      <c r="O21" s="112">
        <f t="shared" si="3"/>
        <v>1786.0001435338022</v>
      </c>
      <c r="P21" s="112">
        <f t="shared" si="3"/>
        <v>1786.0001435338022</v>
      </c>
      <c r="Q21" s="112">
        <f t="shared" si="3"/>
        <v>1786.0001435338022</v>
      </c>
      <c r="R21" s="112">
        <f t="shared" si="3"/>
        <v>1786.0001435338022</v>
      </c>
      <c r="S21" s="112">
        <f t="shared" si="3"/>
        <v>1786.0001435338022</v>
      </c>
      <c r="T21" s="112">
        <f t="shared" si="3"/>
        <v>1786.0001435338022</v>
      </c>
      <c r="U21" s="112">
        <f t="shared" si="3"/>
        <v>1786.0001435338022</v>
      </c>
      <c r="V21" s="112">
        <f t="shared" si="3"/>
        <v>1786.0001435338022</v>
      </c>
      <c r="W21" s="112">
        <f t="shared" si="3"/>
        <v>1786.0001435338022</v>
      </c>
      <c r="X21" s="112">
        <f t="shared" si="3"/>
        <v>1786.0001435338022</v>
      </c>
      <c r="Y21" s="112">
        <f t="shared" si="3"/>
        <v>1786.0001435338022</v>
      </c>
      <c r="Z21" s="112">
        <f t="shared" si="3"/>
        <v>1786.0001435338022</v>
      </c>
      <c r="AA21" s="112">
        <f t="shared" si="3"/>
        <v>1786.0001435338022</v>
      </c>
      <c r="AB21" s="112">
        <f t="shared" si="3"/>
        <v>1786.0001435338022</v>
      </c>
      <c r="AC21" s="112">
        <f t="shared" si="3"/>
        <v>1786.0001435338022</v>
      </c>
      <c r="AD21" s="112">
        <f t="shared" si="3"/>
        <v>1786.0001435338022</v>
      </c>
      <c r="AE21" s="112">
        <f t="shared" si="3"/>
        <v>1786.0001435338022</v>
      </c>
      <c r="AF21" s="112">
        <f t="shared" si="3"/>
        <v>1786.0001435338022</v>
      </c>
      <c r="AG21" s="112">
        <f t="shared" si="3"/>
        <v>1786.0001435338022</v>
      </c>
      <c r="AH21" s="112">
        <f t="shared" si="3"/>
        <v>1786.0001435338022</v>
      </c>
      <c r="AI21" s="112">
        <f t="shared" si="3"/>
        <v>1786.0001435338022</v>
      </c>
      <c r="AJ21" s="112">
        <f t="shared" si="3"/>
        <v>1786.0001435338022</v>
      </c>
      <c r="AK21" s="112">
        <f t="shared" si="3"/>
        <v>1786.0001435338022</v>
      </c>
      <c r="AL21" s="112">
        <f t="shared" si="3"/>
        <v>0</v>
      </c>
      <c r="AM21" s="112">
        <f t="shared" si="3"/>
        <v>3572.0002870676044</v>
      </c>
      <c r="AN21" s="112">
        <f t="shared" si="3"/>
        <v>0</v>
      </c>
      <c r="AO21" s="112">
        <f t="shared" si="3"/>
        <v>3572.0002870676044</v>
      </c>
      <c r="AP21" s="112">
        <f t="shared" si="3"/>
        <v>1786.0001435338022</v>
      </c>
      <c r="AQ21" s="112">
        <f t="shared" si="3"/>
        <v>0</v>
      </c>
      <c r="AR21" s="112">
        <f t="shared" si="3"/>
        <v>3572.0002870676044</v>
      </c>
      <c r="AS21" s="112">
        <f t="shared" si="3"/>
        <v>1786.0001435338022</v>
      </c>
      <c r="AT21" s="112">
        <f t="shared" si="3"/>
        <v>1786.0001435338022</v>
      </c>
      <c r="AU21" s="112">
        <f t="shared" si="3"/>
        <v>1786.0001435338022</v>
      </c>
      <c r="AV21" s="112">
        <f t="shared" si="3"/>
        <v>1786.0001435338022</v>
      </c>
      <c r="AW21" s="112">
        <f t="shared" si="3"/>
        <v>0</v>
      </c>
      <c r="AX21" s="112">
        <f t="shared" si="3"/>
        <v>0</v>
      </c>
      <c r="AY21" s="112">
        <f t="shared" si="3"/>
        <v>3588.9999999999995</v>
      </c>
      <c r="AZ21" s="163">
        <f>SUM($D21:$AY21)</f>
        <v>82173.006315487364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292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306</v>
      </c>
      <c r="B23" s="130">
        <v>2000</v>
      </c>
      <c r="C23" s="106" t="s">
        <v>292</v>
      </c>
      <c r="D23" s="106">
        <f>D$21*$B$23</f>
        <v>0</v>
      </c>
      <c r="E23" s="106">
        <f t="shared" ref="E23:AY23" si="6">E$21*$B$23</f>
        <v>3572000.2870676043</v>
      </c>
      <c r="F23" s="106">
        <f t="shared" si="6"/>
        <v>3572000.2870676043</v>
      </c>
      <c r="G23" s="106">
        <f t="shared" si="6"/>
        <v>3572000.2870676043</v>
      </c>
      <c r="H23" s="106">
        <f t="shared" si="6"/>
        <v>3572000.2870676043</v>
      </c>
      <c r="I23" s="106">
        <f t="shared" si="6"/>
        <v>3572000.2870676043</v>
      </c>
      <c r="J23" s="106">
        <f t="shared" si="6"/>
        <v>3572000.2870676043</v>
      </c>
      <c r="K23" s="106">
        <f t="shared" si="6"/>
        <v>3572000.2870676043</v>
      </c>
      <c r="L23" s="106">
        <f t="shared" si="6"/>
        <v>3572000.2870676043</v>
      </c>
      <c r="M23" s="106">
        <f t="shared" si="6"/>
        <v>3572000.2870676043</v>
      </c>
      <c r="N23" s="106">
        <f t="shared" si="6"/>
        <v>3572000.2870676043</v>
      </c>
      <c r="O23" s="106">
        <f t="shared" si="6"/>
        <v>3572000.2870676043</v>
      </c>
      <c r="P23" s="106">
        <f t="shared" si="6"/>
        <v>3572000.2870676043</v>
      </c>
      <c r="Q23" s="106">
        <f t="shared" si="6"/>
        <v>3572000.2870676043</v>
      </c>
      <c r="R23" s="106">
        <f t="shared" si="6"/>
        <v>3572000.2870676043</v>
      </c>
      <c r="S23" s="106">
        <f t="shared" si="6"/>
        <v>3572000.2870676043</v>
      </c>
      <c r="T23" s="106">
        <f t="shared" si="6"/>
        <v>3572000.2870676043</v>
      </c>
      <c r="U23" s="106">
        <f t="shared" si="6"/>
        <v>3572000.2870676043</v>
      </c>
      <c r="V23" s="106">
        <f t="shared" si="6"/>
        <v>3572000.2870676043</v>
      </c>
      <c r="W23" s="106">
        <f t="shared" si="6"/>
        <v>3572000.2870676043</v>
      </c>
      <c r="X23" s="106">
        <f t="shared" si="6"/>
        <v>3572000.2870676043</v>
      </c>
      <c r="Y23" s="106">
        <f t="shared" si="6"/>
        <v>3572000.2870676043</v>
      </c>
      <c r="Z23" s="106">
        <f t="shared" si="6"/>
        <v>3572000.2870676043</v>
      </c>
      <c r="AA23" s="106">
        <f t="shared" si="6"/>
        <v>3572000.2870676043</v>
      </c>
      <c r="AB23" s="106">
        <f t="shared" si="6"/>
        <v>3572000.2870676043</v>
      </c>
      <c r="AC23" s="106">
        <f t="shared" si="6"/>
        <v>3572000.2870676043</v>
      </c>
      <c r="AD23" s="106">
        <f t="shared" si="6"/>
        <v>3572000.2870676043</v>
      </c>
      <c r="AE23" s="106">
        <f t="shared" si="6"/>
        <v>3572000.2870676043</v>
      </c>
      <c r="AF23" s="106">
        <f t="shared" si="6"/>
        <v>3572000.2870676043</v>
      </c>
      <c r="AG23" s="106">
        <f t="shared" si="6"/>
        <v>3572000.2870676043</v>
      </c>
      <c r="AH23" s="106">
        <f t="shared" si="6"/>
        <v>3572000.2870676043</v>
      </c>
      <c r="AI23" s="106">
        <f t="shared" si="6"/>
        <v>3572000.2870676043</v>
      </c>
      <c r="AJ23" s="106">
        <f t="shared" si="6"/>
        <v>3572000.2870676043</v>
      </c>
      <c r="AK23" s="106">
        <f t="shared" si="6"/>
        <v>3572000.2870676043</v>
      </c>
      <c r="AL23" s="106">
        <f t="shared" si="6"/>
        <v>0</v>
      </c>
      <c r="AM23" s="106">
        <f t="shared" si="6"/>
        <v>7144000.5741352085</v>
      </c>
      <c r="AN23" s="106">
        <f t="shared" si="6"/>
        <v>0</v>
      </c>
      <c r="AO23" s="106">
        <f t="shared" si="6"/>
        <v>7144000.5741352085</v>
      </c>
      <c r="AP23" s="106">
        <f t="shared" si="6"/>
        <v>3572000.2870676043</v>
      </c>
      <c r="AQ23" s="106">
        <f t="shared" si="6"/>
        <v>0</v>
      </c>
      <c r="AR23" s="106">
        <f t="shared" si="6"/>
        <v>7144000.5741352085</v>
      </c>
      <c r="AS23" s="106">
        <f t="shared" si="6"/>
        <v>3572000.2870676043</v>
      </c>
      <c r="AT23" s="106">
        <f t="shared" si="6"/>
        <v>3572000.2870676043</v>
      </c>
      <c r="AU23" s="106">
        <f t="shared" si="6"/>
        <v>3572000.2870676043</v>
      </c>
      <c r="AV23" s="106">
        <f t="shared" si="6"/>
        <v>3572000.2870676043</v>
      </c>
      <c r="AW23" s="106">
        <f t="shared" si="6"/>
        <v>0</v>
      </c>
      <c r="AX23" s="106">
        <f t="shared" si="6"/>
        <v>0</v>
      </c>
      <c r="AY23" s="106">
        <f t="shared" si="6"/>
        <v>7177999.9999999991</v>
      </c>
      <c r="AZ23" s="145">
        <f t="shared" si="5"/>
        <v>164346012.63097462</v>
      </c>
    </row>
    <row r="24" spans="1:52" s="116" customFormat="1" x14ac:dyDescent="0.2">
      <c r="A24" s="167" t="s">
        <v>307</v>
      </c>
      <c r="B24" s="168">
        <v>1000</v>
      </c>
      <c r="C24" s="162" t="s">
        <v>292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308</v>
      </c>
      <c r="C27" s="130">
        <v>53</v>
      </c>
      <c r="D27" s="130">
        <f>C$27-C$28+C$29</f>
        <v>53</v>
      </c>
      <c r="E27" s="130">
        <f t="shared" ref="E27:AY27" si="8">D27-D28+D29</f>
        <v>53</v>
      </c>
      <c r="F27" s="130">
        <f t="shared" si="8"/>
        <v>0</v>
      </c>
      <c r="G27" s="130">
        <f t="shared" si="8"/>
        <v>53</v>
      </c>
      <c r="H27" s="130">
        <f t="shared" si="8"/>
        <v>0</v>
      </c>
      <c r="I27" s="130">
        <f t="shared" si="8"/>
        <v>53</v>
      </c>
      <c r="J27" s="130">
        <f t="shared" si="8"/>
        <v>0</v>
      </c>
      <c r="K27" s="130">
        <f t="shared" si="8"/>
        <v>53</v>
      </c>
      <c r="L27" s="130">
        <f t="shared" si="8"/>
        <v>0</v>
      </c>
      <c r="M27" s="130">
        <f t="shared" si="8"/>
        <v>53</v>
      </c>
      <c r="N27" s="130">
        <f t="shared" si="8"/>
        <v>0</v>
      </c>
      <c r="O27" s="130">
        <f t="shared" si="8"/>
        <v>53</v>
      </c>
      <c r="P27" s="130">
        <f t="shared" si="8"/>
        <v>0</v>
      </c>
      <c r="Q27" s="130">
        <f t="shared" si="8"/>
        <v>53</v>
      </c>
      <c r="R27" s="130">
        <f t="shared" si="8"/>
        <v>0</v>
      </c>
      <c r="S27" s="130">
        <f t="shared" si="8"/>
        <v>53</v>
      </c>
      <c r="T27" s="130">
        <f t="shared" si="8"/>
        <v>0</v>
      </c>
      <c r="U27" s="130">
        <f t="shared" si="8"/>
        <v>53</v>
      </c>
      <c r="V27" s="130">
        <f t="shared" si="8"/>
        <v>0</v>
      </c>
      <c r="W27" s="130">
        <f t="shared" si="8"/>
        <v>53</v>
      </c>
      <c r="X27" s="130">
        <f t="shared" si="8"/>
        <v>0</v>
      </c>
      <c r="Y27" s="130">
        <f t="shared" si="8"/>
        <v>53</v>
      </c>
      <c r="Z27" s="130">
        <f t="shared" si="8"/>
        <v>0</v>
      </c>
      <c r="AA27" s="130">
        <f t="shared" si="8"/>
        <v>53</v>
      </c>
      <c r="AB27" s="130">
        <f t="shared" si="8"/>
        <v>0</v>
      </c>
      <c r="AC27" s="130">
        <f t="shared" si="8"/>
        <v>53</v>
      </c>
      <c r="AD27" s="130">
        <f t="shared" si="8"/>
        <v>0</v>
      </c>
      <c r="AE27" s="130">
        <f t="shared" si="8"/>
        <v>53</v>
      </c>
      <c r="AF27" s="130">
        <f t="shared" si="8"/>
        <v>0</v>
      </c>
      <c r="AG27" s="130">
        <f t="shared" si="8"/>
        <v>53</v>
      </c>
      <c r="AH27" s="130">
        <f t="shared" si="8"/>
        <v>0</v>
      </c>
      <c r="AI27" s="130">
        <f t="shared" si="8"/>
        <v>53</v>
      </c>
      <c r="AJ27" s="130">
        <f t="shared" si="8"/>
        <v>0</v>
      </c>
      <c r="AK27" s="130">
        <f t="shared" si="8"/>
        <v>53</v>
      </c>
      <c r="AL27" s="130">
        <f t="shared" si="8"/>
        <v>0</v>
      </c>
      <c r="AM27" s="130">
        <f t="shared" si="8"/>
        <v>53</v>
      </c>
      <c r="AN27" s="130">
        <f t="shared" si="8"/>
        <v>0</v>
      </c>
      <c r="AO27" s="130">
        <f t="shared" si="8"/>
        <v>53</v>
      </c>
      <c r="AP27" s="130">
        <f t="shared" si="8"/>
        <v>0</v>
      </c>
      <c r="AQ27" s="130">
        <f t="shared" si="8"/>
        <v>53</v>
      </c>
      <c r="AR27" s="130">
        <f t="shared" si="8"/>
        <v>53</v>
      </c>
      <c r="AS27" s="130">
        <f t="shared" si="8"/>
        <v>0</v>
      </c>
      <c r="AT27" s="130">
        <f t="shared" si="8"/>
        <v>53</v>
      </c>
      <c r="AU27" s="130">
        <f t="shared" si="8"/>
        <v>0</v>
      </c>
      <c r="AV27" s="130">
        <f t="shared" si="8"/>
        <v>53</v>
      </c>
      <c r="AW27" s="130">
        <f t="shared" si="8"/>
        <v>0</v>
      </c>
      <c r="AX27" s="130">
        <f t="shared" si="8"/>
        <v>53</v>
      </c>
      <c r="AY27" s="170">
        <f t="shared" si="8"/>
        <v>53</v>
      </c>
      <c r="AZ27" s="112"/>
    </row>
    <row r="28" spans="1:52" x14ac:dyDescent="0.2">
      <c r="B28" s="171" t="s">
        <v>309</v>
      </c>
      <c r="C28" s="116"/>
      <c r="D28" s="116">
        <v>0</v>
      </c>
      <c r="E28" s="116">
        <v>53</v>
      </c>
      <c r="F28" s="116">
        <v>0</v>
      </c>
      <c r="G28" s="116">
        <v>53</v>
      </c>
      <c r="H28" s="116">
        <v>0</v>
      </c>
      <c r="I28" s="116">
        <v>53</v>
      </c>
      <c r="J28" s="116">
        <v>0</v>
      </c>
      <c r="K28" s="116">
        <v>53</v>
      </c>
      <c r="L28" s="116">
        <v>0</v>
      </c>
      <c r="M28" s="116">
        <v>53</v>
      </c>
      <c r="N28" s="116">
        <v>0</v>
      </c>
      <c r="O28" s="116">
        <v>53</v>
      </c>
      <c r="P28" s="116">
        <v>0</v>
      </c>
      <c r="Q28" s="116">
        <v>53</v>
      </c>
      <c r="R28" s="116">
        <v>0</v>
      </c>
      <c r="S28" s="116">
        <v>53</v>
      </c>
      <c r="T28" s="116">
        <v>0</v>
      </c>
      <c r="U28" s="116">
        <v>53</v>
      </c>
      <c r="V28" s="116">
        <v>0</v>
      </c>
      <c r="W28" s="116">
        <v>53</v>
      </c>
      <c r="X28" s="116">
        <v>0</v>
      </c>
      <c r="Y28" s="116">
        <v>53</v>
      </c>
      <c r="Z28" s="116">
        <v>0</v>
      </c>
      <c r="AA28" s="116">
        <v>53</v>
      </c>
      <c r="AB28" s="116">
        <v>0</v>
      </c>
      <c r="AC28" s="116">
        <v>53</v>
      </c>
      <c r="AD28" s="116">
        <v>0</v>
      </c>
      <c r="AE28" s="116">
        <v>53</v>
      </c>
      <c r="AF28" s="116">
        <v>0</v>
      </c>
      <c r="AG28" s="116">
        <v>53</v>
      </c>
      <c r="AH28" s="116">
        <v>0</v>
      </c>
      <c r="AI28" s="116">
        <v>53</v>
      </c>
      <c r="AJ28" s="116">
        <v>0</v>
      </c>
      <c r="AK28" s="116">
        <v>53</v>
      </c>
      <c r="AL28" s="116">
        <v>0</v>
      </c>
      <c r="AM28" s="116">
        <v>53</v>
      </c>
      <c r="AN28" s="116">
        <v>0</v>
      </c>
      <c r="AO28" s="116">
        <v>53</v>
      </c>
      <c r="AP28" s="116">
        <v>0</v>
      </c>
      <c r="AQ28" s="116">
        <v>0</v>
      </c>
      <c r="AR28" s="116">
        <v>53</v>
      </c>
      <c r="AS28" s="116">
        <v>0</v>
      </c>
      <c r="AT28" s="116">
        <v>53</v>
      </c>
      <c r="AU28" s="116">
        <v>0</v>
      </c>
      <c r="AV28" s="116">
        <v>53</v>
      </c>
      <c r="AW28" s="116">
        <v>0</v>
      </c>
      <c r="AX28" s="116">
        <v>0</v>
      </c>
      <c r="AY28" s="172">
        <v>53</v>
      </c>
      <c r="AZ28" s="112"/>
    </row>
    <row r="29" spans="1:52" x14ac:dyDescent="0.2">
      <c r="B29" s="142" t="s">
        <v>310</v>
      </c>
      <c r="C29" s="131"/>
      <c r="D29" s="131">
        <f>C$28</f>
        <v>0</v>
      </c>
      <c r="E29" s="131">
        <f t="shared" ref="E29:AY29" si="9">D$28</f>
        <v>0</v>
      </c>
      <c r="F29" s="131">
        <f t="shared" si="9"/>
        <v>53</v>
      </c>
      <c r="G29" s="131">
        <f t="shared" si="9"/>
        <v>0</v>
      </c>
      <c r="H29" s="131">
        <f t="shared" si="9"/>
        <v>53</v>
      </c>
      <c r="I29" s="131">
        <f t="shared" si="9"/>
        <v>0</v>
      </c>
      <c r="J29" s="131">
        <f t="shared" si="9"/>
        <v>53</v>
      </c>
      <c r="K29" s="131">
        <f t="shared" si="9"/>
        <v>0</v>
      </c>
      <c r="L29" s="131">
        <f t="shared" si="9"/>
        <v>53</v>
      </c>
      <c r="M29" s="131">
        <f t="shared" si="9"/>
        <v>0</v>
      </c>
      <c r="N29" s="131">
        <f t="shared" si="9"/>
        <v>53</v>
      </c>
      <c r="O29" s="131">
        <f t="shared" si="9"/>
        <v>0</v>
      </c>
      <c r="P29" s="131">
        <f t="shared" si="9"/>
        <v>53</v>
      </c>
      <c r="Q29" s="131">
        <f t="shared" si="9"/>
        <v>0</v>
      </c>
      <c r="R29" s="131">
        <f t="shared" si="9"/>
        <v>53</v>
      </c>
      <c r="S29" s="131">
        <f t="shared" si="9"/>
        <v>0</v>
      </c>
      <c r="T29" s="131">
        <f t="shared" si="9"/>
        <v>53</v>
      </c>
      <c r="U29" s="131">
        <f t="shared" si="9"/>
        <v>0</v>
      </c>
      <c r="V29" s="131">
        <f t="shared" si="9"/>
        <v>53</v>
      </c>
      <c r="W29" s="131">
        <f t="shared" si="9"/>
        <v>0</v>
      </c>
      <c r="X29" s="131">
        <f t="shared" si="9"/>
        <v>53</v>
      </c>
      <c r="Y29" s="131">
        <f t="shared" si="9"/>
        <v>0</v>
      </c>
      <c r="Z29" s="131">
        <f t="shared" si="9"/>
        <v>53</v>
      </c>
      <c r="AA29" s="131">
        <f t="shared" si="9"/>
        <v>0</v>
      </c>
      <c r="AB29" s="131">
        <f t="shared" si="9"/>
        <v>53</v>
      </c>
      <c r="AC29" s="131">
        <f t="shared" si="9"/>
        <v>0</v>
      </c>
      <c r="AD29" s="131">
        <f t="shared" si="9"/>
        <v>53</v>
      </c>
      <c r="AE29" s="131">
        <f t="shared" si="9"/>
        <v>0</v>
      </c>
      <c r="AF29" s="131">
        <f t="shared" si="9"/>
        <v>53</v>
      </c>
      <c r="AG29" s="131">
        <f t="shared" si="9"/>
        <v>0</v>
      </c>
      <c r="AH29" s="131">
        <f t="shared" si="9"/>
        <v>53</v>
      </c>
      <c r="AI29" s="131">
        <f t="shared" si="9"/>
        <v>0</v>
      </c>
      <c r="AJ29" s="131">
        <f t="shared" si="9"/>
        <v>53</v>
      </c>
      <c r="AK29" s="131">
        <f t="shared" si="9"/>
        <v>0</v>
      </c>
      <c r="AL29" s="131">
        <f t="shared" si="9"/>
        <v>53</v>
      </c>
      <c r="AM29" s="131">
        <f t="shared" si="9"/>
        <v>0</v>
      </c>
      <c r="AN29" s="131">
        <f t="shared" si="9"/>
        <v>53</v>
      </c>
      <c r="AO29" s="131">
        <f t="shared" si="9"/>
        <v>0</v>
      </c>
      <c r="AP29" s="131">
        <f t="shared" si="9"/>
        <v>53</v>
      </c>
      <c r="AQ29" s="131">
        <f t="shared" si="9"/>
        <v>0</v>
      </c>
      <c r="AR29" s="131">
        <f t="shared" si="9"/>
        <v>0</v>
      </c>
      <c r="AS29" s="131">
        <f t="shared" si="9"/>
        <v>53</v>
      </c>
      <c r="AT29" s="131">
        <f t="shared" si="9"/>
        <v>0</v>
      </c>
      <c r="AU29" s="131">
        <f t="shared" si="9"/>
        <v>53</v>
      </c>
      <c r="AV29" s="131">
        <f t="shared" si="9"/>
        <v>0</v>
      </c>
      <c r="AW29" s="131">
        <f t="shared" si="9"/>
        <v>53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311</v>
      </c>
      <c r="B30" s="150">
        <v>10</v>
      </c>
      <c r="C30" s="123" t="s">
        <v>292</v>
      </c>
      <c r="D30" s="123">
        <f>D$27*$B$30</f>
        <v>530</v>
      </c>
      <c r="E30" s="123">
        <f t="shared" ref="E30:AY30" si="10">E$27*$B$30</f>
        <v>530</v>
      </c>
      <c r="F30" s="123">
        <f t="shared" si="10"/>
        <v>0</v>
      </c>
      <c r="G30" s="123">
        <f t="shared" si="10"/>
        <v>530</v>
      </c>
      <c r="H30" s="123">
        <f t="shared" si="10"/>
        <v>0</v>
      </c>
      <c r="I30" s="123">
        <f t="shared" si="10"/>
        <v>530</v>
      </c>
      <c r="J30" s="123">
        <f t="shared" si="10"/>
        <v>0</v>
      </c>
      <c r="K30" s="123">
        <f t="shared" si="10"/>
        <v>530</v>
      </c>
      <c r="L30" s="123">
        <f t="shared" si="10"/>
        <v>0</v>
      </c>
      <c r="M30" s="123">
        <f t="shared" si="10"/>
        <v>530</v>
      </c>
      <c r="N30" s="123">
        <f t="shared" si="10"/>
        <v>0</v>
      </c>
      <c r="O30" s="123">
        <f t="shared" si="10"/>
        <v>530</v>
      </c>
      <c r="P30" s="123">
        <f t="shared" si="10"/>
        <v>0</v>
      </c>
      <c r="Q30" s="123">
        <f t="shared" si="10"/>
        <v>530</v>
      </c>
      <c r="R30" s="123">
        <f>R$27*$B$30</f>
        <v>0</v>
      </c>
      <c r="S30" s="123">
        <f t="shared" si="10"/>
        <v>530</v>
      </c>
      <c r="T30" s="123">
        <f t="shared" si="10"/>
        <v>0</v>
      </c>
      <c r="U30" s="123">
        <f t="shared" si="10"/>
        <v>530</v>
      </c>
      <c r="V30" s="123">
        <f t="shared" si="10"/>
        <v>0</v>
      </c>
      <c r="W30" s="123">
        <f t="shared" si="10"/>
        <v>530</v>
      </c>
      <c r="X30" s="123">
        <f t="shared" si="10"/>
        <v>0</v>
      </c>
      <c r="Y30" s="123">
        <f t="shared" si="10"/>
        <v>530</v>
      </c>
      <c r="Z30" s="123">
        <f t="shared" si="10"/>
        <v>0</v>
      </c>
      <c r="AA30" s="123">
        <f t="shared" si="10"/>
        <v>530</v>
      </c>
      <c r="AB30" s="123">
        <f t="shared" si="10"/>
        <v>0</v>
      </c>
      <c r="AC30" s="123">
        <f t="shared" si="10"/>
        <v>530</v>
      </c>
      <c r="AD30" s="123">
        <f t="shared" si="10"/>
        <v>0</v>
      </c>
      <c r="AE30" s="123">
        <f>AE$27*$B$30</f>
        <v>530</v>
      </c>
      <c r="AF30" s="123">
        <f t="shared" si="10"/>
        <v>0</v>
      </c>
      <c r="AG30" s="123">
        <f t="shared" si="10"/>
        <v>530</v>
      </c>
      <c r="AH30" s="123">
        <f t="shared" si="10"/>
        <v>0</v>
      </c>
      <c r="AI30" s="123">
        <f t="shared" si="10"/>
        <v>530</v>
      </c>
      <c r="AJ30" s="123">
        <f t="shared" si="10"/>
        <v>0</v>
      </c>
      <c r="AK30" s="123">
        <f t="shared" si="10"/>
        <v>530</v>
      </c>
      <c r="AL30" s="123">
        <f t="shared" si="10"/>
        <v>0</v>
      </c>
      <c r="AM30" s="123">
        <f t="shared" si="10"/>
        <v>530</v>
      </c>
      <c r="AN30" s="123">
        <f t="shared" si="10"/>
        <v>0</v>
      </c>
      <c r="AO30" s="123">
        <f t="shared" si="10"/>
        <v>530</v>
      </c>
      <c r="AP30" s="123">
        <f t="shared" si="10"/>
        <v>0</v>
      </c>
      <c r="AQ30" s="123">
        <f t="shared" si="10"/>
        <v>530</v>
      </c>
      <c r="AR30" s="123">
        <f t="shared" si="10"/>
        <v>530</v>
      </c>
      <c r="AS30" s="123">
        <f t="shared" si="10"/>
        <v>0</v>
      </c>
      <c r="AT30" s="123">
        <f t="shared" si="10"/>
        <v>530</v>
      </c>
      <c r="AU30" s="123">
        <f t="shared" si="10"/>
        <v>0</v>
      </c>
      <c r="AV30" s="123">
        <f t="shared" si="10"/>
        <v>530</v>
      </c>
      <c r="AW30" s="123">
        <f t="shared" si="10"/>
        <v>0</v>
      </c>
      <c r="AX30" s="123">
        <f t="shared" si="10"/>
        <v>530</v>
      </c>
      <c r="AY30" s="123">
        <f t="shared" si="10"/>
        <v>530</v>
      </c>
      <c r="AZ30" s="147">
        <f t="shared" si="5"/>
        <v>13780</v>
      </c>
    </row>
    <row r="32" spans="1:52" x14ac:dyDescent="0.2">
      <c r="A32" s="108" t="s">
        <v>299</v>
      </c>
    </row>
    <row r="33" spans="1:52" x14ac:dyDescent="0.2">
      <c r="A33" s="141" t="s">
        <v>22</v>
      </c>
      <c r="B33" s="141" t="s">
        <v>340</v>
      </c>
      <c r="C33" s="130"/>
      <c r="D33" s="130">
        <f>D$21*shipping_manufacturing!$H$27/100</f>
        <v>0</v>
      </c>
      <c r="E33" s="130">
        <f>E$21*shipping_manufacturing!$H$27/100</f>
        <v>0</v>
      </c>
      <c r="F33" s="130">
        <f>F$21*shipping_manufacturing!$H$27/100</f>
        <v>0</v>
      </c>
      <c r="G33" s="130">
        <f>G$21*shipping_manufacturing!$H$27/100</f>
        <v>0</v>
      </c>
      <c r="H33" s="130">
        <f>H$21*shipping_manufacturing!$H$27/100</f>
        <v>0</v>
      </c>
      <c r="I33" s="130">
        <f>I$21*shipping_manufacturing!$H$27/100</f>
        <v>0</v>
      </c>
      <c r="J33" s="130">
        <f>J$21*shipping_manufacturing!$H$27/100</f>
        <v>0</v>
      </c>
      <c r="K33" s="130">
        <f>K$21*shipping_manufacturing!$H$27/100</f>
        <v>0</v>
      </c>
      <c r="L33" s="130">
        <f>L$21*shipping_manufacturing!$H$27/100</f>
        <v>0</v>
      </c>
      <c r="M33" s="130">
        <f>M$21*shipping_manufacturing!$H$27/100</f>
        <v>0</v>
      </c>
      <c r="N33" s="130">
        <f>N$21*shipping_manufacturing!$H$27/100</f>
        <v>0</v>
      </c>
      <c r="O33" s="130">
        <f>O$21*shipping_manufacturing!$H$27/100</f>
        <v>0</v>
      </c>
      <c r="P33" s="130">
        <f>P$21*shipping_manufacturing!$H$27/100</f>
        <v>0</v>
      </c>
      <c r="Q33" s="130">
        <f>Q$21*shipping_manufacturing!$H$27/100</f>
        <v>0</v>
      </c>
      <c r="R33" s="130">
        <f>R$21*shipping_manufacturing!$H$27/100</f>
        <v>0</v>
      </c>
      <c r="S33" s="130">
        <f>S$21*shipping_manufacturing!$H$27/100</f>
        <v>0</v>
      </c>
      <c r="T33" s="130">
        <f>T$21*shipping_manufacturing!$H$27/100</f>
        <v>0</v>
      </c>
      <c r="U33" s="130">
        <f>U$21*shipping_manufacturing!$H$27/100</f>
        <v>0</v>
      </c>
      <c r="V33" s="130">
        <f>V$21*shipping_manufacturing!$H$27/100</f>
        <v>0</v>
      </c>
      <c r="W33" s="130">
        <f>W$21*shipping_manufacturing!$H$27/100</f>
        <v>0</v>
      </c>
      <c r="X33" s="130">
        <f>X$21*shipping_manufacturing!$H$27/100</f>
        <v>0</v>
      </c>
      <c r="Y33" s="130">
        <f>Y$21*shipping_manufacturing!$H$27/100</f>
        <v>0</v>
      </c>
      <c r="Z33" s="130">
        <f>Z$21*shipping_manufacturing!$H$27/100</f>
        <v>0</v>
      </c>
      <c r="AA33" s="130">
        <f>AA$21*shipping_manufacturing!$H$27/100</f>
        <v>0</v>
      </c>
      <c r="AB33" s="130">
        <f>AB$21*shipping_manufacturing!$H$27/100</f>
        <v>0</v>
      </c>
      <c r="AC33" s="130">
        <f>AC$21*shipping_manufacturing!$H$27/100</f>
        <v>0</v>
      </c>
      <c r="AD33" s="130">
        <f>AD$21*shipping_manufacturing!$H$27/100</f>
        <v>0</v>
      </c>
      <c r="AE33" s="130">
        <f>AE$21*shipping_manufacturing!$H$27/100</f>
        <v>0</v>
      </c>
      <c r="AF33" s="130">
        <f>AF$21*shipping_manufacturing!$H$27/100</f>
        <v>0</v>
      </c>
      <c r="AG33" s="130">
        <f>AG$21*shipping_manufacturing!$H$27/100</f>
        <v>0</v>
      </c>
      <c r="AH33" s="130">
        <f>AH$21*shipping_manufacturing!$H$27/100</f>
        <v>0</v>
      </c>
      <c r="AI33" s="130">
        <f>AI$21*shipping_manufacturing!$H$27/100</f>
        <v>0</v>
      </c>
      <c r="AJ33" s="130">
        <f>AJ$21*shipping_manufacturing!$H$27/100</f>
        <v>0</v>
      </c>
      <c r="AK33" s="130">
        <f>AK$21*shipping_manufacturing!$H$27/100</f>
        <v>0</v>
      </c>
      <c r="AL33" s="130">
        <f>AL$21*shipping_manufacturing!$H$27/100</f>
        <v>0</v>
      </c>
      <c r="AM33" s="130">
        <f>AM$21*shipping_manufacturing!$H$27/100</f>
        <v>0</v>
      </c>
      <c r="AN33" s="130">
        <f>AN$21*shipping_manufacturing!$H$27/100</f>
        <v>0</v>
      </c>
      <c r="AO33" s="130">
        <f>AO$21*shipping_manufacturing!$H$27/100</f>
        <v>0</v>
      </c>
      <c r="AP33" s="130">
        <f>AP$21*shipping_manufacturing!$H$27/100</f>
        <v>0</v>
      </c>
      <c r="AQ33" s="130">
        <f>AQ$21*shipping_manufacturing!$H$27/100</f>
        <v>0</v>
      </c>
      <c r="AR33" s="130">
        <f>AR$21*shipping_manufacturing!$H$27/100</f>
        <v>0</v>
      </c>
      <c r="AS33" s="130">
        <f>AS$21*shipping_manufacturing!$H$27/100</f>
        <v>0</v>
      </c>
      <c r="AT33" s="130">
        <f>AT$21*shipping_manufacturing!$H$27/100</f>
        <v>0</v>
      </c>
      <c r="AU33" s="130">
        <f>AU$21*shipping_manufacturing!$H$27/100</f>
        <v>0</v>
      </c>
      <c r="AV33" s="130">
        <f>AV$21*shipping_manufacturing!$H$27/100</f>
        <v>0</v>
      </c>
      <c r="AW33" s="130">
        <f>AW$21*shipping_manufacturing!$H$27/100</f>
        <v>0</v>
      </c>
      <c r="AX33" s="130">
        <f>AX$21*shipping_manufacturing!$H$27/100</f>
        <v>0</v>
      </c>
      <c r="AY33" s="130">
        <f>AY$21*shipping_manufacturing!$H$27/100</f>
        <v>0</v>
      </c>
    </row>
    <row r="34" spans="1:52" x14ac:dyDescent="0.2">
      <c r="A34" s="119" t="s">
        <v>339</v>
      </c>
      <c r="B34" s="171" t="s">
        <v>341</v>
      </c>
      <c r="C34" s="116"/>
      <c r="D34" s="116">
        <f>D$22*shipping_manufacturing!$I$27/100</f>
        <v>0</v>
      </c>
      <c r="E34" s="116">
        <f>E$22*shipping_manufacturing!$I$27/100</f>
        <v>0</v>
      </c>
      <c r="F34" s="116">
        <f>F$22*shipping_manufacturing!$I$27/100</f>
        <v>0</v>
      </c>
      <c r="G34" s="116">
        <f>G$22*shipping_manufacturing!$I$27/100</f>
        <v>0</v>
      </c>
      <c r="H34" s="116">
        <f>H$22*shipping_manufacturing!$I$27/100</f>
        <v>0</v>
      </c>
      <c r="I34" s="116">
        <f>I$22*shipping_manufacturing!$I$27/100</f>
        <v>0</v>
      </c>
      <c r="J34" s="116">
        <f>J$22*shipping_manufacturing!$I$27/100</f>
        <v>0</v>
      </c>
      <c r="K34" s="116">
        <f>K$22*shipping_manufacturing!$I$27/100</f>
        <v>0</v>
      </c>
      <c r="L34" s="116">
        <f>L$22*shipping_manufacturing!$I$27/100</f>
        <v>0</v>
      </c>
      <c r="M34" s="116">
        <f>M$22*shipping_manufacturing!$I$27/100</f>
        <v>0</v>
      </c>
      <c r="N34" s="116">
        <f>N$22*shipping_manufacturing!$I$27/100</f>
        <v>0</v>
      </c>
      <c r="O34" s="116">
        <f>O$22*shipping_manufacturing!$I$27/100</f>
        <v>0</v>
      </c>
      <c r="P34" s="116">
        <f>P$22*shipping_manufacturing!$I$27/100</f>
        <v>0</v>
      </c>
      <c r="Q34" s="116">
        <f>Q$22*shipping_manufacturing!$I$27/100</f>
        <v>0</v>
      </c>
      <c r="R34" s="116">
        <f>R$22*shipping_manufacturing!$I$27/100</f>
        <v>0</v>
      </c>
      <c r="S34" s="116">
        <f>S$22*shipping_manufacturing!$I$27/100</f>
        <v>0</v>
      </c>
      <c r="T34" s="116">
        <f>T$22*shipping_manufacturing!$I$27/100</f>
        <v>0</v>
      </c>
      <c r="U34" s="116">
        <f>U$22*shipping_manufacturing!$I$27/100</f>
        <v>0</v>
      </c>
      <c r="V34" s="116">
        <f>V$22*shipping_manufacturing!$I$27/100</f>
        <v>0</v>
      </c>
      <c r="W34" s="116">
        <f>W$22*shipping_manufacturing!$I$27/100</f>
        <v>0</v>
      </c>
      <c r="X34" s="116">
        <f>X$22*shipping_manufacturing!$I$27/100</f>
        <v>0</v>
      </c>
      <c r="Y34" s="116">
        <f>Y$22*shipping_manufacturing!$I$27/100</f>
        <v>0</v>
      </c>
      <c r="Z34" s="116">
        <f>Z$22*shipping_manufacturing!$I$27/100</f>
        <v>0</v>
      </c>
      <c r="AA34" s="116">
        <f>AA$22*shipping_manufacturing!$I$27/100</f>
        <v>0</v>
      </c>
      <c r="AB34" s="116">
        <f>AB$22*shipping_manufacturing!$I$27/100</f>
        <v>0</v>
      </c>
      <c r="AC34" s="116">
        <f>AC$22*shipping_manufacturing!$I$27/100</f>
        <v>0</v>
      </c>
      <c r="AD34" s="116">
        <f>AD$22*shipping_manufacturing!$I$27/100</f>
        <v>0</v>
      </c>
      <c r="AE34" s="116">
        <f>AE$22*shipping_manufacturing!$I$27/100</f>
        <v>0</v>
      </c>
      <c r="AF34" s="116">
        <f>AF$22*shipping_manufacturing!$I$27/100</f>
        <v>0</v>
      </c>
      <c r="AG34" s="116">
        <f>AG$22*shipping_manufacturing!$I$27/100</f>
        <v>0</v>
      </c>
      <c r="AH34" s="116">
        <f>AH$22*shipping_manufacturing!$I$27/100</f>
        <v>0</v>
      </c>
      <c r="AI34" s="116">
        <f>AI$22*shipping_manufacturing!$I$27/100</f>
        <v>0</v>
      </c>
      <c r="AJ34" s="116">
        <f>AJ$22*shipping_manufacturing!$I$27/100</f>
        <v>0</v>
      </c>
      <c r="AK34" s="116">
        <f>AK$22*shipping_manufacturing!$I$27/100</f>
        <v>0</v>
      </c>
      <c r="AL34" s="116">
        <f>AL$22*shipping_manufacturing!$I$27/100</f>
        <v>0</v>
      </c>
      <c r="AM34" s="116">
        <f>AM$22*shipping_manufacturing!$I$27/100</f>
        <v>0</v>
      </c>
      <c r="AN34" s="116">
        <f>AN$22*shipping_manufacturing!$I$27/100</f>
        <v>0</v>
      </c>
      <c r="AO34" s="116">
        <f>AO$22*shipping_manufacturing!$I$27/100</f>
        <v>0</v>
      </c>
      <c r="AP34" s="116">
        <f>AP$22*shipping_manufacturing!$I$27/100</f>
        <v>0</v>
      </c>
      <c r="AQ34" s="116">
        <f>AQ$22*shipping_manufacturing!$I$27/100</f>
        <v>0</v>
      </c>
      <c r="AR34" s="116">
        <f>AR$22*shipping_manufacturing!$I$27/100</f>
        <v>0</v>
      </c>
      <c r="AS34" s="116">
        <f>AS$22*shipping_manufacturing!$I$27/100</f>
        <v>0</v>
      </c>
      <c r="AT34" s="116">
        <f>AT$22*shipping_manufacturing!$I$27/100</f>
        <v>0</v>
      </c>
      <c r="AU34" s="116">
        <f>AU$22*shipping_manufacturing!$I$27/100</f>
        <v>0</v>
      </c>
      <c r="AV34" s="116">
        <f>AV$22*shipping_manufacturing!$I$27/100</f>
        <v>0</v>
      </c>
      <c r="AW34" s="116">
        <f>AW$22*shipping_manufacturing!$I$27/100</f>
        <v>0</v>
      </c>
      <c r="AX34" s="116">
        <f>AX$22*shipping_manufacturing!$I$27/100</f>
        <v>0</v>
      </c>
      <c r="AY34" s="116">
        <f>AY$22*shipping_manufacturing!$I$27/100</f>
        <v>0</v>
      </c>
    </row>
    <row r="35" spans="1:52" x14ac:dyDescent="0.2">
      <c r="A35" s="116">
        <v>1245</v>
      </c>
      <c r="B35" s="171" t="s">
        <v>342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343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344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345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346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347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348</v>
      </c>
      <c r="C41" s="116"/>
      <c r="D41" s="116">
        <v>1</v>
      </c>
      <c r="E41" s="116">
        <v>1</v>
      </c>
      <c r="F41" s="116">
        <v>2</v>
      </c>
      <c r="G41" s="116">
        <v>1</v>
      </c>
      <c r="H41" s="116">
        <v>1</v>
      </c>
      <c r="I41" s="116">
        <v>3</v>
      </c>
      <c r="J41" s="116">
        <v>1</v>
      </c>
      <c r="K41" s="116">
        <v>3</v>
      </c>
      <c r="L41" s="116">
        <v>1</v>
      </c>
      <c r="M41" s="116">
        <v>1</v>
      </c>
      <c r="N41" s="116">
        <v>2</v>
      </c>
      <c r="O41" s="116">
        <v>3</v>
      </c>
      <c r="P41" s="116">
        <v>1</v>
      </c>
      <c r="Q41" s="116">
        <v>1</v>
      </c>
      <c r="R41" s="116">
        <v>2</v>
      </c>
      <c r="S41" s="116">
        <v>2</v>
      </c>
      <c r="T41" s="116">
        <v>1</v>
      </c>
      <c r="U41" s="116">
        <v>2</v>
      </c>
      <c r="V41" s="116">
        <v>2</v>
      </c>
      <c r="W41" s="116">
        <v>1</v>
      </c>
      <c r="X41" s="116">
        <v>2</v>
      </c>
      <c r="Y41" s="116">
        <v>2</v>
      </c>
      <c r="Z41" s="116">
        <v>2</v>
      </c>
      <c r="AA41" s="116">
        <v>1</v>
      </c>
      <c r="AB41" s="116">
        <v>1</v>
      </c>
      <c r="AC41" s="116">
        <v>2</v>
      </c>
      <c r="AD41" s="116">
        <v>3</v>
      </c>
      <c r="AE41" s="116">
        <v>2</v>
      </c>
      <c r="AF41" s="116">
        <v>1</v>
      </c>
      <c r="AG41" s="116">
        <v>3</v>
      </c>
      <c r="AH41" s="116">
        <v>1</v>
      </c>
      <c r="AI41" s="116">
        <v>1</v>
      </c>
      <c r="AJ41" s="116">
        <v>2</v>
      </c>
      <c r="AK41" s="116">
        <v>2</v>
      </c>
      <c r="AL41" s="116">
        <v>1</v>
      </c>
      <c r="AM41" s="116">
        <v>1</v>
      </c>
      <c r="AN41" s="116">
        <v>2</v>
      </c>
      <c r="AO41" s="116">
        <v>1</v>
      </c>
      <c r="AP41" s="116">
        <v>3</v>
      </c>
      <c r="AQ41" s="116">
        <v>2</v>
      </c>
      <c r="AR41" s="116">
        <v>2</v>
      </c>
      <c r="AS41" s="116">
        <v>2</v>
      </c>
      <c r="AT41" s="116">
        <v>1</v>
      </c>
      <c r="AU41" s="116">
        <v>3</v>
      </c>
      <c r="AV41" s="116">
        <v>1</v>
      </c>
      <c r="AW41" s="116">
        <v>1</v>
      </c>
      <c r="AX41" s="116">
        <v>2</v>
      </c>
      <c r="AY41" s="116">
        <v>1</v>
      </c>
    </row>
    <row r="42" spans="1:52" x14ac:dyDescent="0.2">
      <c r="A42" s="116"/>
      <c r="B42" s="184" t="s">
        <v>349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350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340</v>
      </c>
      <c r="C44" s="130"/>
      <c r="D44" s="130">
        <f>D$21*shipping_manufacturing!$H$28/100</f>
        <v>0</v>
      </c>
      <c r="E44" s="130">
        <f>E$21*shipping_manufacturing!$H$28/100</f>
        <v>1786.0001435338022</v>
      </c>
      <c r="F44" s="130">
        <f>F$21*shipping_manufacturing!$H$28/100</f>
        <v>1786.0001435338022</v>
      </c>
      <c r="G44" s="130">
        <f>G$21*shipping_manufacturing!$H$28/100</f>
        <v>1786.0001435338022</v>
      </c>
      <c r="H44" s="130">
        <f>H$21*shipping_manufacturing!$H$28/100</f>
        <v>1786.0001435338022</v>
      </c>
      <c r="I44" s="130">
        <f>I$21*shipping_manufacturing!$H$28/100</f>
        <v>1786.0001435338022</v>
      </c>
      <c r="J44" s="130">
        <f>J$21*shipping_manufacturing!$H$28/100</f>
        <v>1786.0001435338022</v>
      </c>
      <c r="K44" s="130">
        <f>K$21*shipping_manufacturing!$H$28/100</f>
        <v>1786.0001435338022</v>
      </c>
      <c r="L44" s="130">
        <f>L$21*shipping_manufacturing!$H$28/100</f>
        <v>1786.0001435338022</v>
      </c>
      <c r="M44" s="130">
        <f>M$21*shipping_manufacturing!$H$28/100</f>
        <v>1786.0001435338022</v>
      </c>
      <c r="N44" s="130">
        <f>N$21*shipping_manufacturing!$H$28/100</f>
        <v>1786.0001435338022</v>
      </c>
      <c r="O44" s="130">
        <f>O$21*shipping_manufacturing!$H$28/100</f>
        <v>1786.0001435338022</v>
      </c>
      <c r="P44" s="130">
        <f>P$21*shipping_manufacturing!$H$28/100</f>
        <v>1786.0001435338022</v>
      </c>
      <c r="Q44" s="130">
        <f>Q$21*shipping_manufacturing!$H$28/100</f>
        <v>1786.0001435338022</v>
      </c>
      <c r="R44" s="130">
        <f>R$21*shipping_manufacturing!$H$28/100</f>
        <v>1786.0001435338022</v>
      </c>
      <c r="S44" s="130">
        <f>S$21*shipping_manufacturing!$H$28/100</f>
        <v>1786.0001435338022</v>
      </c>
      <c r="T44" s="130">
        <f>T$21*shipping_manufacturing!$H$28/100</f>
        <v>1786.0001435338022</v>
      </c>
      <c r="U44" s="130">
        <f>U$21*shipping_manufacturing!$H$28/100</f>
        <v>1786.0001435338022</v>
      </c>
      <c r="V44" s="130">
        <f>V$21*shipping_manufacturing!$H$28/100</f>
        <v>1786.0001435338022</v>
      </c>
      <c r="W44" s="130">
        <f>W$21*shipping_manufacturing!$H$28/100</f>
        <v>1786.0001435338022</v>
      </c>
      <c r="X44" s="130">
        <f>X$21*shipping_manufacturing!$H$28/100</f>
        <v>1786.0001435338022</v>
      </c>
      <c r="Y44" s="130">
        <f>Y$21*shipping_manufacturing!$H$28/100</f>
        <v>1786.0001435338022</v>
      </c>
      <c r="Z44" s="130">
        <f>Z$21*shipping_manufacturing!$H$28/100</f>
        <v>1786.0001435338022</v>
      </c>
      <c r="AA44" s="130">
        <f>AA$21*shipping_manufacturing!$H$28/100</f>
        <v>1786.0001435338022</v>
      </c>
      <c r="AB44" s="130">
        <f>AB$21*shipping_manufacturing!$H$28/100</f>
        <v>1786.0001435338022</v>
      </c>
      <c r="AC44" s="130">
        <f>AC$21*shipping_manufacturing!$H$28/100</f>
        <v>1786.0001435338022</v>
      </c>
      <c r="AD44" s="130">
        <f>AD$21*shipping_manufacturing!$H$28/100</f>
        <v>1786.0001435338022</v>
      </c>
      <c r="AE44" s="130">
        <f>AE$21*shipping_manufacturing!$H$28/100</f>
        <v>1786.0001435338022</v>
      </c>
      <c r="AF44" s="130">
        <f>AF$21*shipping_manufacturing!$H$28/100</f>
        <v>1786.0001435338022</v>
      </c>
      <c r="AG44" s="130">
        <f>AG$21*shipping_manufacturing!$H$28/100</f>
        <v>1786.0001435338022</v>
      </c>
      <c r="AH44" s="130">
        <f>AH$21*shipping_manufacturing!$H$28/100</f>
        <v>1786.0001435338022</v>
      </c>
      <c r="AI44" s="130">
        <f>AI$21*shipping_manufacturing!$H$28/100</f>
        <v>1786.0001435338022</v>
      </c>
      <c r="AJ44" s="130">
        <f>AJ$21*shipping_manufacturing!$H$28/100</f>
        <v>1786.0001435338022</v>
      </c>
      <c r="AK44" s="130">
        <f>AK$21*shipping_manufacturing!$H$28/100</f>
        <v>1786.0001435338022</v>
      </c>
      <c r="AL44" s="130">
        <f>AL$21*shipping_manufacturing!$H$28/100</f>
        <v>0</v>
      </c>
      <c r="AM44" s="130">
        <f>AM$21*shipping_manufacturing!$H$28/100</f>
        <v>3572.0002870676044</v>
      </c>
      <c r="AN44" s="130">
        <f>AN$21*shipping_manufacturing!$H$28/100</f>
        <v>0</v>
      </c>
      <c r="AO44" s="130">
        <f>AO$21*shipping_manufacturing!$H$28/100</f>
        <v>3572.0002870676044</v>
      </c>
      <c r="AP44" s="130">
        <f>AP$21*shipping_manufacturing!$H$28/100</f>
        <v>1786.0001435338022</v>
      </c>
      <c r="AQ44" s="130">
        <f>AQ$21*shipping_manufacturing!$H$28/100</f>
        <v>0</v>
      </c>
      <c r="AR44" s="130">
        <f>AR$21*shipping_manufacturing!$H$28/100</f>
        <v>3572.0002870676044</v>
      </c>
      <c r="AS44" s="130">
        <f>AS$21*shipping_manufacturing!$H$28/100</f>
        <v>1786.0001435338022</v>
      </c>
      <c r="AT44" s="130">
        <f>AT$21*shipping_manufacturing!$H$28/100</f>
        <v>1786.0001435338022</v>
      </c>
      <c r="AU44" s="130">
        <f>AU$21*shipping_manufacturing!$H$28/100</f>
        <v>1786.0001435338022</v>
      </c>
      <c r="AV44" s="130">
        <f>AV$21*shipping_manufacturing!$H$28/100</f>
        <v>1786.0001435338022</v>
      </c>
      <c r="AW44" s="130">
        <f>AW$21*shipping_manufacturing!$H$28/100</f>
        <v>0</v>
      </c>
      <c r="AX44" s="130">
        <f>AX$21*shipping_manufacturing!$H$28/100</f>
        <v>0</v>
      </c>
      <c r="AY44" s="130">
        <f>AY$21*shipping_manufacturing!$H$28/100</f>
        <v>3588.9999999999995</v>
      </c>
    </row>
    <row r="45" spans="1:52" x14ac:dyDescent="0.2">
      <c r="A45" s="119" t="s">
        <v>339</v>
      </c>
      <c r="B45" s="171" t="s">
        <v>341</v>
      </c>
      <c r="C45" s="116"/>
      <c r="D45" s="116">
        <f>D$22*shipping_manufacturing!$I$28/100</f>
        <v>0</v>
      </c>
      <c r="E45" s="116">
        <f>E$22*shipping_manufacturing!$I$28/100</f>
        <v>0</v>
      </c>
      <c r="F45" s="116">
        <f>F$22*shipping_manufacturing!$I$28/100</f>
        <v>0</v>
      </c>
      <c r="G45" s="116">
        <f>G$22*shipping_manufacturing!$I$28/100</f>
        <v>0</v>
      </c>
      <c r="H45" s="116">
        <f>H$22*shipping_manufacturing!$I$28/100</f>
        <v>0</v>
      </c>
      <c r="I45" s="116">
        <f>I$22*shipping_manufacturing!$I$28/100</f>
        <v>0</v>
      </c>
      <c r="J45" s="116">
        <f>J$22*shipping_manufacturing!$I$28/100</f>
        <v>0</v>
      </c>
      <c r="K45" s="116">
        <f>K$22*shipping_manufacturing!$I$28/100</f>
        <v>0</v>
      </c>
      <c r="L45" s="116">
        <f>L$22*shipping_manufacturing!$I$28/100</f>
        <v>0</v>
      </c>
      <c r="M45" s="116">
        <f>M$22*shipping_manufacturing!$I$28/100</f>
        <v>0</v>
      </c>
      <c r="N45" s="116">
        <f>N$22*shipping_manufacturing!$I$28/100</f>
        <v>0</v>
      </c>
      <c r="O45" s="116">
        <f>O$22*shipping_manufacturing!$I$28/100</f>
        <v>0</v>
      </c>
      <c r="P45" s="116">
        <f>P$22*shipping_manufacturing!$I$28/100</f>
        <v>0</v>
      </c>
      <c r="Q45" s="116">
        <f>Q$22*shipping_manufacturing!$I$28/100</f>
        <v>0</v>
      </c>
      <c r="R45" s="116">
        <f>R$22*shipping_manufacturing!$I$28/100</f>
        <v>0</v>
      </c>
      <c r="S45" s="116">
        <f>S$22*shipping_manufacturing!$I$28/100</f>
        <v>0</v>
      </c>
      <c r="T45" s="116">
        <f>T$22*shipping_manufacturing!$I$28/100</f>
        <v>0</v>
      </c>
      <c r="U45" s="116">
        <f>U$22*shipping_manufacturing!$I$28/100</f>
        <v>0</v>
      </c>
      <c r="V45" s="116">
        <f>V$22*shipping_manufacturing!$I$28/100</f>
        <v>0</v>
      </c>
      <c r="W45" s="116">
        <f>W$22*shipping_manufacturing!$I$28/100</f>
        <v>0</v>
      </c>
      <c r="X45" s="116">
        <f>X$22*shipping_manufacturing!$I$28/100</f>
        <v>0</v>
      </c>
      <c r="Y45" s="116">
        <f>Y$22*shipping_manufacturing!$I$28/100</f>
        <v>0</v>
      </c>
      <c r="Z45" s="116">
        <f>Z$22*shipping_manufacturing!$I$28/100</f>
        <v>0</v>
      </c>
      <c r="AA45" s="116">
        <f>AA$22*shipping_manufacturing!$I$28/100</f>
        <v>0</v>
      </c>
      <c r="AB45" s="116">
        <f>AB$22*shipping_manufacturing!$I$28/100</f>
        <v>0</v>
      </c>
      <c r="AC45" s="116">
        <f>AC$22*shipping_manufacturing!$I$28/100</f>
        <v>0</v>
      </c>
      <c r="AD45" s="116">
        <f>AD$22*shipping_manufacturing!$I$28/100</f>
        <v>0</v>
      </c>
      <c r="AE45" s="116">
        <f>AE$22*shipping_manufacturing!$I$28/100</f>
        <v>0</v>
      </c>
      <c r="AF45" s="116">
        <f>AF$22*shipping_manufacturing!$I$28/100</f>
        <v>0</v>
      </c>
      <c r="AG45" s="116">
        <f>AG$22*shipping_manufacturing!$I$28/100</f>
        <v>0</v>
      </c>
      <c r="AH45" s="116">
        <f>AH$22*shipping_manufacturing!$I$28/100</f>
        <v>0</v>
      </c>
      <c r="AI45" s="116">
        <f>AI$22*shipping_manufacturing!$I$28/100</f>
        <v>0</v>
      </c>
      <c r="AJ45" s="116">
        <f>AJ$22*shipping_manufacturing!$I$28/100</f>
        <v>0</v>
      </c>
      <c r="AK45" s="116">
        <f>AK$22*shipping_manufacturing!$I$28/100</f>
        <v>0</v>
      </c>
      <c r="AL45" s="116">
        <f>AL$22*shipping_manufacturing!$I$28/100</f>
        <v>0</v>
      </c>
      <c r="AM45" s="116">
        <f>AM$22*shipping_manufacturing!$I$28/100</f>
        <v>0</v>
      </c>
      <c r="AN45" s="116">
        <f>AN$22*shipping_manufacturing!$I$28/100</f>
        <v>0</v>
      </c>
      <c r="AO45" s="116">
        <f>AO$22*shipping_manufacturing!$I$28/100</f>
        <v>0</v>
      </c>
      <c r="AP45" s="116">
        <f>AP$22*shipping_manufacturing!$I$28/100</f>
        <v>0</v>
      </c>
      <c r="AQ45" s="116">
        <f>AQ$22*shipping_manufacturing!$I$28/100</f>
        <v>0</v>
      </c>
      <c r="AR45" s="116">
        <f>AR$22*shipping_manufacturing!$I$28/100</f>
        <v>0</v>
      </c>
      <c r="AS45" s="116">
        <f>AS$22*shipping_manufacturing!$I$28/100</f>
        <v>0</v>
      </c>
      <c r="AT45" s="116">
        <f>AT$22*shipping_manufacturing!$I$28/100</f>
        <v>0</v>
      </c>
      <c r="AU45" s="116">
        <f>AU$22*shipping_manufacturing!$I$28/100</f>
        <v>0</v>
      </c>
      <c r="AV45" s="116">
        <f>AV$22*shipping_manufacturing!$I$28/100</f>
        <v>0</v>
      </c>
      <c r="AW45" s="116">
        <f>AW$22*shipping_manufacturing!$I$28/100</f>
        <v>0</v>
      </c>
      <c r="AX45" s="116">
        <f>AX$22*shipping_manufacturing!$I$28/100</f>
        <v>0</v>
      </c>
      <c r="AY45" s="116">
        <f>AY$22*shipping_manufacturing!$I$28/100</f>
        <v>0</v>
      </c>
    </row>
    <row r="46" spans="1:52" x14ac:dyDescent="0.2">
      <c r="A46" s="116">
        <v>495</v>
      </c>
      <c r="B46" s="171" t="s">
        <v>342</v>
      </c>
      <c r="C46" s="116"/>
      <c r="D46" s="116">
        <f>SUM(D44:D45)</f>
        <v>0</v>
      </c>
      <c r="E46" s="116">
        <f t="shared" ref="E46:AY46" si="14">SUM(E44:E45)</f>
        <v>1786.0001435338022</v>
      </c>
      <c r="F46" s="116">
        <f t="shared" si="14"/>
        <v>1786.0001435338022</v>
      </c>
      <c r="G46" s="116">
        <f t="shared" si="14"/>
        <v>1786.0001435338022</v>
      </c>
      <c r="H46" s="116">
        <f t="shared" si="14"/>
        <v>1786.0001435338022</v>
      </c>
      <c r="I46" s="116">
        <f t="shared" si="14"/>
        <v>1786.0001435338022</v>
      </c>
      <c r="J46" s="116">
        <f t="shared" si="14"/>
        <v>1786.0001435338022</v>
      </c>
      <c r="K46" s="116">
        <f t="shared" si="14"/>
        <v>1786.0001435338022</v>
      </c>
      <c r="L46" s="116">
        <f t="shared" si="14"/>
        <v>1786.0001435338022</v>
      </c>
      <c r="M46" s="116">
        <f t="shared" si="14"/>
        <v>1786.0001435338022</v>
      </c>
      <c r="N46" s="116">
        <f t="shared" si="14"/>
        <v>1786.0001435338022</v>
      </c>
      <c r="O46" s="116">
        <f t="shared" si="14"/>
        <v>1786.0001435338022</v>
      </c>
      <c r="P46" s="116">
        <f t="shared" si="14"/>
        <v>1786.0001435338022</v>
      </c>
      <c r="Q46" s="116">
        <f t="shared" si="14"/>
        <v>1786.0001435338022</v>
      </c>
      <c r="R46" s="116">
        <f t="shared" si="14"/>
        <v>1786.0001435338022</v>
      </c>
      <c r="S46" s="116">
        <f t="shared" si="14"/>
        <v>1786.0001435338022</v>
      </c>
      <c r="T46" s="116">
        <f t="shared" si="14"/>
        <v>1786.0001435338022</v>
      </c>
      <c r="U46" s="116">
        <f t="shared" si="14"/>
        <v>1786.0001435338022</v>
      </c>
      <c r="V46" s="116">
        <f t="shared" si="14"/>
        <v>1786.0001435338022</v>
      </c>
      <c r="W46" s="116">
        <f t="shared" si="14"/>
        <v>1786.0001435338022</v>
      </c>
      <c r="X46" s="116">
        <f t="shared" si="14"/>
        <v>1786.0001435338022</v>
      </c>
      <c r="Y46" s="116">
        <f t="shared" si="14"/>
        <v>1786.0001435338022</v>
      </c>
      <c r="Z46" s="116">
        <f t="shared" si="14"/>
        <v>1786.0001435338022</v>
      </c>
      <c r="AA46" s="116">
        <f t="shared" si="14"/>
        <v>1786.0001435338022</v>
      </c>
      <c r="AB46" s="116">
        <f t="shared" si="14"/>
        <v>1786.0001435338022</v>
      </c>
      <c r="AC46" s="116">
        <f t="shared" si="14"/>
        <v>1786.0001435338022</v>
      </c>
      <c r="AD46" s="116">
        <f t="shared" si="14"/>
        <v>1786.0001435338022</v>
      </c>
      <c r="AE46" s="116">
        <f t="shared" si="14"/>
        <v>1786.0001435338022</v>
      </c>
      <c r="AF46" s="116">
        <f t="shared" si="14"/>
        <v>1786.0001435338022</v>
      </c>
      <c r="AG46" s="116">
        <f t="shared" si="14"/>
        <v>1786.0001435338022</v>
      </c>
      <c r="AH46" s="116">
        <f t="shared" si="14"/>
        <v>1786.0001435338022</v>
      </c>
      <c r="AI46" s="116">
        <f t="shared" si="14"/>
        <v>1786.0001435338022</v>
      </c>
      <c r="AJ46" s="116">
        <f t="shared" si="14"/>
        <v>1786.0001435338022</v>
      </c>
      <c r="AK46" s="116">
        <f t="shared" si="14"/>
        <v>1786.0001435338022</v>
      </c>
      <c r="AL46" s="116">
        <f t="shared" si="14"/>
        <v>0</v>
      </c>
      <c r="AM46" s="116">
        <f t="shared" si="14"/>
        <v>3572.0002870676044</v>
      </c>
      <c r="AN46" s="116">
        <f t="shared" si="14"/>
        <v>0</v>
      </c>
      <c r="AO46" s="116">
        <f t="shared" si="14"/>
        <v>3572.0002870676044</v>
      </c>
      <c r="AP46" s="116">
        <f t="shared" si="14"/>
        <v>1786.0001435338022</v>
      </c>
      <c r="AQ46" s="116">
        <f t="shared" si="14"/>
        <v>0</v>
      </c>
      <c r="AR46" s="116">
        <f t="shared" si="14"/>
        <v>3572.0002870676044</v>
      </c>
      <c r="AS46" s="116">
        <f t="shared" si="14"/>
        <v>1786.0001435338022</v>
      </c>
      <c r="AT46" s="116">
        <f t="shared" si="14"/>
        <v>1786.0001435338022</v>
      </c>
      <c r="AU46" s="116">
        <f t="shared" si="14"/>
        <v>1786.0001435338022</v>
      </c>
      <c r="AV46" s="116">
        <f t="shared" si="14"/>
        <v>1786.0001435338022</v>
      </c>
      <c r="AW46" s="116">
        <f t="shared" si="14"/>
        <v>0</v>
      </c>
      <c r="AX46" s="116">
        <f t="shared" si="14"/>
        <v>0</v>
      </c>
      <c r="AY46" s="116">
        <f t="shared" si="14"/>
        <v>3588.9999999999995</v>
      </c>
    </row>
    <row r="47" spans="1:52" x14ac:dyDescent="0.2">
      <c r="A47" s="116"/>
      <c r="B47" s="171" t="s">
        <v>343</v>
      </c>
      <c r="C47" s="116"/>
      <c r="D47" s="116"/>
      <c r="E47" s="116">
        <v>1590</v>
      </c>
      <c r="F47" s="116"/>
      <c r="G47" s="116">
        <v>1590</v>
      </c>
      <c r="H47" s="116"/>
      <c r="I47" s="116">
        <v>1590</v>
      </c>
      <c r="J47" s="116"/>
      <c r="K47" s="116">
        <v>1590</v>
      </c>
      <c r="L47" s="116"/>
      <c r="M47" s="116">
        <v>1590</v>
      </c>
      <c r="N47" s="116"/>
      <c r="O47" s="116">
        <v>1590</v>
      </c>
      <c r="P47" s="116"/>
      <c r="Q47" s="116">
        <v>1590</v>
      </c>
      <c r="R47" s="116"/>
      <c r="S47" s="116">
        <v>1590</v>
      </c>
      <c r="T47" s="116"/>
      <c r="U47" s="116">
        <v>1590</v>
      </c>
      <c r="V47" s="116"/>
      <c r="W47" s="116">
        <v>1590</v>
      </c>
      <c r="X47" s="116"/>
      <c r="Y47" s="116">
        <v>1590</v>
      </c>
      <c r="Z47" s="116"/>
      <c r="AA47" s="116">
        <v>1590</v>
      </c>
      <c r="AB47" s="116"/>
      <c r="AC47" s="116">
        <v>1590</v>
      </c>
      <c r="AD47" s="116"/>
      <c r="AE47" s="116">
        <v>1590</v>
      </c>
      <c r="AF47" s="116"/>
      <c r="AG47" s="116">
        <v>1590</v>
      </c>
      <c r="AH47" s="116"/>
      <c r="AI47" s="116">
        <v>1590</v>
      </c>
      <c r="AJ47" s="116"/>
      <c r="AK47" s="116">
        <v>1590</v>
      </c>
      <c r="AL47" s="116"/>
      <c r="AM47" s="116">
        <v>1590</v>
      </c>
      <c r="AN47" s="116"/>
      <c r="AO47" s="116">
        <v>1590</v>
      </c>
      <c r="AP47" s="116"/>
      <c r="AQ47" s="116"/>
      <c r="AR47" s="116">
        <v>1590</v>
      </c>
      <c r="AS47" s="116"/>
      <c r="AT47" s="116">
        <v>1590</v>
      </c>
      <c r="AU47" s="116"/>
      <c r="AV47" s="116">
        <v>1590</v>
      </c>
      <c r="AW47" s="116"/>
      <c r="AX47" s="116"/>
      <c r="AY47" s="116">
        <v>1590</v>
      </c>
    </row>
    <row r="48" spans="1:52" x14ac:dyDescent="0.2">
      <c r="A48" s="116"/>
      <c r="B48" s="171" t="s">
        <v>344</v>
      </c>
      <c r="C48" s="116"/>
      <c r="D48" s="116"/>
      <c r="E48" s="116">
        <v>0</v>
      </c>
      <c r="F48" s="116"/>
      <c r="G48" s="116">
        <v>0</v>
      </c>
      <c r="H48" s="116"/>
      <c r="I48" s="116">
        <v>0</v>
      </c>
      <c r="J48" s="116"/>
      <c r="K48" s="116">
        <v>0</v>
      </c>
      <c r="L48" s="116"/>
      <c r="M48" s="116">
        <v>0</v>
      </c>
      <c r="N48" s="116"/>
      <c r="O48" s="116">
        <v>0</v>
      </c>
      <c r="P48" s="116"/>
      <c r="Q48" s="116">
        <v>0</v>
      </c>
      <c r="R48" s="116"/>
      <c r="S48" s="116">
        <v>0</v>
      </c>
      <c r="T48" s="116"/>
      <c r="U48" s="116">
        <v>0</v>
      </c>
      <c r="V48" s="116"/>
      <c r="W48" s="116">
        <v>0</v>
      </c>
      <c r="X48" s="116"/>
      <c r="Y48" s="116">
        <v>0</v>
      </c>
      <c r="Z48" s="116"/>
      <c r="AA48" s="116">
        <v>0</v>
      </c>
      <c r="AB48" s="116"/>
      <c r="AC48" s="116">
        <v>0</v>
      </c>
      <c r="AD48" s="116"/>
      <c r="AE48" s="116">
        <v>0</v>
      </c>
      <c r="AF48" s="116"/>
      <c r="AG48" s="116">
        <v>0</v>
      </c>
      <c r="AH48" s="116"/>
      <c r="AI48" s="116">
        <v>0</v>
      </c>
      <c r="AJ48" s="116"/>
      <c r="AK48" s="116">
        <v>0</v>
      </c>
      <c r="AL48" s="116"/>
      <c r="AM48" s="116">
        <v>0</v>
      </c>
      <c r="AN48" s="116"/>
      <c r="AO48" s="116">
        <v>0</v>
      </c>
      <c r="AP48" s="116"/>
      <c r="AQ48" s="116"/>
      <c r="AR48" s="116">
        <v>0</v>
      </c>
      <c r="AS48" s="116"/>
      <c r="AT48" s="116">
        <v>0</v>
      </c>
      <c r="AU48" s="116"/>
      <c r="AV48" s="116">
        <v>0</v>
      </c>
      <c r="AW48" s="116"/>
      <c r="AX48" s="116"/>
      <c r="AY48" s="116">
        <v>0</v>
      </c>
    </row>
    <row r="49" spans="1:52" x14ac:dyDescent="0.2">
      <c r="A49" s="116"/>
      <c r="B49" s="171" t="s">
        <v>345</v>
      </c>
      <c r="C49" s="116"/>
      <c r="D49" s="116"/>
      <c r="E49" s="116">
        <v>53</v>
      </c>
      <c r="F49" s="116"/>
      <c r="G49" s="116">
        <v>53</v>
      </c>
      <c r="H49" s="116"/>
      <c r="I49" s="116">
        <v>53</v>
      </c>
      <c r="J49" s="116"/>
      <c r="K49" s="116">
        <v>53</v>
      </c>
      <c r="L49" s="116"/>
      <c r="M49" s="116">
        <v>53</v>
      </c>
      <c r="N49" s="116"/>
      <c r="O49" s="116">
        <v>53</v>
      </c>
      <c r="P49" s="116"/>
      <c r="Q49" s="116">
        <v>53</v>
      </c>
      <c r="R49" s="116"/>
      <c r="S49" s="116">
        <v>53</v>
      </c>
      <c r="T49" s="116"/>
      <c r="U49" s="116">
        <v>53</v>
      </c>
      <c r="V49" s="116"/>
      <c r="W49" s="116">
        <v>53</v>
      </c>
      <c r="X49" s="116"/>
      <c r="Y49" s="116">
        <v>53</v>
      </c>
      <c r="Z49" s="116"/>
      <c r="AA49" s="116">
        <v>53</v>
      </c>
      <c r="AB49" s="116"/>
      <c r="AC49" s="116">
        <v>53</v>
      </c>
      <c r="AD49" s="116"/>
      <c r="AE49" s="116">
        <v>53</v>
      </c>
      <c r="AF49" s="116"/>
      <c r="AG49" s="116">
        <v>53</v>
      </c>
      <c r="AH49" s="116"/>
      <c r="AI49" s="116">
        <v>53</v>
      </c>
      <c r="AJ49" s="116"/>
      <c r="AK49" s="116">
        <v>53</v>
      </c>
      <c r="AL49" s="116"/>
      <c r="AM49" s="116">
        <v>53</v>
      </c>
      <c r="AN49" s="116"/>
      <c r="AO49" s="116">
        <v>53</v>
      </c>
      <c r="AP49" s="116"/>
      <c r="AQ49" s="116"/>
      <c r="AR49" s="116">
        <v>53</v>
      </c>
      <c r="AS49" s="116"/>
      <c r="AT49" s="116">
        <v>53</v>
      </c>
      <c r="AU49" s="116"/>
      <c r="AV49" s="116">
        <v>53</v>
      </c>
      <c r="AW49" s="116"/>
      <c r="AX49" s="116"/>
      <c r="AY49" s="116">
        <v>53</v>
      </c>
    </row>
    <row r="50" spans="1:52" x14ac:dyDescent="0.2">
      <c r="A50" s="116"/>
      <c r="B50" s="171" t="s">
        <v>346</v>
      </c>
      <c r="C50" s="116"/>
      <c r="D50" s="116">
        <f>D44-D47</f>
        <v>0</v>
      </c>
      <c r="E50" s="116">
        <f t="shared" ref="E50:AY50" si="15">E44-E47</f>
        <v>196.0001435338022</v>
      </c>
      <c r="F50" s="116">
        <f t="shared" si="15"/>
        <v>1786.0001435338022</v>
      </c>
      <c r="G50" s="116">
        <f t="shared" si="15"/>
        <v>196.0001435338022</v>
      </c>
      <c r="H50" s="116">
        <f t="shared" si="15"/>
        <v>1786.0001435338022</v>
      </c>
      <c r="I50" s="116">
        <f t="shared" si="15"/>
        <v>196.0001435338022</v>
      </c>
      <c r="J50" s="116">
        <f t="shared" si="15"/>
        <v>1786.0001435338022</v>
      </c>
      <c r="K50" s="116">
        <f t="shared" si="15"/>
        <v>196.0001435338022</v>
      </c>
      <c r="L50" s="116">
        <f t="shared" si="15"/>
        <v>1786.0001435338022</v>
      </c>
      <c r="M50" s="116">
        <f t="shared" si="15"/>
        <v>196.0001435338022</v>
      </c>
      <c r="N50" s="116">
        <f t="shared" si="15"/>
        <v>1786.0001435338022</v>
      </c>
      <c r="O50" s="116">
        <f t="shared" si="15"/>
        <v>196.0001435338022</v>
      </c>
      <c r="P50" s="116">
        <f t="shared" si="15"/>
        <v>1786.0001435338022</v>
      </c>
      <c r="Q50" s="116">
        <f t="shared" si="15"/>
        <v>196.0001435338022</v>
      </c>
      <c r="R50" s="116">
        <f t="shared" si="15"/>
        <v>1786.0001435338022</v>
      </c>
      <c r="S50" s="116">
        <f t="shared" si="15"/>
        <v>196.0001435338022</v>
      </c>
      <c r="T50" s="116">
        <f t="shared" si="15"/>
        <v>1786.0001435338022</v>
      </c>
      <c r="U50" s="116">
        <f t="shared" si="15"/>
        <v>196.0001435338022</v>
      </c>
      <c r="V50" s="116">
        <f t="shared" si="15"/>
        <v>1786.0001435338022</v>
      </c>
      <c r="W50" s="116">
        <f t="shared" si="15"/>
        <v>196.0001435338022</v>
      </c>
      <c r="X50" s="116">
        <f t="shared" si="15"/>
        <v>1786.0001435338022</v>
      </c>
      <c r="Y50" s="116">
        <f t="shared" si="15"/>
        <v>196.0001435338022</v>
      </c>
      <c r="Z50" s="116">
        <f t="shared" si="15"/>
        <v>1786.0001435338022</v>
      </c>
      <c r="AA50" s="116">
        <f t="shared" si="15"/>
        <v>196.0001435338022</v>
      </c>
      <c r="AB50" s="116">
        <f t="shared" si="15"/>
        <v>1786.0001435338022</v>
      </c>
      <c r="AC50" s="116">
        <f t="shared" si="15"/>
        <v>196.0001435338022</v>
      </c>
      <c r="AD50" s="116">
        <f t="shared" si="15"/>
        <v>1786.0001435338022</v>
      </c>
      <c r="AE50" s="116">
        <f t="shared" si="15"/>
        <v>196.0001435338022</v>
      </c>
      <c r="AF50" s="116">
        <f t="shared" si="15"/>
        <v>1786.0001435338022</v>
      </c>
      <c r="AG50" s="116">
        <f t="shared" si="15"/>
        <v>196.0001435338022</v>
      </c>
      <c r="AH50" s="116">
        <f t="shared" si="15"/>
        <v>1786.0001435338022</v>
      </c>
      <c r="AI50" s="116">
        <f t="shared" si="15"/>
        <v>196.0001435338022</v>
      </c>
      <c r="AJ50" s="116">
        <f t="shared" si="15"/>
        <v>1786.0001435338022</v>
      </c>
      <c r="AK50" s="116">
        <f t="shared" si="15"/>
        <v>196.0001435338022</v>
      </c>
      <c r="AL50" s="116">
        <f t="shared" si="15"/>
        <v>0</v>
      </c>
      <c r="AM50" s="116">
        <f t="shared" si="15"/>
        <v>1982.0002870676044</v>
      </c>
      <c r="AN50" s="116">
        <f t="shared" si="15"/>
        <v>0</v>
      </c>
      <c r="AO50" s="116">
        <f t="shared" si="15"/>
        <v>1982.0002870676044</v>
      </c>
      <c r="AP50" s="116">
        <f t="shared" si="15"/>
        <v>1786.0001435338022</v>
      </c>
      <c r="AQ50" s="116">
        <f t="shared" si="15"/>
        <v>0</v>
      </c>
      <c r="AR50" s="116">
        <f t="shared" si="15"/>
        <v>1982.0002870676044</v>
      </c>
      <c r="AS50" s="116">
        <f t="shared" si="15"/>
        <v>1786.0001435338022</v>
      </c>
      <c r="AT50" s="116">
        <f t="shared" si="15"/>
        <v>196.0001435338022</v>
      </c>
      <c r="AU50" s="116">
        <f t="shared" si="15"/>
        <v>1786.0001435338022</v>
      </c>
      <c r="AV50" s="116">
        <f t="shared" si="15"/>
        <v>196.0001435338022</v>
      </c>
      <c r="AW50" s="116">
        <f t="shared" si="15"/>
        <v>0</v>
      </c>
      <c r="AX50" s="116">
        <f t="shared" si="15"/>
        <v>0</v>
      </c>
      <c r="AY50" s="116">
        <f t="shared" si="15"/>
        <v>1998.9999999999995</v>
      </c>
    </row>
    <row r="51" spans="1:52" x14ac:dyDescent="0.2">
      <c r="A51" s="116"/>
      <c r="B51" s="171" t="s">
        <v>347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348</v>
      </c>
      <c r="C52" s="116"/>
      <c r="D52" s="116">
        <v>2</v>
      </c>
      <c r="E52" s="116">
        <v>1</v>
      </c>
      <c r="F52" s="116">
        <v>2</v>
      </c>
      <c r="G52" s="116">
        <v>1</v>
      </c>
      <c r="H52" s="116">
        <v>3</v>
      </c>
      <c r="I52" s="116">
        <v>2</v>
      </c>
      <c r="J52" s="116">
        <v>1</v>
      </c>
      <c r="K52" s="116">
        <v>1</v>
      </c>
      <c r="L52" s="116">
        <v>1</v>
      </c>
      <c r="M52" s="116">
        <v>1</v>
      </c>
      <c r="N52" s="116">
        <v>1</v>
      </c>
      <c r="O52" s="116">
        <v>1</v>
      </c>
      <c r="P52" s="116">
        <v>1</v>
      </c>
      <c r="Q52" s="116">
        <v>2</v>
      </c>
      <c r="R52" s="116">
        <v>1</v>
      </c>
      <c r="S52" s="116">
        <v>1</v>
      </c>
      <c r="T52" s="116">
        <v>1</v>
      </c>
      <c r="U52" s="116">
        <v>1</v>
      </c>
      <c r="V52" s="116">
        <v>1</v>
      </c>
      <c r="W52" s="116">
        <v>2</v>
      </c>
      <c r="X52" s="116">
        <v>2</v>
      </c>
      <c r="Y52" s="116">
        <v>1</v>
      </c>
      <c r="Z52" s="116">
        <v>2</v>
      </c>
      <c r="AA52" s="116">
        <v>1</v>
      </c>
      <c r="AB52" s="116">
        <v>1</v>
      </c>
      <c r="AC52" s="116">
        <v>1</v>
      </c>
      <c r="AD52" s="116">
        <v>1</v>
      </c>
      <c r="AE52" s="116">
        <v>1</v>
      </c>
      <c r="AF52" s="116">
        <v>1</v>
      </c>
      <c r="AG52" s="116">
        <v>2</v>
      </c>
      <c r="AH52" s="116">
        <v>1</v>
      </c>
      <c r="AI52" s="116">
        <v>1</v>
      </c>
      <c r="AJ52" s="116">
        <v>3</v>
      </c>
      <c r="AK52" s="116">
        <v>2</v>
      </c>
      <c r="AL52" s="116">
        <v>1</v>
      </c>
      <c r="AM52" s="116">
        <v>3</v>
      </c>
      <c r="AN52" s="116">
        <v>1</v>
      </c>
      <c r="AO52" s="116">
        <v>1</v>
      </c>
      <c r="AP52" s="116">
        <v>1</v>
      </c>
      <c r="AQ52" s="116">
        <v>2</v>
      </c>
      <c r="AR52" s="116">
        <v>2</v>
      </c>
      <c r="AS52" s="116">
        <v>2</v>
      </c>
      <c r="AT52" s="116">
        <v>1</v>
      </c>
      <c r="AU52" s="116">
        <v>1</v>
      </c>
      <c r="AV52" s="116">
        <v>3</v>
      </c>
      <c r="AW52" s="116">
        <v>1</v>
      </c>
      <c r="AX52" s="116">
        <v>1</v>
      </c>
      <c r="AY52" s="116">
        <v>2</v>
      </c>
    </row>
    <row r="53" spans="1:52" x14ac:dyDescent="0.2">
      <c r="A53" s="116"/>
      <c r="B53" s="184" t="s">
        <v>349</v>
      </c>
      <c r="C53" s="116"/>
      <c r="D53" s="116">
        <v>0</v>
      </c>
      <c r="E53" s="116">
        <v>944460</v>
      </c>
      <c r="F53" s="116">
        <v>0</v>
      </c>
      <c r="G53" s="116">
        <v>944460</v>
      </c>
      <c r="H53" s="116">
        <v>0</v>
      </c>
      <c r="I53" s="116">
        <v>944460</v>
      </c>
      <c r="J53" s="116">
        <v>0</v>
      </c>
      <c r="K53" s="116">
        <v>944460</v>
      </c>
      <c r="L53" s="116">
        <v>0</v>
      </c>
      <c r="M53" s="116">
        <v>944460</v>
      </c>
      <c r="N53" s="116">
        <v>0</v>
      </c>
      <c r="O53" s="116">
        <v>944460</v>
      </c>
      <c r="P53" s="116">
        <v>0</v>
      </c>
      <c r="Q53" s="116">
        <v>944460</v>
      </c>
      <c r="R53" s="116">
        <v>0</v>
      </c>
      <c r="S53" s="116">
        <v>944460</v>
      </c>
      <c r="T53" s="116">
        <v>0</v>
      </c>
      <c r="U53" s="116">
        <v>944460</v>
      </c>
      <c r="V53" s="116">
        <v>0</v>
      </c>
      <c r="W53" s="116">
        <v>944460</v>
      </c>
      <c r="X53" s="116">
        <v>0</v>
      </c>
      <c r="Y53" s="116">
        <v>944460</v>
      </c>
      <c r="Z53" s="116">
        <v>0</v>
      </c>
      <c r="AA53" s="116">
        <v>944460</v>
      </c>
      <c r="AB53" s="116">
        <v>0</v>
      </c>
      <c r="AC53" s="116">
        <v>944460</v>
      </c>
      <c r="AD53" s="116">
        <v>0</v>
      </c>
      <c r="AE53" s="116">
        <v>944460</v>
      </c>
      <c r="AF53" s="116">
        <v>0</v>
      </c>
      <c r="AG53" s="116">
        <v>944460</v>
      </c>
      <c r="AH53" s="116">
        <v>0</v>
      </c>
      <c r="AI53" s="116">
        <v>944460</v>
      </c>
      <c r="AJ53" s="116">
        <v>0</v>
      </c>
      <c r="AK53" s="116">
        <v>944460</v>
      </c>
      <c r="AL53" s="116">
        <v>0</v>
      </c>
      <c r="AM53" s="116">
        <v>944460</v>
      </c>
      <c r="AN53" s="116">
        <v>0</v>
      </c>
      <c r="AO53" s="116">
        <v>944460</v>
      </c>
      <c r="AP53" s="116">
        <v>0</v>
      </c>
      <c r="AQ53" s="116">
        <v>0</v>
      </c>
      <c r="AR53" s="116">
        <v>944460</v>
      </c>
      <c r="AS53" s="116">
        <v>0</v>
      </c>
      <c r="AT53" s="116">
        <v>944460</v>
      </c>
      <c r="AU53" s="116">
        <v>0</v>
      </c>
      <c r="AV53" s="116">
        <v>944460</v>
      </c>
      <c r="AW53" s="116">
        <v>0</v>
      </c>
      <c r="AX53" s="116">
        <v>0</v>
      </c>
      <c r="AY53" s="116">
        <v>944460</v>
      </c>
      <c r="AZ53" s="106">
        <f>SUM($D$53:$AY$53)</f>
        <v>21722580</v>
      </c>
    </row>
    <row r="54" spans="1:52" x14ac:dyDescent="0.2">
      <c r="A54" s="131"/>
      <c r="B54" s="146" t="s">
        <v>350</v>
      </c>
      <c r="C54" s="131"/>
      <c r="D54" s="131">
        <v>0</v>
      </c>
      <c r="E54" s="131">
        <v>63063.046182000864</v>
      </c>
      <c r="F54" s="131">
        <v>574645.54618200089</v>
      </c>
      <c r="G54" s="131">
        <v>63063.046182000864</v>
      </c>
      <c r="H54" s="131">
        <v>574645.54618200089</v>
      </c>
      <c r="I54" s="131">
        <v>63063.046182000864</v>
      </c>
      <c r="J54" s="131">
        <v>574645.54618200089</v>
      </c>
      <c r="K54" s="131">
        <v>63063.046182000864</v>
      </c>
      <c r="L54" s="131">
        <v>574645.54618200089</v>
      </c>
      <c r="M54" s="131">
        <v>63063.046182000864</v>
      </c>
      <c r="N54" s="131">
        <v>574645.54618200089</v>
      </c>
      <c r="O54" s="131">
        <v>63063.046182000864</v>
      </c>
      <c r="P54" s="131">
        <v>574645.54618200089</v>
      </c>
      <c r="Q54" s="131">
        <v>63063.046182000864</v>
      </c>
      <c r="R54" s="131">
        <v>574645.54618200089</v>
      </c>
      <c r="S54" s="131">
        <v>63063.046182000864</v>
      </c>
      <c r="T54" s="131">
        <v>574645.54618200089</v>
      </c>
      <c r="U54" s="131">
        <v>63063.046182000864</v>
      </c>
      <c r="V54" s="131">
        <v>574645.54618200089</v>
      </c>
      <c r="W54" s="131">
        <v>63063.046182000864</v>
      </c>
      <c r="X54" s="131">
        <v>574645.54618200089</v>
      </c>
      <c r="Y54" s="131">
        <v>63063.046182000864</v>
      </c>
      <c r="Z54" s="131">
        <v>574645.54618200089</v>
      </c>
      <c r="AA54" s="131">
        <v>63063.046182000864</v>
      </c>
      <c r="AB54" s="131">
        <v>574645.54618200089</v>
      </c>
      <c r="AC54" s="131">
        <v>63063.046182000864</v>
      </c>
      <c r="AD54" s="131">
        <v>574645.54618200089</v>
      </c>
      <c r="AE54" s="131">
        <v>63063.046182000864</v>
      </c>
      <c r="AF54" s="131">
        <v>574645.54618200089</v>
      </c>
      <c r="AG54" s="131">
        <v>63063.046182000864</v>
      </c>
      <c r="AH54" s="131">
        <v>574645.54618200089</v>
      </c>
      <c r="AI54" s="131">
        <v>63063.046182000864</v>
      </c>
      <c r="AJ54" s="131">
        <v>574645.54618200089</v>
      </c>
      <c r="AK54" s="131">
        <v>63063.046182000864</v>
      </c>
      <c r="AL54" s="131">
        <v>0</v>
      </c>
      <c r="AM54" s="131">
        <v>637708.59236400179</v>
      </c>
      <c r="AN54" s="131">
        <v>0</v>
      </c>
      <c r="AO54" s="131">
        <v>637708.59236400179</v>
      </c>
      <c r="AP54" s="131">
        <v>574645.54618200089</v>
      </c>
      <c r="AQ54" s="131">
        <v>0</v>
      </c>
      <c r="AR54" s="131">
        <v>637708.59236400179</v>
      </c>
      <c r="AS54" s="131">
        <v>574645.54618200089</v>
      </c>
      <c r="AT54" s="131">
        <v>63063.046182000864</v>
      </c>
      <c r="AU54" s="131">
        <v>574645.54618200089</v>
      </c>
      <c r="AV54" s="131">
        <v>63063.046182000864</v>
      </c>
      <c r="AW54" s="131">
        <v>0</v>
      </c>
      <c r="AX54" s="131">
        <v>0</v>
      </c>
      <c r="AY54" s="131">
        <v>643178.24999999988</v>
      </c>
      <c r="AZ54" s="106">
        <f>SUM($D$54:$AY$54)</f>
        <v>14672767.282008043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283</v>
      </c>
    </row>
    <row r="2" spans="1:53" x14ac:dyDescent="0.2">
      <c r="A2" s="106" t="s">
        <v>284</v>
      </c>
      <c r="B2" s="113" t="s">
        <v>22</v>
      </c>
    </row>
    <row r="3" spans="1:53" x14ac:dyDescent="0.2">
      <c r="A3" s="106" t="s">
        <v>285</v>
      </c>
      <c r="B3" s="114">
        <v>50000</v>
      </c>
      <c r="C3" s="115"/>
    </row>
    <row r="4" spans="1:53" x14ac:dyDescent="0.2">
      <c r="B4" s="116"/>
      <c r="C4" s="116"/>
    </row>
    <row r="5" spans="1:53" x14ac:dyDescent="0.2">
      <c r="C5" s="117" t="s">
        <v>286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287</v>
      </c>
      <c r="D7" s="118" t="s">
        <v>288</v>
      </c>
      <c r="E7" s="118" t="s">
        <v>288</v>
      </c>
      <c r="F7" s="118" t="s">
        <v>288</v>
      </c>
      <c r="G7" s="118" t="s">
        <v>288</v>
      </c>
      <c r="H7" s="118" t="s">
        <v>288</v>
      </c>
      <c r="I7" s="118" t="s">
        <v>288</v>
      </c>
      <c r="J7" s="118" t="s">
        <v>288</v>
      </c>
      <c r="K7" s="118" t="s">
        <v>288</v>
      </c>
      <c r="L7" s="118" t="s">
        <v>288</v>
      </c>
      <c r="M7" s="118" t="s">
        <v>288</v>
      </c>
      <c r="N7" s="118" t="s">
        <v>288</v>
      </c>
      <c r="O7" s="118" t="s">
        <v>288</v>
      </c>
      <c r="P7" s="118" t="s">
        <v>288</v>
      </c>
      <c r="Q7" s="118" t="s">
        <v>288</v>
      </c>
      <c r="R7" s="118" t="s">
        <v>288</v>
      </c>
      <c r="S7" s="118" t="s">
        <v>288</v>
      </c>
      <c r="T7" s="118" t="s">
        <v>288</v>
      </c>
      <c r="U7" s="118" t="s">
        <v>288</v>
      </c>
      <c r="V7" s="118" t="s">
        <v>288</v>
      </c>
      <c r="W7" s="118" t="s">
        <v>288</v>
      </c>
      <c r="X7" s="118" t="s">
        <v>288</v>
      </c>
      <c r="Y7" s="118" t="s">
        <v>288</v>
      </c>
      <c r="Z7" s="118" t="s">
        <v>288</v>
      </c>
      <c r="AA7" s="118" t="s">
        <v>288</v>
      </c>
      <c r="AB7" s="118" t="s">
        <v>288</v>
      </c>
      <c r="AC7" s="118" t="s">
        <v>288</v>
      </c>
      <c r="AD7" s="118" t="s">
        <v>288</v>
      </c>
      <c r="AE7" s="118" t="s">
        <v>288</v>
      </c>
      <c r="AF7" s="118" t="s">
        <v>288</v>
      </c>
      <c r="AG7" s="118" t="s">
        <v>288</v>
      </c>
      <c r="AH7" s="118" t="s">
        <v>288</v>
      </c>
      <c r="AI7" s="118" t="s">
        <v>288</v>
      </c>
      <c r="AJ7" s="118" t="s">
        <v>288</v>
      </c>
      <c r="AK7" s="118" t="s">
        <v>288</v>
      </c>
      <c r="AL7" s="118" t="s">
        <v>288</v>
      </c>
      <c r="AM7" s="118" t="s">
        <v>288</v>
      </c>
      <c r="AN7" s="118" t="s">
        <v>288</v>
      </c>
      <c r="AO7" s="118" t="s">
        <v>288</v>
      </c>
      <c r="AP7" s="118" t="s">
        <v>288</v>
      </c>
      <c r="AQ7" s="118" t="s">
        <v>288</v>
      </c>
      <c r="AR7" s="118" t="s">
        <v>288</v>
      </c>
      <c r="AS7" s="118" t="s">
        <v>288</v>
      </c>
      <c r="AT7" s="118" t="s">
        <v>288</v>
      </c>
      <c r="AU7" s="118" t="s">
        <v>288</v>
      </c>
      <c r="AV7" s="118" t="s">
        <v>288</v>
      </c>
      <c r="AW7" s="118" t="s">
        <v>288</v>
      </c>
      <c r="AX7" s="118" t="s">
        <v>288</v>
      </c>
      <c r="AY7" s="117" t="s">
        <v>289</v>
      </c>
      <c r="AZ7" s="117" t="s">
        <v>290</v>
      </c>
    </row>
    <row r="8" spans="1:53" x14ac:dyDescent="0.2">
      <c r="A8" s="108" t="s">
        <v>291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292</v>
      </c>
      <c r="D9" s="123">
        <v>1400</v>
      </c>
      <c r="E9" s="123">
        <v>1400</v>
      </c>
      <c r="F9" s="123">
        <v>1400</v>
      </c>
      <c r="G9" s="123">
        <v>1400</v>
      </c>
      <c r="H9" s="123">
        <v>1400</v>
      </c>
      <c r="I9" s="123">
        <v>1400</v>
      </c>
      <c r="J9" s="123">
        <v>1400</v>
      </c>
      <c r="K9" s="123">
        <v>1400</v>
      </c>
      <c r="L9" s="123">
        <v>1400</v>
      </c>
      <c r="M9" s="123">
        <v>1400</v>
      </c>
      <c r="N9" s="123">
        <v>1400</v>
      </c>
      <c r="O9" s="123">
        <v>1400</v>
      </c>
      <c r="P9" s="123">
        <v>1400</v>
      </c>
      <c r="Q9" s="123">
        <v>1400</v>
      </c>
      <c r="R9" s="123">
        <v>1400</v>
      </c>
      <c r="S9" s="123">
        <v>1400</v>
      </c>
      <c r="T9" s="123">
        <v>1400</v>
      </c>
      <c r="U9" s="123">
        <v>1400</v>
      </c>
      <c r="V9" s="123">
        <v>1400</v>
      </c>
      <c r="W9" s="123">
        <v>1400</v>
      </c>
      <c r="X9" s="123">
        <v>1400</v>
      </c>
      <c r="Y9" s="123">
        <v>1400</v>
      </c>
      <c r="Z9" s="123">
        <v>1400</v>
      </c>
      <c r="AA9" s="123">
        <v>1400</v>
      </c>
      <c r="AB9" s="123">
        <v>1400</v>
      </c>
      <c r="AC9" s="123">
        <v>1400</v>
      </c>
      <c r="AD9" s="123">
        <v>1400</v>
      </c>
      <c r="AE9" s="123">
        <v>1400</v>
      </c>
      <c r="AF9" s="123">
        <v>1400</v>
      </c>
      <c r="AG9" s="123">
        <v>1400</v>
      </c>
      <c r="AH9" s="123">
        <v>1400</v>
      </c>
      <c r="AI9" s="123">
        <v>1400</v>
      </c>
      <c r="AJ9" s="123">
        <v>1400</v>
      </c>
      <c r="AK9" s="123">
        <v>1400</v>
      </c>
      <c r="AL9" s="123">
        <v>1400</v>
      </c>
      <c r="AM9" s="123">
        <v>1400</v>
      </c>
      <c r="AN9" s="123">
        <v>1400</v>
      </c>
      <c r="AO9" s="123">
        <v>1400</v>
      </c>
      <c r="AP9" s="123">
        <v>1400</v>
      </c>
      <c r="AQ9" s="123">
        <v>1400</v>
      </c>
      <c r="AR9" s="123">
        <v>1400</v>
      </c>
      <c r="AS9" s="123">
        <v>1400</v>
      </c>
      <c r="AT9" s="123">
        <v>1400</v>
      </c>
      <c r="AU9" s="123">
        <v>1400</v>
      </c>
      <c r="AV9" s="123">
        <v>1400</v>
      </c>
      <c r="AW9" s="123">
        <v>1400</v>
      </c>
      <c r="AX9" s="123">
        <v>1400</v>
      </c>
      <c r="AY9" s="123">
        <v>1400</v>
      </c>
    </row>
    <row r="10" spans="1:53" x14ac:dyDescent="0.2">
      <c r="A10" s="124" t="s">
        <v>133</v>
      </c>
      <c r="B10" s="125">
        <v>1</v>
      </c>
      <c r="C10" s="112" t="s">
        <v>292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</row>
    <row r="11" spans="1:53" x14ac:dyDescent="0.2">
      <c r="B11" s="125">
        <v>2</v>
      </c>
      <c r="C11" s="112" t="s">
        <v>292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S11" s="106">
        <v>0</v>
      </c>
      <c r="T11" s="106">
        <v>0</v>
      </c>
      <c r="U11" s="106">
        <v>0</v>
      </c>
      <c r="W11" s="106">
        <v>0</v>
      </c>
      <c r="X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G11" s="106">
        <v>0</v>
      </c>
      <c r="AI11" s="106">
        <v>0</v>
      </c>
      <c r="AJ11" s="106">
        <v>0</v>
      </c>
      <c r="AL11" s="106">
        <v>0</v>
      </c>
      <c r="AM11" s="106">
        <v>0</v>
      </c>
      <c r="AN11" s="106">
        <v>0</v>
      </c>
      <c r="AP11" s="106">
        <v>0</v>
      </c>
      <c r="AQ11" s="106">
        <v>0</v>
      </c>
      <c r="AS11" s="106">
        <v>0</v>
      </c>
      <c r="AT11" s="106">
        <v>0</v>
      </c>
      <c r="AU11" s="106">
        <v>0</v>
      </c>
      <c r="AW11" s="106">
        <v>0</v>
      </c>
      <c r="AX11" s="106">
        <v>0</v>
      </c>
      <c r="AZ11" s="106">
        <v>0</v>
      </c>
    </row>
    <row r="12" spans="1:53" x14ac:dyDescent="0.2">
      <c r="B12" s="126">
        <v>3</v>
      </c>
      <c r="C12" s="112" t="s">
        <v>292</v>
      </c>
      <c r="L12" s="106">
        <v>0</v>
      </c>
      <c r="N12" s="106">
        <v>0</v>
      </c>
      <c r="R12" s="106">
        <v>0</v>
      </c>
      <c r="S12" s="106">
        <v>0</v>
      </c>
      <c r="AA12" s="106">
        <v>0</v>
      </c>
      <c r="AF12" s="106">
        <v>0</v>
      </c>
      <c r="AG12" s="106">
        <v>0</v>
      </c>
      <c r="AJ12" s="106">
        <v>0</v>
      </c>
      <c r="AK12" s="106">
        <v>0</v>
      </c>
      <c r="AN12" s="106">
        <v>0</v>
      </c>
      <c r="AP12" s="106">
        <v>0</v>
      </c>
      <c r="AS12" s="106">
        <v>0</v>
      </c>
      <c r="AX12" s="106">
        <v>0</v>
      </c>
    </row>
    <row r="13" spans="1:53" x14ac:dyDescent="0.2">
      <c r="B13" s="126">
        <v>4</v>
      </c>
      <c r="C13" s="112" t="s">
        <v>292</v>
      </c>
    </row>
    <row r="14" spans="1:53" x14ac:dyDescent="0.2">
      <c r="A14" s="121" t="s">
        <v>134</v>
      </c>
      <c r="B14" s="127">
        <v>1</v>
      </c>
      <c r="C14" s="123" t="s">
        <v>292</v>
      </c>
      <c r="D14" s="123"/>
      <c r="E14" s="123">
        <f t="shared" ref="E14:AZ14" si="0">D$172*SUM(D$122:D$169)</f>
        <v>0</v>
      </c>
      <c r="F14" s="123">
        <f t="shared" si="0"/>
        <v>0</v>
      </c>
      <c r="G14" s="123">
        <f t="shared" si="0"/>
        <v>0</v>
      </c>
      <c r="H14" s="123">
        <f t="shared" si="0"/>
        <v>0</v>
      </c>
      <c r="I14" s="123">
        <f t="shared" si="0"/>
        <v>0</v>
      </c>
      <c r="J14" s="123">
        <f t="shared" si="0"/>
        <v>0</v>
      </c>
      <c r="K14" s="123">
        <f t="shared" si="0"/>
        <v>0</v>
      </c>
      <c r="L14" s="123">
        <f t="shared" si="0"/>
        <v>0</v>
      </c>
      <c r="M14" s="123">
        <f t="shared" si="0"/>
        <v>0</v>
      </c>
      <c r="N14" s="123">
        <f t="shared" si="0"/>
        <v>0</v>
      </c>
      <c r="O14" s="123">
        <f t="shared" si="0"/>
        <v>0</v>
      </c>
      <c r="P14" s="123">
        <f t="shared" si="0"/>
        <v>0</v>
      </c>
      <c r="Q14" s="123">
        <f t="shared" si="0"/>
        <v>0</v>
      </c>
      <c r="R14" s="123">
        <f t="shared" si="0"/>
        <v>0</v>
      </c>
      <c r="S14" s="123">
        <f t="shared" si="0"/>
        <v>0</v>
      </c>
      <c r="T14" s="123">
        <f t="shared" si="0"/>
        <v>0</v>
      </c>
      <c r="U14" s="123">
        <f t="shared" si="0"/>
        <v>0</v>
      </c>
      <c r="V14" s="123">
        <f t="shared" si="0"/>
        <v>0</v>
      </c>
      <c r="W14" s="123">
        <f t="shared" si="0"/>
        <v>0</v>
      </c>
      <c r="X14" s="123">
        <f t="shared" si="0"/>
        <v>0</v>
      </c>
      <c r="Y14" s="123">
        <f t="shared" si="0"/>
        <v>0</v>
      </c>
      <c r="Z14" s="123">
        <f t="shared" si="0"/>
        <v>0</v>
      </c>
      <c r="AA14" s="123">
        <f t="shared" si="0"/>
        <v>0</v>
      </c>
      <c r="AB14" s="123">
        <f t="shared" si="0"/>
        <v>0</v>
      </c>
      <c r="AC14" s="123">
        <f t="shared" si="0"/>
        <v>0</v>
      </c>
      <c r="AD14" s="123">
        <f t="shared" si="0"/>
        <v>0</v>
      </c>
      <c r="AE14" s="123">
        <f t="shared" si="0"/>
        <v>0</v>
      </c>
      <c r="AF14" s="123">
        <f t="shared" si="0"/>
        <v>0</v>
      </c>
      <c r="AG14" s="123">
        <f t="shared" si="0"/>
        <v>0</v>
      </c>
      <c r="AH14" s="123">
        <f t="shared" si="0"/>
        <v>0</v>
      </c>
      <c r="AI14" s="123">
        <f t="shared" si="0"/>
        <v>0</v>
      </c>
      <c r="AJ14" s="123">
        <f t="shared" si="0"/>
        <v>0</v>
      </c>
      <c r="AK14" s="123">
        <f t="shared" si="0"/>
        <v>0</v>
      </c>
      <c r="AL14" s="123">
        <f t="shared" si="0"/>
        <v>0</v>
      </c>
      <c r="AM14" s="123">
        <f t="shared" si="0"/>
        <v>0</v>
      </c>
      <c r="AN14" s="123">
        <f t="shared" si="0"/>
        <v>0</v>
      </c>
      <c r="AO14" s="123">
        <f t="shared" si="0"/>
        <v>0</v>
      </c>
      <c r="AP14" s="123">
        <f t="shared" si="0"/>
        <v>0</v>
      </c>
      <c r="AQ14" s="123">
        <f t="shared" si="0"/>
        <v>0</v>
      </c>
      <c r="AR14" s="123">
        <f t="shared" si="0"/>
        <v>0</v>
      </c>
      <c r="AS14" s="123">
        <f t="shared" si="0"/>
        <v>0</v>
      </c>
      <c r="AT14" s="123">
        <f t="shared" si="0"/>
        <v>0</v>
      </c>
      <c r="AU14" s="123">
        <f t="shared" si="0"/>
        <v>0</v>
      </c>
      <c r="AV14" s="123">
        <f t="shared" si="0"/>
        <v>0</v>
      </c>
      <c r="AW14" s="123">
        <f t="shared" si="0"/>
        <v>0</v>
      </c>
      <c r="AX14" s="123">
        <f t="shared" si="0"/>
        <v>0</v>
      </c>
      <c r="AY14" s="123">
        <f t="shared" si="0"/>
        <v>0</v>
      </c>
      <c r="AZ14" s="116">
        <f t="shared" si="0"/>
        <v>0</v>
      </c>
      <c r="BA14" s="113">
        <f>SUM($E14:$AZ14)</f>
        <v>0</v>
      </c>
    </row>
    <row r="15" spans="1:53" x14ac:dyDescent="0.2">
      <c r="A15" s="128" t="s">
        <v>123</v>
      </c>
      <c r="B15" s="129">
        <v>1</v>
      </c>
      <c r="C15" s="130" t="s">
        <v>292</v>
      </c>
      <c r="D15" s="130">
        <v>0</v>
      </c>
      <c r="E15" s="130">
        <v>0</v>
      </c>
      <c r="F15" s="130">
        <v>0</v>
      </c>
      <c r="G15" s="130">
        <v>0</v>
      </c>
      <c r="H15" s="130">
        <v>0</v>
      </c>
      <c r="I15" s="130">
        <v>0</v>
      </c>
      <c r="J15" s="130">
        <v>0</v>
      </c>
      <c r="K15" s="130">
        <v>0</v>
      </c>
      <c r="L15" s="130">
        <v>0</v>
      </c>
      <c r="M15" s="130">
        <v>0</v>
      </c>
      <c r="N15" s="130">
        <v>0</v>
      </c>
      <c r="O15" s="130">
        <v>0</v>
      </c>
      <c r="P15" s="130">
        <v>0</v>
      </c>
      <c r="Q15" s="130">
        <v>0</v>
      </c>
      <c r="R15" s="130">
        <v>0</v>
      </c>
      <c r="S15" s="130">
        <v>0</v>
      </c>
      <c r="T15" s="130">
        <v>0</v>
      </c>
      <c r="U15" s="130">
        <v>0</v>
      </c>
      <c r="V15" s="130">
        <v>0</v>
      </c>
      <c r="W15" s="130">
        <v>0</v>
      </c>
      <c r="X15" s="130">
        <v>0</v>
      </c>
      <c r="Y15" s="130">
        <v>0</v>
      </c>
      <c r="Z15" s="130">
        <v>0</v>
      </c>
      <c r="AA15" s="130">
        <v>0</v>
      </c>
      <c r="AB15" s="130">
        <v>0</v>
      </c>
      <c r="AC15" s="130">
        <v>0</v>
      </c>
      <c r="AD15" s="130">
        <v>0</v>
      </c>
      <c r="AE15" s="130">
        <v>0</v>
      </c>
      <c r="AF15" s="130">
        <v>0</v>
      </c>
      <c r="AG15" s="130">
        <v>0</v>
      </c>
      <c r="AH15" s="130">
        <v>0</v>
      </c>
      <c r="AI15" s="130">
        <v>0</v>
      </c>
      <c r="AJ15" s="130">
        <v>0</v>
      </c>
      <c r="AK15" s="130">
        <v>0</v>
      </c>
      <c r="AL15" s="130">
        <v>0</v>
      </c>
      <c r="AM15" s="130">
        <v>0</v>
      </c>
      <c r="AN15" s="130">
        <v>0</v>
      </c>
      <c r="AO15" s="130">
        <v>0</v>
      </c>
      <c r="AP15" s="130">
        <v>0</v>
      </c>
      <c r="AQ15" s="130">
        <v>0</v>
      </c>
      <c r="AR15" s="130">
        <v>0</v>
      </c>
      <c r="AS15" s="130">
        <v>0</v>
      </c>
      <c r="AT15" s="130">
        <v>0</v>
      </c>
      <c r="AU15" s="130">
        <v>0</v>
      </c>
      <c r="AV15" s="130">
        <v>0</v>
      </c>
      <c r="AW15" s="130">
        <v>0</v>
      </c>
      <c r="AX15" s="130">
        <v>0</v>
      </c>
      <c r="AY15" s="130">
        <v>0</v>
      </c>
      <c r="AZ15" s="106">
        <v>0</v>
      </c>
    </row>
    <row r="16" spans="1:53" x14ac:dyDescent="0.2">
      <c r="A16" s="116"/>
      <c r="B16" s="125">
        <v>2</v>
      </c>
      <c r="C16" s="115" t="s">
        <v>292</v>
      </c>
      <c r="D16" s="112"/>
      <c r="E16" s="116"/>
      <c r="F16" s="116">
        <v>0</v>
      </c>
      <c r="G16" s="116">
        <v>0</v>
      </c>
      <c r="H16" s="116">
        <v>0</v>
      </c>
      <c r="I16" s="116">
        <v>0</v>
      </c>
      <c r="J16" s="116">
        <v>0</v>
      </c>
      <c r="K16" s="116">
        <v>0</v>
      </c>
      <c r="L16" s="116">
        <v>0</v>
      </c>
      <c r="M16" s="116">
        <v>0</v>
      </c>
      <c r="N16" s="116">
        <v>0</v>
      </c>
      <c r="O16" s="116">
        <v>0</v>
      </c>
      <c r="P16" s="116">
        <v>0</v>
      </c>
      <c r="Q16" s="116">
        <v>0</v>
      </c>
      <c r="R16" s="116"/>
      <c r="S16" s="116">
        <v>0</v>
      </c>
      <c r="T16" s="116">
        <v>0</v>
      </c>
      <c r="U16" s="116">
        <v>0</v>
      </c>
      <c r="V16" s="116"/>
      <c r="W16" s="116">
        <v>0</v>
      </c>
      <c r="X16" s="116">
        <v>0</v>
      </c>
      <c r="Y16" s="116"/>
      <c r="Z16" s="116">
        <v>0</v>
      </c>
      <c r="AA16" s="116">
        <v>0</v>
      </c>
      <c r="AB16" s="116">
        <v>0</v>
      </c>
      <c r="AC16" s="116">
        <v>0</v>
      </c>
      <c r="AD16" s="116">
        <v>0</v>
      </c>
      <c r="AE16" s="116">
        <v>0</v>
      </c>
      <c r="AF16" s="116"/>
      <c r="AG16" s="116">
        <v>0</v>
      </c>
      <c r="AH16" s="116"/>
      <c r="AI16" s="116">
        <v>0</v>
      </c>
      <c r="AJ16" s="116">
        <v>0</v>
      </c>
      <c r="AK16" s="116"/>
      <c r="AL16" s="116">
        <v>0</v>
      </c>
      <c r="AM16" s="116">
        <v>0</v>
      </c>
      <c r="AN16" s="116">
        <v>0</v>
      </c>
      <c r="AO16" s="116"/>
      <c r="AP16" s="116">
        <v>0</v>
      </c>
      <c r="AQ16" s="116">
        <v>0</v>
      </c>
      <c r="AR16" s="116"/>
      <c r="AS16" s="116">
        <v>0</v>
      </c>
      <c r="AT16" s="116">
        <v>0</v>
      </c>
      <c r="AU16" s="116">
        <v>0</v>
      </c>
      <c r="AV16" s="116"/>
      <c r="AW16" s="116">
        <v>0</v>
      </c>
      <c r="AX16" s="116">
        <v>0</v>
      </c>
      <c r="AY16" s="116"/>
      <c r="AZ16" s="106">
        <v>0</v>
      </c>
    </row>
    <row r="17" spans="1:51" x14ac:dyDescent="0.2">
      <c r="A17" s="116"/>
      <c r="B17" s="125">
        <v>3</v>
      </c>
      <c r="C17" s="115" t="s">
        <v>292</v>
      </c>
      <c r="D17" s="112"/>
      <c r="E17" s="116"/>
      <c r="F17" s="116"/>
      <c r="G17" s="116"/>
      <c r="H17" s="116"/>
      <c r="I17" s="116"/>
      <c r="J17" s="116"/>
      <c r="K17" s="116"/>
      <c r="L17" s="116">
        <v>0</v>
      </c>
      <c r="M17" s="116"/>
      <c r="N17" s="116">
        <v>0</v>
      </c>
      <c r="O17" s="116"/>
      <c r="P17" s="116"/>
      <c r="Q17" s="116"/>
      <c r="R17" s="116">
        <v>0</v>
      </c>
      <c r="S17" s="116">
        <v>0</v>
      </c>
      <c r="T17" s="116"/>
      <c r="U17" s="116"/>
      <c r="V17" s="116"/>
      <c r="W17" s="116"/>
      <c r="X17" s="116"/>
      <c r="Y17" s="116"/>
      <c r="Z17" s="116"/>
      <c r="AA17" s="116">
        <v>0</v>
      </c>
      <c r="AB17" s="116"/>
      <c r="AC17" s="116"/>
      <c r="AD17" s="116"/>
      <c r="AE17" s="116"/>
      <c r="AF17" s="116">
        <v>0</v>
      </c>
      <c r="AG17" s="116">
        <v>0</v>
      </c>
      <c r="AH17" s="116"/>
      <c r="AI17" s="116"/>
      <c r="AJ17" s="116">
        <v>0</v>
      </c>
      <c r="AK17" s="116">
        <v>0</v>
      </c>
      <c r="AL17" s="116"/>
      <c r="AM17" s="116"/>
      <c r="AN17" s="116">
        <v>0</v>
      </c>
      <c r="AO17" s="116"/>
      <c r="AP17" s="116">
        <v>0</v>
      </c>
      <c r="AQ17" s="116"/>
      <c r="AR17" s="116"/>
      <c r="AS17" s="116">
        <v>0</v>
      </c>
      <c r="AT17" s="116"/>
      <c r="AU17" s="116"/>
      <c r="AV17" s="116"/>
      <c r="AW17" s="116"/>
      <c r="AX17" s="116">
        <v>0</v>
      </c>
      <c r="AY17" s="116"/>
    </row>
    <row r="18" spans="1:51" x14ac:dyDescent="0.2">
      <c r="A18" s="131"/>
      <c r="B18" s="122">
        <v>4</v>
      </c>
      <c r="C18" s="131" t="s">
        <v>292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1" x14ac:dyDescent="0.2">
      <c r="A20" s="108" t="s">
        <v>293</v>
      </c>
    </row>
    <row r="21" spans="1:51" x14ac:dyDescent="0.2">
      <c r="A21" s="132" t="s">
        <v>125</v>
      </c>
      <c r="B21" s="129">
        <v>1</v>
      </c>
      <c r="C21" s="130" t="s">
        <v>292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1" x14ac:dyDescent="0.2">
      <c r="A22" s="115"/>
      <c r="B22" s="126">
        <v>2</v>
      </c>
      <c r="C22" s="116" t="s">
        <v>292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1" x14ac:dyDescent="0.2">
      <c r="A23" s="115"/>
      <c r="B23" s="133">
        <v>3</v>
      </c>
      <c r="C23" s="116" t="s">
        <v>292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1" x14ac:dyDescent="0.2">
      <c r="A24" s="134"/>
      <c r="B24" s="135">
        <v>4</v>
      </c>
      <c r="C24" s="134" t="s">
        <v>292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1" x14ac:dyDescent="0.2">
      <c r="A26" s="115"/>
      <c r="B26" s="125">
        <v>2</v>
      </c>
      <c r="C26" s="115" t="s">
        <v>292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1" x14ac:dyDescent="0.2">
      <c r="A27" s="115"/>
      <c r="B27" s="126">
        <v>3</v>
      </c>
      <c r="C27" s="115" t="s">
        <v>292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1" x14ac:dyDescent="0.2">
      <c r="A28" s="115"/>
      <c r="B28" s="126">
        <v>4</v>
      </c>
      <c r="C28" s="115" t="s">
        <v>292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1" x14ac:dyDescent="0.2">
      <c r="A29" s="115"/>
      <c r="B29" s="133">
        <v>5</v>
      </c>
      <c r="C29" s="115" t="s">
        <v>292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1" x14ac:dyDescent="0.2">
      <c r="A30" s="115"/>
      <c r="B30" s="133">
        <v>6</v>
      </c>
      <c r="C30" s="115" t="s">
        <v>292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1" x14ac:dyDescent="0.2">
      <c r="A31" s="115"/>
      <c r="B31" s="136">
        <v>7</v>
      </c>
      <c r="C31" s="115" t="s">
        <v>292</v>
      </c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1" x14ac:dyDescent="0.2">
      <c r="A32" s="134"/>
      <c r="B32" s="135">
        <v>8</v>
      </c>
      <c r="C32" s="134" t="s">
        <v>292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292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292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292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292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292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292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292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292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292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292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292</v>
      </c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292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292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292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292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292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292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292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292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292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292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292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292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292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292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292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292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292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292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292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292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292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292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292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292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292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292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292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292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292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292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292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292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292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292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292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292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292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292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292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292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292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292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292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292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292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292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292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292</v>
      </c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292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0</v>
      </c>
    </row>
    <row r="94" spans="1:52" x14ac:dyDescent="0.2">
      <c r="A94" s="108" t="s">
        <v>294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/>
      <c r="D95" s="116">
        <v>1400</v>
      </c>
      <c r="E95" s="116">
        <v>1400</v>
      </c>
      <c r="F95" s="116">
        <v>1400</v>
      </c>
      <c r="G95" s="116">
        <v>1400</v>
      </c>
      <c r="H95" s="116">
        <v>1400</v>
      </c>
      <c r="I95" s="116">
        <v>1400</v>
      </c>
      <c r="J95" s="116">
        <v>1400</v>
      </c>
      <c r="K95" s="116">
        <v>1400</v>
      </c>
      <c r="L95" s="116">
        <v>1400</v>
      </c>
      <c r="M95" s="116">
        <v>1400</v>
      </c>
      <c r="N95" s="116">
        <v>1400</v>
      </c>
      <c r="O95" s="116">
        <v>1400</v>
      </c>
      <c r="P95" s="116">
        <v>1400</v>
      </c>
      <c r="Q95" s="116">
        <v>1400</v>
      </c>
      <c r="R95" s="116">
        <v>1400</v>
      </c>
      <c r="S95" s="116">
        <v>1400</v>
      </c>
      <c r="T95" s="116">
        <v>1400</v>
      </c>
      <c r="U95" s="116">
        <v>1400</v>
      </c>
      <c r="V95" s="116">
        <v>1400</v>
      </c>
      <c r="W95" s="116">
        <v>1400</v>
      </c>
      <c r="X95" s="116">
        <v>1400</v>
      </c>
      <c r="Y95" s="116">
        <v>1400</v>
      </c>
      <c r="Z95" s="116">
        <v>1400</v>
      </c>
      <c r="AA95" s="116">
        <v>1400</v>
      </c>
      <c r="AB95" s="116">
        <v>1400</v>
      </c>
      <c r="AC95" s="116">
        <v>1400</v>
      </c>
      <c r="AD95" s="116">
        <v>1400</v>
      </c>
      <c r="AE95" s="116">
        <v>1400</v>
      </c>
      <c r="AF95" s="116">
        <v>1400</v>
      </c>
      <c r="AG95" s="116">
        <v>1400</v>
      </c>
      <c r="AH95" s="116">
        <v>1400</v>
      </c>
      <c r="AI95" s="116">
        <v>1400</v>
      </c>
      <c r="AJ95" s="116">
        <v>1400</v>
      </c>
      <c r="AK95" s="116">
        <v>1400</v>
      </c>
      <c r="AL95" s="116">
        <v>1400</v>
      </c>
      <c r="AM95" s="116">
        <v>1400</v>
      </c>
      <c r="AN95" s="116">
        <v>1400</v>
      </c>
      <c r="AO95" s="116">
        <v>1400</v>
      </c>
      <c r="AP95" s="116">
        <v>1400</v>
      </c>
      <c r="AQ95" s="116">
        <v>1400</v>
      </c>
      <c r="AR95" s="116">
        <v>1400</v>
      </c>
      <c r="AS95" s="116">
        <v>1400</v>
      </c>
      <c r="AT95" s="116">
        <v>1400</v>
      </c>
      <c r="AU95" s="116">
        <v>1400</v>
      </c>
      <c r="AV95" s="116">
        <v>1400</v>
      </c>
      <c r="AW95" s="116">
        <v>1400</v>
      </c>
      <c r="AX95" s="116">
        <v>1400</v>
      </c>
      <c r="AY95" s="116">
        <v>1400</v>
      </c>
    </row>
    <row r="96" spans="1:52" x14ac:dyDescent="0.2">
      <c r="A96" s="115"/>
      <c r="B96" s="126">
        <v>2</v>
      </c>
      <c r="C96" s="116"/>
      <c r="D96" s="116">
        <v>0</v>
      </c>
      <c r="E96" s="116">
        <v>47</v>
      </c>
      <c r="F96" s="116">
        <v>111</v>
      </c>
      <c r="G96" s="116">
        <v>251</v>
      </c>
      <c r="H96" s="116">
        <v>34</v>
      </c>
      <c r="I96" s="116">
        <v>0</v>
      </c>
      <c r="J96" s="116">
        <v>0</v>
      </c>
      <c r="K96" s="116">
        <v>19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16</v>
      </c>
      <c r="U96" s="116">
        <v>0</v>
      </c>
      <c r="V96" s="116">
        <v>0</v>
      </c>
      <c r="W96" s="116">
        <v>121</v>
      </c>
      <c r="X96" s="116">
        <v>161</v>
      </c>
      <c r="Y96" s="116">
        <v>64</v>
      </c>
      <c r="Z96" s="116">
        <v>161</v>
      </c>
      <c r="AA96" s="116">
        <v>149</v>
      </c>
      <c r="AB96" s="116">
        <v>0</v>
      </c>
      <c r="AC96" s="116">
        <v>0</v>
      </c>
      <c r="AD96" s="116">
        <v>23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7</v>
      </c>
      <c r="AP96" s="116">
        <v>0</v>
      </c>
      <c r="AQ96" s="116">
        <v>427</v>
      </c>
      <c r="AR96" s="116">
        <v>702</v>
      </c>
      <c r="AS96" s="116">
        <v>1104</v>
      </c>
      <c r="AT96" s="116">
        <v>1229</v>
      </c>
      <c r="AU96" s="116">
        <v>1400</v>
      </c>
      <c r="AV96" s="116">
        <v>1400</v>
      </c>
      <c r="AW96" s="116">
        <v>922</v>
      </c>
      <c r="AX96" s="116">
        <v>815</v>
      </c>
      <c r="AY96" s="116">
        <v>470</v>
      </c>
    </row>
    <row r="97" spans="1:52" x14ac:dyDescent="0.2">
      <c r="A97" s="115"/>
      <c r="B97" s="133">
        <v>3</v>
      </c>
      <c r="C97" s="116"/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34</v>
      </c>
      <c r="AV97" s="116">
        <v>75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/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295</v>
      </c>
      <c r="C99" s="131"/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/>
      <c r="D100" s="112">
        <v>0</v>
      </c>
      <c r="E100" s="112">
        <v>0</v>
      </c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0</v>
      </c>
      <c r="L100" s="112">
        <v>0</v>
      </c>
      <c r="M100" s="112">
        <v>0</v>
      </c>
      <c r="N100" s="112">
        <v>0</v>
      </c>
      <c r="O100" s="112">
        <v>0</v>
      </c>
      <c r="P100" s="112">
        <v>0</v>
      </c>
      <c r="Q100" s="112">
        <v>0</v>
      </c>
      <c r="R100" s="112">
        <v>0</v>
      </c>
      <c r="S100" s="112">
        <v>0</v>
      </c>
      <c r="T100" s="112">
        <v>0</v>
      </c>
      <c r="U100" s="112">
        <v>0</v>
      </c>
      <c r="V100" s="112">
        <v>0</v>
      </c>
      <c r="W100" s="112">
        <v>0</v>
      </c>
      <c r="X100" s="112">
        <v>0</v>
      </c>
      <c r="Y100" s="112">
        <v>0</v>
      </c>
      <c r="Z100" s="112">
        <v>0</v>
      </c>
      <c r="AA100" s="112">
        <v>0</v>
      </c>
      <c r="AB100" s="112">
        <v>0</v>
      </c>
      <c r="AC100" s="112">
        <v>0</v>
      </c>
      <c r="AD100" s="112">
        <v>0</v>
      </c>
      <c r="AE100" s="112">
        <v>0</v>
      </c>
      <c r="AF100" s="112">
        <v>0</v>
      </c>
      <c r="AG100" s="112">
        <v>0</v>
      </c>
      <c r="AH100" s="112">
        <v>0</v>
      </c>
      <c r="AI100" s="112">
        <v>0</v>
      </c>
      <c r="AJ100" s="112">
        <v>0</v>
      </c>
      <c r="AK100" s="112">
        <v>0</v>
      </c>
      <c r="AL100" s="112">
        <v>0</v>
      </c>
      <c r="AM100" s="112">
        <v>0</v>
      </c>
      <c r="AN100" s="112">
        <v>0</v>
      </c>
      <c r="AO100" s="112">
        <v>0</v>
      </c>
      <c r="AP100" s="112">
        <v>0</v>
      </c>
      <c r="AQ100" s="112">
        <v>0</v>
      </c>
      <c r="AR100" s="112">
        <v>0</v>
      </c>
      <c r="AS100" s="112">
        <v>0</v>
      </c>
      <c r="AT100" s="112">
        <v>0</v>
      </c>
      <c r="AU100" s="112">
        <v>0</v>
      </c>
      <c r="AV100" s="112">
        <v>0</v>
      </c>
      <c r="AW100" s="112">
        <v>0</v>
      </c>
      <c r="AX100" s="112">
        <v>0</v>
      </c>
      <c r="AY100" s="112">
        <v>0</v>
      </c>
    </row>
    <row r="101" spans="1:52" x14ac:dyDescent="0.2">
      <c r="A101" s="115"/>
      <c r="B101" s="125">
        <v>2</v>
      </c>
      <c r="C101" s="112"/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/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/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/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/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/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/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295</v>
      </c>
      <c r="C108" s="120"/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/>
      <c r="D109" s="112">
        <v>0</v>
      </c>
      <c r="E109" s="112">
        <v>0</v>
      </c>
      <c r="F109" s="112">
        <v>0</v>
      </c>
      <c r="G109" s="112">
        <v>0</v>
      </c>
      <c r="H109" s="112">
        <v>0</v>
      </c>
      <c r="I109" s="112">
        <v>0</v>
      </c>
      <c r="J109" s="112">
        <v>0</v>
      </c>
      <c r="K109" s="112">
        <v>0</v>
      </c>
      <c r="L109" s="112">
        <v>0</v>
      </c>
      <c r="M109" s="112">
        <v>0</v>
      </c>
      <c r="N109" s="112">
        <v>0</v>
      </c>
      <c r="O109" s="112">
        <v>0</v>
      </c>
      <c r="P109" s="112">
        <v>0</v>
      </c>
      <c r="Q109" s="112">
        <v>0</v>
      </c>
      <c r="R109" s="112">
        <v>0</v>
      </c>
      <c r="S109" s="112">
        <v>0</v>
      </c>
      <c r="T109" s="112">
        <v>0</v>
      </c>
      <c r="U109" s="112">
        <v>0</v>
      </c>
      <c r="V109" s="112">
        <v>0</v>
      </c>
      <c r="W109" s="112">
        <v>0</v>
      </c>
      <c r="X109" s="112">
        <v>0</v>
      </c>
      <c r="Y109" s="112">
        <v>0</v>
      </c>
      <c r="Z109" s="112">
        <v>0</v>
      </c>
      <c r="AA109" s="112">
        <v>0</v>
      </c>
      <c r="AB109" s="112">
        <v>0</v>
      </c>
      <c r="AC109" s="112">
        <v>0</v>
      </c>
      <c r="AD109" s="112">
        <v>0</v>
      </c>
      <c r="AE109" s="112">
        <v>0</v>
      </c>
      <c r="AF109" s="112">
        <v>0</v>
      </c>
      <c r="AG109" s="112">
        <v>0</v>
      </c>
      <c r="AH109" s="112">
        <v>0</v>
      </c>
      <c r="AI109" s="112">
        <v>0</v>
      </c>
      <c r="AJ109" s="112">
        <v>0</v>
      </c>
      <c r="AK109" s="112">
        <v>0</v>
      </c>
      <c r="AL109" s="112">
        <v>0</v>
      </c>
      <c r="AM109" s="112">
        <v>0</v>
      </c>
      <c r="AN109" s="112">
        <v>0</v>
      </c>
      <c r="AO109" s="112">
        <v>0</v>
      </c>
      <c r="AP109" s="112">
        <v>0</v>
      </c>
      <c r="AQ109" s="112">
        <v>0</v>
      </c>
      <c r="AR109" s="112">
        <v>0</v>
      </c>
      <c r="AS109" s="112">
        <v>0</v>
      </c>
      <c r="AT109" s="112">
        <v>0</v>
      </c>
      <c r="AU109" s="112">
        <v>0</v>
      </c>
      <c r="AV109" s="112">
        <v>0</v>
      </c>
      <c r="AW109" s="112">
        <v>0</v>
      </c>
      <c r="AX109" s="112">
        <v>0</v>
      </c>
      <c r="AY109" s="112">
        <v>0</v>
      </c>
    </row>
    <row r="110" spans="1:52" x14ac:dyDescent="0.2">
      <c r="A110" s="115"/>
      <c r="B110" s="125">
        <v>2</v>
      </c>
      <c r="C110" s="112"/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/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/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/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/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/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/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/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/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/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/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295</v>
      </c>
      <c r="C121" s="120"/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/>
      <c r="D122" s="112">
        <v>0</v>
      </c>
      <c r="E122" s="112">
        <v>0</v>
      </c>
      <c r="F122" s="112">
        <v>0</v>
      </c>
      <c r="G122" s="112">
        <v>0</v>
      </c>
      <c r="H122" s="112">
        <v>0</v>
      </c>
      <c r="I122" s="112">
        <v>0</v>
      </c>
      <c r="J122" s="112">
        <v>0</v>
      </c>
      <c r="K122" s="112">
        <v>0</v>
      </c>
      <c r="L122" s="112">
        <v>0</v>
      </c>
      <c r="M122" s="112">
        <v>0</v>
      </c>
      <c r="N122" s="112">
        <v>0</v>
      </c>
      <c r="O122" s="112">
        <v>0</v>
      </c>
      <c r="P122" s="112">
        <v>0</v>
      </c>
      <c r="Q122" s="112">
        <v>0</v>
      </c>
      <c r="R122" s="112">
        <v>0</v>
      </c>
      <c r="S122" s="112">
        <v>0</v>
      </c>
      <c r="T122" s="112">
        <v>0</v>
      </c>
      <c r="U122" s="112">
        <v>0</v>
      </c>
      <c r="V122" s="112">
        <v>0</v>
      </c>
      <c r="W122" s="112">
        <v>0</v>
      </c>
      <c r="X122" s="112">
        <v>0</v>
      </c>
      <c r="Y122" s="112">
        <v>0</v>
      </c>
      <c r="Z122" s="112">
        <v>0</v>
      </c>
      <c r="AA122" s="112">
        <v>0</v>
      </c>
      <c r="AB122" s="112">
        <v>0</v>
      </c>
      <c r="AC122" s="112">
        <v>0</v>
      </c>
      <c r="AD122" s="112">
        <v>0</v>
      </c>
      <c r="AE122" s="112">
        <v>0</v>
      </c>
      <c r="AF122" s="112">
        <v>0</v>
      </c>
      <c r="AG122" s="112">
        <v>0</v>
      </c>
      <c r="AH122" s="112">
        <v>0</v>
      </c>
      <c r="AI122" s="112">
        <v>0</v>
      </c>
      <c r="AJ122" s="112">
        <v>0</v>
      </c>
      <c r="AK122" s="112">
        <v>0</v>
      </c>
      <c r="AL122" s="112">
        <v>0</v>
      </c>
      <c r="AM122" s="112">
        <v>0</v>
      </c>
      <c r="AN122" s="112">
        <v>0</v>
      </c>
      <c r="AO122" s="112">
        <v>0</v>
      </c>
      <c r="AP122" s="112">
        <v>0</v>
      </c>
      <c r="AQ122" s="112">
        <v>0</v>
      </c>
      <c r="AR122" s="112">
        <v>0</v>
      </c>
      <c r="AS122" s="112">
        <v>0</v>
      </c>
      <c r="AT122" s="112">
        <v>0</v>
      </c>
      <c r="AU122" s="112">
        <v>0</v>
      </c>
      <c r="AV122" s="112">
        <v>0</v>
      </c>
      <c r="AW122" s="112">
        <v>0</v>
      </c>
      <c r="AX122" s="112">
        <v>0</v>
      </c>
      <c r="AY122" s="112">
        <v>0</v>
      </c>
    </row>
    <row r="123" spans="1:52" x14ac:dyDescent="0.2">
      <c r="A123" s="115"/>
      <c r="B123" s="125">
        <v>2</v>
      </c>
      <c r="C123" s="112"/>
      <c r="D123" s="112">
        <v>0</v>
      </c>
      <c r="E123" s="112">
        <v>0</v>
      </c>
      <c r="F123" s="112">
        <v>0</v>
      </c>
      <c r="G123" s="112">
        <v>0</v>
      </c>
      <c r="H123" s="112">
        <v>0</v>
      </c>
      <c r="I123" s="112">
        <v>0</v>
      </c>
      <c r="J123" s="112">
        <v>0</v>
      </c>
      <c r="K123" s="112">
        <v>0</v>
      </c>
      <c r="L123" s="112">
        <v>0</v>
      </c>
      <c r="M123" s="112">
        <v>0</v>
      </c>
      <c r="N123" s="112">
        <v>0</v>
      </c>
      <c r="O123" s="112">
        <v>0</v>
      </c>
      <c r="P123" s="112">
        <v>0</v>
      </c>
      <c r="Q123" s="112">
        <v>0</v>
      </c>
      <c r="R123" s="112">
        <v>0</v>
      </c>
      <c r="S123" s="112">
        <v>0</v>
      </c>
      <c r="T123" s="112">
        <v>0</v>
      </c>
      <c r="U123" s="112">
        <v>0</v>
      </c>
      <c r="V123" s="112">
        <v>0</v>
      </c>
      <c r="W123" s="112">
        <v>0</v>
      </c>
      <c r="X123" s="112">
        <v>0</v>
      </c>
      <c r="Y123" s="112">
        <v>0</v>
      </c>
      <c r="Z123" s="112">
        <v>0</v>
      </c>
      <c r="AA123" s="112">
        <v>0</v>
      </c>
      <c r="AB123" s="112">
        <v>0</v>
      </c>
      <c r="AC123" s="112">
        <v>0</v>
      </c>
      <c r="AD123" s="112">
        <v>0</v>
      </c>
      <c r="AE123" s="112">
        <v>0</v>
      </c>
      <c r="AF123" s="112">
        <v>0</v>
      </c>
      <c r="AG123" s="112">
        <v>0</v>
      </c>
      <c r="AH123" s="112">
        <v>0</v>
      </c>
      <c r="AI123" s="112">
        <v>0</v>
      </c>
      <c r="AJ123" s="112">
        <v>0</v>
      </c>
      <c r="AK123" s="112">
        <v>0</v>
      </c>
      <c r="AL123" s="112">
        <v>0</v>
      </c>
      <c r="AM123" s="112">
        <v>0</v>
      </c>
      <c r="AN123" s="112">
        <v>0</v>
      </c>
      <c r="AO123" s="112">
        <v>0</v>
      </c>
      <c r="AP123" s="112">
        <v>0</v>
      </c>
      <c r="AQ123" s="112">
        <v>0</v>
      </c>
      <c r="AR123" s="112">
        <v>0</v>
      </c>
      <c r="AS123" s="112">
        <v>0</v>
      </c>
      <c r="AT123" s="112">
        <v>0</v>
      </c>
      <c r="AU123" s="112">
        <v>0</v>
      </c>
      <c r="AV123" s="112">
        <v>0</v>
      </c>
      <c r="AW123" s="112">
        <v>0</v>
      </c>
      <c r="AX123" s="112">
        <v>0</v>
      </c>
      <c r="AY123" s="112">
        <v>0</v>
      </c>
    </row>
    <row r="124" spans="1:52" x14ac:dyDescent="0.2">
      <c r="A124" s="115"/>
      <c r="B124" s="125">
        <v>3</v>
      </c>
      <c r="C124" s="112"/>
      <c r="D124" s="112">
        <v>0</v>
      </c>
      <c r="E124" s="112">
        <v>0</v>
      </c>
      <c r="F124" s="112">
        <v>0</v>
      </c>
      <c r="G124" s="112">
        <v>0</v>
      </c>
      <c r="H124" s="112">
        <v>0</v>
      </c>
      <c r="I124" s="112">
        <v>0</v>
      </c>
      <c r="J124" s="112">
        <v>0</v>
      </c>
      <c r="K124" s="112">
        <v>0</v>
      </c>
      <c r="L124" s="112">
        <v>0</v>
      </c>
      <c r="M124" s="112">
        <v>0</v>
      </c>
      <c r="N124" s="112">
        <v>0</v>
      </c>
      <c r="O124" s="112">
        <v>0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0</v>
      </c>
      <c r="V124" s="112">
        <v>0</v>
      </c>
      <c r="W124" s="112">
        <v>0</v>
      </c>
      <c r="X124" s="112">
        <v>0</v>
      </c>
      <c r="Y124" s="112">
        <v>0</v>
      </c>
      <c r="Z124" s="112">
        <v>0</v>
      </c>
      <c r="AA124" s="112">
        <v>0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0</v>
      </c>
      <c r="AH124" s="112">
        <v>0</v>
      </c>
      <c r="AI124" s="112">
        <v>0</v>
      </c>
      <c r="AJ124" s="112">
        <v>0</v>
      </c>
      <c r="AK124" s="112">
        <v>0</v>
      </c>
      <c r="AL124" s="112">
        <v>0</v>
      </c>
      <c r="AM124" s="112">
        <v>0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0</v>
      </c>
      <c r="AT124" s="112">
        <v>0</v>
      </c>
      <c r="AU124" s="112">
        <v>0</v>
      </c>
      <c r="AV124" s="112">
        <v>0</v>
      </c>
      <c r="AW124" s="112">
        <v>0</v>
      </c>
      <c r="AX124" s="112">
        <v>0</v>
      </c>
      <c r="AY124" s="112">
        <v>0</v>
      </c>
    </row>
    <row r="125" spans="1:52" x14ac:dyDescent="0.2">
      <c r="A125" s="115"/>
      <c r="B125" s="125">
        <v>4</v>
      </c>
      <c r="C125" s="112"/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/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/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/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/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/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/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/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/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/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/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/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/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/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/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/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/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/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/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/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/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/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/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/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/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/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/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/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/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/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/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/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/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/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/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/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/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/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/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/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/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/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/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/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/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295</v>
      </c>
      <c r="C170" s="120"/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296</v>
      </c>
      <c r="C172" s="140"/>
      <c r="D172" s="140">
        <v>0</v>
      </c>
      <c r="E172" s="140">
        <v>0</v>
      </c>
      <c r="F172" s="140">
        <v>0</v>
      </c>
      <c r="G172" s="140">
        <v>0</v>
      </c>
      <c r="H172" s="140">
        <v>0</v>
      </c>
      <c r="I172" s="140">
        <v>0</v>
      </c>
      <c r="J172" s="140">
        <v>0</v>
      </c>
      <c r="K172" s="140">
        <v>0</v>
      </c>
      <c r="L172" s="140">
        <v>0</v>
      </c>
      <c r="M172" s="140">
        <v>0</v>
      </c>
      <c r="N172" s="140">
        <v>0</v>
      </c>
      <c r="O172" s="140">
        <v>0</v>
      </c>
      <c r="P172" s="140">
        <v>0</v>
      </c>
      <c r="Q172" s="140">
        <v>0</v>
      </c>
      <c r="R172" s="140">
        <v>0</v>
      </c>
      <c r="S172" s="140">
        <v>0</v>
      </c>
      <c r="T172" s="140">
        <v>0</v>
      </c>
      <c r="U172" s="140">
        <v>0</v>
      </c>
      <c r="V172" s="140">
        <v>0</v>
      </c>
      <c r="W172" s="140">
        <v>0</v>
      </c>
      <c r="X172" s="140">
        <v>0</v>
      </c>
      <c r="Y172" s="140">
        <v>0</v>
      </c>
      <c r="Z172" s="140">
        <v>0</v>
      </c>
      <c r="AA172" s="140">
        <v>0</v>
      </c>
      <c r="AB172" s="140">
        <v>0</v>
      </c>
      <c r="AC172" s="140">
        <v>0</v>
      </c>
      <c r="AD172" s="140">
        <v>0</v>
      </c>
      <c r="AE172" s="140">
        <v>0</v>
      </c>
      <c r="AF172" s="140">
        <v>0</v>
      </c>
      <c r="AG172" s="140">
        <v>0</v>
      </c>
      <c r="AH172" s="140">
        <v>0</v>
      </c>
      <c r="AI172" s="140">
        <v>0</v>
      </c>
      <c r="AJ172" s="140">
        <v>0</v>
      </c>
      <c r="AK172" s="140">
        <v>0</v>
      </c>
      <c r="AL172" s="140">
        <v>0</v>
      </c>
      <c r="AM172" s="140">
        <v>0</v>
      </c>
      <c r="AN172" s="140">
        <v>0</v>
      </c>
      <c r="AO172" s="140">
        <v>0</v>
      </c>
      <c r="AP172" s="140">
        <v>0</v>
      </c>
      <c r="AQ172" s="140">
        <v>0</v>
      </c>
      <c r="AR172" s="140">
        <v>0</v>
      </c>
      <c r="AS172" s="140">
        <v>0</v>
      </c>
      <c r="AT172" s="140">
        <v>0</v>
      </c>
      <c r="AU172" s="140">
        <v>0</v>
      </c>
      <c r="AV172" s="140">
        <v>0</v>
      </c>
      <c r="AW172" s="140">
        <v>0</v>
      </c>
      <c r="AX172" s="140">
        <v>0</v>
      </c>
      <c r="AY172" s="140">
        <v>0</v>
      </c>
    </row>
    <row r="174" spans="1:52" x14ac:dyDescent="0.2">
      <c r="A174" s="108" t="s">
        <v>271</v>
      </c>
    </row>
    <row r="175" spans="1:52" x14ac:dyDescent="0.2">
      <c r="A175" s="141" t="s">
        <v>125</v>
      </c>
      <c r="B175" s="141" t="s">
        <v>297</v>
      </c>
      <c r="C175" s="130" t="s">
        <v>292</v>
      </c>
      <c r="D175" s="130">
        <f t="shared" ref="D175:AY175" si="1">SUM(D95:D98)</f>
        <v>1400</v>
      </c>
      <c r="E175" s="130">
        <f t="shared" si="1"/>
        <v>1447</v>
      </c>
      <c r="F175" s="130">
        <f t="shared" si="1"/>
        <v>1511</v>
      </c>
      <c r="G175" s="130">
        <f t="shared" si="1"/>
        <v>1651</v>
      </c>
      <c r="H175" s="130">
        <f t="shared" si="1"/>
        <v>1434</v>
      </c>
      <c r="I175" s="130">
        <f t="shared" si="1"/>
        <v>1400</v>
      </c>
      <c r="J175" s="130">
        <f t="shared" si="1"/>
        <v>1400</v>
      </c>
      <c r="K175" s="130">
        <f t="shared" si="1"/>
        <v>1419</v>
      </c>
      <c r="L175" s="130">
        <f t="shared" si="1"/>
        <v>1400</v>
      </c>
      <c r="M175" s="130">
        <f t="shared" si="1"/>
        <v>1400</v>
      </c>
      <c r="N175" s="130">
        <f t="shared" si="1"/>
        <v>1400</v>
      </c>
      <c r="O175" s="130">
        <f t="shared" si="1"/>
        <v>1400</v>
      </c>
      <c r="P175" s="130">
        <f t="shared" si="1"/>
        <v>1400</v>
      </c>
      <c r="Q175" s="130">
        <f t="shared" si="1"/>
        <v>1400</v>
      </c>
      <c r="R175" s="130">
        <f t="shared" si="1"/>
        <v>1400</v>
      </c>
      <c r="S175" s="130">
        <f t="shared" si="1"/>
        <v>1400</v>
      </c>
      <c r="T175" s="130">
        <f t="shared" si="1"/>
        <v>1416</v>
      </c>
      <c r="U175" s="130">
        <f t="shared" si="1"/>
        <v>1400</v>
      </c>
      <c r="V175" s="130">
        <f t="shared" si="1"/>
        <v>1400</v>
      </c>
      <c r="W175" s="130">
        <f t="shared" si="1"/>
        <v>1521</v>
      </c>
      <c r="X175" s="130">
        <f t="shared" si="1"/>
        <v>1561</v>
      </c>
      <c r="Y175" s="130">
        <f t="shared" si="1"/>
        <v>1464</v>
      </c>
      <c r="Z175" s="130">
        <f t="shared" si="1"/>
        <v>1561</v>
      </c>
      <c r="AA175" s="130">
        <f t="shared" si="1"/>
        <v>1549</v>
      </c>
      <c r="AB175" s="130">
        <f t="shared" si="1"/>
        <v>1400</v>
      </c>
      <c r="AC175" s="130">
        <f t="shared" si="1"/>
        <v>1400</v>
      </c>
      <c r="AD175" s="130">
        <f t="shared" si="1"/>
        <v>1423</v>
      </c>
      <c r="AE175" s="130">
        <f t="shared" si="1"/>
        <v>1400</v>
      </c>
      <c r="AF175" s="130">
        <f t="shared" si="1"/>
        <v>1400</v>
      </c>
      <c r="AG175" s="130">
        <f t="shared" si="1"/>
        <v>1400</v>
      </c>
      <c r="AH175" s="130">
        <f t="shared" si="1"/>
        <v>1400</v>
      </c>
      <c r="AI175" s="130">
        <f t="shared" si="1"/>
        <v>1400</v>
      </c>
      <c r="AJ175" s="130">
        <f t="shared" si="1"/>
        <v>1400</v>
      </c>
      <c r="AK175" s="130">
        <f t="shared" si="1"/>
        <v>1400</v>
      </c>
      <c r="AL175" s="130">
        <f t="shared" si="1"/>
        <v>1400</v>
      </c>
      <c r="AM175" s="130">
        <f t="shared" si="1"/>
        <v>1400</v>
      </c>
      <c r="AN175" s="130">
        <f t="shared" si="1"/>
        <v>1400</v>
      </c>
      <c r="AO175" s="130">
        <f t="shared" si="1"/>
        <v>1407</v>
      </c>
      <c r="AP175" s="130">
        <f t="shared" si="1"/>
        <v>1400</v>
      </c>
      <c r="AQ175" s="130">
        <f t="shared" si="1"/>
        <v>1827</v>
      </c>
      <c r="AR175" s="130">
        <f t="shared" si="1"/>
        <v>2102</v>
      </c>
      <c r="AS175" s="130">
        <f t="shared" si="1"/>
        <v>2504</v>
      </c>
      <c r="AT175" s="130">
        <f t="shared" si="1"/>
        <v>2629</v>
      </c>
      <c r="AU175" s="130">
        <f t="shared" si="1"/>
        <v>2834</v>
      </c>
      <c r="AV175" s="130">
        <f t="shared" si="1"/>
        <v>2875</v>
      </c>
      <c r="AW175" s="130">
        <f t="shared" si="1"/>
        <v>2322</v>
      </c>
      <c r="AX175" s="130">
        <f t="shared" si="1"/>
        <v>2215</v>
      </c>
      <c r="AY175" s="130">
        <f t="shared" si="1"/>
        <v>1870</v>
      </c>
    </row>
    <row r="176" spans="1:52" x14ac:dyDescent="0.2">
      <c r="A176" s="131"/>
      <c r="B176" s="142" t="s">
        <v>298</v>
      </c>
      <c r="C176" s="131" t="s">
        <v>292</v>
      </c>
      <c r="D176" s="131">
        <v>1353</v>
      </c>
      <c r="E176" s="131">
        <v>1336</v>
      </c>
      <c r="F176" s="131">
        <v>1260</v>
      </c>
      <c r="G176" s="131">
        <v>1617</v>
      </c>
      <c r="H176" s="131">
        <v>1434</v>
      </c>
      <c r="I176" s="131">
        <v>1400</v>
      </c>
      <c r="J176" s="131">
        <v>1381</v>
      </c>
      <c r="K176" s="131">
        <v>1419</v>
      </c>
      <c r="L176" s="131">
        <v>1400</v>
      </c>
      <c r="M176" s="131">
        <v>1400</v>
      </c>
      <c r="N176" s="131">
        <v>1400</v>
      </c>
      <c r="O176" s="131">
        <v>1400</v>
      </c>
      <c r="P176" s="131">
        <v>1400</v>
      </c>
      <c r="Q176" s="131">
        <v>1400</v>
      </c>
      <c r="R176" s="131">
        <v>1400</v>
      </c>
      <c r="S176" s="131">
        <v>1384</v>
      </c>
      <c r="T176" s="131">
        <v>1416</v>
      </c>
      <c r="U176" s="131">
        <v>1400</v>
      </c>
      <c r="V176" s="131">
        <v>1279</v>
      </c>
      <c r="W176" s="131">
        <v>1360</v>
      </c>
      <c r="X176" s="131">
        <v>1497</v>
      </c>
      <c r="Y176" s="131">
        <v>1303</v>
      </c>
      <c r="Z176" s="131">
        <v>1412</v>
      </c>
      <c r="AA176" s="131">
        <v>1549</v>
      </c>
      <c r="AB176" s="131">
        <v>1400</v>
      </c>
      <c r="AC176" s="131">
        <v>1377</v>
      </c>
      <c r="AD176" s="131">
        <v>1423</v>
      </c>
      <c r="AE176" s="131">
        <v>1400</v>
      </c>
      <c r="AF176" s="131">
        <v>1400</v>
      </c>
      <c r="AG176" s="131">
        <v>1400</v>
      </c>
      <c r="AH176" s="131">
        <v>1400</v>
      </c>
      <c r="AI176" s="131">
        <v>1400</v>
      </c>
      <c r="AJ176" s="131">
        <v>1400</v>
      </c>
      <c r="AK176" s="131">
        <v>1400</v>
      </c>
      <c r="AL176" s="131">
        <v>1400</v>
      </c>
      <c r="AM176" s="131">
        <v>1400</v>
      </c>
      <c r="AN176" s="131">
        <v>1393</v>
      </c>
      <c r="AO176" s="131">
        <v>1407</v>
      </c>
      <c r="AP176" s="131">
        <v>973</v>
      </c>
      <c r="AQ176" s="131">
        <v>1125</v>
      </c>
      <c r="AR176" s="131">
        <v>998</v>
      </c>
      <c r="AS176" s="131">
        <v>1275</v>
      </c>
      <c r="AT176" s="131">
        <v>1195</v>
      </c>
      <c r="AU176" s="131">
        <v>1359</v>
      </c>
      <c r="AV176" s="131">
        <v>1953</v>
      </c>
      <c r="AW176" s="131">
        <v>1507</v>
      </c>
      <c r="AX176" s="131">
        <v>1745</v>
      </c>
      <c r="AY176" s="131">
        <v>1870</v>
      </c>
    </row>
    <row r="177" spans="1:51" x14ac:dyDescent="0.2">
      <c r="A177" s="141" t="s">
        <v>133</v>
      </c>
      <c r="B177" s="141" t="s">
        <v>297</v>
      </c>
      <c r="C177" s="130" t="s">
        <v>292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0</v>
      </c>
      <c r="G177" s="130">
        <f t="shared" si="2"/>
        <v>0</v>
      </c>
      <c r="H177" s="130">
        <f t="shared" si="2"/>
        <v>0</v>
      </c>
      <c r="I177" s="130">
        <f t="shared" si="2"/>
        <v>0</v>
      </c>
      <c r="J177" s="130">
        <f t="shared" si="2"/>
        <v>0</v>
      </c>
      <c r="K177" s="130">
        <f t="shared" si="2"/>
        <v>0</v>
      </c>
      <c r="L177" s="130">
        <f t="shared" si="2"/>
        <v>0</v>
      </c>
      <c r="M177" s="130">
        <f t="shared" si="2"/>
        <v>0</v>
      </c>
      <c r="N177" s="130">
        <f t="shared" si="2"/>
        <v>0</v>
      </c>
      <c r="O177" s="130">
        <f t="shared" si="2"/>
        <v>0</v>
      </c>
      <c r="P177" s="130">
        <f t="shared" si="2"/>
        <v>0</v>
      </c>
      <c r="Q177" s="130">
        <f t="shared" si="2"/>
        <v>0</v>
      </c>
      <c r="R177" s="130">
        <f t="shared" si="2"/>
        <v>0</v>
      </c>
      <c r="S177" s="130">
        <f t="shared" si="2"/>
        <v>0</v>
      </c>
      <c r="T177" s="130">
        <f t="shared" si="2"/>
        <v>0</v>
      </c>
      <c r="U177" s="130">
        <f t="shared" si="2"/>
        <v>0</v>
      </c>
      <c r="V177" s="130">
        <f t="shared" si="2"/>
        <v>0</v>
      </c>
      <c r="W177" s="130">
        <f t="shared" si="2"/>
        <v>0</v>
      </c>
      <c r="X177" s="130">
        <f t="shared" si="2"/>
        <v>0</v>
      </c>
      <c r="Y177" s="130">
        <f t="shared" si="2"/>
        <v>0</v>
      </c>
      <c r="Z177" s="130">
        <f t="shared" si="2"/>
        <v>0</v>
      </c>
      <c r="AA177" s="130">
        <f t="shared" si="2"/>
        <v>0</v>
      </c>
      <c r="AB177" s="130">
        <f t="shared" si="2"/>
        <v>0</v>
      </c>
      <c r="AC177" s="130">
        <f t="shared" si="2"/>
        <v>0</v>
      </c>
      <c r="AD177" s="130">
        <f t="shared" si="2"/>
        <v>0</v>
      </c>
      <c r="AE177" s="130">
        <f t="shared" si="2"/>
        <v>0</v>
      </c>
      <c r="AF177" s="130">
        <f t="shared" si="2"/>
        <v>0</v>
      </c>
      <c r="AG177" s="130">
        <f t="shared" si="2"/>
        <v>0</v>
      </c>
      <c r="AH177" s="130">
        <f t="shared" si="2"/>
        <v>0</v>
      </c>
      <c r="AI177" s="130">
        <f t="shared" si="2"/>
        <v>0</v>
      </c>
      <c r="AJ177" s="130">
        <f t="shared" si="2"/>
        <v>0</v>
      </c>
      <c r="AK177" s="130">
        <f t="shared" si="2"/>
        <v>0</v>
      </c>
      <c r="AL177" s="130">
        <f t="shared" si="2"/>
        <v>0</v>
      </c>
      <c r="AM177" s="130">
        <f t="shared" si="2"/>
        <v>0</v>
      </c>
      <c r="AN177" s="130">
        <f t="shared" si="2"/>
        <v>0</v>
      </c>
      <c r="AO177" s="130">
        <f t="shared" si="2"/>
        <v>0</v>
      </c>
      <c r="AP177" s="130">
        <f t="shared" si="2"/>
        <v>0</v>
      </c>
      <c r="AQ177" s="130">
        <f t="shared" si="2"/>
        <v>0</v>
      </c>
      <c r="AR177" s="130">
        <f t="shared" si="2"/>
        <v>0</v>
      </c>
      <c r="AS177" s="130">
        <f t="shared" si="2"/>
        <v>0</v>
      </c>
      <c r="AT177" s="130">
        <f t="shared" si="2"/>
        <v>0</v>
      </c>
      <c r="AU177" s="130">
        <f t="shared" si="2"/>
        <v>0</v>
      </c>
      <c r="AV177" s="130">
        <f t="shared" si="2"/>
        <v>0</v>
      </c>
      <c r="AW177" s="130">
        <f t="shared" si="2"/>
        <v>0</v>
      </c>
      <c r="AX177" s="130">
        <f t="shared" si="2"/>
        <v>0</v>
      </c>
      <c r="AY177" s="130">
        <f t="shared" si="2"/>
        <v>0</v>
      </c>
    </row>
    <row r="178" spans="1:51" x14ac:dyDescent="0.2">
      <c r="A178" s="131"/>
      <c r="B178" s="142" t="s">
        <v>298</v>
      </c>
      <c r="C178" s="131" t="s">
        <v>292</v>
      </c>
      <c r="D178" s="131">
        <v>0</v>
      </c>
      <c r="E178" s="131">
        <v>0</v>
      </c>
      <c r="F178" s="131">
        <v>0</v>
      </c>
      <c r="G178" s="131">
        <v>0</v>
      </c>
      <c r="H178" s="131">
        <v>0</v>
      </c>
      <c r="I178" s="131">
        <v>0</v>
      </c>
      <c r="J178" s="131">
        <v>0</v>
      </c>
      <c r="K178" s="131">
        <v>0</v>
      </c>
      <c r="L178" s="131">
        <v>0</v>
      </c>
      <c r="M178" s="131">
        <v>0</v>
      </c>
      <c r="N178" s="131">
        <v>0</v>
      </c>
      <c r="O178" s="131">
        <v>0</v>
      </c>
      <c r="P178" s="131">
        <v>0</v>
      </c>
      <c r="Q178" s="131">
        <v>0</v>
      </c>
      <c r="R178" s="131">
        <v>0</v>
      </c>
      <c r="S178" s="131">
        <v>0</v>
      </c>
      <c r="T178" s="131">
        <v>0</v>
      </c>
      <c r="U178" s="131">
        <v>0</v>
      </c>
      <c r="V178" s="131">
        <v>0</v>
      </c>
      <c r="W178" s="131">
        <v>0</v>
      </c>
      <c r="X178" s="131">
        <v>0</v>
      </c>
      <c r="Y178" s="131">
        <v>0</v>
      </c>
      <c r="Z178" s="131">
        <v>0</v>
      </c>
      <c r="AA178" s="131">
        <v>0</v>
      </c>
      <c r="AB178" s="131">
        <v>0</v>
      </c>
      <c r="AC178" s="131">
        <v>0</v>
      </c>
      <c r="AD178" s="131">
        <v>0</v>
      </c>
      <c r="AE178" s="131">
        <v>0</v>
      </c>
      <c r="AF178" s="131">
        <v>0</v>
      </c>
      <c r="AG178" s="131">
        <v>0</v>
      </c>
      <c r="AH178" s="131">
        <v>0</v>
      </c>
      <c r="AI178" s="131">
        <v>0</v>
      </c>
      <c r="AJ178" s="131">
        <v>0</v>
      </c>
      <c r="AK178" s="131">
        <v>0</v>
      </c>
      <c r="AL178" s="131">
        <v>0</v>
      </c>
      <c r="AM178" s="131">
        <v>0</v>
      </c>
      <c r="AN178" s="131">
        <v>0</v>
      </c>
      <c r="AO178" s="131">
        <v>0</v>
      </c>
      <c r="AP178" s="131">
        <v>0</v>
      </c>
      <c r="AQ178" s="131">
        <v>0</v>
      </c>
      <c r="AR178" s="131">
        <v>0</v>
      </c>
      <c r="AS178" s="131">
        <v>0</v>
      </c>
      <c r="AT178" s="131">
        <v>0</v>
      </c>
      <c r="AU178" s="131">
        <v>0</v>
      </c>
      <c r="AV178" s="131">
        <v>0</v>
      </c>
      <c r="AW178" s="131">
        <v>0</v>
      </c>
      <c r="AX178" s="131">
        <v>0</v>
      </c>
      <c r="AY178" s="131">
        <v>0</v>
      </c>
    </row>
    <row r="179" spans="1:51" x14ac:dyDescent="0.2">
      <c r="A179" s="141" t="s">
        <v>134</v>
      </c>
      <c r="B179" s="141" t="s">
        <v>297</v>
      </c>
      <c r="C179" s="130" t="s">
        <v>292</v>
      </c>
      <c r="D179" s="130">
        <f t="shared" ref="D179:AY179" si="3">SUM(D109:D120)</f>
        <v>0</v>
      </c>
      <c r="E179" s="130">
        <f t="shared" si="3"/>
        <v>0</v>
      </c>
      <c r="F179" s="130">
        <f t="shared" si="3"/>
        <v>0</v>
      </c>
      <c r="G179" s="130">
        <f t="shared" si="3"/>
        <v>0</v>
      </c>
      <c r="H179" s="130">
        <f t="shared" si="3"/>
        <v>0</v>
      </c>
      <c r="I179" s="130">
        <f t="shared" si="3"/>
        <v>0</v>
      </c>
      <c r="J179" s="130">
        <f t="shared" si="3"/>
        <v>0</v>
      </c>
      <c r="K179" s="130">
        <f t="shared" si="3"/>
        <v>0</v>
      </c>
      <c r="L179" s="130">
        <f t="shared" si="3"/>
        <v>0</v>
      </c>
      <c r="M179" s="130">
        <f t="shared" si="3"/>
        <v>0</v>
      </c>
      <c r="N179" s="130">
        <f t="shared" si="3"/>
        <v>0</v>
      </c>
      <c r="O179" s="130">
        <f t="shared" si="3"/>
        <v>0</v>
      </c>
      <c r="P179" s="130">
        <f t="shared" si="3"/>
        <v>0</v>
      </c>
      <c r="Q179" s="130">
        <f t="shared" si="3"/>
        <v>0</v>
      </c>
      <c r="R179" s="130">
        <f t="shared" si="3"/>
        <v>0</v>
      </c>
      <c r="S179" s="130">
        <f t="shared" si="3"/>
        <v>0</v>
      </c>
      <c r="T179" s="130">
        <f t="shared" si="3"/>
        <v>0</v>
      </c>
      <c r="U179" s="130">
        <f t="shared" si="3"/>
        <v>0</v>
      </c>
      <c r="V179" s="130">
        <f t="shared" si="3"/>
        <v>0</v>
      </c>
      <c r="W179" s="130">
        <f t="shared" si="3"/>
        <v>0</v>
      </c>
      <c r="X179" s="130">
        <f t="shared" si="3"/>
        <v>0</v>
      </c>
      <c r="Y179" s="130">
        <f t="shared" si="3"/>
        <v>0</v>
      </c>
      <c r="Z179" s="130">
        <f t="shared" si="3"/>
        <v>0</v>
      </c>
      <c r="AA179" s="130">
        <f t="shared" si="3"/>
        <v>0</v>
      </c>
      <c r="AB179" s="130">
        <f t="shared" si="3"/>
        <v>0</v>
      </c>
      <c r="AC179" s="130">
        <f t="shared" si="3"/>
        <v>0</v>
      </c>
      <c r="AD179" s="130">
        <f t="shared" si="3"/>
        <v>0</v>
      </c>
      <c r="AE179" s="130">
        <f t="shared" si="3"/>
        <v>0</v>
      </c>
      <c r="AF179" s="130">
        <f t="shared" si="3"/>
        <v>0</v>
      </c>
      <c r="AG179" s="130">
        <f t="shared" si="3"/>
        <v>0</v>
      </c>
      <c r="AH179" s="130">
        <f t="shared" si="3"/>
        <v>0</v>
      </c>
      <c r="AI179" s="130">
        <f t="shared" si="3"/>
        <v>0</v>
      </c>
      <c r="AJ179" s="130">
        <f t="shared" si="3"/>
        <v>0</v>
      </c>
      <c r="AK179" s="130">
        <f t="shared" si="3"/>
        <v>0</v>
      </c>
      <c r="AL179" s="130">
        <f t="shared" si="3"/>
        <v>0</v>
      </c>
      <c r="AM179" s="130">
        <f t="shared" si="3"/>
        <v>0</v>
      </c>
      <c r="AN179" s="130">
        <f t="shared" si="3"/>
        <v>0</v>
      </c>
      <c r="AO179" s="130">
        <f t="shared" si="3"/>
        <v>0</v>
      </c>
      <c r="AP179" s="130">
        <f t="shared" si="3"/>
        <v>0</v>
      </c>
      <c r="AQ179" s="130">
        <f t="shared" si="3"/>
        <v>0</v>
      </c>
      <c r="AR179" s="130">
        <f t="shared" si="3"/>
        <v>0</v>
      </c>
      <c r="AS179" s="130">
        <f t="shared" si="3"/>
        <v>0</v>
      </c>
      <c r="AT179" s="130">
        <f t="shared" si="3"/>
        <v>0</v>
      </c>
      <c r="AU179" s="130">
        <f t="shared" si="3"/>
        <v>0</v>
      </c>
      <c r="AV179" s="130">
        <f t="shared" si="3"/>
        <v>0</v>
      </c>
      <c r="AW179" s="130">
        <f t="shared" si="3"/>
        <v>0</v>
      </c>
      <c r="AX179" s="130">
        <f t="shared" si="3"/>
        <v>0</v>
      </c>
      <c r="AY179" s="130">
        <f t="shared" si="3"/>
        <v>0</v>
      </c>
    </row>
    <row r="180" spans="1:51" x14ac:dyDescent="0.2">
      <c r="A180" s="131"/>
      <c r="B180" s="142" t="s">
        <v>298</v>
      </c>
      <c r="C180" s="131" t="s">
        <v>292</v>
      </c>
      <c r="D180" s="131">
        <v>0</v>
      </c>
      <c r="E180" s="131">
        <v>0</v>
      </c>
      <c r="F180" s="131">
        <v>0</v>
      </c>
      <c r="G180" s="131">
        <v>0</v>
      </c>
      <c r="H180" s="131">
        <v>0</v>
      </c>
      <c r="I180" s="131">
        <v>0</v>
      </c>
      <c r="J180" s="131">
        <v>0</v>
      </c>
      <c r="K180" s="131">
        <v>0</v>
      </c>
      <c r="L180" s="131">
        <v>0</v>
      </c>
      <c r="M180" s="131">
        <v>0</v>
      </c>
      <c r="N180" s="131">
        <v>0</v>
      </c>
      <c r="O180" s="131">
        <v>0</v>
      </c>
      <c r="P180" s="131">
        <v>0</v>
      </c>
      <c r="Q180" s="131">
        <v>0</v>
      </c>
      <c r="R180" s="131">
        <v>0</v>
      </c>
      <c r="S180" s="131">
        <v>0</v>
      </c>
      <c r="T180" s="131">
        <v>0</v>
      </c>
      <c r="U180" s="131">
        <v>0</v>
      </c>
      <c r="V180" s="131">
        <v>0</v>
      </c>
      <c r="W180" s="131">
        <v>0</v>
      </c>
      <c r="X180" s="131">
        <v>0</v>
      </c>
      <c r="Y180" s="131">
        <v>0</v>
      </c>
      <c r="Z180" s="131">
        <v>0</v>
      </c>
      <c r="AA180" s="131">
        <v>0</v>
      </c>
      <c r="AB180" s="131">
        <v>0</v>
      </c>
      <c r="AC180" s="131">
        <v>0</v>
      </c>
      <c r="AD180" s="131">
        <v>0</v>
      </c>
      <c r="AE180" s="131">
        <v>0</v>
      </c>
      <c r="AF180" s="131">
        <v>0</v>
      </c>
      <c r="AG180" s="131">
        <v>0</v>
      </c>
      <c r="AH180" s="131">
        <v>0</v>
      </c>
      <c r="AI180" s="131">
        <v>0</v>
      </c>
      <c r="AJ180" s="131">
        <v>0</v>
      </c>
      <c r="AK180" s="131">
        <v>0</v>
      </c>
      <c r="AL180" s="131">
        <v>0</v>
      </c>
      <c r="AM180" s="131">
        <v>0</v>
      </c>
      <c r="AN180" s="131">
        <v>0</v>
      </c>
      <c r="AO180" s="131">
        <v>0</v>
      </c>
      <c r="AP180" s="131">
        <v>0</v>
      </c>
      <c r="AQ180" s="131">
        <v>0</v>
      </c>
      <c r="AR180" s="131">
        <v>0</v>
      </c>
      <c r="AS180" s="131">
        <v>0</v>
      </c>
      <c r="AT180" s="131">
        <v>0</v>
      </c>
      <c r="AU180" s="131">
        <v>0</v>
      </c>
      <c r="AV180" s="131">
        <v>0</v>
      </c>
      <c r="AW180" s="131">
        <v>0</v>
      </c>
      <c r="AX180" s="131">
        <v>0</v>
      </c>
      <c r="AY180" s="131">
        <v>0</v>
      </c>
    </row>
    <row r="181" spans="1:51" x14ac:dyDescent="0.2">
      <c r="A181" s="141" t="s">
        <v>123</v>
      </c>
      <c r="B181" s="141" t="s">
        <v>297</v>
      </c>
      <c r="C181" s="130" t="s">
        <v>292</v>
      </c>
      <c r="D181" s="130">
        <f t="shared" ref="D181:AY181" si="4">(1-D172)*SUM(D122:D169)</f>
        <v>0</v>
      </c>
      <c r="E181" s="130">
        <f t="shared" si="4"/>
        <v>0</v>
      </c>
      <c r="F181" s="130">
        <f t="shared" si="4"/>
        <v>0</v>
      </c>
      <c r="G181" s="130">
        <f t="shared" si="4"/>
        <v>0</v>
      </c>
      <c r="H181" s="130">
        <f t="shared" si="4"/>
        <v>0</v>
      </c>
      <c r="I181" s="130">
        <f t="shared" si="4"/>
        <v>0</v>
      </c>
      <c r="J181" s="130">
        <f t="shared" si="4"/>
        <v>0</v>
      </c>
      <c r="K181" s="130">
        <f t="shared" si="4"/>
        <v>0</v>
      </c>
      <c r="L181" s="130">
        <f t="shared" si="4"/>
        <v>0</v>
      </c>
      <c r="M181" s="130">
        <f t="shared" si="4"/>
        <v>0</v>
      </c>
      <c r="N181" s="130">
        <f t="shared" si="4"/>
        <v>0</v>
      </c>
      <c r="O181" s="130">
        <f t="shared" si="4"/>
        <v>0</v>
      </c>
      <c r="P181" s="130">
        <f t="shared" si="4"/>
        <v>0</v>
      </c>
      <c r="Q181" s="130">
        <f t="shared" si="4"/>
        <v>0</v>
      </c>
      <c r="R181" s="130">
        <f t="shared" si="4"/>
        <v>0</v>
      </c>
      <c r="S181" s="130">
        <f t="shared" si="4"/>
        <v>0</v>
      </c>
      <c r="T181" s="130">
        <f t="shared" si="4"/>
        <v>0</v>
      </c>
      <c r="U181" s="130">
        <f t="shared" si="4"/>
        <v>0</v>
      </c>
      <c r="V181" s="130">
        <f t="shared" si="4"/>
        <v>0</v>
      </c>
      <c r="W181" s="130">
        <f t="shared" si="4"/>
        <v>0</v>
      </c>
      <c r="X181" s="130">
        <f t="shared" si="4"/>
        <v>0</v>
      </c>
      <c r="Y181" s="130">
        <f t="shared" si="4"/>
        <v>0</v>
      </c>
      <c r="Z181" s="130">
        <f t="shared" si="4"/>
        <v>0</v>
      </c>
      <c r="AA181" s="130">
        <f t="shared" si="4"/>
        <v>0</v>
      </c>
      <c r="AB181" s="130">
        <f t="shared" si="4"/>
        <v>0</v>
      </c>
      <c r="AC181" s="130">
        <f t="shared" si="4"/>
        <v>0</v>
      </c>
      <c r="AD181" s="130">
        <f t="shared" si="4"/>
        <v>0</v>
      </c>
      <c r="AE181" s="130">
        <f t="shared" si="4"/>
        <v>0</v>
      </c>
      <c r="AF181" s="130">
        <f t="shared" si="4"/>
        <v>0</v>
      </c>
      <c r="AG181" s="130">
        <f t="shared" si="4"/>
        <v>0</v>
      </c>
      <c r="AH181" s="130">
        <f t="shared" si="4"/>
        <v>0</v>
      </c>
      <c r="AI181" s="130">
        <f t="shared" si="4"/>
        <v>0</v>
      </c>
      <c r="AJ181" s="130">
        <f t="shared" si="4"/>
        <v>0</v>
      </c>
      <c r="AK181" s="130">
        <f t="shared" si="4"/>
        <v>0</v>
      </c>
      <c r="AL181" s="130">
        <f t="shared" si="4"/>
        <v>0</v>
      </c>
      <c r="AM181" s="130">
        <f t="shared" si="4"/>
        <v>0</v>
      </c>
      <c r="AN181" s="130">
        <f t="shared" si="4"/>
        <v>0</v>
      </c>
      <c r="AO181" s="130">
        <f t="shared" si="4"/>
        <v>0</v>
      </c>
      <c r="AP181" s="130">
        <f t="shared" si="4"/>
        <v>0</v>
      </c>
      <c r="AQ181" s="130">
        <f t="shared" si="4"/>
        <v>0</v>
      </c>
      <c r="AR181" s="130">
        <f t="shared" si="4"/>
        <v>0</v>
      </c>
      <c r="AS181" s="130">
        <f t="shared" si="4"/>
        <v>0</v>
      </c>
      <c r="AT181" s="130">
        <f t="shared" si="4"/>
        <v>0</v>
      </c>
      <c r="AU181" s="130">
        <f t="shared" si="4"/>
        <v>0</v>
      </c>
      <c r="AV181" s="130">
        <f t="shared" si="4"/>
        <v>0</v>
      </c>
      <c r="AW181" s="130">
        <f t="shared" si="4"/>
        <v>0</v>
      </c>
      <c r="AX181" s="130">
        <f t="shared" si="4"/>
        <v>0</v>
      </c>
      <c r="AY181" s="130">
        <f t="shared" si="4"/>
        <v>0</v>
      </c>
    </row>
    <row r="182" spans="1:51" x14ac:dyDescent="0.2">
      <c r="A182" s="131"/>
      <c r="B182" s="142" t="s">
        <v>298</v>
      </c>
      <c r="C182" s="131" t="s">
        <v>292</v>
      </c>
      <c r="D182" s="131">
        <v>0</v>
      </c>
      <c r="E182" s="131">
        <v>0</v>
      </c>
      <c r="F182" s="131">
        <v>0</v>
      </c>
      <c r="G182" s="131">
        <v>0</v>
      </c>
      <c r="H182" s="131">
        <v>0</v>
      </c>
      <c r="I182" s="131">
        <v>0</v>
      </c>
      <c r="J182" s="131">
        <v>0</v>
      </c>
      <c r="K182" s="131">
        <v>0</v>
      </c>
      <c r="L182" s="131">
        <v>0</v>
      </c>
      <c r="M182" s="131">
        <v>0</v>
      </c>
      <c r="N182" s="131">
        <v>0</v>
      </c>
      <c r="O182" s="131">
        <v>0</v>
      </c>
      <c r="P182" s="131">
        <v>0</v>
      </c>
      <c r="Q182" s="131">
        <v>0</v>
      </c>
      <c r="R182" s="131">
        <v>0</v>
      </c>
      <c r="S182" s="131">
        <v>0</v>
      </c>
      <c r="T182" s="131">
        <v>0</v>
      </c>
      <c r="U182" s="131">
        <v>0</v>
      </c>
      <c r="V182" s="131">
        <v>0</v>
      </c>
      <c r="W182" s="131">
        <v>0</v>
      </c>
      <c r="X182" s="131">
        <v>0</v>
      </c>
      <c r="Y182" s="131">
        <v>0</v>
      </c>
      <c r="Z182" s="131">
        <v>0</v>
      </c>
      <c r="AA182" s="131">
        <v>0</v>
      </c>
      <c r="AB182" s="131">
        <v>0</v>
      </c>
      <c r="AC182" s="131">
        <v>0</v>
      </c>
      <c r="AD182" s="131">
        <v>0</v>
      </c>
      <c r="AE182" s="131">
        <v>0</v>
      </c>
      <c r="AF182" s="131">
        <v>0</v>
      </c>
      <c r="AG182" s="131">
        <v>0</v>
      </c>
      <c r="AH182" s="131">
        <v>0</v>
      </c>
      <c r="AI182" s="131">
        <v>0</v>
      </c>
      <c r="AJ182" s="131">
        <v>0</v>
      </c>
      <c r="AK182" s="131">
        <v>0</v>
      </c>
      <c r="AL182" s="131">
        <v>0</v>
      </c>
      <c r="AM182" s="131">
        <v>0</v>
      </c>
      <c r="AN182" s="131">
        <v>0</v>
      </c>
      <c r="AO182" s="131">
        <v>0</v>
      </c>
      <c r="AP182" s="131">
        <v>0</v>
      </c>
      <c r="AQ182" s="131">
        <v>0</v>
      </c>
      <c r="AR182" s="131">
        <v>0</v>
      </c>
      <c r="AS182" s="131">
        <v>0</v>
      </c>
      <c r="AT182" s="131">
        <v>0</v>
      </c>
      <c r="AU182" s="131">
        <v>0</v>
      </c>
      <c r="AV182" s="131">
        <v>0</v>
      </c>
      <c r="AW182" s="131">
        <v>0</v>
      </c>
      <c r="AX182" s="131">
        <v>0</v>
      </c>
      <c r="AY182" s="131">
        <v>0</v>
      </c>
    </row>
    <row r="184" spans="1:51" x14ac:dyDescent="0.2">
      <c r="A184" s="108" t="s">
        <v>299</v>
      </c>
    </row>
    <row r="185" spans="1:51" x14ac:dyDescent="0.2">
      <c r="A185" s="132" t="s">
        <v>125</v>
      </c>
      <c r="B185" s="129">
        <v>1</v>
      </c>
      <c r="C185" s="130"/>
      <c r="D185" s="130">
        <v>1353</v>
      </c>
      <c r="E185" s="130">
        <v>1289</v>
      </c>
      <c r="F185" s="130">
        <v>1149</v>
      </c>
      <c r="G185" s="130">
        <v>1366</v>
      </c>
      <c r="H185" s="130">
        <v>1400</v>
      </c>
      <c r="I185" s="130">
        <v>1400</v>
      </c>
      <c r="J185" s="130">
        <v>1381</v>
      </c>
      <c r="K185" s="130">
        <v>1400</v>
      </c>
      <c r="L185" s="130">
        <v>1400</v>
      </c>
      <c r="M185" s="130">
        <v>1400</v>
      </c>
      <c r="N185" s="130">
        <v>1400</v>
      </c>
      <c r="O185" s="130">
        <v>1400</v>
      </c>
      <c r="P185" s="130">
        <v>1400</v>
      </c>
      <c r="Q185" s="130">
        <v>1400</v>
      </c>
      <c r="R185" s="130">
        <v>1400</v>
      </c>
      <c r="S185" s="130">
        <v>1384</v>
      </c>
      <c r="T185" s="130">
        <v>1400</v>
      </c>
      <c r="U185" s="130">
        <v>1400</v>
      </c>
      <c r="V185" s="130">
        <v>1279</v>
      </c>
      <c r="W185" s="130">
        <v>1239</v>
      </c>
      <c r="X185" s="130">
        <v>1336</v>
      </c>
      <c r="Y185" s="130">
        <v>1239</v>
      </c>
      <c r="Z185" s="130">
        <v>1251</v>
      </c>
      <c r="AA185" s="130">
        <v>1400</v>
      </c>
      <c r="AB185" s="130">
        <v>1400</v>
      </c>
      <c r="AC185" s="130">
        <v>1377</v>
      </c>
      <c r="AD185" s="130">
        <v>1400</v>
      </c>
      <c r="AE185" s="130">
        <v>1400</v>
      </c>
      <c r="AF185" s="130">
        <v>1400</v>
      </c>
      <c r="AG185" s="130">
        <v>1400</v>
      </c>
      <c r="AH185" s="130">
        <v>1400</v>
      </c>
      <c r="AI185" s="130">
        <v>1400</v>
      </c>
      <c r="AJ185" s="130">
        <v>1400</v>
      </c>
      <c r="AK185" s="130">
        <v>1400</v>
      </c>
      <c r="AL185" s="130">
        <v>1400</v>
      </c>
      <c r="AM185" s="130">
        <v>1400</v>
      </c>
      <c r="AN185" s="130">
        <v>1393</v>
      </c>
      <c r="AO185" s="130">
        <v>1400</v>
      </c>
      <c r="AP185" s="130">
        <v>973</v>
      </c>
      <c r="AQ185" s="130">
        <v>698</v>
      </c>
      <c r="AR185" s="130">
        <v>296</v>
      </c>
      <c r="AS185" s="130">
        <v>171</v>
      </c>
      <c r="AT185" s="130">
        <v>0</v>
      </c>
      <c r="AU185" s="130">
        <v>0</v>
      </c>
      <c r="AV185" s="130">
        <v>478</v>
      </c>
      <c r="AW185" s="130">
        <v>585</v>
      </c>
      <c r="AX185" s="130">
        <v>930</v>
      </c>
      <c r="AY185" s="130">
        <v>1400</v>
      </c>
    </row>
    <row r="186" spans="1:51" x14ac:dyDescent="0.2">
      <c r="A186" s="115"/>
      <c r="B186" s="126">
        <v>2</v>
      </c>
      <c r="C186" s="112"/>
      <c r="D186" s="112">
        <v>0</v>
      </c>
      <c r="E186" s="112">
        <v>47</v>
      </c>
      <c r="F186" s="112">
        <v>111</v>
      </c>
      <c r="G186" s="112">
        <v>251</v>
      </c>
      <c r="H186" s="112">
        <v>34</v>
      </c>
      <c r="I186" s="112">
        <v>0</v>
      </c>
      <c r="J186" s="112">
        <v>0</v>
      </c>
      <c r="K186" s="112">
        <v>19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16</v>
      </c>
      <c r="U186" s="112">
        <v>0</v>
      </c>
      <c r="V186" s="112">
        <v>0</v>
      </c>
      <c r="W186" s="112">
        <v>121</v>
      </c>
      <c r="X186" s="112">
        <v>161</v>
      </c>
      <c r="Y186" s="112">
        <v>64</v>
      </c>
      <c r="Z186" s="112">
        <v>161</v>
      </c>
      <c r="AA186" s="112">
        <v>149</v>
      </c>
      <c r="AB186" s="112">
        <v>0</v>
      </c>
      <c r="AC186" s="112">
        <v>0</v>
      </c>
      <c r="AD186" s="112">
        <v>23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7</v>
      </c>
      <c r="AP186" s="112">
        <v>0</v>
      </c>
      <c r="AQ186" s="112">
        <v>427</v>
      </c>
      <c r="AR186" s="112">
        <v>702</v>
      </c>
      <c r="AS186" s="112">
        <v>1104</v>
      </c>
      <c r="AT186" s="112">
        <v>1195</v>
      </c>
      <c r="AU186" s="112">
        <v>1325</v>
      </c>
      <c r="AV186" s="112">
        <v>1400</v>
      </c>
      <c r="AW186" s="112">
        <v>922</v>
      </c>
      <c r="AX186" s="112">
        <v>815</v>
      </c>
      <c r="AY186" s="112">
        <v>470</v>
      </c>
    </row>
    <row r="187" spans="1:51" x14ac:dyDescent="0.2">
      <c r="A187" s="115"/>
      <c r="B187" s="133">
        <v>3</v>
      </c>
      <c r="C187" s="112"/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34</v>
      </c>
      <c r="AV187" s="112">
        <v>75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/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/>
      <c r="D189" s="130">
        <v>0</v>
      </c>
      <c r="E189" s="130">
        <v>0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/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/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/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/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/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/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/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/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/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/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/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/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/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/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/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/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/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/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/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/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/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/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/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/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/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/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/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/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/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/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/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/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/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/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/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/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/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/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/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/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/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/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/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/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/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/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/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/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/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/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/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/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/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/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/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/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/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/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/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/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/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/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/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/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/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/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/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300</v>
      </c>
    </row>
    <row r="259" spans="1:52" x14ac:dyDescent="0.2">
      <c r="A259" s="143" t="s">
        <v>124</v>
      </c>
      <c r="B259" s="144">
        <v>650</v>
      </c>
      <c r="C259" s="130" t="s">
        <v>292</v>
      </c>
      <c r="D259" s="130">
        <f>E$14*$B$259</f>
        <v>0</v>
      </c>
      <c r="E259" s="130">
        <f t="shared" ref="E259:AX259" si="5">F$14*$B$259</f>
        <v>0</v>
      </c>
      <c r="F259" s="130">
        <f t="shared" si="5"/>
        <v>0</v>
      </c>
      <c r="G259" s="130">
        <f t="shared" si="5"/>
        <v>0</v>
      </c>
      <c r="H259" s="130">
        <f t="shared" si="5"/>
        <v>0</v>
      </c>
      <c r="I259" s="130">
        <f t="shared" si="5"/>
        <v>0</v>
      </c>
      <c r="J259" s="130">
        <f t="shared" si="5"/>
        <v>0</v>
      </c>
      <c r="K259" s="130">
        <f t="shared" si="5"/>
        <v>0</v>
      </c>
      <c r="L259" s="130">
        <f t="shared" si="5"/>
        <v>0</v>
      </c>
      <c r="M259" s="130">
        <f t="shared" si="5"/>
        <v>0</v>
      </c>
      <c r="N259" s="130">
        <f t="shared" si="5"/>
        <v>0</v>
      </c>
      <c r="O259" s="130">
        <f t="shared" si="5"/>
        <v>0</v>
      </c>
      <c r="P259" s="130">
        <f t="shared" si="5"/>
        <v>0</v>
      </c>
      <c r="Q259" s="130">
        <f t="shared" si="5"/>
        <v>0</v>
      </c>
      <c r="R259" s="130">
        <f t="shared" si="5"/>
        <v>0</v>
      </c>
      <c r="S259" s="130">
        <f t="shared" si="5"/>
        <v>0</v>
      </c>
      <c r="T259" s="130">
        <f t="shared" si="5"/>
        <v>0</v>
      </c>
      <c r="U259" s="130">
        <f t="shared" si="5"/>
        <v>0</v>
      </c>
      <c r="V259" s="130">
        <f t="shared" si="5"/>
        <v>0</v>
      </c>
      <c r="W259" s="130">
        <f t="shared" si="5"/>
        <v>0</v>
      </c>
      <c r="X259" s="130">
        <f t="shared" si="5"/>
        <v>0</v>
      </c>
      <c r="Y259" s="130">
        <f t="shared" si="5"/>
        <v>0</v>
      </c>
      <c r="Z259" s="130">
        <f t="shared" si="5"/>
        <v>0</v>
      </c>
      <c r="AA259" s="130">
        <f t="shared" si="5"/>
        <v>0</v>
      </c>
      <c r="AB259" s="130">
        <f t="shared" si="5"/>
        <v>0</v>
      </c>
      <c r="AC259" s="130">
        <f t="shared" si="5"/>
        <v>0</v>
      </c>
      <c r="AD259" s="130">
        <f t="shared" si="5"/>
        <v>0</v>
      </c>
      <c r="AE259" s="130">
        <f t="shared" si="5"/>
        <v>0</v>
      </c>
      <c r="AF259" s="130">
        <f t="shared" si="5"/>
        <v>0</v>
      </c>
      <c r="AG259" s="130">
        <f t="shared" si="5"/>
        <v>0</v>
      </c>
      <c r="AH259" s="130">
        <f t="shared" si="5"/>
        <v>0</v>
      </c>
      <c r="AI259" s="130">
        <f t="shared" si="5"/>
        <v>0</v>
      </c>
      <c r="AJ259" s="130">
        <f t="shared" si="5"/>
        <v>0</v>
      </c>
      <c r="AK259" s="130">
        <f t="shared" si="5"/>
        <v>0</v>
      </c>
      <c r="AL259" s="130">
        <f t="shared" si="5"/>
        <v>0</v>
      </c>
      <c r="AM259" s="130">
        <f t="shared" si="5"/>
        <v>0</v>
      </c>
      <c r="AN259" s="130">
        <f t="shared" si="5"/>
        <v>0</v>
      </c>
      <c r="AO259" s="130">
        <f t="shared" si="5"/>
        <v>0</v>
      </c>
      <c r="AP259" s="130">
        <f t="shared" si="5"/>
        <v>0</v>
      </c>
      <c r="AQ259" s="130">
        <f t="shared" si="5"/>
        <v>0</v>
      </c>
      <c r="AR259" s="130">
        <f t="shared" si="5"/>
        <v>0</v>
      </c>
      <c r="AS259" s="130">
        <f t="shared" si="5"/>
        <v>0</v>
      </c>
      <c r="AT259" s="130">
        <f t="shared" si="5"/>
        <v>0</v>
      </c>
      <c r="AU259" s="130">
        <f t="shared" si="5"/>
        <v>0</v>
      </c>
      <c r="AV259" s="130">
        <f t="shared" si="5"/>
        <v>0</v>
      </c>
      <c r="AW259" s="130">
        <f t="shared" si="5"/>
        <v>0</v>
      </c>
      <c r="AX259" s="130">
        <f t="shared" si="5"/>
        <v>0</v>
      </c>
      <c r="AY259" s="130">
        <f>AZ$14*$B$259</f>
        <v>0</v>
      </c>
      <c r="AZ259" s="145">
        <f>SUM($D259:$AY259)</f>
        <v>0</v>
      </c>
    </row>
    <row r="260" spans="1:52" x14ac:dyDescent="0.2">
      <c r="A260" s="146" t="s">
        <v>301</v>
      </c>
      <c r="B260" s="120">
        <v>60</v>
      </c>
      <c r="C260" s="131" t="s">
        <v>292</v>
      </c>
      <c r="D260" s="131">
        <f>(D$175-D$176+D$177-D$178+D$179-D$180+D$181-D$182)*$B$260</f>
        <v>2820</v>
      </c>
      <c r="E260" s="131">
        <f t="shared" ref="E260:AY260" si="6">(E$175-E$176+E$177-E$178+E$179-E$180+E$181-E$182)*$B$260</f>
        <v>6660</v>
      </c>
      <c r="F260" s="131">
        <f t="shared" si="6"/>
        <v>15060</v>
      </c>
      <c r="G260" s="131">
        <f t="shared" si="6"/>
        <v>2040</v>
      </c>
      <c r="H260" s="131">
        <f t="shared" si="6"/>
        <v>0</v>
      </c>
      <c r="I260" s="131">
        <f t="shared" si="6"/>
        <v>0</v>
      </c>
      <c r="J260" s="131">
        <f t="shared" si="6"/>
        <v>1140</v>
      </c>
      <c r="K260" s="131">
        <f t="shared" si="6"/>
        <v>0</v>
      </c>
      <c r="L260" s="131">
        <f t="shared" si="6"/>
        <v>0</v>
      </c>
      <c r="M260" s="131">
        <f t="shared" si="6"/>
        <v>0</v>
      </c>
      <c r="N260" s="131">
        <f t="shared" si="6"/>
        <v>0</v>
      </c>
      <c r="O260" s="131">
        <f t="shared" si="6"/>
        <v>0</v>
      </c>
      <c r="P260" s="131">
        <f t="shared" si="6"/>
        <v>0</v>
      </c>
      <c r="Q260" s="131">
        <f t="shared" si="6"/>
        <v>0</v>
      </c>
      <c r="R260" s="131">
        <f t="shared" si="6"/>
        <v>0</v>
      </c>
      <c r="S260" s="131">
        <f t="shared" si="6"/>
        <v>960</v>
      </c>
      <c r="T260" s="131">
        <f t="shared" si="6"/>
        <v>0</v>
      </c>
      <c r="U260" s="131">
        <f t="shared" si="6"/>
        <v>0</v>
      </c>
      <c r="V260" s="131">
        <f t="shared" si="6"/>
        <v>7260</v>
      </c>
      <c r="W260" s="131">
        <f t="shared" si="6"/>
        <v>9660</v>
      </c>
      <c r="X260" s="131">
        <f t="shared" si="6"/>
        <v>3840</v>
      </c>
      <c r="Y260" s="131">
        <f t="shared" si="6"/>
        <v>9660</v>
      </c>
      <c r="Z260" s="131">
        <f t="shared" si="6"/>
        <v>8940</v>
      </c>
      <c r="AA260" s="131">
        <f t="shared" si="6"/>
        <v>0</v>
      </c>
      <c r="AB260" s="131">
        <f t="shared" si="6"/>
        <v>0</v>
      </c>
      <c r="AC260" s="131">
        <f t="shared" si="6"/>
        <v>1380</v>
      </c>
      <c r="AD260" s="131">
        <f t="shared" si="6"/>
        <v>0</v>
      </c>
      <c r="AE260" s="131">
        <f t="shared" si="6"/>
        <v>0</v>
      </c>
      <c r="AF260" s="131">
        <f t="shared" si="6"/>
        <v>0</v>
      </c>
      <c r="AG260" s="131">
        <f t="shared" si="6"/>
        <v>0</v>
      </c>
      <c r="AH260" s="131">
        <f t="shared" si="6"/>
        <v>0</v>
      </c>
      <c r="AI260" s="131">
        <f t="shared" si="6"/>
        <v>0</v>
      </c>
      <c r="AJ260" s="131">
        <f t="shared" si="6"/>
        <v>0</v>
      </c>
      <c r="AK260" s="131">
        <f t="shared" si="6"/>
        <v>0</v>
      </c>
      <c r="AL260" s="131">
        <f t="shared" si="6"/>
        <v>0</v>
      </c>
      <c r="AM260" s="131">
        <f t="shared" si="6"/>
        <v>0</v>
      </c>
      <c r="AN260" s="131">
        <f t="shared" si="6"/>
        <v>420</v>
      </c>
      <c r="AO260" s="131">
        <f t="shared" si="6"/>
        <v>0</v>
      </c>
      <c r="AP260" s="131">
        <f t="shared" si="6"/>
        <v>25620</v>
      </c>
      <c r="AQ260" s="131">
        <f t="shared" si="6"/>
        <v>42120</v>
      </c>
      <c r="AR260" s="131">
        <f t="shared" si="6"/>
        <v>66240</v>
      </c>
      <c r="AS260" s="131">
        <f t="shared" si="6"/>
        <v>73740</v>
      </c>
      <c r="AT260" s="131">
        <f t="shared" si="6"/>
        <v>86040</v>
      </c>
      <c r="AU260" s="131">
        <f t="shared" si="6"/>
        <v>88500</v>
      </c>
      <c r="AV260" s="131">
        <f t="shared" si="6"/>
        <v>55320</v>
      </c>
      <c r="AW260" s="131">
        <f t="shared" si="6"/>
        <v>48900</v>
      </c>
      <c r="AX260" s="131">
        <f t="shared" si="6"/>
        <v>28200</v>
      </c>
      <c r="AY260" s="131">
        <f t="shared" si="6"/>
        <v>0</v>
      </c>
      <c r="AZ260" s="147">
        <f>SUM($D260:$AY260)</f>
        <v>584520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B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4" x14ac:dyDescent="0.2">
      <c r="A1" s="108" t="s">
        <v>283</v>
      </c>
    </row>
    <row r="2" spans="1:54" x14ac:dyDescent="0.2">
      <c r="A2" s="106" t="s">
        <v>284</v>
      </c>
      <c r="B2" s="113" t="s">
        <v>59</v>
      </c>
    </row>
    <row r="3" spans="1:54" x14ac:dyDescent="0.2">
      <c r="A3" s="106" t="s">
        <v>285</v>
      </c>
      <c r="B3" s="114">
        <v>51000</v>
      </c>
      <c r="C3" s="115"/>
    </row>
    <row r="4" spans="1:54" x14ac:dyDescent="0.2">
      <c r="B4" s="116"/>
      <c r="C4" s="116"/>
    </row>
    <row r="5" spans="1:54" x14ac:dyDescent="0.2">
      <c r="C5" s="117" t="s">
        <v>286</v>
      </c>
    </row>
    <row r="6" spans="1:54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4" x14ac:dyDescent="0.2">
      <c r="B7" s="116"/>
      <c r="C7" s="119" t="s">
        <v>287</v>
      </c>
      <c r="D7" s="118" t="s">
        <v>288</v>
      </c>
      <c r="E7" s="118" t="s">
        <v>288</v>
      </c>
      <c r="F7" s="118" t="s">
        <v>288</v>
      </c>
      <c r="G7" s="118" t="s">
        <v>288</v>
      </c>
      <c r="H7" s="118" t="s">
        <v>288</v>
      </c>
      <c r="I7" s="118" t="s">
        <v>288</v>
      </c>
      <c r="J7" s="118" t="s">
        <v>288</v>
      </c>
      <c r="K7" s="118" t="s">
        <v>288</v>
      </c>
      <c r="L7" s="118" t="s">
        <v>288</v>
      </c>
      <c r="M7" s="118" t="s">
        <v>288</v>
      </c>
      <c r="N7" s="118" t="s">
        <v>288</v>
      </c>
      <c r="O7" s="118" t="s">
        <v>288</v>
      </c>
      <c r="P7" s="118" t="s">
        <v>288</v>
      </c>
      <c r="Q7" s="118" t="s">
        <v>288</v>
      </c>
      <c r="R7" s="118" t="s">
        <v>288</v>
      </c>
      <c r="S7" s="118" t="s">
        <v>288</v>
      </c>
      <c r="T7" s="118" t="s">
        <v>288</v>
      </c>
      <c r="U7" s="118" t="s">
        <v>288</v>
      </c>
      <c r="V7" s="118" t="s">
        <v>288</v>
      </c>
      <c r="W7" s="118" t="s">
        <v>288</v>
      </c>
      <c r="X7" s="118" t="s">
        <v>288</v>
      </c>
      <c r="Y7" s="118" t="s">
        <v>288</v>
      </c>
      <c r="Z7" s="118" t="s">
        <v>288</v>
      </c>
      <c r="AA7" s="118" t="s">
        <v>288</v>
      </c>
      <c r="AB7" s="118" t="s">
        <v>288</v>
      </c>
      <c r="AC7" s="118" t="s">
        <v>288</v>
      </c>
      <c r="AD7" s="118" t="s">
        <v>288</v>
      </c>
      <c r="AE7" s="118" t="s">
        <v>288</v>
      </c>
      <c r="AF7" s="118" t="s">
        <v>288</v>
      </c>
      <c r="AG7" s="118" t="s">
        <v>288</v>
      </c>
      <c r="AH7" s="118" t="s">
        <v>288</v>
      </c>
      <c r="AI7" s="118" t="s">
        <v>288</v>
      </c>
      <c r="AJ7" s="118" t="s">
        <v>288</v>
      </c>
      <c r="AK7" s="118" t="s">
        <v>288</v>
      </c>
      <c r="AL7" s="118" t="s">
        <v>288</v>
      </c>
      <c r="AM7" s="118" t="s">
        <v>288</v>
      </c>
      <c r="AN7" s="118" t="s">
        <v>288</v>
      </c>
      <c r="AO7" s="118" t="s">
        <v>288</v>
      </c>
      <c r="AP7" s="118" t="s">
        <v>288</v>
      </c>
      <c r="AQ7" s="118" t="s">
        <v>288</v>
      </c>
      <c r="AR7" s="118" t="s">
        <v>288</v>
      </c>
      <c r="AS7" s="118" t="s">
        <v>288</v>
      </c>
      <c r="AT7" s="118" t="s">
        <v>288</v>
      </c>
      <c r="AU7" s="118" t="s">
        <v>288</v>
      </c>
      <c r="AV7" s="118" t="s">
        <v>288</v>
      </c>
      <c r="AW7" s="118" t="s">
        <v>288</v>
      </c>
      <c r="AX7" s="118" t="s">
        <v>288</v>
      </c>
      <c r="AY7" s="117" t="s">
        <v>289</v>
      </c>
      <c r="AZ7" s="117" t="s">
        <v>290</v>
      </c>
    </row>
    <row r="8" spans="1:54" x14ac:dyDescent="0.2">
      <c r="A8" s="108" t="s">
        <v>291</v>
      </c>
      <c r="B8" s="120"/>
      <c r="AY8" s="116"/>
    </row>
    <row r="9" spans="1:54" x14ac:dyDescent="0.2">
      <c r="A9" s="121" t="s">
        <v>125</v>
      </c>
      <c r="B9" s="122">
        <v>1</v>
      </c>
      <c r="C9" s="123" t="s">
        <v>292</v>
      </c>
      <c r="D9" s="123">
        <v>4976.3169226352811</v>
      </c>
      <c r="E9" s="123">
        <v>4976.3169226352811</v>
      </c>
      <c r="F9" s="123">
        <v>4976.3169226352811</v>
      </c>
      <c r="G9" s="123">
        <v>4976.3169226352811</v>
      </c>
      <c r="H9" s="123">
        <v>4976.3169226352811</v>
      </c>
      <c r="I9" s="123">
        <v>4976.3169226352811</v>
      </c>
      <c r="J9" s="123">
        <v>4976.3169226352811</v>
      </c>
      <c r="K9" s="123">
        <v>4976.3169226352811</v>
      </c>
      <c r="L9" s="123">
        <v>4976.3169226352811</v>
      </c>
      <c r="M9" s="123">
        <v>4976.3169226352811</v>
      </c>
      <c r="N9" s="123">
        <v>4976.3169226352811</v>
      </c>
      <c r="O9" s="123">
        <v>4976.3169226352811</v>
      </c>
      <c r="P9" s="123">
        <v>4976.3169226352811</v>
      </c>
      <c r="Q9" s="123">
        <v>4976.3169226352811</v>
      </c>
      <c r="R9" s="123">
        <v>4976.3169226352811</v>
      </c>
      <c r="S9" s="123">
        <v>4976.3169226352811</v>
      </c>
      <c r="T9" s="123">
        <v>4976.3169226352811</v>
      </c>
      <c r="U9" s="123">
        <v>4976.3169226352811</v>
      </c>
      <c r="V9" s="123">
        <v>4976.3169226352811</v>
      </c>
      <c r="W9" s="123">
        <v>4976.3169226352811</v>
      </c>
      <c r="X9" s="123">
        <v>4976.3169226352811</v>
      </c>
      <c r="Y9" s="123">
        <v>4976.3169226352811</v>
      </c>
      <c r="Z9" s="123">
        <v>4976.3169226352811</v>
      </c>
      <c r="AA9" s="123">
        <v>4976.3169226352811</v>
      </c>
      <c r="AB9" s="123">
        <v>4976.3169226352811</v>
      </c>
      <c r="AC9" s="123">
        <v>4976.3169226352811</v>
      </c>
      <c r="AD9" s="123">
        <v>4976.3169226352811</v>
      </c>
      <c r="AE9" s="123">
        <v>4976.3169226352811</v>
      </c>
      <c r="AF9" s="123">
        <v>4976.3169226352811</v>
      </c>
      <c r="AG9" s="123">
        <v>4976.3169226352811</v>
      </c>
      <c r="AH9" s="123">
        <v>4976.3169226352811</v>
      </c>
      <c r="AI9" s="123">
        <v>4976.3169226352811</v>
      </c>
      <c r="AJ9" s="123">
        <v>4976.3169226352811</v>
      </c>
      <c r="AK9" s="123">
        <v>4976.3169226352811</v>
      </c>
      <c r="AL9" s="123">
        <v>4976.3169226352811</v>
      </c>
      <c r="AM9" s="123">
        <v>4976.3169226352811</v>
      </c>
      <c r="AN9" s="123">
        <v>4976.3169226352811</v>
      </c>
      <c r="AO9" s="123">
        <v>4976.3169226352811</v>
      </c>
      <c r="AP9" s="123">
        <v>4976.3169226352811</v>
      </c>
      <c r="AQ9" s="123">
        <v>4976.3169226352811</v>
      </c>
      <c r="AR9" s="123">
        <v>4976.3169226352811</v>
      </c>
      <c r="AS9" s="123">
        <v>4976.3169226352811</v>
      </c>
      <c r="AT9" s="123">
        <v>4976.3169226352811</v>
      </c>
      <c r="AU9" s="123">
        <v>4976.3169226352811</v>
      </c>
      <c r="AV9" s="123">
        <v>4976.3169226352811</v>
      </c>
      <c r="AW9" s="123">
        <v>4976.3169226352811</v>
      </c>
      <c r="AX9" s="123">
        <v>4976.3169226352811</v>
      </c>
      <c r="AY9" s="123">
        <v>4976.3169226352811</v>
      </c>
    </row>
    <row r="10" spans="1:54" x14ac:dyDescent="0.2">
      <c r="A10" s="124" t="s">
        <v>133</v>
      </c>
      <c r="B10" s="125">
        <v>1</v>
      </c>
      <c r="C10" s="112" t="s">
        <v>292</v>
      </c>
      <c r="E10" s="106">
        <v>0</v>
      </c>
      <c r="F10" s="106">
        <v>2457.6830773647193</v>
      </c>
      <c r="G10" s="106">
        <v>321.68293383091714</v>
      </c>
      <c r="H10" s="106">
        <v>2457.6830773647193</v>
      </c>
      <c r="I10" s="106">
        <v>171.68293383091716</v>
      </c>
      <c r="J10" s="106">
        <v>2261.6829338309171</v>
      </c>
      <c r="K10" s="106">
        <v>2107.6830773647193</v>
      </c>
      <c r="L10" s="106">
        <v>2457.6830773647193</v>
      </c>
      <c r="M10" s="106">
        <v>2086.0001435338022</v>
      </c>
      <c r="N10" s="106">
        <v>2457.6830773647193</v>
      </c>
      <c r="O10" s="106">
        <v>2086.0001435338022</v>
      </c>
      <c r="P10" s="106">
        <v>2457.6830773647193</v>
      </c>
      <c r="Q10" s="106">
        <v>2086.0001435338022</v>
      </c>
      <c r="R10" s="106">
        <v>2261.6829338309171</v>
      </c>
      <c r="S10" s="106">
        <v>2107.6830773647193</v>
      </c>
      <c r="T10" s="106">
        <v>2457.6830773647193</v>
      </c>
      <c r="U10" s="106">
        <v>2107.6830773647193</v>
      </c>
      <c r="V10" s="106">
        <v>2457.6830773647193</v>
      </c>
      <c r="W10" s="106">
        <v>2107.6830773647193</v>
      </c>
      <c r="X10" s="106">
        <v>2261.6829338309171</v>
      </c>
      <c r="Y10" s="106">
        <v>321.68293383091714</v>
      </c>
      <c r="Z10" s="106">
        <v>2457.6830773647193</v>
      </c>
      <c r="AA10" s="106">
        <v>300</v>
      </c>
      <c r="AB10" s="106">
        <v>2457.6830773647193</v>
      </c>
      <c r="AC10" s="106">
        <v>2107.6830773647193</v>
      </c>
      <c r="AD10" s="106">
        <v>2457.6830773647193</v>
      </c>
      <c r="AE10" s="106">
        <v>2086.0001435338022</v>
      </c>
      <c r="AF10" s="106">
        <v>2457.6830773647193</v>
      </c>
      <c r="AG10" s="106">
        <v>2107.6830773647193</v>
      </c>
      <c r="AH10" s="106">
        <v>2261.6829338309171</v>
      </c>
      <c r="AI10" s="106">
        <v>2086.0001435338022</v>
      </c>
      <c r="AJ10" s="106">
        <v>2457.6830773647193</v>
      </c>
      <c r="AK10" s="106">
        <v>321.68293383091714</v>
      </c>
      <c r="AL10" s="106">
        <v>2261.6829338309171</v>
      </c>
      <c r="AM10" s="106">
        <v>321.68293383091714</v>
      </c>
      <c r="AN10" s="106">
        <v>2261.6829338309171</v>
      </c>
      <c r="AO10" s="106">
        <v>321.68293383091714</v>
      </c>
      <c r="AP10" s="106">
        <v>4072.0002870676044</v>
      </c>
      <c r="AQ10" s="106">
        <v>2279.3660111956365</v>
      </c>
      <c r="AR10" s="106">
        <v>171.68293383091716</v>
      </c>
      <c r="AS10" s="106">
        <v>2090</v>
      </c>
      <c r="AT10" s="106">
        <v>493.36586766183433</v>
      </c>
      <c r="AU10" s="106">
        <v>2286.0001435338022</v>
      </c>
      <c r="AV10" s="106">
        <v>2107.6830773647193</v>
      </c>
      <c r="AW10" s="106">
        <v>2261.6829338309171</v>
      </c>
      <c r="AX10" s="106">
        <v>321.68293383091714</v>
      </c>
      <c r="AY10" s="106">
        <v>650</v>
      </c>
      <c r="AZ10" s="106">
        <v>1911.6829338309171</v>
      </c>
    </row>
    <row r="11" spans="1:54" x14ac:dyDescent="0.2">
      <c r="B11" s="125">
        <v>2</v>
      </c>
      <c r="C11" s="112" t="s">
        <v>292</v>
      </c>
      <c r="F11" s="106">
        <v>0</v>
      </c>
      <c r="G11" s="106">
        <v>0</v>
      </c>
      <c r="H11" s="106">
        <v>1786.0001435338022</v>
      </c>
      <c r="I11" s="106">
        <v>0</v>
      </c>
      <c r="K11" s="106">
        <v>196.0001435338022</v>
      </c>
      <c r="M11" s="106">
        <v>0</v>
      </c>
      <c r="N11" s="106">
        <v>371.68293383091714</v>
      </c>
      <c r="O11" s="106">
        <v>0</v>
      </c>
      <c r="P11" s="106">
        <v>21.682933830917165</v>
      </c>
      <c r="R11" s="106">
        <v>371.68293383091714</v>
      </c>
      <c r="S11" s="106">
        <v>196.0001435338022</v>
      </c>
      <c r="V11" s="106">
        <v>350</v>
      </c>
      <c r="W11" s="106">
        <v>0</v>
      </c>
      <c r="Y11" s="106">
        <v>196.0001435338022</v>
      </c>
      <c r="Z11" s="106">
        <v>1786.0001435338022</v>
      </c>
      <c r="AA11" s="106">
        <v>0</v>
      </c>
      <c r="AB11" s="106">
        <v>1807.6830773647193</v>
      </c>
      <c r="AC11" s="106">
        <v>0</v>
      </c>
      <c r="AD11" s="106">
        <v>350</v>
      </c>
      <c r="AF11" s="106">
        <v>371.68293383091714</v>
      </c>
      <c r="AG11" s="106">
        <v>0</v>
      </c>
      <c r="AH11" s="106">
        <v>350</v>
      </c>
      <c r="AI11" s="106">
        <v>196.0001435338022</v>
      </c>
      <c r="AJ11" s="106">
        <v>371.68293383091714</v>
      </c>
      <c r="AK11" s="106">
        <v>0</v>
      </c>
      <c r="AM11" s="106">
        <v>196.0001435338022</v>
      </c>
      <c r="AN11" s="106">
        <v>350</v>
      </c>
      <c r="AO11" s="106">
        <v>0</v>
      </c>
      <c r="AP11" s="106">
        <v>350</v>
      </c>
      <c r="AS11" s="106">
        <v>0</v>
      </c>
      <c r="AT11" s="106">
        <v>1982.0002870676044</v>
      </c>
      <c r="AU11" s="106">
        <v>2136.0001435338022</v>
      </c>
      <c r="AV11" s="106">
        <v>171.68293383091716</v>
      </c>
      <c r="AZ11" s="106">
        <v>21.682933830917165</v>
      </c>
      <c r="BA11" s="106">
        <v>1998.9999999999995</v>
      </c>
    </row>
    <row r="12" spans="1:54" x14ac:dyDescent="0.2">
      <c r="B12" s="126">
        <v>3</v>
      </c>
      <c r="C12" s="112" t="s">
        <v>292</v>
      </c>
      <c r="I12" s="106">
        <v>350</v>
      </c>
      <c r="K12" s="106">
        <v>1786.0001435338022</v>
      </c>
      <c r="M12" s="106">
        <v>350</v>
      </c>
      <c r="Q12" s="106">
        <v>350</v>
      </c>
      <c r="R12" s="106">
        <v>0</v>
      </c>
      <c r="U12" s="106">
        <v>350</v>
      </c>
      <c r="V12" s="106">
        <v>0</v>
      </c>
      <c r="X12" s="106">
        <v>0</v>
      </c>
      <c r="Y12" s="106">
        <v>350</v>
      </c>
      <c r="Z12" s="106">
        <v>0</v>
      </c>
      <c r="AA12" s="106">
        <v>350</v>
      </c>
      <c r="AC12" s="106">
        <v>350</v>
      </c>
      <c r="AJ12" s="106">
        <v>0</v>
      </c>
      <c r="AM12" s="106">
        <v>2136.0001435338022</v>
      </c>
      <c r="AP12" s="106">
        <v>1982.0002870676044</v>
      </c>
      <c r="AR12" s="106">
        <v>0</v>
      </c>
      <c r="AS12" s="106">
        <v>350</v>
      </c>
      <c r="AT12" s="106">
        <v>0</v>
      </c>
      <c r="AY12" s="106">
        <v>196.0001435338022</v>
      </c>
      <c r="BB12" s="106">
        <v>350</v>
      </c>
    </row>
    <row r="13" spans="1:54" x14ac:dyDescent="0.2">
      <c r="B13" s="126">
        <v>4</v>
      </c>
      <c r="C13" s="112" t="s">
        <v>292</v>
      </c>
      <c r="H13" s="106">
        <v>0</v>
      </c>
      <c r="Q13" s="106">
        <v>0</v>
      </c>
      <c r="AG13" s="106">
        <v>0</v>
      </c>
      <c r="AY13" s="106">
        <v>350</v>
      </c>
      <c r="BA13" s="106">
        <v>350</v>
      </c>
    </row>
    <row r="14" spans="1:54" x14ac:dyDescent="0.2">
      <c r="A14" s="121" t="s">
        <v>134</v>
      </c>
      <c r="B14" s="127">
        <v>1</v>
      </c>
      <c r="C14" s="123" t="s">
        <v>292</v>
      </c>
      <c r="D14" s="123"/>
      <c r="E14" s="123">
        <f t="shared" ref="E14:AZ14" si="0">D$172*SUM(D$122:D$169)</f>
        <v>0</v>
      </c>
      <c r="F14" s="123">
        <f t="shared" si="0"/>
        <v>0</v>
      </c>
      <c r="G14" s="123">
        <f t="shared" si="0"/>
        <v>0</v>
      </c>
      <c r="H14" s="123">
        <f t="shared" si="0"/>
        <v>0</v>
      </c>
      <c r="I14" s="123">
        <f t="shared" si="0"/>
        <v>0</v>
      </c>
      <c r="J14" s="123">
        <f t="shared" si="0"/>
        <v>0</v>
      </c>
      <c r="K14" s="123">
        <f t="shared" si="0"/>
        <v>0</v>
      </c>
      <c r="L14" s="123">
        <f t="shared" si="0"/>
        <v>0</v>
      </c>
      <c r="M14" s="123">
        <f t="shared" si="0"/>
        <v>0</v>
      </c>
      <c r="N14" s="123">
        <f t="shared" si="0"/>
        <v>0</v>
      </c>
      <c r="O14" s="123">
        <f t="shared" si="0"/>
        <v>0</v>
      </c>
      <c r="P14" s="123">
        <f t="shared" si="0"/>
        <v>0</v>
      </c>
      <c r="Q14" s="123">
        <f t="shared" si="0"/>
        <v>0</v>
      </c>
      <c r="R14" s="123">
        <f t="shared" si="0"/>
        <v>0</v>
      </c>
      <c r="S14" s="123">
        <f t="shared" si="0"/>
        <v>0</v>
      </c>
      <c r="T14" s="123">
        <f t="shared" si="0"/>
        <v>0</v>
      </c>
      <c r="U14" s="123">
        <f t="shared" si="0"/>
        <v>0</v>
      </c>
      <c r="V14" s="123">
        <f t="shared" si="0"/>
        <v>0</v>
      </c>
      <c r="W14" s="123">
        <f t="shared" si="0"/>
        <v>0</v>
      </c>
      <c r="X14" s="123">
        <f t="shared" si="0"/>
        <v>0</v>
      </c>
      <c r="Y14" s="123">
        <f t="shared" si="0"/>
        <v>0</v>
      </c>
      <c r="Z14" s="123">
        <f t="shared" si="0"/>
        <v>0</v>
      </c>
      <c r="AA14" s="123">
        <f t="shared" si="0"/>
        <v>0</v>
      </c>
      <c r="AB14" s="123">
        <f t="shared" si="0"/>
        <v>0</v>
      </c>
      <c r="AC14" s="123">
        <f t="shared" si="0"/>
        <v>0</v>
      </c>
      <c r="AD14" s="123">
        <f t="shared" si="0"/>
        <v>0</v>
      </c>
      <c r="AE14" s="123">
        <f t="shared" si="0"/>
        <v>0</v>
      </c>
      <c r="AF14" s="123">
        <f t="shared" si="0"/>
        <v>0</v>
      </c>
      <c r="AG14" s="123">
        <f t="shared" si="0"/>
        <v>0</v>
      </c>
      <c r="AH14" s="123">
        <f t="shared" si="0"/>
        <v>0</v>
      </c>
      <c r="AI14" s="123">
        <f t="shared" si="0"/>
        <v>0</v>
      </c>
      <c r="AJ14" s="123">
        <f t="shared" si="0"/>
        <v>0</v>
      </c>
      <c r="AK14" s="123">
        <f t="shared" si="0"/>
        <v>0</v>
      </c>
      <c r="AL14" s="123">
        <f t="shared" si="0"/>
        <v>0</v>
      </c>
      <c r="AM14" s="123">
        <f t="shared" si="0"/>
        <v>0</v>
      </c>
      <c r="AN14" s="123">
        <f t="shared" si="0"/>
        <v>0</v>
      </c>
      <c r="AO14" s="123">
        <f t="shared" si="0"/>
        <v>0</v>
      </c>
      <c r="AP14" s="123">
        <f t="shared" si="0"/>
        <v>0</v>
      </c>
      <c r="AQ14" s="123">
        <f t="shared" si="0"/>
        <v>0</v>
      </c>
      <c r="AR14" s="123">
        <f t="shared" si="0"/>
        <v>0</v>
      </c>
      <c r="AS14" s="123">
        <f t="shared" si="0"/>
        <v>0</v>
      </c>
      <c r="AT14" s="123">
        <f t="shared" si="0"/>
        <v>0</v>
      </c>
      <c r="AU14" s="123">
        <f t="shared" si="0"/>
        <v>0</v>
      </c>
      <c r="AV14" s="123">
        <f t="shared" si="0"/>
        <v>0</v>
      </c>
      <c r="AW14" s="123">
        <f t="shared" si="0"/>
        <v>0</v>
      </c>
      <c r="AX14" s="123">
        <f t="shared" si="0"/>
        <v>0</v>
      </c>
      <c r="AY14" s="123">
        <f t="shared" si="0"/>
        <v>0</v>
      </c>
      <c r="AZ14" s="116">
        <f t="shared" si="0"/>
        <v>0</v>
      </c>
      <c r="BA14" s="113">
        <f>SUM($E14:$AZ14)</f>
        <v>0</v>
      </c>
    </row>
    <row r="15" spans="1:54" x14ac:dyDescent="0.2">
      <c r="A15" s="128" t="s">
        <v>123</v>
      </c>
      <c r="B15" s="129">
        <v>1</v>
      </c>
      <c r="C15" s="130" t="s">
        <v>292</v>
      </c>
      <c r="D15" s="130">
        <v>0</v>
      </c>
      <c r="E15" s="130">
        <v>0</v>
      </c>
      <c r="F15" s="130">
        <v>0</v>
      </c>
      <c r="G15" s="130">
        <v>0</v>
      </c>
      <c r="H15" s="130">
        <v>0</v>
      </c>
      <c r="I15" s="130">
        <v>0</v>
      </c>
      <c r="J15" s="130">
        <v>0</v>
      </c>
      <c r="K15" s="130">
        <v>0</v>
      </c>
      <c r="L15" s="130">
        <v>0</v>
      </c>
      <c r="M15" s="130">
        <v>0</v>
      </c>
      <c r="N15" s="130">
        <v>0</v>
      </c>
      <c r="O15" s="130">
        <v>0</v>
      </c>
      <c r="P15" s="130">
        <v>0</v>
      </c>
      <c r="Q15" s="130">
        <v>0</v>
      </c>
      <c r="R15" s="130">
        <v>0</v>
      </c>
      <c r="S15" s="130">
        <v>0</v>
      </c>
      <c r="T15" s="130">
        <v>0</v>
      </c>
      <c r="U15" s="130">
        <v>0</v>
      </c>
      <c r="V15" s="130">
        <v>0</v>
      </c>
      <c r="W15" s="130">
        <v>0</v>
      </c>
      <c r="X15" s="130">
        <v>0</v>
      </c>
      <c r="Y15" s="130">
        <v>0</v>
      </c>
      <c r="Z15" s="130">
        <v>0</v>
      </c>
      <c r="AA15" s="130">
        <v>0</v>
      </c>
      <c r="AB15" s="130">
        <v>0</v>
      </c>
      <c r="AC15" s="130">
        <v>0</v>
      </c>
      <c r="AD15" s="130">
        <v>0</v>
      </c>
      <c r="AE15" s="130">
        <v>0</v>
      </c>
      <c r="AF15" s="130">
        <v>0</v>
      </c>
      <c r="AG15" s="130">
        <v>0</v>
      </c>
      <c r="AH15" s="130">
        <v>0</v>
      </c>
      <c r="AI15" s="130">
        <v>0</v>
      </c>
      <c r="AJ15" s="130">
        <v>0</v>
      </c>
      <c r="AK15" s="130">
        <v>0</v>
      </c>
      <c r="AL15" s="130">
        <v>0</v>
      </c>
      <c r="AM15" s="130">
        <v>0</v>
      </c>
      <c r="AN15" s="130">
        <v>0</v>
      </c>
      <c r="AO15" s="130">
        <v>0</v>
      </c>
      <c r="AP15" s="130">
        <v>0</v>
      </c>
      <c r="AQ15" s="130">
        <v>0</v>
      </c>
      <c r="AR15" s="130">
        <v>0</v>
      </c>
      <c r="AS15" s="130">
        <v>0</v>
      </c>
      <c r="AT15" s="130">
        <v>0</v>
      </c>
      <c r="AU15" s="130">
        <v>0</v>
      </c>
      <c r="AV15" s="130">
        <v>0</v>
      </c>
      <c r="AW15" s="130">
        <v>0</v>
      </c>
      <c r="AX15" s="130">
        <v>0</v>
      </c>
      <c r="AY15" s="130">
        <v>0</v>
      </c>
      <c r="AZ15" s="106">
        <v>0</v>
      </c>
    </row>
    <row r="16" spans="1:54" x14ac:dyDescent="0.2">
      <c r="A16" s="116"/>
      <c r="B16" s="125">
        <v>2</v>
      </c>
      <c r="C16" s="115" t="s">
        <v>292</v>
      </c>
      <c r="D16" s="112"/>
      <c r="E16" s="116"/>
      <c r="F16" s="116">
        <v>0</v>
      </c>
      <c r="G16" s="116">
        <v>0</v>
      </c>
      <c r="H16" s="116">
        <v>0</v>
      </c>
      <c r="I16" s="116">
        <v>0</v>
      </c>
      <c r="J16" s="116"/>
      <c r="K16" s="116">
        <v>0</v>
      </c>
      <c r="L16" s="116"/>
      <c r="M16" s="116">
        <v>0</v>
      </c>
      <c r="N16" s="116">
        <v>0</v>
      </c>
      <c r="O16" s="116">
        <v>0</v>
      </c>
      <c r="P16" s="116">
        <v>0</v>
      </c>
      <c r="Q16" s="116"/>
      <c r="R16" s="116">
        <v>0</v>
      </c>
      <c r="S16" s="116">
        <v>0</v>
      </c>
      <c r="T16" s="116"/>
      <c r="U16" s="116"/>
      <c r="V16" s="116">
        <v>0</v>
      </c>
      <c r="W16" s="116">
        <v>0</v>
      </c>
      <c r="X16" s="116"/>
      <c r="Y16" s="116">
        <v>0</v>
      </c>
      <c r="Z16" s="116">
        <v>0</v>
      </c>
      <c r="AA16" s="116">
        <v>0</v>
      </c>
      <c r="AB16" s="116">
        <v>0</v>
      </c>
      <c r="AC16" s="116">
        <v>0</v>
      </c>
      <c r="AD16" s="116">
        <v>0</v>
      </c>
      <c r="AE16" s="116"/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/>
      <c r="AM16" s="116">
        <v>0</v>
      </c>
      <c r="AN16" s="116">
        <v>0</v>
      </c>
      <c r="AO16" s="116">
        <v>0</v>
      </c>
      <c r="AP16" s="116">
        <v>0</v>
      </c>
      <c r="AQ16" s="116"/>
      <c r="AR16" s="116"/>
      <c r="AS16" s="116">
        <v>0</v>
      </c>
      <c r="AT16" s="116">
        <v>0</v>
      </c>
      <c r="AU16" s="116">
        <v>0</v>
      </c>
      <c r="AV16" s="116">
        <v>0</v>
      </c>
      <c r="AW16" s="116"/>
      <c r="AX16" s="116"/>
      <c r="AY16" s="116"/>
      <c r="AZ16" s="106">
        <v>0</v>
      </c>
      <c r="BA16" s="106">
        <v>0</v>
      </c>
    </row>
    <row r="17" spans="1:54" x14ac:dyDescent="0.2">
      <c r="A17" s="116"/>
      <c r="B17" s="125">
        <v>3</v>
      </c>
      <c r="C17" s="115" t="s">
        <v>292</v>
      </c>
      <c r="D17" s="112"/>
      <c r="E17" s="116"/>
      <c r="F17" s="116"/>
      <c r="G17" s="116"/>
      <c r="H17" s="116"/>
      <c r="I17" s="116">
        <v>0</v>
      </c>
      <c r="J17" s="116"/>
      <c r="K17" s="116">
        <v>0</v>
      </c>
      <c r="L17" s="116"/>
      <c r="M17" s="116">
        <v>0</v>
      </c>
      <c r="N17" s="116"/>
      <c r="O17" s="116"/>
      <c r="P17" s="116"/>
      <c r="Q17" s="116">
        <v>0</v>
      </c>
      <c r="R17" s="116">
        <v>0</v>
      </c>
      <c r="S17" s="116"/>
      <c r="T17" s="116"/>
      <c r="U17" s="116">
        <v>0</v>
      </c>
      <c r="V17" s="116">
        <v>0</v>
      </c>
      <c r="W17" s="116"/>
      <c r="X17" s="116">
        <v>0</v>
      </c>
      <c r="Y17" s="116">
        <v>0</v>
      </c>
      <c r="Z17" s="116">
        <v>0</v>
      </c>
      <c r="AA17" s="116">
        <v>0</v>
      </c>
      <c r="AB17" s="116"/>
      <c r="AC17" s="116">
        <v>0</v>
      </c>
      <c r="AD17" s="116"/>
      <c r="AE17" s="116"/>
      <c r="AF17" s="116"/>
      <c r="AG17" s="116"/>
      <c r="AH17" s="116"/>
      <c r="AI17" s="116"/>
      <c r="AJ17" s="116">
        <v>0</v>
      </c>
      <c r="AK17" s="116"/>
      <c r="AL17" s="116"/>
      <c r="AM17" s="116">
        <v>0</v>
      </c>
      <c r="AN17" s="116"/>
      <c r="AO17" s="116"/>
      <c r="AP17" s="116">
        <v>0</v>
      </c>
      <c r="AQ17" s="116"/>
      <c r="AR17" s="116">
        <v>0</v>
      </c>
      <c r="AS17" s="116">
        <v>0</v>
      </c>
      <c r="AT17" s="116">
        <v>0</v>
      </c>
      <c r="AU17" s="116"/>
      <c r="AV17" s="116"/>
      <c r="AW17" s="116"/>
      <c r="AX17" s="116"/>
      <c r="AY17" s="116">
        <v>0</v>
      </c>
      <c r="BB17" s="106">
        <v>0</v>
      </c>
    </row>
    <row r="18" spans="1:54" x14ac:dyDescent="0.2">
      <c r="A18" s="131"/>
      <c r="B18" s="122">
        <v>4</v>
      </c>
      <c r="C18" s="131" t="s">
        <v>292</v>
      </c>
      <c r="D18" s="131"/>
      <c r="E18" s="131"/>
      <c r="F18" s="131"/>
      <c r="G18" s="131"/>
      <c r="H18" s="131">
        <v>0</v>
      </c>
      <c r="I18" s="131"/>
      <c r="J18" s="131"/>
      <c r="K18" s="131"/>
      <c r="L18" s="131"/>
      <c r="M18" s="131"/>
      <c r="N18" s="131"/>
      <c r="O18" s="131"/>
      <c r="P18" s="131"/>
      <c r="Q18" s="131">
        <v>0</v>
      </c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>
        <v>0</v>
      </c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>
        <v>0</v>
      </c>
      <c r="BA18" s="106">
        <v>0</v>
      </c>
    </row>
    <row r="20" spans="1:54" x14ac:dyDescent="0.2">
      <c r="A20" s="108" t="s">
        <v>293</v>
      </c>
    </row>
    <row r="21" spans="1:54" x14ac:dyDescent="0.2">
      <c r="A21" s="132" t="s">
        <v>125</v>
      </c>
      <c r="B21" s="129">
        <v>1</v>
      </c>
      <c r="C21" s="130" t="s">
        <v>292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4" x14ac:dyDescent="0.2">
      <c r="A22" s="115"/>
      <c r="B22" s="126">
        <v>2</v>
      </c>
      <c r="C22" s="116" t="s">
        <v>292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4" x14ac:dyDescent="0.2">
      <c r="A23" s="115"/>
      <c r="B23" s="133">
        <v>3</v>
      </c>
      <c r="C23" s="116" t="s">
        <v>292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4" x14ac:dyDescent="0.2">
      <c r="A24" s="134"/>
      <c r="B24" s="135">
        <v>4</v>
      </c>
      <c r="C24" s="134" t="s">
        <v>292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4" x14ac:dyDescent="0.2">
      <c r="A25" s="132" t="s">
        <v>133</v>
      </c>
      <c r="B25" s="129">
        <v>1</v>
      </c>
      <c r="C25" s="115" t="s">
        <v>292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4" x14ac:dyDescent="0.2">
      <c r="A26" s="115"/>
      <c r="B26" s="125">
        <v>2</v>
      </c>
      <c r="C26" s="115" t="s">
        <v>292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4" x14ac:dyDescent="0.2">
      <c r="A27" s="115"/>
      <c r="B27" s="126">
        <v>3</v>
      </c>
      <c r="C27" s="115" t="s">
        <v>292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4" x14ac:dyDescent="0.2">
      <c r="A28" s="115"/>
      <c r="B28" s="126">
        <v>4</v>
      </c>
      <c r="C28" s="115" t="s">
        <v>292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4" x14ac:dyDescent="0.2">
      <c r="A29" s="115"/>
      <c r="B29" s="133">
        <v>5</v>
      </c>
      <c r="C29" s="115" t="s">
        <v>292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4" x14ac:dyDescent="0.2">
      <c r="A30" s="115"/>
      <c r="B30" s="133">
        <v>6</v>
      </c>
      <c r="C30" s="115" t="s">
        <v>292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4" x14ac:dyDescent="0.2">
      <c r="A31" s="115"/>
      <c r="B31" s="136">
        <v>7</v>
      </c>
      <c r="C31" s="115" t="s">
        <v>292</v>
      </c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4" x14ac:dyDescent="0.2">
      <c r="A32" s="134"/>
      <c r="B32" s="135">
        <v>8</v>
      </c>
      <c r="C32" s="134" t="s">
        <v>292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292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292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292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292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292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292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292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292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292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292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292</v>
      </c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292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292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292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292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292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292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292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292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292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292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292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292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292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292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292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292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292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292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292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292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292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292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292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292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292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292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292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292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292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292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292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292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292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292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292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292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292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292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292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292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292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292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292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292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292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292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292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292</v>
      </c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292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0</v>
      </c>
    </row>
    <row r="94" spans="1:52" x14ac:dyDescent="0.2">
      <c r="A94" s="108" t="s">
        <v>294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/>
      <c r="D95" s="116">
        <v>4976.3169226352811</v>
      </c>
      <c r="E95" s="116">
        <v>4976.3169226352811</v>
      </c>
      <c r="F95" s="116">
        <v>4976.3169226352811</v>
      </c>
      <c r="G95" s="116">
        <v>4976.3169226352811</v>
      </c>
      <c r="H95" s="116">
        <v>4976.3169226352811</v>
      </c>
      <c r="I95" s="116">
        <v>4976.3169226352811</v>
      </c>
      <c r="J95" s="116">
        <v>4976.3169226352811</v>
      </c>
      <c r="K95" s="116">
        <v>4976.3169226352811</v>
      </c>
      <c r="L95" s="116">
        <v>4976.3169226352811</v>
      </c>
      <c r="M95" s="116">
        <v>4976.3169226352811</v>
      </c>
      <c r="N95" s="116">
        <v>4976.3169226352811</v>
      </c>
      <c r="O95" s="116">
        <v>4976.3169226352811</v>
      </c>
      <c r="P95" s="116">
        <v>4976.3169226352811</v>
      </c>
      <c r="Q95" s="116">
        <v>4976.3169226352811</v>
      </c>
      <c r="R95" s="116">
        <v>4976.3169226352811</v>
      </c>
      <c r="S95" s="116">
        <v>4976.3169226352811</v>
      </c>
      <c r="T95" s="116">
        <v>4976.3169226352811</v>
      </c>
      <c r="U95" s="116">
        <v>4976.3169226352811</v>
      </c>
      <c r="V95" s="116">
        <v>4976.3169226352811</v>
      </c>
      <c r="W95" s="116">
        <v>4976.3169226352811</v>
      </c>
      <c r="X95" s="116">
        <v>4976.3169226352811</v>
      </c>
      <c r="Y95" s="116">
        <v>4976.3169226352811</v>
      </c>
      <c r="Z95" s="116">
        <v>4976.3169226352811</v>
      </c>
      <c r="AA95" s="116">
        <v>4976.3169226352811</v>
      </c>
      <c r="AB95" s="116">
        <v>4976.3169226352811</v>
      </c>
      <c r="AC95" s="116">
        <v>4976.3169226352811</v>
      </c>
      <c r="AD95" s="116">
        <v>4976.3169226352811</v>
      </c>
      <c r="AE95" s="116">
        <v>4976.3169226352811</v>
      </c>
      <c r="AF95" s="116">
        <v>4976.3169226352811</v>
      </c>
      <c r="AG95" s="116">
        <v>4976.3169226352811</v>
      </c>
      <c r="AH95" s="116">
        <v>4976.3169226352811</v>
      </c>
      <c r="AI95" s="116">
        <v>4976.3169226352811</v>
      </c>
      <c r="AJ95" s="116">
        <v>4976.3169226352811</v>
      </c>
      <c r="AK95" s="116">
        <v>4976.3169226352811</v>
      </c>
      <c r="AL95" s="116">
        <v>4976.3169226352811</v>
      </c>
      <c r="AM95" s="116">
        <v>4976.3169226352811</v>
      </c>
      <c r="AN95" s="116">
        <v>4976.3169226352811</v>
      </c>
      <c r="AO95" s="116">
        <v>4976.3169226352811</v>
      </c>
      <c r="AP95" s="116">
        <v>4976.3169226352811</v>
      </c>
      <c r="AQ95" s="116">
        <v>4976.3169226352811</v>
      </c>
      <c r="AR95" s="116">
        <v>4976.3169226352811</v>
      </c>
      <c r="AS95" s="116">
        <v>4976.3169226352811</v>
      </c>
      <c r="AT95" s="116">
        <v>4976.3169226352811</v>
      </c>
      <c r="AU95" s="116">
        <v>4976.3169226352811</v>
      </c>
      <c r="AV95" s="116">
        <v>4976.3169226352811</v>
      </c>
      <c r="AW95" s="116">
        <v>4976.3169226352811</v>
      </c>
      <c r="AX95" s="116">
        <v>4976.3169226352811</v>
      </c>
      <c r="AY95" s="116">
        <v>4976.3169226352811</v>
      </c>
    </row>
    <row r="96" spans="1:52" x14ac:dyDescent="0.2">
      <c r="A96" s="115"/>
      <c r="B96" s="126">
        <v>2</v>
      </c>
      <c r="C96" s="116"/>
      <c r="D96" s="116">
        <v>0</v>
      </c>
      <c r="E96" s="116">
        <v>33.316922635281117</v>
      </c>
      <c r="F96" s="116">
        <v>301.63384527056223</v>
      </c>
      <c r="G96" s="116">
        <v>2255.9507679058433</v>
      </c>
      <c r="H96" s="116">
        <v>3386.2676905411245</v>
      </c>
      <c r="I96" s="116">
        <v>4786.5846131764056</v>
      </c>
      <c r="J96" s="116">
        <v>4976.3169226352811</v>
      </c>
      <c r="K96" s="116">
        <v>4976.3169226352811</v>
      </c>
      <c r="L96" s="116">
        <v>4976.3169226352811</v>
      </c>
      <c r="M96" s="116">
        <v>4976.3169226352811</v>
      </c>
      <c r="N96" s="116">
        <v>4976.3169226352811</v>
      </c>
      <c r="O96" s="116">
        <v>4976.3169226352811</v>
      </c>
      <c r="P96" s="116">
        <v>4976.3169226352811</v>
      </c>
      <c r="Q96" s="116">
        <v>4976.3169226352811</v>
      </c>
      <c r="R96" s="116">
        <v>4976.3169226352811</v>
      </c>
      <c r="S96" s="116">
        <v>4976.3169226352811</v>
      </c>
      <c r="T96" s="116">
        <v>4976.3169226352811</v>
      </c>
      <c r="U96" s="116">
        <v>4976.3169226352811</v>
      </c>
      <c r="V96" s="116">
        <v>4976.3169226352811</v>
      </c>
      <c r="W96" s="116">
        <v>4976.3169226352811</v>
      </c>
      <c r="X96" s="116">
        <v>4976.3169226352811</v>
      </c>
      <c r="Y96" s="116">
        <v>4976.3169226352811</v>
      </c>
      <c r="Z96" s="116">
        <v>4976.3169226352811</v>
      </c>
      <c r="AA96" s="116">
        <v>4976.3169226352811</v>
      </c>
      <c r="AB96" s="116">
        <v>4976.3169226352811</v>
      </c>
      <c r="AC96" s="116">
        <v>4976.3169226352811</v>
      </c>
      <c r="AD96" s="116">
        <v>4976.3169226352811</v>
      </c>
      <c r="AE96" s="116">
        <v>4976.3169226352811</v>
      </c>
      <c r="AF96" s="116">
        <v>4976.3169226352811</v>
      </c>
      <c r="AG96" s="116">
        <v>4976.3169226352811</v>
      </c>
      <c r="AH96" s="116">
        <v>4976.3169226352811</v>
      </c>
      <c r="AI96" s="116">
        <v>4976.3169226352811</v>
      </c>
      <c r="AJ96" s="116">
        <v>4976.3169226352811</v>
      </c>
      <c r="AK96" s="116">
        <v>4976.3169226352811</v>
      </c>
      <c r="AL96" s="116">
        <v>4976.3169226352811</v>
      </c>
      <c r="AM96" s="116">
        <v>4976.3169226352811</v>
      </c>
      <c r="AN96" s="116">
        <v>4976.3169226352811</v>
      </c>
      <c r="AO96" s="116">
        <v>4976.3169226352811</v>
      </c>
      <c r="AP96" s="116">
        <v>4976.3169226352811</v>
      </c>
      <c r="AQ96" s="116">
        <v>4976.3169226352811</v>
      </c>
      <c r="AR96" s="116">
        <v>4976.3169226352811</v>
      </c>
      <c r="AS96" s="116">
        <v>4976.3169226352811</v>
      </c>
      <c r="AT96" s="116">
        <v>4976.3169226352811</v>
      </c>
      <c r="AU96" s="116">
        <v>4976.3169226352811</v>
      </c>
      <c r="AV96" s="116">
        <v>4976.3169226352811</v>
      </c>
      <c r="AW96" s="116">
        <v>4976.3169226352811</v>
      </c>
      <c r="AX96" s="116">
        <v>4976.3169226352811</v>
      </c>
      <c r="AY96" s="116">
        <v>4976.3169226352811</v>
      </c>
    </row>
    <row r="97" spans="1:52" x14ac:dyDescent="0.2">
      <c r="A97" s="115"/>
      <c r="B97" s="133">
        <v>3</v>
      </c>
      <c r="C97" s="116"/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332.58461317640558</v>
      </c>
      <c r="K97" s="116">
        <v>453.9015358116867</v>
      </c>
      <c r="L97" s="116">
        <v>941.21845844696782</v>
      </c>
      <c r="M97" s="116">
        <v>1514.5353810822489</v>
      </c>
      <c r="N97" s="116">
        <v>1781.85230371753</v>
      </c>
      <c r="O97" s="116">
        <v>1953.1692263528112</v>
      </c>
      <c r="P97" s="116">
        <v>2514.4861489880923</v>
      </c>
      <c r="Q97" s="116">
        <v>2344.8030716233734</v>
      </c>
      <c r="R97" s="116">
        <v>3344.1199942586545</v>
      </c>
      <c r="S97" s="116">
        <v>3667.4369168939356</v>
      </c>
      <c r="T97" s="116">
        <v>3213.7538395292167</v>
      </c>
      <c r="U97" s="116">
        <v>3643.0707621644979</v>
      </c>
      <c r="V97" s="116">
        <v>4665.387684799779</v>
      </c>
      <c r="W97" s="116">
        <v>4976.3169226352811</v>
      </c>
      <c r="X97" s="116">
        <v>4976.3169226352811</v>
      </c>
      <c r="Y97" s="116">
        <v>4976.3169226352811</v>
      </c>
      <c r="Z97" s="116">
        <v>4976.3169226352811</v>
      </c>
      <c r="AA97" s="116">
        <v>4976.3169226352811</v>
      </c>
      <c r="AB97" s="116">
        <v>4976.3169226352811</v>
      </c>
      <c r="AC97" s="116">
        <v>4976.3169226352811</v>
      </c>
      <c r="AD97" s="116">
        <v>4976.3169226352811</v>
      </c>
      <c r="AE97" s="116">
        <v>4976.3169226352811</v>
      </c>
      <c r="AF97" s="116">
        <v>4976.3169226352811</v>
      </c>
      <c r="AG97" s="116">
        <v>4976.3169226352811</v>
      </c>
      <c r="AH97" s="116">
        <v>4976.3169226352811</v>
      </c>
      <c r="AI97" s="116">
        <v>4976.3169226352811</v>
      </c>
      <c r="AJ97" s="116">
        <v>4976.3169226352811</v>
      </c>
      <c r="AK97" s="116">
        <v>4976.3169226352811</v>
      </c>
      <c r="AL97" s="116">
        <v>4976.3169226352811</v>
      </c>
      <c r="AM97" s="116">
        <v>4976.3169226352811</v>
      </c>
      <c r="AN97" s="116">
        <v>4976.3169226352811</v>
      </c>
      <c r="AO97" s="116">
        <v>4976.3169226352811</v>
      </c>
      <c r="AP97" s="116">
        <v>4976.3169226352811</v>
      </c>
      <c r="AQ97" s="116">
        <v>4976.3169226352811</v>
      </c>
      <c r="AR97" s="116">
        <v>4976.3169226352811</v>
      </c>
      <c r="AS97" s="116">
        <v>4976.3169226352811</v>
      </c>
      <c r="AT97" s="116">
        <v>4976.3169226352811</v>
      </c>
      <c r="AU97" s="116">
        <v>4976.3169226352811</v>
      </c>
      <c r="AV97" s="116">
        <v>4976.3169226352811</v>
      </c>
      <c r="AW97" s="116">
        <v>4976.3169226352811</v>
      </c>
      <c r="AX97" s="116">
        <v>4976.3169226352811</v>
      </c>
      <c r="AY97" s="116">
        <v>4976.3169226352811</v>
      </c>
    </row>
    <row r="98" spans="1:52" x14ac:dyDescent="0.2">
      <c r="A98" s="115"/>
      <c r="B98" s="136">
        <v>4</v>
      </c>
      <c r="C98" s="112"/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371.38768479977898</v>
      </c>
      <c r="X98" s="116">
        <v>779.7046074350601</v>
      </c>
      <c r="Y98" s="116">
        <v>502.02153007034121</v>
      </c>
      <c r="Z98" s="116">
        <v>878.33845270562233</v>
      </c>
      <c r="AA98" s="116">
        <v>1476.6553753409034</v>
      </c>
      <c r="AB98" s="116">
        <v>1493.9722979761846</v>
      </c>
      <c r="AC98" s="116">
        <v>2482.2892206114657</v>
      </c>
      <c r="AD98" s="116">
        <v>3004.6061432467468</v>
      </c>
      <c r="AE98" s="116">
        <v>4294.9230658820279</v>
      </c>
      <c r="AF98" s="116">
        <v>4682.239988517309</v>
      </c>
      <c r="AG98" s="116">
        <v>4481.5569111525901</v>
      </c>
      <c r="AH98" s="116">
        <v>4178.8738337878713</v>
      </c>
      <c r="AI98" s="116">
        <v>4527.1907564231524</v>
      </c>
      <c r="AJ98" s="116">
        <v>4976.3169226352811</v>
      </c>
      <c r="AK98" s="116">
        <v>4364.6338452705622</v>
      </c>
      <c r="AL98" s="116">
        <v>4976.3169226352811</v>
      </c>
      <c r="AM98" s="116">
        <v>4976.3169226352811</v>
      </c>
      <c r="AN98" s="116">
        <v>4209.6338452705622</v>
      </c>
      <c r="AO98" s="116">
        <v>4976.3169226352811</v>
      </c>
      <c r="AP98" s="116">
        <v>4976.3169226352811</v>
      </c>
      <c r="AQ98" s="116">
        <v>4976.3169226352811</v>
      </c>
      <c r="AR98" s="116">
        <v>4976.3169226352811</v>
      </c>
      <c r="AS98" s="116">
        <v>4976.3169226352811</v>
      </c>
      <c r="AT98" s="116">
        <v>4976.3169226352811</v>
      </c>
      <c r="AU98" s="116">
        <v>4976.3169226352811</v>
      </c>
      <c r="AV98" s="116">
        <v>4976.3169226352811</v>
      </c>
      <c r="AW98" s="116">
        <v>4976.3169226352811</v>
      </c>
      <c r="AX98" s="116">
        <v>4925.6338452705622</v>
      </c>
      <c r="AY98" s="116">
        <v>4976.3169226352811</v>
      </c>
    </row>
    <row r="99" spans="1:52" x14ac:dyDescent="0.2">
      <c r="A99" s="134"/>
      <c r="B99" s="138" t="s">
        <v>295</v>
      </c>
      <c r="C99" s="131"/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327.19075642315238</v>
      </c>
      <c r="AK99" s="131">
        <v>0</v>
      </c>
      <c r="AL99" s="131">
        <v>430.63384527056223</v>
      </c>
      <c r="AM99" s="131">
        <v>218.31692263528112</v>
      </c>
      <c r="AN99" s="131">
        <v>0</v>
      </c>
      <c r="AO99" s="131">
        <v>732.63384527056223</v>
      </c>
      <c r="AP99" s="131">
        <v>1444.3169226352811</v>
      </c>
      <c r="AQ99" s="131">
        <v>1946.3169226352811</v>
      </c>
      <c r="AR99" s="131">
        <v>1547.3169226352811</v>
      </c>
      <c r="AS99" s="131">
        <v>1392.3169226352811</v>
      </c>
      <c r="AT99" s="131">
        <v>1389.3169226352811</v>
      </c>
      <c r="AU99" s="131">
        <v>1688.3169226352811</v>
      </c>
      <c r="AV99" s="131">
        <v>1996.3169226352811</v>
      </c>
      <c r="AW99" s="131">
        <v>1002.3169226352811</v>
      </c>
      <c r="AX99" s="131">
        <v>0</v>
      </c>
      <c r="AY99" s="131">
        <v>351.63384527056223</v>
      </c>
      <c r="AZ99" s="113">
        <f>SUM($D99:$AY99)</f>
        <v>14466.944595952367</v>
      </c>
    </row>
    <row r="100" spans="1:52" x14ac:dyDescent="0.2">
      <c r="A100" s="137" t="s">
        <v>133</v>
      </c>
      <c r="B100" s="125">
        <v>1</v>
      </c>
      <c r="C100" s="112"/>
      <c r="D100" s="112">
        <v>0</v>
      </c>
      <c r="E100" s="112">
        <v>0</v>
      </c>
      <c r="F100" s="112">
        <v>2457.6830773647193</v>
      </c>
      <c r="G100" s="112">
        <v>321.68293383091714</v>
      </c>
      <c r="H100" s="112">
        <v>2457.6830773647193</v>
      </c>
      <c r="I100" s="112">
        <v>171.68293383091716</v>
      </c>
      <c r="J100" s="112">
        <v>2261.6829338309171</v>
      </c>
      <c r="K100" s="112">
        <v>2107.6830773647193</v>
      </c>
      <c r="L100" s="112">
        <v>2457.6830773647193</v>
      </c>
      <c r="M100" s="112">
        <v>2086.0001435338022</v>
      </c>
      <c r="N100" s="112">
        <v>2457.6830773647193</v>
      </c>
      <c r="O100" s="112">
        <v>2086.0001435338022</v>
      </c>
      <c r="P100" s="112">
        <v>2457.6830773647193</v>
      </c>
      <c r="Q100" s="112">
        <v>2086.0001435338022</v>
      </c>
      <c r="R100" s="112">
        <v>2261.6829338309171</v>
      </c>
      <c r="S100" s="112">
        <v>2107.6830773647193</v>
      </c>
      <c r="T100" s="112">
        <v>2457.6830773647193</v>
      </c>
      <c r="U100" s="112">
        <v>2107.6830773647193</v>
      </c>
      <c r="V100" s="112">
        <v>2457.6830773647193</v>
      </c>
      <c r="W100" s="112">
        <v>2107.6830773647193</v>
      </c>
      <c r="X100" s="112">
        <v>2261.6829338309171</v>
      </c>
      <c r="Y100" s="112">
        <v>321.68293383091714</v>
      </c>
      <c r="Z100" s="112">
        <v>2457.6830773647193</v>
      </c>
      <c r="AA100" s="112">
        <v>300</v>
      </c>
      <c r="AB100" s="112">
        <v>2457.6830773647193</v>
      </c>
      <c r="AC100" s="112">
        <v>2107.6830773647193</v>
      </c>
      <c r="AD100" s="112">
        <v>2457.6830773647193</v>
      </c>
      <c r="AE100" s="112">
        <v>2086.0001435338022</v>
      </c>
      <c r="AF100" s="112">
        <v>2457.6830773647193</v>
      </c>
      <c r="AG100" s="112">
        <v>2107.6830773647193</v>
      </c>
      <c r="AH100" s="112">
        <v>2261.6829338309171</v>
      </c>
      <c r="AI100" s="112">
        <v>2086.0001435338022</v>
      </c>
      <c r="AJ100" s="112">
        <v>2457.6830773647193</v>
      </c>
      <c r="AK100" s="112">
        <v>321.68293383091714</v>
      </c>
      <c r="AL100" s="112">
        <v>2261.6829338309171</v>
      </c>
      <c r="AM100" s="112">
        <v>321.68293383091714</v>
      </c>
      <c r="AN100" s="112">
        <v>2261.6829338309171</v>
      </c>
      <c r="AO100" s="112">
        <v>321.68293383091714</v>
      </c>
      <c r="AP100" s="112">
        <v>4072.0002870676044</v>
      </c>
      <c r="AQ100" s="112">
        <v>2279.3660111956365</v>
      </c>
      <c r="AR100" s="112">
        <v>171.68293383091716</v>
      </c>
      <c r="AS100" s="112">
        <v>2090</v>
      </c>
      <c r="AT100" s="112">
        <v>493.36586766183433</v>
      </c>
      <c r="AU100" s="112">
        <v>2286.0001435338022</v>
      </c>
      <c r="AV100" s="112">
        <v>2107.6830773647193</v>
      </c>
      <c r="AW100" s="112">
        <v>2261.6829338309171</v>
      </c>
      <c r="AX100" s="112">
        <v>321.68293383091714</v>
      </c>
      <c r="AY100" s="112">
        <v>650</v>
      </c>
    </row>
    <row r="101" spans="1:52" x14ac:dyDescent="0.2">
      <c r="A101" s="115"/>
      <c r="B101" s="125">
        <v>2</v>
      </c>
      <c r="C101" s="112"/>
      <c r="D101" s="112">
        <v>0</v>
      </c>
      <c r="E101" s="112">
        <v>0</v>
      </c>
      <c r="F101" s="112">
        <v>0</v>
      </c>
      <c r="G101" s="112">
        <v>0</v>
      </c>
      <c r="H101" s="112">
        <v>1786.0001435338022</v>
      </c>
      <c r="I101" s="112">
        <v>0</v>
      </c>
      <c r="J101" s="112">
        <v>2.8421709430404007E-14</v>
      </c>
      <c r="K101" s="112">
        <v>196.0001435338022</v>
      </c>
      <c r="L101" s="112">
        <v>0</v>
      </c>
      <c r="M101" s="112">
        <v>0</v>
      </c>
      <c r="N101" s="112">
        <v>371.68293383091714</v>
      </c>
      <c r="O101" s="112">
        <v>0</v>
      </c>
      <c r="P101" s="112">
        <v>21.682933830917136</v>
      </c>
      <c r="Q101" s="112">
        <v>0</v>
      </c>
      <c r="R101" s="112">
        <v>371.68293383091714</v>
      </c>
      <c r="S101" s="112">
        <v>196.0001435338022</v>
      </c>
      <c r="T101" s="112">
        <v>0</v>
      </c>
      <c r="U101" s="112">
        <v>0</v>
      </c>
      <c r="V101" s="112">
        <v>350</v>
      </c>
      <c r="W101" s="112">
        <v>0</v>
      </c>
      <c r="X101" s="112">
        <v>0</v>
      </c>
      <c r="Y101" s="112">
        <v>196.0001435338022</v>
      </c>
      <c r="Z101" s="112">
        <v>1786.0001435338022</v>
      </c>
      <c r="AA101" s="112">
        <v>118.68322089852154</v>
      </c>
      <c r="AB101" s="112">
        <v>1807.6830773647193</v>
      </c>
      <c r="AC101" s="112">
        <v>0</v>
      </c>
      <c r="AD101" s="112">
        <v>350</v>
      </c>
      <c r="AE101" s="112">
        <v>0</v>
      </c>
      <c r="AF101" s="112">
        <v>371.68293383091714</v>
      </c>
      <c r="AG101" s="112">
        <v>0</v>
      </c>
      <c r="AH101" s="112">
        <v>350</v>
      </c>
      <c r="AI101" s="112">
        <v>196.0001435338022</v>
      </c>
      <c r="AJ101" s="112">
        <v>371.68293383091714</v>
      </c>
      <c r="AK101" s="112">
        <v>0</v>
      </c>
      <c r="AL101" s="112">
        <v>0</v>
      </c>
      <c r="AM101" s="112">
        <v>196.0001435338022</v>
      </c>
      <c r="AN101" s="112">
        <v>350</v>
      </c>
      <c r="AO101" s="112">
        <v>0</v>
      </c>
      <c r="AP101" s="112">
        <v>350</v>
      </c>
      <c r="AQ101" s="112">
        <v>3073.0005741352088</v>
      </c>
      <c r="AR101" s="112">
        <v>1865.3665853308453</v>
      </c>
      <c r="AS101" s="112">
        <v>2.8421709430404007E-14</v>
      </c>
      <c r="AT101" s="112">
        <v>1982.0002870676044</v>
      </c>
      <c r="AU101" s="112">
        <v>2136.0001435338022</v>
      </c>
      <c r="AV101" s="112">
        <v>1823.6832208985215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/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350</v>
      </c>
      <c r="J102" s="112">
        <v>0</v>
      </c>
      <c r="K102" s="112">
        <v>1786.0001435338022</v>
      </c>
      <c r="L102" s="112">
        <v>0</v>
      </c>
      <c r="M102" s="112">
        <v>350</v>
      </c>
      <c r="N102" s="112">
        <v>0</v>
      </c>
      <c r="O102" s="112">
        <v>0</v>
      </c>
      <c r="P102" s="112">
        <v>0</v>
      </c>
      <c r="Q102" s="112">
        <v>350</v>
      </c>
      <c r="R102" s="112">
        <v>0</v>
      </c>
      <c r="S102" s="112">
        <v>0</v>
      </c>
      <c r="T102" s="112">
        <v>0</v>
      </c>
      <c r="U102" s="112">
        <v>350</v>
      </c>
      <c r="V102" s="112">
        <v>0</v>
      </c>
      <c r="W102" s="112">
        <v>0</v>
      </c>
      <c r="X102" s="112">
        <v>0</v>
      </c>
      <c r="Y102" s="112">
        <v>350</v>
      </c>
      <c r="Z102" s="112">
        <v>0</v>
      </c>
      <c r="AA102" s="112">
        <v>350</v>
      </c>
      <c r="AB102" s="112">
        <v>0</v>
      </c>
      <c r="AC102" s="112">
        <v>350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2136.0001435338022</v>
      </c>
      <c r="AN102" s="112">
        <v>0</v>
      </c>
      <c r="AO102" s="112">
        <v>0</v>
      </c>
      <c r="AP102" s="112">
        <v>1982.0002870676044</v>
      </c>
      <c r="AQ102" s="112">
        <v>0</v>
      </c>
      <c r="AR102" s="112">
        <v>0</v>
      </c>
      <c r="AS102" s="112">
        <v>350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196.0001435338022</v>
      </c>
    </row>
    <row r="103" spans="1:52" x14ac:dyDescent="0.2">
      <c r="A103" s="115"/>
      <c r="B103" s="126">
        <v>4</v>
      </c>
      <c r="C103" s="112"/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350</v>
      </c>
    </row>
    <row r="104" spans="1:52" x14ac:dyDescent="0.2">
      <c r="A104" s="115"/>
      <c r="B104" s="133">
        <v>5</v>
      </c>
      <c r="C104" s="112"/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/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/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/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295</v>
      </c>
      <c r="C108" s="120"/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/>
      <c r="D109" s="112">
        <v>0</v>
      </c>
      <c r="E109" s="112">
        <v>0</v>
      </c>
      <c r="F109" s="112">
        <v>0</v>
      </c>
      <c r="G109" s="112">
        <v>0</v>
      </c>
      <c r="H109" s="112">
        <v>0</v>
      </c>
      <c r="I109" s="112">
        <v>0</v>
      </c>
      <c r="J109" s="112">
        <v>0</v>
      </c>
      <c r="K109" s="112">
        <v>0</v>
      </c>
      <c r="L109" s="112">
        <v>0</v>
      </c>
      <c r="M109" s="112">
        <v>0</v>
      </c>
      <c r="N109" s="112">
        <v>0</v>
      </c>
      <c r="O109" s="112">
        <v>0</v>
      </c>
      <c r="P109" s="112">
        <v>0</v>
      </c>
      <c r="Q109" s="112">
        <v>0</v>
      </c>
      <c r="R109" s="112">
        <v>0</v>
      </c>
      <c r="S109" s="112">
        <v>0</v>
      </c>
      <c r="T109" s="112">
        <v>0</v>
      </c>
      <c r="U109" s="112">
        <v>0</v>
      </c>
      <c r="V109" s="112">
        <v>0</v>
      </c>
      <c r="W109" s="112">
        <v>0</v>
      </c>
      <c r="X109" s="112">
        <v>0</v>
      </c>
      <c r="Y109" s="112">
        <v>0</v>
      </c>
      <c r="Z109" s="112">
        <v>0</v>
      </c>
      <c r="AA109" s="112">
        <v>0</v>
      </c>
      <c r="AB109" s="112">
        <v>0</v>
      </c>
      <c r="AC109" s="112">
        <v>0</v>
      </c>
      <c r="AD109" s="112">
        <v>0</v>
      </c>
      <c r="AE109" s="112">
        <v>0</v>
      </c>
      <c r="AF109" s="112">
        <v>0</v>
      </c>
      <c r="AG109" s="112">
        <v>0</v>
      </c>
      <c r="AH109" s="112">
        <v>0</v>
      </c>
      <c r="AI109" s="112">
        <v>0</v>
      </c>
      <c r="AJ109" s="112">
        <v>0</v>
      </c>
      <c r="AK109" s="112">
        <v>0</v>
      </c>
      <c r="AL109" s="112">
        <v>0</v>
      </c>
      <c r="AM109" s="112">
        <v>0</v>
      </c>
      <c r="AN109" s="112">
        <v>0</v>
      </c>
      <c r="AO109" s="112">
        <v>0</v>
      </c>
      <c r="AP109" s="112">
        <v>0</v>
      </c>
      <c r="AQ109" s="112">
        <v>0</v>
      </c>
      <c r="AR109" s="112">
        <v>0</v>
      </c>
      <c r="AS109" s="112">
        <v>0</v>
      </c>
      <c r="AT109" s="112">
        <v>0</v>
      </c>
      <c r="AU109" s="112">
        <v>0</v>
      </c>
      <c r="AV109" s="112">
        <v>0</v>
      </c>
      <c r="AW109" s="112">
        <v>0</v>
      </c>
      <c r="AX109" s="112">
        <v>0</v>
      </c>
      <c r="AY109" s="112">
        <v>0</v>
      </c>
    </row>
    <row r="110" spans="1:52" x14ac:dyDescent="0.2">
      <c r="A110" s="115"/>
      <c r="B110" s="125">
        <v>2</v>
      </c>
      <c r="C110" s="112"/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/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/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/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/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/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/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/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/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/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/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295</v>
      </c>
      <c r="C121" s="120"/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/>
      <c r="D122" s="112">
        <v>0</v>
      </c>
      <c r="E122" s="112">
        <v>0</v>
      </c>
      <c r="F122" s="112">
        <v>0</v>
      </c>
      <c r="G122" s="112">
        <v>0</v>
      </c>
      <c r="H122" s="112">
        <v>0</v>
      </c>
      <c r="I122" s="112">
        <v>0</v>
      </c>
      <c r="J122" s="112">
        <v>0</v>
      </c>
      <c r="K122" s="112">
        <v>0</v>
      </c>
      <c r="L122" s="112">
        <v>0</v>
      </c>
      <c r="M122" s="112">
        <v>0</v>
      </c>
      <c r="N122" s="112">
        <v>0</v>
      </c>
      <c r="O122" s="112">
        <v>0</v>
      </c>
      <c r="P122" s="112">
        <v>0</v>
      </c>
      <c r="Q122" s="112">
        <v>0</v>
      </c>
      <c r="R122" s="112">
        <v>0</v>
      </c>
      <c r="S122" s="112">
        <v>0</v>
      </c>
      <c r="T122" s="112">
        <v>0</v>
      </c>
      <c r="U122" s="112">
        <v>0</v>
      </c>
      <c r="V122" s="112">
        <v>0</v>
      </c>
      <c r="W122" s="112">
        <v>0</v>
      </c>
      <c r="X122" s="112">
        <v>0</v>
      </c>
      <c r="Y122" s="112">
        <v>0</v>
      </c>
      <c r="Z122" s="112">
        <v>0</v>
      </c>
      <c r="AA122" s="112">
        <v>0</v>
      </c>
      <c r="AB122" s="112">
        <v>0</v>
      </c>
      <c r="AC122" s="112">
        <v>0</v>
      </c>
      <c r="AD122" s="112">
        <v>0</v>
      </c>
      <c r="AE122" s="112">
        <v>0</v>
      </c>
      <c r="AF122" s="112">
        <v>0</v>
      </c>
      <c r="AG122" s="112">
        <v>0</v>
      </c>
      <c r="AH122" s="112">
        <v>0</v>
      </c>
      <c r="AI122" s="112">
        <v>0</v>
      </c>
      <c r="AJ122" s="112">
        <v>0</v>
      </c>
      <c r="AK122" s="112">
        <v>0</v>
      </c>
      <c r="AL122" s="112">
        <v>0</v>
      </c>
      <c r="AM122" s="112">
        <v>0</v>
      </c>
      <c r="AN122" s="112">
        <v>0</v>
      </c>
      <c r="AO122" s="112">
        <v>0</v>
      </c>
      <c r="AP122" s="112">
        <v>0</v>
      </c>
      <c r="AQ122" s="112">
        <v>0</v>
      </c>
      <c r="AR122" s="112">
        <v>0</v>
      </c>
      <c r="AS122" s="112">
        <v>0</v>
      </c>
      <c r="AT122" s="112">
        <v>0</v>
      </c>
      <c r="AU122" s="112">
        <v>0</v>
      </c>
      <c r="AV122" s="112">
        <v>0</v>
      </c>
      <c r="AW122" s="112">
        <v>0</v>
      </c>
      <c r="AX122" s="112">
        <v>0</v>
      </c>
      <c r="AY122" s="112">
        <v>0</v>
      </c>
    </row>
    <row r="123" spans="1:52" x14ac:dyDescent="0.2">
      <c r="A123" s="115"/>
      <c r="B123" s="125">
        <v>2</v>
      </c>
      <c r="C123" s="112"/>
      <c r="D123" s="112">
        <v>0</v>
      </c>
      <c r="E123" s="112">
        <v>0</v>
      </c>
      <c r="F123" s="112">
        <v>0</v>
      </c>
      <c r="G123" s="112">
        <v>0</v>
      </c>
      <c r="H123" s="112">
        <v>0</v>
      </c>
      <c r="I123" s="112">
        <v>0</v>
      </c>
      <c r="J123" s="112">
        <v>0</v>
      </c>
      <c r="K123" s="112">
        <v>0</v>
      </c>
      <c r="L123" s="112">
        <v>0</v>
      </c>
      <c r="M123" s="112">
        <v>0</v>
      </c>
      <c r="N123" s="112">
        <v>0</v>
      </c>
      <c r="O123" s="112">
        <v>0</v>
      </c>
      <c r="P123" s="112">
        <v>0</v>
      </c>
      <c r="Q123" s="112">
        <v>0</v>
      </c>
      <c r="R123" s="112">
        <v>0</v>
      </c>
      <c r="S123" s="112">
        <v>0</v>
      </c>
      <c r="T123" s="112">
        <v>0</v>
      </c>
      <c r="U123" s="112">
        <v>0</v>
      </c>
      <c r="V123" s="112">
        <v>0</v>
      </c>
      <c r="W123" s="112">
        <v>0</v>
      </c>
      <c r="X123" s="112">
        <v>0</v>
      </c>
      <c r="Y123" s="112">
        <v>0</v>
      </c>
      <c r="Z123" s="112">
        <v>0</v>
      </c>
      <c r="AA123" s="112">
        <v>0</v>
      </c>
      <c r="AB123" s="112">
        <v>0</v>
      </c>
      <c r="AC123" s="112">
        <v>0</v>
      </c>
      <c r="AD123" s="112">
        <v>0</v>
      </c>
      <c r="AE123" s="112">
        <v>0</v>
      </c>
      <c r="AF123" s="112">
        <v>0</v>
      </c>
      <c r="AG123" s="112">
        <v>0</v>
      </c>
      <c r="AH123" s="112">
        <v>0</v>
      </c>
      <c r="AI123" s="112">
        <v>0</v>
      </c>
      <c r="AJ123" s="112">
        <v>0</v>
      </c>
      <c r="AK123" s="112">
        <v>0</v>
      </c>
      <c r="AL123" s="112">
        <v>0</v>
      </c>
      <c r="AM123" s="112">
        <v>0</v>
      </c>
      <c r="AN123" s="112">
        <v>0</v>
      </c>
      <c r="AO123" s="112">
        <v>0</v>
      </c>
      <c r="AP123" s="112">
        <v>0</v>
      </c>
      <c r="AQ123" s="112">
        <v>0</v>
      </c>
      <c r="AR123" s="112">
        <v>0</v>
      </c>
      <c r="AS123" s="112">
        <v>0</v>
      </c>
      <c r="AT123" s="112">
        <v>0</v>
      </c>
      <c r="AU123" s="112">
        <v>0</v>
      </c>
      <c r="AV123" s="112">
        <v>0</v>
      </c>
      <c r="AW123" s="112">
        <v>0</v>
      </c>
      <c r="AX123" s="112">
        <v>0</v>
      </c>
      <c r="AY123" s="112">
        <v>0</v>
      </c>
    </row>
    <row r="124" spans="1:52" x14ac:dyDescent="0.2">
      <c r="A124" s="115"/>
      <c r="B124" s="125">
        <v>3</v>
      </c>
      <c r="C124" s="112"/>
      <c r="D124" s="112">
        <v>0</v>
      </c>
      <c r="E124" s="112">
        <v>0</v>
      </c>
      <c r="F124" s="112">
        <v>0</v>
      </c>
      <c r="G124" s="112">
        <v>0</v>
      </c>
      <c r="H124" s="112">
        <v>0</v>
      </c>
      <c r="I124" s="112">
        <v>0</v>
      </c>
      <c r="J124" s="112">
        <v>0</v>
      </c>
      <c r="K124" s="112">
        <v>0</v>
      </c>
      <c r="L124" s="112">
        <v>0</v>
      </c>
      <c r="M124" s="112">
        <v>0</v>
      </c>
      <c r="N124" s="112">
        <v>0</v>
      </c>
      <c r="O124" s="112">
        <v>0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0</v>
      </c>
      <c r="V124" s="112">
        <v>0</v>
      </c>
      <c r="W124" s="112">
        <v>0</v>
      </c>
      <c r="X124" s="112">
        <v>0</v>
      </c>
      <c r="Y124" s="112">
        <v>0</v>
      </c>
      <c r="Z124" s="112">
        <v>0</v>
      </c>
      <c r="AA124" s="112">
        <v>0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0</v>
      </c>
      <c r="AH124" s="112">
        <v>0</v>
      </c>
      <c r="AI124" s="112">
        <v>0</v>
      </c>
      <c r="AJ124" s="112">
        <v>0</v>
      </c>
      <c r="AK124" s="112">
        <v>0</v>
      </c>
      <c r="AL124" s="112">
        <v>0</v>
      </c>
      <c r="AM124" s="112">
        <v>0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0</v>
      </c>
      <c r="AT124" s="112">
        <v>0</v>
      </c>
      <c r="AU124" s="112">
        <v>0</v>
      </c>
      <c r="AV124" s="112">
        <v>0</v>
      </c>
      <c r="AW124" s="112">
        <v>0</v>
      </c>
      <c r="AX124" s="112">
        <v>0</v>
      </c>
      <c r="AY124" s="112">
        <v>0</v>
      </c>
    </row>
    <row r="125" spans="1:52" x14ac:dyDescent="0.2">
      <c r="A125" s="115"/>
      <c r="B125" s="125">
        <v>4</v>
      </c>
      <c r="C125" s="112"/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/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/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/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/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/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/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/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/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/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/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/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/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/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/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/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/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/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/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/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/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/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/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/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/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/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/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/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/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/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/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/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/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/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/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/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/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/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/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/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/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/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/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/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/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295</v>
      </c>
      <c r="C170" s="120"/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296</v>
      </c>
      <c r="C172" s="140"/>
      <c r="D172" s="140">
        <v>0</v>
      </c>
      <c r="E172" s="140">
        <v>0</v>
      </c>
      <c r="F172" s="140">
        <v>0</v>
      </c>
      <c r="G172" s="140">
        <v>0</v>
      </c>
      <c r="H172" s="140">
        <v>0</v>
      </c>
      <c r="I172" s="140">
        <v>0</v>
      </c>
      <c r="J172" s="140">
        <v>0</v>
      </c>
      <c r="K172" s="140">
        <v>0</v>
      </c>
      <c r="L172" s="140">
        <v>0</v>
      </c>
      <c r="M172" s="140">
        <v>0</v>
      </c>
      <c r="N172" s="140">
        <v>0</v>
      </c>
      <c r="O172" s="140">
        <v>0</v>
      </c>
      <c r="P172" s="140">
        <v>0</v>
      </c>
      <c r="Q172" s="140">
        <v>0</v>
      </c>
      <c r="R172" s="140">
        <v>0</v>
      </c>
      <c r="S172" s="140">
        <v>0</v>
      </c>
      <c r="T172" s="140">
        <v>0</v>
      </c>
      <c r="U172" s="140">
        <v>0</v>
      </c>
      <c r="V172" s="140">
        <v>0</v>
      </c>
      <c r="W172" s="140">
        <v>0</v>
      </c>
      <c r="X172" s="140">
        <v>0</v>
      </c>
      <c r="Y172" s="140">
        <v>0</v>
      </c>
      <c r="Z172" s="140">
        <v>0</v>
      </c>
      <c r="AA172" s="140">
        <v>0</v>
      </c>
      <c r="AB172" s="140">
        <v>0</v>
      </c>
      <c r="AC172" s="140">
        <v>0</v>
      </c>
      <c r="AD172" s="140">
        <v>0</v>
      </c>
      <c r="AE172" s="140">
        <v>0</v>
      </c>
      <c r="AF172" s="140">
        <v>0</v>
      </c>
      <c r="AG172" s="140">
        <v>0</v>
      </c>
      <c r="AH172" s="140">
        <v>0</v>
      </c>
      <c r="AI172" s="140">
        <v>0</v>
      </c>
      <c r="AJ172" s="140">
        <v>0</v>
      </c>
      <c r="AK172" s="140">
        <v>0</v>
      </c>
      <c r="AL172" s="140">
        <v>0</v>
      </c>
      <c r="AM172" s="140">
        <v>0</v>
      </c>
      <c r="AN172" s="140">
        <v>0</v>
      </c>
      <c r="AO172" s="140">
        <v>0</v>
      </c>
      <c r="AP172" s="140">
        <v>0</v>
      </c>
      <c r="AQ172" s="140">
        <v>0</v>
      </c>
      <c r="AR172" s="140">
        <v>0</v>
      </c>
      <c r="AS172" s="140">
        <v>0</v>
      </c>
      <c r="AT172" s="140">
        <v>0</v>
      </c>
      <c r="AU172" s="140">
        <v>0</v>
      </c>
      <c r="AV172" s="140">
        <v>0</v>
      </c>
      <c r="AW172" s="140">
        <v>0</v>
      </c>
      <c r="AX172" s="140">
        <v>0</v>
      </c>
      <c r="AY172" s="140">
        <v>0</v>
      </c>
    </row>
    <row r="174" spans="1:52" x14ac:dyDescent="0.2">
      <c r="A174" s="108" t="s">
        <v>271</v>
      </c>
    </row>
    <row r="175" spans="1:52" x14ac:dyDescent="0.2">
      <c r="A175" s="141" t="s">
        <v>125</v>
      </c>
      <c r="B175" s="141" t="s">
        <v>297</v>
      </c>
      <c r="C175" s="130" t="s">
        <v>292</v>
      </c>
      <c r="D175" s="130">
        <f t="shared" ref="D175:AY175" si="1">SUM(D95:D98)</f>
        <v>4976.3169226352811</v>
      </c>
      <c r="E175" s="130">
        <f t="shared" si="1"/>
        <v>5009.6338452705622</v>
      </c>
      <c r="F175" s="130">
        <f t="shared" si="1"/>
        <v>5277.9507679058433</v>
      </c>
      <c r="G175" s="130">
        <f t="shared" si="1"/>
        <v>7232.2676905411245</v>
      </c>
      <c r="H175" s="130">
        <f t="shared" si="1"/>
        <v>8362.5846131764047</v>
      </c>
      <c r="I175" s="130">
        <f t="shared" si="1"/>
        <v>9762.9015358116867</v>
      </c>
      <c r="J175" s="130">
        <f t="shared" si="1"/>
        <v>10285.218458446969</v>
      </c>
      <c r="K175" s="130">
        <f t="shared" si="1"/>
        <v>10406.535381082249</v>
      </c>
      <c r="L175" s="130">
        <f t="shared" si="1"/>
        <v>10893.852303717529</v>
      </c>
      <c r="M175" s="130">
        <f t="shared" si="1"/>
        <v>11467.169226352811</v>
      </c>
      <c r="N175" s="130">
        <f t="shared" si="1"/>
        <v>11734.486148988093</v>
      </c>
      <c r="O175" s="130">
        <f t="shared" si="1"/>
        <v>11905.803071623373</v>
      </c>
      <c r="P175" s="130">
        <f t="shared" si="1"/>
        <v>12467.119994258654</v>
      </c>
      <c r="Q175" s="130">
        <f t="shared" si="1"/>
        <v>12297.436916893936</v>
      </c>
      <c r="R175" s="130">
        <f t="shared" si="1"/>
        <v>13296.753839529218</v>
      </c>
      <c r="S175" s="130">
        <f t="shared" si="1"/>
        <v>13620.070762164498</v>
      </c>
      <c r="T175" s="130">
        <f t="shared" si="1"/>
        <v>13166.387684799778</v>
      </c>
      <c r="U175" s="130">
        <f t="shared" si="1"/>
        <v>13595.70460743506</v>
      </c>
      <c r="V175" s="130">
        <f t="shared" si="1"/>
        <v>14618.021530070342</v>
      </c>
      <c r="W175" s="130">
        <f t="shared" si="1"/>
        <v>15300.338452705622</v>
      </c>
      <c r="X175" s="130">
        <f t="shared" si="1"/>
        <v>15708.655375340904</v>
      </c>
      <c r="Y175" s="130">
        <f t="shared" si="1"/>
        <v>15430.972297976186</v>
      </c>
      <c r="Z175" s="130">
        <f t="shared" si="1"/>
        <v>15807.289220611467</v>
      </c>
      <c r="AA175" s="130">
        <f t="shared" si="1"/>
        <v>16405.606143246747</v>
      </c>
      <c r="AB175" s="130">
        <f t="shared" si="1"/>
        <v>16422.923065882031</v>
      </c>
      <c r="AC175" s="130">
        <f t="shared" si="1"/>
        <v>17411.239988517311</v>
      </c>
      <c r="AD175" s="130">
        <f t="shared" si="1"/>
        <v>17933.556911152591</v>
      </c>
      <c r="AE175" s="130">
        <f t="shared" si="1"/>
        <v>19223.873833787871</v>
      </c>
      <c r="AF175" s="130">
        <f t="shared" si="1"/>
        <v>19611.190756423151</v>
      </c>
      <c r="AG175" s="130">
        <f t="shared" si="1"/>
        <v>19410.507679058435</v>
      </c>
      <c r="AH175" s="130">
        <f t="shared" si="1"/>
        <v>19107.824601693716</v>
      </c>
      <c r="AI175" s="130">
        <f t="shared" si="1"/>
        <v>19456.141524328996</v>
      </c>
      <c r="AJ175" s="130">
        <f t="shared" si="1"/>
        <v>19905.267690541124</v>
      </c>
      <c r="AK175" s="130">
        <f t="shared" si="1"/>
        <v>19293.584613176405</v>
      </c>
      <c r="AL175" s="130">
        <f t="shared" si="1"/>
        <v>19905.267690541124</v>
      </c>
      <c r="AM175" s="130">
        <f t="shared" si="1"/>
        <v>19905.267690541124</v>
      </c>
      <c r="AN175" s="130">
        <f t="shared" si="1"/>
        <v>19138.584613176405</v>
      </c>
      <c r="AO175" s="130">
        <f t="shared" si="1"/>
        <v>19905.267690541124</v>
      </c>
      <c r="AP175" s="130">
        <f t="shared" si="1"/>
        <v>19905.267690541124</v>
      </c>
      <c r="AQ175" s="130">
        <f t="shared" si="1"/>
        <v>19905.267690541124</v>
      </c>
      <c r="AR175" s="130">
        <f t="shared" si="1"/>
        <v>19905.267690541124</v>
      </c>
      <c r="AS175" s="130">
        <f t="shared" si="1"/>
        <v>19905.267690541124</v>
      </c>
      <c r="AT175" s="130">
        <f t="shared" si="1"/>
        <v>19905.267690541124</v>
      </c>
      <c r="AU175" s="130">
        <f t="shared" si="1"/>
        <v>19905.267690541124</v>
      </c>
      <c r="AV175" s="130">
        <f t="shared" si="1"/>
        <v>19905.267690541124</v>
      </c>
      <c r="AW175" s="130">
        <f t="shared" si="1"/>
        <v>19905.267690541124</v>
      </c>
      <c r="AX175" s="130">
        <f t="shared" si="1"/>
        <v>19854.584613176405</v>
      </c>
      <c r="AY175" s="130">
        <f t="shared" si="1"/>
        <v>19905.267690541124</v>
      </c>
    </row>
    <row r="176" spans="1:52" x14ac:dyDescent="0.2">
      <c r="A176" s="131"/>
      <c r="B176" s="142" t="s">
        <v>298</v>
      </c>
      <c r="C176" s="131" t="s">
        <v>292</v>
      </c>
      <c r="D176" s="131">
        <v>4943</v>
      </c>
      <c r="E176" s="131">
        <v>4708</v>
      </c>
      <c r="F176" s="131">
        <v>3022</v>
      </c>
      <c r="G176" s="131">
        <v>3846</v>
      </c>
      <c r="H176" s="131">
        <v>3576</v>
      </c>
      <c r="I176" s="131">
        <v>4454</v>
      </c>
      <c r="J176" s="131">
        <v>4855</v>
      </c>
      <c r="K176" s="131">
        <v>4489</v>
      </c>
      <c r="L176" s="131">
        <v>4403</v>
      </c>
      <c r="M176" s="131">
        <v>4709</v>
      </c>
      <c r="N176" s="131">
        <v>4805</v>
      </c>
      <c r="O176" s="131">
        <v>4415</v>
      </c>
      <c r="P176" s="131">
        <v>5146</v>
      </c>
      <c r="Q176" s="131">
        <v>3977</v>
      </c>
      <c r="R176" s="131">
        <v>4653</v>
      </c>
      <c r="S176" s="131">
        <v>5430</v>
      </c>
      <c r="T176" s="131">
        <v>4547</v>
      </c>
      <c r="U176" s="131">
        <v>3954</v>
      </c>
      <c r="V176" s="131">
        <v>4294</v>
      </c>
      <c r="W176" s="131">
        <v>4568</v>
      </c>
      <c r="X176" s="131">
        <v>5254</v>
      </c>
      <c r="Y176" s="131">
        <v>4600</v>
      </c>
      <c r="Z176" s="131">
        <v>4378</v>
      </c>
      <c r="AA176" s="131">
        <v>4959</v>
      </c>
      <c r="AB176" s="131">
        <v>3988</v>
      </c>
      <c r="AC176" s="131">
        <v>4454</v>
      </c>
      <c r="AD176" s="131">
        <v>3686</v>
      </c>
      <c r="AE176" s="131">
        <v>4589</v>
      </c>
      <c r="AF176" s="131">
        <v>5177</v>
      </c>
      <c r="AG176" s="131">
        <v>5279</v>
      </c>
      <c r="AH176" s="131">
        <v>4628</v>
      </c>
      <c r="AI176" s="131">
        <v>4200</v>
      </c>
      <c r="AJ176" s="131">
        <v>5588</v>
      </c>
      <c r="AK176" s="131">
        <v>3934</v>
      </c>
      <c r="AL176" s="131">
        <v>4758</v>
      </c>
      <c r="AM176" s="131">
        <v>5743</v>
      </c>
      <c r="AN176" s="131">
        <v>3477</v>
      </c>
      <c r="AO176" s="131">
        <v>3532</v>
      </c>
      <c r="AP176" s="131">
        <v>3030</v>
      </c>
      <c r="AQ176" s="131">
        <v>3429</v>
      </c>
      <c r="AR176" s="131">
        <v>3584</v>
      </c>
      <c r="AS176" s="131">
        <v>3587</v>
      </c>
      <c r="AT176" s="131">
        <v>3288</v>
      </c>
      <c r="AU176" s="131">
        <v>2980</v>
      </c>
      <c r="AV176" s="131">
        <v>3974</v>
      </c>
      <c r="AW176" s="131">
        <v>5027</v>
      </c>
      <c r="AX176" s="131">
        <v>4574</v>
      </c>
      <c r="AY176" s="131">
        <v>4703</v>
      </c>
    </row>
    <row r="177" spans="1:51" x14ac:dyDescent="0.2">
      <c r="A177" s="141" t="s">
        <v>133</v>
      </c>
      <c r="B177" s="141" t="s">
        <v>297</v>
      </c>
      <c r="C177" s="130" t="s">
        <v>292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2457.6830773647193</v>
      </c>
      <c r="G177" s="130">
        <f t="shared" si="2"/>
        <v>321.68293383091714</v>
      </c>
      <c r="H177" s="130">
        <f t="shared" si="2"/>
        <v>4243.6832208985215</v>
      </c>
      <c r="I177" s="130">
        <f t="shared" si="2"/>
        <v>521.68293383091714</v>
      </c>
      <c r="J177" s="130">
        <f t="shared" si="2"/>
        <v>2261.6829338309171</v>
      </c>
      <c r="K177" s="130">
        <f t="shared" si="2"/>
        <v>4089.6833644323237</v>
      </c>
      <c r="L177" s="130">
        <f t="shared" si="2"/>
        <v>2457.6830773647193</v>
      </c>
      <c r="M177" s="130">
        <f t="shared" si="2"/>
        <v>2436.0001435338022</v>
      </c>
      <c r="N177" s="130">
        <f t="shared" si="2"/>
        <v>2829.3660111956365</v>
      </c>
      <c r="O177" s="130">
        <f t="shared" si="2"/>
        <v>2086.0001435338022</v>
      </c>
      <c r="P177" s="130">
        <f t="shared" si="2"/>
        <v>2479.3660111956365</v>
      </c>
      <c r="Q177" s="130">
        <f t="shared" si="2"/>
        <v>2436.0001435338022</v>
      </c>
      <c r="R177" s="130">
        <f t="shared" si="2"/>
        <v>2633.3658676618343</v>
      </c>
      <c r="S177" s="130">
        <f t="shared" si="2"/>
        <v>2303.6832208985215</v>
      </c>
      <c r="T177" s="130">
        <f t="shared" si="2"/>
        <v>2457.6830773647193</v>
      </c>
      <c r="U177" s="130">
        <f t="shared" si="2"/>
        <v>2457.6830773647193</v>
      </c>
      <c r="V177" s="130">
        <f t="shared" si="2"/>
        <v>2807.6830773647193</v>
      </c>
      <c r="W177" s="130">
        <f t="shared" si="2"/>
        <v>2107.6830773647193</v>
      </c>
      <c r="X177" s="130">
        <f t="shared" si="2"/>
        <v>2261.6829338309171</v>
      </c>
      <c r="Y177" s="130">
        <f t="shared" si="2"/>
        <v>867.68307736471934</v>
      </c>
      <c r="Z177" s="130">
        <f t="shared" si="2"/>
        <v>4243.6832208985215</v>
      </c>
      <c r="AA177" s="130">
        <f t="shared" si="2"/>
        <v>768.68322089852154</v>
      </c>
      <c r="AB177" s="130">
        <f t="shared" si="2"/>
        <v>4265.3661547294387</v>
      </c>
      <c r="AC177" s="130">
        <f t="shared" si="2"/>
        <v>2457.6830773647193</v>
      </c>
      <c r="AD177" s="130">
        <f t="shared" si="2"/>
        <v>2807.6830773647193</v>
      </c>
      <c r="AE177" s="130">
        <f t="shared" si="2"/>
        <v>2086.0001435338022</v>
      </c>
      <c r="AF177" s="130">
        <f t="shared" si="2"/>
        <v>2829.3660111956365</v>
      </c>
      <c r="AG177" s="130">
        <f t="shared" si="2"/>
        <v>2107.6830773647193</v>
      </c>
      <c r="AH177" s="130">
        <f t="shared" si="2"/>
        <v>2611.6829338309171</v>
      </c>
      <c r="AI177" s="130">
        <f t="shared" si="2"/>
        <v>2282.0002870676044</v>
      </c>
      <c r="AJ177" s="130">
        <f t="shared" si="2"/>
        <v>2829.3660111956365</v>
      </c>
      <c r="AK177" s="130">
        <f t="shared" si="2"/>
        <v>321.68293383091714</v>
      </c>
      <c r="AL177" s="130">
        <f t="shared" si="2"/>
        <v>2261.6829338309171</v>
      </c>
      <c r="AM177" s="130">
        <f t="shared" si="2"/>
        <v>2653.6832208985215</v>
      </c>
      <c r="AN177" s="130">
        <f t="shared" si="2"/>
        <v>2611.6829338309171</v>
      </c>
      <c r="AO177" s="130">
        <f t="shared" si="2"/>
        <v>321.68293383091714</v>
      </c>
      <c r="AP177" s="130">
        <f t="shared" si="2"/>
        <v>6404.0005741352088</v>
      </c>
      <c r="AQ177" s="130">
        <f t="shared" si="2"/>
        <v>5352.3665853308448</v>
      </c>
      <c r="AR177" s="130">
        <f t="shared" si="2"/>
        <v>2037.0495191617624</v>
      </c>
      <c r="AS177" s="130">
        <f t="shared" si="2"/>
        <v>2440</v>
      </c>
      <c r="AT177" s="130">
        <f t="shared" si="2"/>
        <v>2475.3661547294387</v>
      </c>
      <c r="AU177" s="130">
        <f t="shared" si="2"/>
        <v>4422.0002870676044</v>
      </c>
      <c r="AV177" s="130">
        <f t="shared" si="2"/>
        <v>3931.3662982632409</v>
      </c>
      <c r="AW177" s="130">
        <f t="shared" si="2"/>
        <v>2261.6829338309171</v>
      </c>
      <c r="AX177" s="130">
        <f t="shared" si="2"/>
        <v>321.68293383091714</v>
      </c>
      <c r="AY177" s="130">
        <f t="shared" si="2"/>
        <v>1196.0001435338022</v>
      </c>
    </row>
    <row r="178" spans="1:51" x14ac:dyDescent="0.2">
      <c r="A178" s="131"/>
      <c r="B178" s="142" t="s">
        <v>298</v>
      </c>
      <c r="C178" s="131" t="s">
        <v>292</v>
      </c>
      <c r="D178" s="131">
        <v>0</v>
      </c>
      <c r="E178" s="131">
        <v>0</v>
      </c>
      <c r="F178" s="131">
        <v>2457.6830773647193</v>
      </c>
      <c r="G178" s="131">
        <v>321.68293383091714</v>
      </c>
      <c r="H178" s="131">
        <v>4243.6832208985215</v>
      </c>
      <c r="I178" s="131">
        <v>521.68293383091714</v>
      </c>
      <c r="J178" s="131">
        <v>2261.6829338309171</v>
      </c>
      <c r="K178" s="131">
        <v>4089.6833644323237</v>
      </c>
      <c r="L178" s="131">
        <v>2457.6830773647193</v>
      </c>
      <c r="M178" s="131">
        <v>2436.0001435338022</v>
      </c>
      <c r="N178" s="131">
        <v>2829.3660111956365</v>
      </c>
      <c r="O178" s="131">
        <v>2086.0001435338022</v>
      </c>
      <c r="P178" s="131">
        <v>2479.3660111956365</v>
      </c>
      <c r="Q178" s="131">
        <v>2436.0001435338022</v>
      </c>
      <c r="R178" s="131">
        <v>2633.3658676618343</v>
      </c>
      <c r="S178" s="131">
        <v>2303.6832208985215</v>
      </c>
      <c r="T178" s="131">
        <v>2457.6830773647193</v>
      </c>
      <c r="U178" s="131">
        <v>2457.6830773647193</v>
      </c>
      <c r="V178" s="131">
        <v>2807.6830773647193</v>
      </c>
      <c r="W178" s="131">
        <v>2107.6830773647193</v>
      </c>
      <c r="X178" s="131">
        <v>2261.6829338309171</v>
      </c>
      <c r="Y178" s="131">
        <v>867.68307736471934</v>
      </c>
      <c r="Z178" s="131">
        <v>4125</v>
      </c>
      <c r="AA178" s="131">
        <v>768.68322089852154</v>
      </c>
      <c r="AB178" s="131">
        <v>4265.3661547294387</v>
      </c>
      <c r="AC178" s="131">
        <v>2457.6830773647193</v>
      </c>
      <c r="AD178" s="131">
        <v>2807.6830773647193</v>
      </c>
      <c r="AE178" s="131">
        <v>2086.0001435338022</v>
      </c>
      <c r="AF178" s="131">
        <v>2829.3660111956365</v>
      </c>
      <c r="AG178" s="131">
        <v>2107.6830773647193</v>
      </c>
      <c r="AH178" s="131">
        <v>2611.6829338309171</v>
      </c>
      <c r="AI178" s="131">
        <v>2282.0002870676044</v>
      </c>
      <c r="AJ178" s="131">
        <v>2829.3660111956365</v>
      </c>
      <c r="AK178" s="131">
        <v>321.68293383091714</v>
      </c>
      <c r="AL178" s="131">
        <v>2261.6829338309171</v>
      </c>
      <c r="AM178" s="131">
        <v>2653.6832208985215</v>
      </c>
      <c r="AN178" s="131">
        <v>2611.6829338309171</v>
      </c>
      <c r="AO178" s="131">
        <v>321.68293383091714</v>
      </c>
      <c r="AP178" s="131">
        <v>3331</v>
      </c>
      <c r="AQ178" s="131">
        <v>3487</v>
      </c>
      <c r="AR178" s="131">
        <v>2037.0495191617624</v>
      </c>
      <c r="AS178" s="131">
        <v>2440</v>
      </c>
      <c r="AT178" s="131">
        <v>2475.3661547294387</v>
      </c>
      <c r="AU178" s="131">
        <v>2770</v>
      </c>
      <c r="AV178" s="131">
        <v>3931.3662982632409</v>
      </c>
      <c r="AW178" s="131">
        <v>2261.6829338309171</v>
      </c>
      <c r="AX178" s="131">
        <v>321.68293383091714</v>
      </c>
      <c r="AY178" s="131">
        <v>1196.0001435338022</v>
      </c>
    </row>
    <row r="179" spans="1:51" x14ac:dyDescent="0.2">
      <c r="A179" s="141" t="s">
        <v>134</v>
      </c>
      <c r="B179" s="141" t="s">
        <v>297</v>
      </c>
      <c r="C179" s="130" t="s">
        <v>292</v>
      </c>
      <c r="D179" s="130">
        <f t="shared" ref="D179:AY179" si="3">SUM(D109:D120)</f>
        <v>0</v>
      </c>
      <c r="E179" s="130">
        <f t="shared" si="3"/>
        <v>0</v>
      </c>
      <c r="F179" s="130">
        <f t="shared" si="3"/>
        <v>0</v>
      </c>
      <c r="G179" s="130">
        <f t="shared" si="3"/>
        <v>0</v>
      </c>
      <c r="H179" s="130">
        <f t="shared" si="3"/>
        <v>0</v>
      </c>
      <c r="I179" s="130">
        <f t="shared" si="3"/>
        <v>0</v>
      </c>
      <c r="J179" s="130">
        <f t="shared" si="3"/>
        <v>0</v>
      </c>
      <c r="K179" s="130">
        <f t="shared" si="3"/>
        <v>0</v>
      </c>
      <c r="L179" s="130">
        <f t="shared" si="3"/>
        <v>0</v>
      </c>
      <c r="M179" s="130">
        <f t="shared" si="3"/>
        <v>0</v>
      </c>
      <c r="N179" s="130">
        <f t="shared" si="3"/>
        <v>0</v>
      </c>
      <c r="O179" s="130">
        <f t="shared" si="3"/>
        <v>0</v>
      </c>
      <c r="P179" s="130">
        <f t="shared" si="3"/>
        <v>0</v>
      </c>
      <c r="Q179" s="130">
        <f t="shared" si="3"/>
        <v>0</v>
      </c>
      <c r="R179" s="130">
        <f t="shared" si="3"/>
        <v>0</v>
      </c>
      <c r="S179" s="130">
        <f t="shared" si="3"/>
        <v>0</v>
      </c>
      <c r="T179" s="130">
        <f t="shared" si="3"/>
        <v>0</v>
      </c>
      <c r="U179" s="130">
        <f t="shared" si="3"/>
        <v>0</v>
      </c>
      <c r="V179" s="130">
        <f t="shared" si="3"/>
        <v>0</v>
      </c>
      <c r="W179" s="130">
        <f t="shared" si="3"/>
        <v>0</v>
      </c>
      <c r="X179" s="130">
        <f t="shared" si="3"/>
        <v>0</v>
      </c>
      <c r="Y179" s="130">
        <f t="shared" si="3"/>
        <v>0</v>
      </c>
      <c r="Z179" s="130">
        <f t="shared" si="3"/>
        <v>0</v>
      </c>
      <c r="AA179" s="130">
        <f t="shared" si="3"/>
        <v>0</v>
      </c>
      <c r="AB179" s="130">
        <f t="shared" si="3"/>
        <v>0</v>
      </c>
      <c r="AC179" s="130">
        <f t="shared" si="3"/>
        <v>0</v>
      </c>
      <c r="AD179" s="130">
        <f t="shared" si="3"/>
        <v>0</v>
      </c>
      <c r="AE179" s="130">
        <f t="shared" si="3"/>
        <v>0</v>
      </c>
      <c r="AF179" s="130">
        <f t="shared" si="3"/>
        <v>0</v>
      </c>
      <c r="AG179" s="130">
        <f t="shared" si="3"/>
        <v>0</v>
      </c>
      <c r="AH179" s="130">
        <f t="shared" si="3"/>
        <v>0</v>
      </c>
      <c r="AI179" s="130">
        <f t="shared" si="3"/>
        <v>0</v>
      </c>
      <c r="AJ179" s="130">
        <f t="shared" si="3"/>
        <v>0</v>
      </c>
      <c r="AK179" s="130">
        <f t="shared" si="3"/>
        <v>0</v>
      </c>
      <c r="AL179" s="130">
        <f t="shared" si="3"/>
        <v>0</v>
      </c>
      <c r="AM179" s="130">
        <f t="shared" si="3"/>
        <v>0</v>
      </c>
      <c r="AN179" s="130">
        <f t="shared" si="3"/>
        <v>0</v>
      </c>
      <c r="AO179" s="130">
        <f t="shared" si="3"/>
        <v>0</v>
      </c>
      <c r="AP179" s="130">
        <f t="shared" si="3"/>
        <v>0</v>
      </c>
      <c r="AQ179" s="130">
        <f t="shared" si="3"/>
        <v>0</v>
      </c>
      <c r="AR179" s="130">
        <f t="shared" si="3"/>
        <v>0</v>
      </c>
      <c r="AS179" s="130">
        <f t="shared" si="3"/>
        <v>0</v>
      </c>
      <c r="AT179" s="130">
        <f t="shared" si="3"/>
        <v>0</v>
      </c>
      <c r="AU179" s="130">
        <f t="shared" si="3"/>
        <v>0</v>
      </c>
      <c r="AV179" s="130">
        <f t="shared" si="3"/>
        <v>0</v>
      </c>
      <c r="AW179" s="130">
        <f t="shared" si="3"/>
        <v>0</v>
      </c>
      <c r="AX179" s="130">
        <f t="shared" si="3"/>
        <v>0</v>
      </c>
      <c r="AY179" s="130">
        <f t="shared" si="3"/>
        <v>0</v>
      </c>
    </row>
    <row r="180" spans="1:51" x14ac:dyDescent="0.2">
      <c r="A180" s="131"/>
      <c r="B180" s="142" t="s">
        <v>298</v>
      </c>
      <c r="C180" s="131" t="s">
        <v>292</v>
      </c>
      <c r="D180" s="131">
        <v>0</v>
      </c>
      <c r="E180" s="131">
        <v>0</v>
      </c>
      <c r="F180" s="131">
        <v>0</v>
      </c>
      <c r="G180" s="131">
        <v>0</v>
      </c>
      <c r="H180" s="131">
        <v>0</v>
      </c>
      <c r="I180" s="131">
        <v>0</v>
      </c>
      <c r="J180" s="131">
        <v>0</v>
      </c>
      <c r="K180" s="131">
        <v>0</v>
      </c>
      <c r="L180" s="131">
        <v>0</v>
      </c>
      <c r="M180" s="131">
        <v>0</v>
      </c>
      <c r="N180" s="131">
        <v>0</v>
      </c>
      <c r="O180" s="131">
        <v>0</v>
      </c>
      <c r="P180" s="131">
        <v>0</v>
      </c>
      <c r="Q180" s="131">
        <v>0</v>
      </c>
      <c r="R180" s="131">
        <v>0</v>
      </c>
      <c r="S180" s="131">
        <v>0</v>
      </c>
      <c r="T180" s="131">
        <v>0</v>
      </c>
      <c r="U180" s="131">
        <v>0</v>
      </c>
      <c r="V180" s="131">
        <v>0</v>
      </c>
      <c r="W180" s="131">
        <v>0</v>
      </c>
      <c r="X180" s="131">
        <v>0</v>
      </c>
      <c r="Y180" s="131">
        <v>0</v>
      </c>
      <c r="Z180" s="131">
        <v>0</v>
      </c>
      <c r="AA180" s="131">
        <v>0</v>
      </c>
      <c r="AB180" s="131">
        <v>0</v>
      </c>
      <c r="AC180" s="131">
        <v>0</v>
      </c>
      <c r="AD180" s="131">
        <v>0</v>
      </c>
      <c r="AE180" s="131">
        <v>0</v>
      </c>
      <c r="AF180" s="131">
        <v>0</v>
      </c>
      <c r="AG180" s="131">
        <v>0</v>
      </c>
      <c r="AH180" s="131">
        <v>0</v>
      </c>
      <c r="AI180" s="131">
        <v>0</v>
      </c>
      <c r="AJ180" s="131">
        <v>0</v>
      </c>
      <c r="AK180" s="131">
        <v>0</v>
      </c>
      <c r="AL180" s="131">
        <v>0</v>
      </c>
      <c r="AM180" s="131">
        <v>0</v>
      </c>
      <c r="AN180" s="131">
        <v>0</v>
      </c>
      <c r="AO180" s="131">
        <v>0</v>
      </c>
      <c r="AP180" s="131">
        <v>0</v>
      </c>
      <c r="AQ180" s="131">
        <v>0</v>
      </c>
      <c r="AR180" s="131">
        <v>0</v>
      </c>
      <c r="AS180" s="131">
        <v>0</v>
      </c>
      <c r="AT180" s="131">
        <v>0</v>
      </c>
      <c r="AU180" s="131">
        <v>0</v>
      </c>
      <c r="AV180" s="131">
        <v>0</v>
      </c>
      <c r="AW180" s="131">
        <v>0</v>
      </c>
      <c r="AX180" s="131">
        <v>0</v>
      </c>
      <c r="AY180" s="131">
        <v>0</v>
      </c>
    </row>
    <row r="181" spans="1:51" x14ac:dyDescent="0.2">
      <c r="A181" s="141" t="s">
        <v>123</v>
      </c>
      <c r="B181" s="141" t="s">
        <v>297</v>
      </c>
      <c r="C181" s="130" t="s">
        <v>292</v>
      </c>
      <c r="D181" s="130">
        <f t="shared" ref="D181:AY181" si="4">(1-D172)*SUM(D122:D169)</f>
        <v>0</v>
      </c>
      <c r="E181" s="130">
        <f t="shared" si="4"/>
        <v>0</v>
      </c>
      <c r="F181" s="130">
        <f t="shared" si="4"/>
        <v>0</v>
      </c>
      <c r="G181" s="130">
        <f t="shared" si="4"/>
        <v>0</v>
      </c>
      <c r="H181" s="130">
        <f t="shared" si="4"/>
        <v>0</v>
      </c>
      <c r="I181" s="130">
        <f t="shared" si="4"/>
        <v>0</v>
      </c>
      <c r="J181" s="130">
        <f t="shared" si="4"/>
        <v>0</v>
      </c>
      <c r="K181" s="130">
        <f t="shared" si="4"/>
        <v>0</v>
      </c>
      <c r="L181" s="130">
        <f t="shared" si="4"/>
        <v>0</v>
      </c>
      <c r="M181" s="130">
        <f t="shared" si="4"/>
        <v>0</v>
      </c>
      <c r="N181" s="130">
        <f t="shared" si="4"/>
        <v>0</v>
      </c>
      <c r="O181" s="130">
        <f t="shared" si="4"/>
        <v>0</v>
      </c>
      <c r="P181" s="130">
        <f t="shared" si="4"/>
        <v>0</v>
      </c>
      <c r="Q181" s="130">
        <f t="shared" si="4"/>
        <v>0</v>
      </c>
      <c r="R181" s="130">
        <f t="shared" si="4"/>
        <v>0</v>
      </c>
      <c r="S181" s="130">
        <f t="shared" si="4"/>
        <v>0</v>
      </c>
      <c r="T181" s="130">
        <f t="shared" si="4"/>
        <v>0</v>
      </c>
      <c r="U181" s="130">
        <f t="shared" si="4"/>
        <v>0</v>
      </c>
      <c r="V181" s="130">
        <f t="shared" si="4"/>
        <v>0</v>
      </c>
      <c r="W181" s="130">
        <f t="shared" si="4"/>
        <v>0</v>
      </c>
      <c r="X181" s="130">
        <f t="shared" si="4"/>
        <v>0</v>
      </c>
      <c r="Y181" s="130">
        <f t="shared" si="4"/>
        <v>0</v>
      </c>
      <c r="Z181" s="130">
        <f t="shared" si="4"/>
        <v>0</v>
      </c>
      <c r="AA181" s="130">
        <f t="shared" si="4"/>
        <v>0</v>
      </c>
      <c r="AB181" s="130">
        <f t="shared" si="4"/>
        <v>0</v>
      </c>
      <c r="AC181" s="130">
        <f t="shared" si="4"/>
        <v>0</v>
      </c>
      <c r="AD181" s="130">
        <f t="shared" si="4"/>
        <v>0</v>
      </c>
      <c r="AE181" s="130">
        <f t="shared" si="4"/>
        <v>0</v>
      </c>
      <c r="AF181" s="130">
        <f t="shared" si="4"/>
        <v>0</v>
      </c>
      <c r="AG181" s="130">
        <f t="shared" si="4"/>
        <v>0</v>
      </c>
      <c r="AH181" s="130">
        <f t="shared" si="4"/>
        <v>0</v>
      </c>
      <c r="AI181" s="130">
        <f t="shared" si="4"/>
        <v>0</v>
      </c>
      <c r="AJ181" s="130">
        <f t="shared" si="4"/>
        <v>0</v>
      </c>
      <c r="AK181" s="130">
        <f t="shared" si="4"/>
        <v>0</v>
      </c>
      <c r="AL181" s="130">
        <f t="shared" si="4"/>
        <v>0</v>
      </c>
      <c r="AM181" s="130">
        <f t="shared" si="4"/>
        <v>0</v>
      </c>
      <c r="AN181" s="130">
        <f t="shared" si="4"/>
        <v>0</v>
      </c>
      <c r="AO181" s="130">
        <f t="shared" si="4"/>
        <v>0</v>
      </c>
      <c r="AP181" s="130">
        <f t="shared" si="4"/>
        <v>0</v>
      </c>
      <c r="AQ181" s="130">
        <f t="shared" si="4"/>
        <v>0</v>
      </c>
      <c r="AR181" s="130">
        <f t="shared" si="4"/>
        <v>0</v>
      </c>
      <c r="AS181" s="130">
        <f t="shared" si="4"/>
        <v>0</v>
      </c>
      <c r="AT181" s="130">
        <f t="shared" si="4"/>
        <v>0</v>
      </c>
      <c r="AU181" s="130">
        <f t="shared" si="4"/>
        <v>0</v>
      </c>
      <c r="AV181" s="130">
        <f t="shared" si="4"/>
        <v>0</v>
      </c>
      <c r="AW181" s="130">
        <f t="shared" si="4"/>
        <v>0</v>
      </c>
      <c r="AX181" s="130">
        <f t="shared" si="4"/>
        <v>0</v>
      </c>
      <c r="AY181" s="130">
        <f t="shared" si="4"/>
        <v>0</v>
      </c>
    </row>
    <row r="182" spans="1:51" x14ac:dyDescent="0.2">
      <c r="A182" s="131"/>
      <c r="B182" s="142" t="s">
        <v>298</v>
      </c>
      <c r="C182" s="131" t="s">
        <v>292</v>
      </c>
      <c r="D182" s="131">
        <v>0</v>
      </c>
      <c r="E182" s="131">
        <v>0</v>
      </c>
      <c r="F182" s="131">
        <v>0</v>
      </c>
      <c r="G182" s="131">
        <v>0</v>
      </c>
      <c r="H182" s="131">
        <v>0</v>
      </c>
      <c r="I182" s="131">
        <v>0</v>
      </c>
      <c r="J182" s="131">
        <v>0</v>
      </c>
      <c r="K182" s="131">
        <v>0</v>
      </c>
      <c r="L182" s="131">
        <v>0</v>
      </c>
      <c r="M182" s="131">
        <v>0</v>
      </c>
      <c r="N182" s="131">
        <v>0</v>
      </c>
      <c r="O182" s="131">
        <v>0</v>
      </c>
      <c r="P182" s="131">
        <v>0</v>
      </c>
      <c r="Q182" s="131">
        <v>0</v>
      </c>
      <c r="R182" s="131">
        <v>0</v>
      </c>
      <c r="S182" s="131">
        <v>0</v>
      </c>
      <c r="T182" s="131">
        <v>0</v>
      </c>
      <c r="U182" s="131">
        <v>0</v>
      </c>
      <c r="V182" s="131">
        <v>0</v>
      </c>
      <c r="W182" s="131">
        <v>0</v>
      </c>
      <c r="X182" s="131">
        <v>0</v>
      </c>
      <c r="Y182" s="131">
        <v>0</v>
      </c>
      <c r="Z182" s="131">
        <v>0</v>
      </c>
      <c r="AA182" s="131">
        <v>0</v>
      </c>
      <c r="AB182" s="131">
        <v>0</v>
      </c>
      <c r="AC182" s="131">
        <v>0</v>
      </c>
      <c r="AD182" s="131">
        <v>0</v>
      </c>
      <c r="AE182" s="131">
        <v>0</v>
      </c>
      <c r="AF182" s="131">
        <v>0</v>
      </c>
      <c r="AG182" s="131">
        <v>0</v>
      </c>
      <c r="AH182" s="131">
        <v>0</v>
      </c>
      <c r="AI182" s="131">
        <v>0</v>
      </c>
      <c r="AJ182" s="131">
        <v>0</v>
      </c>
      <c r="AK182" s="131">
        <v>0</v>
      </c>
      <c r="AL182" s="131">
        <v>0</v>
      </c>
      <c r="AM182" s="131">
        <v>0</v>
      </c>
      <c r="AN182" s="131">
        <v>0</v>
      </c>
      <c r="AO182" s="131">
        <v>0</v>
      </c>
      <c r="AP182" s="131">
        <v>0</v>
      </c>
      <c r="AQ182" s="131">
        <v>0</v>
      </c>
      <c r="AR182" s="131">
        <v>0</v>
      </c>
      <c r="AS182" s="131">
        <v>0</v>
      </c>
      <c r="AT182" s="131">
        <v>0</v>
      </c>
      <c r="AU182" s="131">
        <v>0</v>
      </c>
      <c r="AV182" s="131">
        <v>0</v>
      </c>
      <c r="AW182" s="131">
        <v>0</v>
      </c>
      <c r="AX182" s="131">
        <v>0</v>
      </c>
      <c r="AY182" s="131">
        <v>0</v>
      </c>
    </row>
    <row r="184" spans="1:51" x14ac:dyDescent="0.2">
      <c r="A184" s="108" t="s">
        <v>299</v>
      </c>
    </row>
    <row r="185" spans="1:51" x14ac:dyDescent="0.2">
      <c r="A185" s="132" t="s">
        <v>125</v>
      </c>
      <c r="B185" s="129">
        <v>1</v>
      </c>
      <c r="C185" s="130"/>
      <c r="D185" s="130">
        <v>4943</v>
      </c>
      <c r="E185" s="130">
        <v>4674.6830773647189</v>
      </c>
      <c r="F185" s="130">
        <v>2720.3661547294378</v>
      </c>
      <c r="G185" s="130">
        <v>1590.0492320941567</v>
      </c>
      <c r="H185" s="130">
        <v>189.73230945887553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/>
      <c r="D186" s="112">
        <v>0</v>
      </c>
      <c r="E186" s="112">
        <v>33.316922635281117</v>
      </c>
      <c r="F186" s="112">
        <v>301.63384527056223</v>
      </c>
      <c r="G186" s="112">
        <v>2255.9507679058433</v>
      </c>
      <c r="H186" s="112">
        <v>3386.2676905411245</v>
      </c>
      <c r="I186" s="112">
        <v>4454</v>
      </c>
      <c r="J186" s="112">
        <v>4522.4153868235944</v>
      </c>
      <c r="K186" s="112">
        <v>4035.0984641883133</v>
      </c>
      <c r="L186" s="112">
        <v>3461.7815415530322</v>
      </c>
      <c r="M186" s="112">
        <v>3194.4646189177511</v>
      </c>
      <c r="N186" s="112">
        <v>3023.14769628247</v>
      </c>
      <c r="O186" s="112">
        <v>2461.8307736471888</v>
      </c>
      <c r="P186" s="112">
        <v>2631.5138510119077</v>
      </c>
      <c r="Q186" s="112">
        <v>1632.1969283766266</v>
      </c>
      <c r="R186" s="112">
        <v>1308.8800057413455</v>
      </c>
      <c r="S186" s="112">
        <v>1762.5630831060644</v>
      </c>
      <c r="T186" s="112">
        <v>1333.2461604707833</v>
      </c>
      <c r="U186" s="112">
        <v>310.92923783550214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/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332.58461317640558</v>
      </c>
      <c r="K187" s="112">
        <v>453.9015358116867</v>
      </c>
      <c r="L187" s="112">
        <v>941.21845844696782</v>
      </c>
      <c r="M187" s="112">
        <v>1514.5353810822489</v>
      </c>
      <c r="N187" s="112">
        <v>1781.85230371753</v>
      </c>
      <c r="O187" s="112">
        <v>1953.1692263528112</v>
      </c>
      <c r="P187" s="112">
        <v>2514.4861489880923</v>
      </c>
      <c r="Q187" s="112">
        <v>2344.8030716233734</v>
      </c>
      <c r="R187" s="112">
        <v>3344.1199942586545</v>
      </c>
      <c r="S187" s="112">
        <v>3667.4369168939356</v>
      </c>
      <c r="T187" s="112">
        <v>3213.7538395292167</v>
      </c>
      <c r="U187" s="112">
        <v>3643.0707621644979</v>
      </c>
      <c r="V187" s="112">
        <v>4294</v>
      </c>
      <c r="W187" s="112">
        <v>4196.612315200221</v>
      </c>
      <c r="X187" s="112">
        <v>4474.2953925649399</v>
      </c>
      <c r="Y187" s="112">
        <v>4097.9784699296588</v>
      </c>
      <c r="Z187" s="112">
        <v>3499.6615472943777</v>
      </c>
      <c r="AA187" s="112">
        <v>3482.3446246590966</v>
      </c>
      <c r="AB187" s="112">
        <v>2494.0277020238154</v>
      </c>
      <c r="AC187" s="112">
        <v>1971.7107793885343</v>
      </c>
      <c r="AD187" s="112">
        <v>681.3938567532532</v>
      </c>
      <c r="AE187" s="112">
        <v>294.07693411797209</v>
      </c>
      <c r="AF187" s="112">
        <v>494.76001148269097</v>
      </c>
      <c r="AG187" s="112">
        <v>797.44308884740985</v>
      </c>
      <c r="AH187" s="112">
        <v>449.12616621212874</v>
      </c>
      <c r="AI187" s="112">
        <v>0</v>
      </c>
      <c r="AJ187" s="112">
        <v>611.68307736471888</v>
      </c>
      <c r="AK187" s="112">
        <v>0</v>
      </c>
      <c r="AL187" s="112">
        <v>0</v>
      </c>
      <c r="AM187" s="112">
        <v>766.68307736471888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50.683077364718883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/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371.38768479977898</v>
      </c>
      <c r="X188" s="112">
        <v>779.7046074350601</v>
      </c>
      <c r="Y188" s="112">
        <v>502.02153007034121</v>
      </c>
      <c r="Z188" s="112">
        <v>878.33845270562233</v>
      </c>
      <c r="AA188" s="112">
        <v>1476.6553753409034</v>
      </c>
      <c r="AB188" s="112">
        <v>1493.9722979761846</v>
      </c>
      <c r="AC188" s="112">
        <v>2482.2892206114657</v>
      </c>
      <c r="AD188" s="112">
        <v>3004.6061432467468</v>
      </c>
      <c r="AE188" s="112">
        <v>4294.9230658820279</v>
      </c>
      <c r="AF188" s="112">
        <v>4682.239988517309</v>
      </c>
      <c r="AG188" s="112">
        <v>4481.5569111525901</v>
      </c>
      <c r="AH188" s="112">
        <v>4178.8738337878713</v>
      </c>
      <c r="AI188" s="112">
        <v>4200</v>
      </c>
      <c r="AJ188" s="112">
        <v>4976.3169226352811</v>
      </c>
      <c r="AK188" s="112">
        <v>3934</v>
      </c>
      <c r="AL188" s="112">
        <v>4758</v>
      </c>
      <c r="AM188" s="112">
        <v>4976.3169226352811</v>
      </c>
      <c r="AN188" s="112">
        <v>3477</v>
      </c>
      <c r="AO188" s="112">
        <v>3532</v>
      </c>
      <c r="AP188" s="112">
        <v>3030</v>
      </c>
      <c r="AQ188" s="112">
        <v>3429</v>
      </c>
      <c r="AR188" s="112">
        <v>3584</v>
      </c>
      <c r="AS188" s="112">
        <v>3587</v>
      </c>
      <c r="AT188" s="112">
        <v>3288</v>
      </c>
      <c r="AU188" s="112">
        <v>2980</v>
      </c>
      <c r="AV188" s="112">
        <v>3974</v>
      </c>
      <c r="AW188" s="112">
        <v>4976.3169226352811</v>
      </c>
      <c r="AX188" s="112">
        <v>4574</v>
      </c>
      <c r="AY188" s="112">
        <v>4703</v>
      </c>
    </row>
    <row r="189" spans="1:51" x14ac:dyDescent="0.2">
      <c r="A189" s="132" t="s">
        <v>133</v>
      </c>
      <c r="B189" s="129">
        <v>1</v>
      </c>
      <c r="C189" s="130"/>
      <c r="D189" s="130">
        <v>0</v>
      </c>
      <c r="E189" s="130">
        <v>0</v>
      </c>
      <c r="F189" s="130">
        <v>2457.6830773647193</v>
      </c>
      <c r="G189" s="130">
        <v>321.68293383091714</v>
      </c>
      <c r="H189" s="130">
        <v>2457.6830773647193</v>
      </c>
      <c r="I189" s="130">
        <v>171.68293383091714</v>
      </c>
      <c r="J189" s="130">
        <v>2261.6829338309171</v>
      </c>
      <c r="K189" s="130">
        <v>2107.6830773647193</v>
      </c>
      <c r="L189" s="130">
        <v>2457.6830773647193</v>
      </c>
      <c r="M189" s="130">
        <v>2086.0001435338022</v>
      </c>
      <c r="N189" s="130">
        <v>2457.6830773647193</v>
      </c>
      <c r="O189" s="130">
        <v>2086.0001435338022</v>
      </c>
      <c r="P189" s="130">
        <v>2457.6830773647193</v>
      </c>
      <c r="Q189" s="130">
        <v>2086.0001435338022</v>
      </c>
      <c r="R189" s="130">
        <v>2261.6829338309171</v>
      </c>
      <c r="S189" s="130">
        <v>2107.6830773647193</v>
      </c>
      <c r="T189" s="130">
        <v>2457.6830773647193</v>
      </c>
      <c r="U189" s="130">
        <v>2107.6830773647193</v>
      </c>
      <c r="V189" s="130">
        <v>2457.6830773647193</v>
      </c>
      <c r="W189" s="130">
        <v>2107.6830773647193</v>
      </c>
      <c r="X189" s="130">
        <v>2261.6829338309171</v>
      </c>
      <c r="Y189" s="130">
        <v>321.68293383091714</v>
      </c>
      <c r="Z189" s="130">
        <v>2338.9998564661978</v>
      </c>
      <c r="AA189" s="130">
        <v>300</v>
      </c>
      <c r="AB189" s="130">
        <v>2457.6830773647193</v>
      </c>
      <c r="AC189" s="130">
        <v>2107.6830773647193</v>
      </c>
      <c r="AD189" s="130">
        <v>2457.6830773647193</v>
      </c>
      <c r="AE189" s="130">
        <v>2086.0001435338022</v>
      </c>
      <c r="AF189" s="130">
        <v>2457.6830773647193</v>
      </c>
      <c r="AG189" s="130">
        <v>2107.6830773647193</v>
      </c>
      <c r="AH189" s="130">
        <v>2261.6829338309171</v>
      </c>
      <c r="AI189" s="130">
        <v>2086.0001435338022</v>
      </c>
      <c r="AJ189" s="130">
        <v>2457.6830773647193</v>
      </c>
      <c r="AK189" s="130">
        <v>321.68293383091714</v>
      </c>
      <c r="AL189" s="130">
        <v>2261.6829338309171</v>
      </c>
      <c r="AM189" s="130">
        <v>321.68293383091714</v>
      </c>
      <c r="AN189" s="130">
        <v>2261.6829338309171</v>
      </c>
      <c r="AO189" s="130">
        <v>321.68293383091714</v>
      </c>
      <c r="AP189" s="130">
        <v>998.9997129323956</v>
      </c>
      <c r="AQ189" s="130">
        <v>413.99942586479119</v>
      </c>
      <c r="AR189" s="130">
        <v>171.68293383091714</v>
      </c>
      <c r="AS189" s="130">
        <v>2090</v>
      </c>
      <c r="AT189" s="130">
        <v>493.36586766183427</v>
      </c>
      <c r="AU189" s="130">
        <v>633.9998564661978</v>
      </c>
      <c r="AV189" s="130">
        <v>2107.6830773647193</v>
      </c>
      <c r="AW189" s="130">
        <v>2261.6829338309171</v>
      </c>
      <c r="AX189" s="130">
        <v>321.68293383091714</v>
      </c>
      <c r="AY189" s="130">
        <v>650</v>
      </c>
    </row>
    <row r="190" spans="1:51" x14ac:dyDescent="0.2">
      <c r="A190" s="115"/>
      <c r="B190" s="125">
        <v>2</v>
      </c>
      <c r="C190" s="112"/>
      <c r="D190" s="112">
        <v>0</v>
      </c>
      <c r="E190" s="112">
        <v>0</v>
      </c>
      <c r="F190" s="112">
        <v>0</v>
      </c>
      <c r="G190" s="112">
        <v>0</v>
      </c>
      <c r="H190" s="112">
        <v>1786.0001435338022</v>
      </c>
      <c r="I190" s="112">
        <v>0</v>
      </c>
      <c r="J190" s="112">
        <v>2.8421709430404007E-14</v>
      </c>
      <c r="K190" s="112">
        <v>196.0001435338022</v>
      </c>
      <c r="L190" s="112">
        <v>0</v>
      </c>
      <c r="M190" s="112">
        <v>0</v>
      </c>
      <c r="N190" s="112">
        <v>371.68293383091714</v>
      </c>
      <c r="O190" s="112">
        <v>0</v>
      </c>
      <c r="P190" s="112">
        <v>21.682933830917136</v>
      </c>
      <c r="Q190" s="112">
        <v>0</v>
      </c>
      <c r="R190" s="112">
        <v>371.68293383091714</v>
      </c>
      <c r="S190" s="112">
        <v>196.0001435338022</v>
      </c>
      <c r="T190" s="112">
        <v>0</v>
      </c>
      <c r="U190" s="112">
        <v>0</v>
      </c>
      <c r="V190" s="112">
        <v>350</v>
      </c>
      <c r="W190" s="112">
        <v>0</v>
      </c>
      <c r="X190" s="112">
        <v>0</v>
      </c>
      <c r="Y190" s="112">
        <v>196.0001435338022</v>
      </c>
      <c r="Z190" s="112">
        <v>1786.0001435338022</v>
      </c>
      <c r="AA190" s="112">
        <v>118.68322089852154</v>
      </c>
      <c r="AB190" s="112">
        <v>1807.6830773647193</v>
      </c>
      <c r="AC190" s="112">
        <v>0</v>
      </c>
      <c r="AD190" s="112">
        <v>350</v>
      </c>
      <c r="AE190" s="112">
        <v>0</v>
      </c>
      <c r="AF190" s="112">
        <v>371.68293383091714</v>
      </c>
      <c r="AG190" s="112">
        <v>0</v>
      </c>
      <c r="AH190" s="112">
        <v>350</v>
      </c>
      <c r="AI190" s="112">
        <v>196.0001435338022</v>
      </c>
      <c r="AJ190" s="112">
        <v>371.68293383091714</v>
      </c>
      <c r="AK190" s="112">
        <v>0</v>
      </c>
      <c r="AL190" s="112">
        <v>0</v>
      </c>
      <c r="AM190" s="112">
        <v>196.0001435338022</v>
      </c>
      <c r="AN190" s="112">
        <v>350</v>
      </c>
      <c r="AO190" s="112">
        <v>0</v>
      </c>
      <c r="AP190" s="112">
        <v>350</v>
      </c>
      <c r="AQ190" s="112">
        <v>3073.0005741352088</v>
      </c>
      <c r="AR190" s="112">
        <v>1865.3665853308453</v>
      </c>
      <c r="AS190" s="112">
        <v>2.8421709430404007E-14</v>
      </c>
      <c r="AT190" s="112">
        <v>1982.0002870676044</v>
      </c>
      <c r="AU190" s="112">
        <v>2136.0001435338022</v>
      </c>
      <c r="AV190" s="112">
        <v>1823.6832208985215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/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350</v>
      </c>
      <c r="J191" s="112">
        <v>0</v>
      </c>
      <c r="K191" s="112">
        <v>1786.0001435338022</v>
      </c>
      <c r="L191" s="112">
        <v>0</v>
      </c>
      <c r="M191" s="112">
        <v>350</v>
      </c>
      <c r="N191" s="112">
        <v>0</v>
      </c>
      <c r="O191" s="112">
        <v>0</v>
      </c>
      <c r="P191" s="112">
        <v>0</v>
      </c>
      <c r="Q191" s="112">
        <v>350</v>
      </c>
      <c r="R191" s="112">
        <v>0</v>
      </c>
      <c r="S191" s="112">
        <v>0</v>
      </c>
      <c r="T191" s="112">
        <v>0</v>
      </c>
      <c r="U191" s="112">
        <v>350</v>
      </c>
      <c r="V191" s="112">
        <v>0</v>
      </c>
      <c r="W191" s="112">
        <v>0</v>
      </c>
      <c r="X191" s="112">
        <v>0</v>
      </c>
      <c r="Y191" s="112">
        <v>350</v>
      </c>
      <c r="Z191" s="112">
        <v>0</v>
      </c>
      <c r="AA191" s="112">
        <v>350</v>
      </c>
      <c r="AB191" s="112">
        <v>0</v>
      </c>
      <c r="AC191" s="112">
        <v>350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2136.0001435338022</v>
      </c>
      <c r="AN191" s="112">
        <v>0</v>
      </c>
      <c r="AO191" s="112">
        <v>0</v>
      </c>
      <c r="AP191" s="112">
        <v>1982.0002870676044</v>
      </c>
      <c r="AQ191" s="112">
        <v>0</v>
      </c>
      <c r="AR191" s="112">
        <v>0</v>
      </c>
      <c r="AS191" s="112">
        <v>350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196.0001435338022</v>
      </c>
    </row>
    <row r="192" spans="1:51" x14ac:dyDescent="0.2">
      <c r="A192" s="115"/>
      <c r="B192" s="126">
        <v>4</v>
      </c>
      <c r="C192" s="112"/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350</v>
      </c>
    </row>
    <row r="193" spans="1:51" x14ac:dyDescent="0.2">
      <c r="A193" s="115"/>
      <c r="B193" s="133">
        <v>5</v>
      </c>
      <c r="C193" s="112"/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/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/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/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/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/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/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/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/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/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/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/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/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/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/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/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/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/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/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/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/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/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/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/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/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/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/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/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/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/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/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/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/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/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/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/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/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/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/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/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/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/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/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/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/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/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/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/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/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/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/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/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/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/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/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/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/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/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/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/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/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/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/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/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300</v>
      </c>
    </row>
    <row r="259" spans="1:52" x14ac:dyDescent="0.2">
      <c r="A259" s="143" t="s">
        <v>124</v>
      </c>
      <c r="B259" s="144">
        <v>650</v>
      </c>
      <c r="C259" s="130" t="s">
        <v>292</v>
      </c>
      <c r="D259" s="130">
        <f>E$14*$B$259</f>
        <v>0</v>
      </c>
      <c r="E259" s="130">
        <f t="shared" ref="E259:AX259" si="5">F$14*$B$259</f>
        <v>0</v>
      </c>
      <c r="F259" s="130">
        <f t="shared" si="5"/>
        <v>0</v>
      </c>
      <c r="G259" s="130">
        <f t="shared" si="5"/>
        <v>0</v>
      </c>
      <c r="H259" s="130">
        <f t="shared" si="5"/>
        <v>0</v>
      </c>
      <c r="I259" s="130">
        <f t="shared" si="5"/>
        <v>0</v>
      </c>
      <c r="J259" s="130">
        <f t="shared" si="5"/>
        <v>0</v>
      </c>
      <c r="K259" s="130">
        <f t="shared" si="5"/>
        <v>0</v>
      </c>
      <c r="L259" s="130">
        <f t="shared" si="5"/>
        <v>0</v>
      </c>
      <c r="M259" s="130">
        <f t="shared" si="5"/>
        <v>0</v>
      </c>
      <c r="N259" s="130">
        <f t="shared" si="5"/>
        <v>0</v>
      </c>
      <c r="O259" s="130">
        <f t="shared" si="5"/>
        <v>0</v>
      </c>
      <c r="P259" s="130">
        <f t="shared" si="5"/>
        <v>0</v>
      </c>
      <c r="Q259" s="130">
        <f t="shared" si="5"/>
        <v>0</v>
      </c>
      <c r="R259" s="130">
        <f t="shared" si="5"/>
        <v>0</v>
      </c>
      <c r="S259" s="130">
        <f t="shared" si="5"/>
        <v>0</v>
      </c>
      <c r="T259" s="130">
        <f t="shared" si="5"/>
        <v>0</v>
      </c>
      <c r="U259" s="130">
        <f t="shared" si="5"/>
        <v>0</v>
      </c>
      <c r="V259" s="130">
        <f t="shared" si="5"/>
        <v>0</v>
      </c>
      <c r="W259" s="130">
        <f t="shared" si="5"/>
        <v>0</v>
      </c>
      <c r="X259" s="130">
        <f t="shared" si="5"/>
        <v>0</v>
      </c>
      <c r="Y259" s="130">
        <f t="shared" si="5"/>
        <v>0</v>
      </c>
      <c r="Z259" s="130">
        <f t="shared" si="5"/>
        <v>0</v>
      </c>
      <c r="AA259" s="130">
        <f t="shared" si="5"/>
        <v>0</v>
      </c>
      <c r="AB259" s="130">
        <f t="shared" si="5"/>
        <v>0</v>
      </c>
      <c r="AC259" s="130">
        <f t="shared" si="5"/>
        <v>0</v>
      </c>
      <c r="AD259" s="130">
        <f t="shared" si="5"/>
        <v>0</v>
      </c>
      <c r="AE259" s="130">
        <f t="shared" si="5"/>
        <v>0</v>
      </c>
      <c r="AF259" s="130">
        <f t="shared" si="5"/>
        <v>0</v>
      </c>
      <c r="AG259" s="130">
        <f t="shared" si="5"/>
        <v>0</v>
      </c>
      <c r="AH259" s="130">
        <f t="shared" si="5"/>
        <v>0</v>
      </c>
      <c r="AI259" s="130">
        <f t="shared" si="5"/>
        <v>0</v>
      </c>
      <c r="AJ259" s="130">
        <f t="shared" si="5"/>
        <v>0</v>
      </c>
      <c r="AK259" s="130">
        <f t="shared" si="5"/>
        <v>0</v>
      </c>
      <c r="AL259" s="130">
        <f t="shared" si="5"/>
        <v>0</v>
      </c>
      <c r="AM259" s="130">
        <f t="shared" si="5"/>
        <v>0</v>
      </c>
      <c r="AN259" s="130">
        <f t="shared" si="5"/>
        <v>0</v>
      </c>
      <c r="AO259" s="130">
        <f t="shared" si="5"/>
        <v>0</v>
      </c>
      <c r="AP259" s="130">
        <f t="shared" si="5"/>
        <v>0</v>
      </c>
      <c r="AQ259" s="130">
        <f t="shared" si="5"/>
        <v>0</v>
      </c>
      <c r="AR259" s="130">
        <f t="shared" si="5"/>
        <v>0</v>
      </c>
      <c r="AS259" s="130">
        <f t="shared" si="5"/>
        <v>0</v>
      </c>
      <c r="AT259" s="130">
        <f t="shared" si="5"/>
        <v>0</v>
      </c>
      <c r="AU259" s="130">
        <f t="shared" si="5"/>
        <v>0</v>
      </c>
      <c r="AV259" s="130">
        <f t="shared" si="5"/>
        <v>0</v>
      </c>
      <c r="AW259" s="130">
        <f t="shared" si="5"/>
        <v>0</v>
      </c>
      <c r="AX259" s="130">
        <f t="shared" si="5"/>
        <v>0</v>
      </c>
      <c r="AY259" s="130">
        <f>AZ$14*$B$259</f>
        <v>0</v>
      </c>
      <c r="AZ259" s="145">
        <f>SUM($D259:$AY259)</f>
        <v>0</v>
      </c>
    </row>
    <row r="260" spans="1:52" x14ac:dyDescent="0.2">
      <c r="A260" s="146" t="s">
        <v>301</v>
      </c>
      <c r="B260" s="120">
        <v>60</v>
      </c>
      <c r="C260" s="131" t="s">
        <v>292</v>
      </c>
      <c r="D260" s="131">
        <f>(D$175-D$176+D$177-D$178+D$179-D$180+D$181-D$182)*$B$260</f>
        <v>1999.015358116867</v>
      </c>
      <c r="E260" s="131">
        <f t="shared" ref="E260:AY260" si="6">(E$175-E$176+E$177-E$178+E$179-E$180+E$181-E$182)*$B$260</f>
        <v>18098.030716233734</v>
      </c>
      <c r="F260" s="131">
        <f t="shared" si="6"/>
        <v>135357.04607435057</v>
      </c>
      <c r="G260" s="131">
        <f t="shared" si="6"/>
        <v>203176.06143246748</v>
      </c>
      <c r="H260" s="131">
        <f t="shared" si="6"/>
        <v>287195.07679058425</v>
      </c>
      <c r="I260" s="131">
        <f t="shared" si="6"/>
        <v>318534.09214870119</v>
      </c>
      <c r="J260" s="131">
        <f t="shared" si="6"/>
        <v>325813.10750681814</v>
      </c>
      <c r="K260" s="131">
        <f t="shared" si="6"/>
        <v>355052.12286493497</v>
      </c>
      <c r="L260" s="131">
        <f t="shared" si="6"/>
        <v>389451.13822305173</v>
      </c>
      <c r="M260" s="131">
        <f t="shared" si="6"/>
        <v>405490.15358116868</v>
      </c>
      <c r="N260" s="131">
        <f t="shared" si="6"/>
        <v>415769.16893928556</v>
      </c>
      <c r="O260" s="131">
        <f t="shared" si="6"/>
        <v>449448.18429740239</v>
      </c>
      <c r="P260" s="131">
        <f t="shared" si="6"/>
        <v>439267.19965551922</v>
      </c>
      <c r="Q260" s="131">
        <f t="shared" si="6"/>
        <v>499226.21501363616</v>
      </c>
      <c r="R260" s="131">
        <f t="shared" si="6"/>
        <v>518625.23037175304</v>
      </c>
      <c r="S260" s="131">
        <f t="shared" si="6"/>
        <v>491404.24572986987</v>
      </c>
      <c r="T260" s="131">
        <f t="shared" si="6"/>
        <v>517163.2610879867</v>
      </c>
      <c r="U260" s="131">
        <f t="shared" si="6"/>
        <v>578502.27644610358</v>
      </c>
      <c r="V260" s="131">
        <f t="shared" si="6"/>
        <v>619441.29180422053</v>
      </c>
      <c r="W260" s="131">
        <f t="shared" si="6"/>
        <v>643940.30716233735</v>
      </c>
      <c r="X260" s="131">
        <f t="shared" si="6"/>
        <v>627279.32252045418</v>
      </c>
      <c r="Y260" s="131">
        <f t="shared" si="6"/>
        <v>649858.33787857112</v>
      </c>
      <c r="Z260" s="131">
        <f t="shared" si="6"/>
        <v>692878.34649059933</v>
      </c>
      <c r="AA260" s="131">
        <f t="shared" si="6"/>
        <v>686796.36859480478</v>
      </c>
      <c r="AB260" s="131">
        <f t="shared" si="6"/>
        <v>746095.38395292184</v>
      </c>
      <c r="AC260" s="131">
        <f t="shared" si="6"/>
        <v>777434.39931103867</v>
      </c>
      <c r="AD260" s="131">
        <f t="shared" si="6"/>
        <v>854853.41466915549</v>
      </c>
      <c r="AE260" s="131">
        <f t="shared" si="6"/>
        <v>878092.43002727232</v>
      </c>
      <c r="AF260" s="131">
        <f t="shared" si="6"/>
        <v>866051.44538538915</v>
      </c>
      <c r="AG260" s="131">
        <f t="shared" si="6"/>
        <v>847890.46074350609</v>
      </c>
      <c r="AH260" s="131">
        <f t="shared" si="6"/>
        <v>868789.47610162292</v>
      </c>
      <c r="AI260" s="131">
        <f t="shared" si="6"/>
        <v>915368.49145973974</v>
      </c>
      <c r="AJ260" s="131">
        <f t="shared" si="6"/>
        <v>859036.06143246754</v>
      </c>
      <c r="AK260" s="131">
        <f t="shared" si="6"/>
        <v>921575.07679058425</v>
      </c>
      <c r="AL260" s="131">
        <f t="shared" si="6"/>
        <v>908836.06143246742</v>
      </c>
      <c r="AM260" s="131">
        <f t="shared" si="6"/>
        <v>849736.06143246742</v>
      </c>
      <c r="AN260" s="131">
        <f t="shared" si="6"/>
        <v>939695.07679058425</v>
      </c>
      <c r="AO260" s="131">
        <f t="shared" si="6"/>
        <v>982396.06143246742</v>
      </c>
      <c r="AP260" s="131">
        <f t="shared" si="6"/>
        <v>1196896.0958805801</v>
      </c>
      <c r="AQ260" s="131">
        <f t="shared" si="6"/>
        <v>1100498.0565523182</v>
      </c>
      <c r="AR260" s="131">
        <f t="shared" si="6"/>
        <v>979276.06143246742</v>
      </c>
      <c r="AS260" s="131">
        <f t="shared" si="6"/>
        <v>979096.06143246742</v>
      </c>
      <c r="AT260" s="131">
        <f t="shared" si="6"/>
        <v>997036.06143246742</v>
      </c>
      <c r="AU260" s="131">
        <f t="shared" si="6"/>
        <v>1114636.0786565237</v>
      </c>
      <c r="AV260" s="131">
        <f t="shared" si="6"/>
        <v>955876.06143246742</v>
      </c>
      <c r="AW260" s="131">
        <f t="shared" si="6"/>
        <v>892696.06143246742</v>
      </c>
      <c r="AX260" s="131">
        <f t="shared" si="6"/>
        <v>916835.07679058425</v>
      </c>
      <c r="AY260" s="131">
        <f t="shared" si="6"/>
        <v>912136.06143246742</v>
      </c>
      <c r="AZ260" s="147">
        <f>SUM($D260:$AY260)</f>
        <v>32530597.178125449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271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60</v>
      </c>
      <c r="E6" s="106">
        <v>34704</v>
      </c>
      <c r="F6" s="106">
        <v>77</v>
      </c>
      <c r="G6" s="106">
        <v>44536.799999999996</v>
      </c>
      <c r="H6" s="106">
        <v>47</v>
      </c>
      <c r="I6" s="106">
        <v>27184.799999999999</v>
      </c>
      <c r="J6" s="106">
        <v>75</v>
      </c>
      <c r="K6" s="106">
        <v>43380</v>
      </c>
      <c r="L6" s="106">
        <v>38</v>
      </c>
      <c r="M6" s="106">
        <v>21979.200000000001</v>
      </c>
      <c r="N6" s="106">
        <v>62</v>
      </c>
      <c r="O6" s="106">
        <v>35860.799999999996</v>
      </c>
      <c r="P6" s="106">
        <v>75</v>
      </c>
      <c r="Q6" s="106">
        <v>43380</v>
      </c>
      <c r="R6" s="106">
        <v>45</v>
      </c>
      <c r="S6" s="106">
        <v>26028</v>
      </c>
      <c r="T6" s="106">
        <v>54</v>
      </c>
      <c r="U6" s="106">
        <v>31233.599999999999</v>
      </c>
      <c r="V6" s="106">
        <v>58</v>
      </c>
      <c r="W6" s="106">
        <v>33547.199999999997</v>
      </c>
      <c r="X6" s="106">
        <v>62</v>
      </c>
      <c r="Y6" s="106">
        <v>35860.799999999996</v>
      </c>
      <c r="Z6" s="106">
        <v>45</v>
      </c>
      <c r="AA6" s="106">
        <v>26028</v>
      </c>
      <c r="AB6" s="106">
        <v>79</v>
      </c>
      <c r="AC6" s="106">
        <v>45693.599999999999</v>
      </c>
      <c r="AD6" s="106">
        <v>49</v>
      </c>
      <c r="AE6" s="106">
        <v>28341.599999999999</v>
      </c>
      <c r="AF6" s="106">
        <v>44</v>
      </c>
      <c r="AG6" s="106">
        <v>25449.599999999999</v>
      </c>
      <c r="AH6" s="106">
        <v>77</v>
      </c>
      <c r="AI6" s="106">
        <v>44536.799999999996</v>
      </c>
      <c r="AJ6" s="106">
        <v>62</v>
      </c>
      <c r="AK6" s="106">
        <v>35860.799999999996</v>
      </c>
      <c r="AL6" s="106">
        <v>60</v>
      </c>
      <c r="AM6" s="106">
        <v>34704</v>
      </c>
      <c r="AN6" s="106">
        <v>69</v>
      </c>
      <c r="AO6" s="106">
        <v>39909.599999999999</v>
      </c>
      <c r="AP6" s="106">
        <v>74</v>
      </c>
      <c r="AQ6" s="106">
        <v>42801.599999999999</v>
      </c>
      <c r="AR6" s="106">
        <v>76</v>
      </c>
      <c r="AS6" s="106">
        <v>43958.400000000001</v>
      </c>
      <c r="AT6" s="106">
        <v>86</v>
      </c>
      <c r="AU6" s="106">
        <v>49742.400000000001</v>
      </c>
      <c r="AV6" s="106">
        <v>86</v>
      </c>
      <c r="AW6" s="106">
        <v>49742.400000000001</v>
      </c>
      <c r="AX6" s="106">
        <v>82</v>
      </c>
      <c r="AY6" s="106">
        <v>47428.799999999996</v>
      </c>
      <c r="AZ6" s="106">
        <v>61</v>
      </c>
      <c r="BA6" s="106">
        <v>35282.400000000001</v>
      </c>
      <c r="BB6" s="106">
        <v>60</v>
      </c>
      <c r="BC6" s="106">
        <v>34704</v>
      </c>
      <c r="BD6" s="106">
        <v>57</v>
      </c>
      <c r="BE6" s="106">
        <v>32968.799999999996</v>
      </c>
      <c r="BF6" s="106">
        <v>89</v>
      </c>
      <c r="BG6" s="106">
        <v>51477.599999999999</v>
      </c>
      <c r="BH6" s="106">
        <v>75</v>
      </c>
      <c r="BI6" s="106">
        <v>43380</v>
      </c>
      <c r="BJ6" s="106">
        <v>56</v>
      </c>
      <c r="BK6" s="106">
        <v>32390.399999999998</v>
      </c>
      <c r="BL6" s="106">
        <v>76</v>
      </c>
      <c r="BM6" s="106">
        <v>43958.400000000001</v>
      </c>
      <c r="BN6" s="106">
        <v>49</v>
      </c>
      <c r="BO6" s="106">
        <v>28341.599999999999</v>
      </c>
      <c r="BP6" s="106">
        <v>89</v>
      </c>
      <c r="BQ6" s="106">
        <v>51477.599999999999</v>
      </c>
      <c r="BR6" s="106">
        <v>53</v>
      </c>
      <c r="BS6" s="106">
        <v>30655.199999999997</v>
      </c>
      <c r="BT6" s="106">
        <v>47</v>
      </c>
      <c r="BU6" s="106">
        <v>27184.799999999999</v>
      </c>
      <c r="BV6" s="106">
        <v>93</v>
      </c>
      <c r="BW6" s="106">
        <v>53791.199999999997</v>
      </c>
      <c r="BX6" s="106">
        <v>44</v>
      </c>
      <c r="BY6" s="106">
        <v>25449.599999999999</v>
      </c>
      <c r="BZ6" s="106">
        <v>40</v>
      </c>
      <c r="CA6" s="106">
        <v>23136</v>
      </c>
      <c r="CB6" s="106">
        <v>35</v>
      </c>
      <c r="CC6" s="106">
        <v>20244</v>
      </c>
      <c r="CD6" s="106">
        <v>54</v>
      </c>
      <c r="CE6" s="106">
        <v>31233.599999999999</v>
      </c>
      <c r="CF6" s="106">
        <v>62</v>
      </c>
      <c r="CG6" s="106">
        <v>35860.799999999996</v>
      </c>
      <c r="CH6" s="106">
        <v>50</v>
      </c>
      <c r="CI6" s="106">
        <v>28920</v>
      </c>
      <c r="CJ6" s="106">
        <v>66</v>
      </c>
      <c r="CK6" s="106">
        <v>38174.400000000001</v>
      </c>
      <c r="CL6" s="106">
        <v>42</v>
      </c>
      <c r="CM6" s="106">
        <v>24292.799999999999</v>
      </c>
      <c r="CN6" s="106">
        <v>62</v>
      </c>
      <c r="CO6" s="106">
        <v>35860.799999999996</v>
      </c>
      <c r="CP6" s="106">
        <v>93</v>
      </c>
      <c r="CQ6" s="106">
        <v>53791.199999999997</v>
      </c>
      <c r="CR6" s="106">
        <v>63</v>
      </c>
      <c r="CS6" s="106">
        <v>36439.199999999997</v>
      </c>
      <c r="CT6" s="106">
        <v>56</v>
      </c>
      <c r="CU6" s="106">
        <v>32390.399999999998</v>
      </c>
    </row>
    <row r="7" spans="1:99" x14ac:dyDescent="0.2">
      <c r="C7" s="105" t="s">
        <v>172</v>
      </c>
      <c r="D7" s="106">
        <v>57</v>
      </c>
      <c r="E7" s="106">
        <v>44938.799999999996</v>
      </c>
      <c r="F7" s="106">
        <v>70</v>
      </c>
      <c r="G7" s="106">
        <v>55188</v>
      </c>
      <c r="H7" s="106">
        <v>42</v>
      </c>
      <c r="I7" s="106">
        <v>33112.799999999996</v>
      </c>
      <c r="J7" s="106">
        <v>79</v>
      </c>
      <c r="K7" s="106">
        <v>62283.6</v>
      </c>
      <c r="L7" s="106">
        <v>43</v>
      </c>
      <c r="M7" s="106">
        <v>33901.199999999997</v>
      </c>
      <c r="N7" s="106">
        <v>63</v>
      </c>
      <c r="O7" s="106">
        <v>49669.2</v>
      </c>
      <c r="P7" s="106">
        <v>71</v>
      </c>
      <c r="Q7" s="106">
        <v>55976.4</v>
      </c>
      <c r="R7" s="106">
        <v>46</v>
      </c>
      <c r="S7" s="106">
        <v>36266.400000000001</v>
      </c>
      <c r="T7" s="106">
        <v>44</v>
      </c>
      <c r="U7" s="106">
        <v>34689.599999999999</v>
      </c>
      <c r="V7" s="106">
        <v>53</v>
      </c>
      <c r="W7" s="106">
        <v>41785.199999999997</v>
      </c>
      <c r="X7" s="106">
        <v>55</v>
      </c>
      <c r="Y7" s="106">
        <v>43362</v>
      </c>
      <c r="Z7" s="106">
        <v>43</v>
      </c>
      <c r="AA7" s="106">
        <v>33901.199999999997</v>
      </c>
      <c r="AB7" s="106">
        <v>82</v>
      </c>
      <c r="AC7" s="106">
        <v>64648.799999999996</v>
      </c>
      <c r="AD7" s="106">
        <v>44</v>
      </c>
      <c r="AE7" s="106">
        <v>34689.599999999999</v>
      </c>
      <c r="AF7" s="106">
        <v>43</v>
      </c>
      <c r="AG7" s="106">
        <v>33901.199999999997</v>
      </c>
      <c r="AH7" s="106">
        <v>68</v>
      </c>
      <c r="AI7" s="106">
        <v>53611.199999999997</v>
      </c>
      <c r="AJ7" s="106">
        <v>59</v>
      </c>
      <c r="AK7" s="106">
        <v>46515.6</v>
      </c>
      <c r="AL7" s="106">
        <v>55</v>
      </c>
      <c r="AM7" s="106">
        <v>43362</v>
      </c>
      <c r="AN7" s="106">
        <v>70</v>
      </c>
      <c r="AO7" s="106">
        <v>55188</v>
      </c>
      <c r="AP7" s="106">
        <v>61</v>
      </c>
      <c r="AQ7" s="106">
        <v>48092.4</v>
      </c>
      <c r="AR7" s="106">
        <v>69</v>
      </c>
      <c r="AS7" s="106">
        <v>54399.6</v>
      </c>
      <c r="AT7" s="106">
        <v>82</v>
      </c>
      <c r="AU7" s="106">
        <v>64648.799999999996</v>
      </c>
      <c r="AV7" s="106">
        <v>83</v>
      </c>
      <c r="AW7" s="106">
        <v>65437.2</v>
      </c>
      <c r="AX7" s="106">
        <v>82</v>
      </c>
      <c r="AY7" s="106">
        <v>64648.799999999996</v>
      </c>
      <c r="AZ7" s="106">
        <v>68</v>
      </c>
      <c r="BA7" s="106">
        <v>53611.199999999997</v>
      </c>
      <c r="BB7" s="106">
        <v>54</v>
      </c>
      <c r="BC7" s="106">
        <v>42573.599999999999</v>
      </c>
      <c r="BD7" s="106">
        <v>58</v>
      </c>
      <c r="BE7" s="106">
        <v>45727.199999999997</v>
      </c>
      <c r="BF7" s="106">
        <v>73</v>
      </c>
      <c r="BG7" s="106">
        <v>57553.2</v>
      </c>
      <c r="BH7" s="106">
        <v>70</v>
      </c>
      <c r="BI7" s="106">
        <v>55188</v>
      </c>
      <c r="BJ7" s="106">
        <v>53</v>
      </c>
      <c r="BK7" s="106">
        <v>41785.199999999997</v>
      </c>
      <c r="BL7" s="106">
        <v>78</v>
      </c>
      <c r="BM7" s="106">
        <v>61495.199999999997</v>
      </c>
      <c r="BN7" s="106">
        <v>49</v>
      </c>
      <c r="BO7" s="106">
        <v>38631.599999999999</v>
      </c>
      <c r="BP7" s="106">
        <v>82</v>
      </c>
      <c r="BQ7" s="106">
        <v>64648.799999999996</v>
      </c>
      <c r="BR7" s="106">
        <v>48</v>
      </c>
      <c r="BS7" s="106">
        <v>37843.199999999997</v>
      </c>
      <c r="BT7" s="106">
        <v>49</v>
      </c>
      <c r="BU7" s="106">
        <v>38631.599999999999</v>
      </c>
      <c r="BV7" s="106">
        <v>94</v>
      </c>
      <c r="BW7" s="106">
        <v>74109.599999999991</v>
      </c>
      <c r="BX7" s="106">
        <v>41</v>
      </c>
      <c r="BY7" s="106">
        <v>32324.399999999998</v>
      </c>
      <c r="BZ7" s="106">
        <v>38</v>
      </c>
      <c r="CA7" s="106">
        <v>29959.200000000001</v>
      </c>
      <c r="CB7" s="106">
        <v>38</v>
      </c>
      <c r="CC7" s="106">
        <v>29959.200000000001</v>
      </c>
      <c r="CD7" s="106">
        <v>47</v>
      </c>
      <c r="CE7" s="106">
        <v>37054.799999999996</v>
      </c>
      <c r="CF7" s="106">
        <v>62</v>
      </c>
      <c r="CG7" s="106">
        <v>48880.799999999996</v>
      </c>
      <c r="CH7" s="106">
        <v>42</v>
      </c>
      <c r="CI7" s="106">
        <v>33112.799999999996</v>
      </c>
      <c r="CJ7" s="106">
        <v>60</v>
      </c>
      <c r="CK7" s="106">
        <v>47304</v>
      </c>
      <c r="CL7" s="106">
        <v>41</v>
      </c>
      <c r="CM7" s="106">
        <v>32324.399999999998</v>
      </c>
      <c r="CN7" s="106">
        <v>59</v>
      </c>
      <c r="CO7" s="106">
        <v>46515.6</v>
      </c>
      <c r="CP7" s="106">
        <v>99</v>
      </c>
      <c r="CQ7" s="106">
        <v>78051.599999999991</v>
      </c>
      <c r="CR7" s="106">
        <v>56</v>
      </c>
      <c r="CS7" s="106">
        <v>44150.400000000001</v>
      </c>
      <c r="CT7" s="106">
        <v>51</v>
      </c>
      <c r="CU7" s="106">
        <v>40208.400000000001</v>
      </c>
    </row>
    <row r="8" spans="1:99" x14ac:dyDescent="0.2">
      <c r="C8" s="105" t="s">
        <v>173</v>
      </c>
      <c r="D8" s="106">
        <v>57</v>
      </c>
      <c r="E8" s="106">
        <v>17647.199999999997</v>
      </c>
      <c r="F8" s="106">
        <v>70</v>
      </c>
      <c r="G8" s="106">
        <v>21671.999999999996</v>
      </c>
      <c r="H8" s="106">
        <v>48</v>
      </c>
      <c r="I8" s="106">
        <v>14860.8</v>
      </c>
      <c r="J8" s="106">
        <v>85</v>
      </c>
      <c r="K8" s="106">
        <v>26315.999999999996</v>
      </c>
      <c r="L8" s="106">
        <v>44</v>
      </c>
      <c r="M8" s="106">
        <v>13622.399999999998</v>
      </c>
      <c r="N8" s="106">
        <v>65</v>
      </c>
      <c r="O8" s="106">
        <v>20123.999999999996</v>
      </c>
      <c r="P8" s="106">
        <v>81</v>
      </c>
      <c r="Q8" s="106">
        <v>25077.599999999999</v>
      </c>
      <c r="R8" s="106">
        <v>45</v>
      </c>
      <c r="S8" s="106">
        <v>13931.999999999998</v>
      </c>
      <c r="T8" s="106">
        <v>53</v>
      </c>
      <c r="U8" s="106">
        <v>16408.8</v>
      </c>
      <c r="V8" s="106">
        <v>55</v>
      </c>
      <c r="W8" s="106">
        <v>17027.999999999996</v>
      </c>
      <c r="X8" s="106">
        <v>65</v>
      </c>
      <c r="Y8" s="106">
        <v>20123.999999999996</v>
      </c>
      <c r="Z8" s="106">
        <v>56</v>
      </c>
      <c r="AA8" s="106">
        <v>17337.599999999999</v>
      </c>
      <c r="AB8" s="106">
        <v>82</v>
      </c>
      <c r="AC8" s="106">
        <v>25387.199999999997</v>
      </c>
      <c r="AD8" s="106">
        <v>54</v>
      </c>
      <c r="AE8" s="106">
        <v>16718.399999999998</v>
      </c>
      <c r="AF8" s="106">
        <v>49</v>
      </c>
      <c r="AG8" s="106">
        <v>15170.399999999998</v>
      </c>
      <c r="AH8" s="106">
        <v>74</v>
      </c>
      <c r="AI8" s="106">
        <v>22910.399999999998</v>
      </c>
      <c r="AJ8" s="106">
        <v>60</v>
      </c>
      <c r="AK8" s="106">
        <v>18575.999999999996</v>
      </c>
      <c r="AL8" s="106">
        <v>63</v>
      </c>
      <c r="AM8" s="106">
        <v>19504.8</v>
      </c>
      <c r="AN8" s="106">
        <v>68</v>
      </c>
      <c r="AO8" s="106">
        <v>21052.799999999999</v>
      </c>
      <c r="AP8" s="106">
        <v>69</v>
      </c>
      <c r="AQ8" s="106">
        <v>21362.399999999998</v>
      </c>
      <c r="AR8" s="106">
        <v>78</v>
      </c>
      <c r="AS8" s="106">
        <v>24148.799999999996</v>
      </c>
      <c r="AT8" s="106">
        <v>86</v>
      </c>
      <c r="AU8" s="106">
        <v>26625.599999999999</v>
      </c>
      <c r="AV8" s="106">
        <v>85</v>
      </c>
      <c r="AW8" s="106">
        <v>26315.999999999996</v>
      </c>
      <c r="AX8" s="106">
        <v>92</v>
      </c>
      <c r="AY8" s="106">
        <v>28483.199999999997</v>
      </c>
      <c r="AZ8" s="106">
        <v>66</v>
      </c>
      <c r="BA8" s="106">
        <v>20433.599999999999</v>
      </c>
      <c r="BB8" s="106">
        <v>54</v>
      </c>
      <c r="BC8" s="106">
        <v>16718.399999999998</v>
      </c>
      <c r="BD8" s="106">
        <v>60</v>
      </c>
      <c r="BE8" s="106">
        <v>18575.999999999996</v>
      </c>
      <c r="BF8" s="106">
        <v>91</v>
      </c>
      <c r="BG8" s="106">
        <v>28173.599999999999</v>
      </c>
      <c r="BH8" s="106">
        <v>75</v>
      </c>
      <c r="BI8" s="106">
        <v>23219.999999999996</v>
      </c>
      <c r="BJ8" s="106">
        <v>61</v>
      </c>
      <c r="BK8" s="106">
        <v>18885.599999999999</v>
      </c>
      <c r="BL8" s="106">
        <v>75</v>
      </c>
      <c r="BM8" s="106">
        <v>23219.999999999996</v>
      </c>
      <c r="BN8" s="106">
        <v>54</v>
      </c>
      <c r="BO8" s="106">
        <v>16718.399999999998</v>
      </c>
      <c r="BP8" s="106">
        <v>88</v>
      </c>
      <c r="BQ8" s="106">
        <v>27244.799999999996</v>
      </c>
      <c r="BR8" s="106">
        <v>55</v>
      </c>
      <c r="BS8" s="106">
        <v>17027.999999999996</v>
      </c>
      <c r="BT8" s="106">
        <v>51</v>
      </c>
      <c r="BU8" s="106">
        <v>15789.599999999999</v>
      </c>
      <c r="BV8" s="106">
        <v>96</v>
      </c>
      <c r="BW8" s="106">
        <v>29721.599999999999</v>
      </c>
      <c r="BX8" s="106">
        <v>45</v>
      </c>
      <c r="BY8" s="106">
        <v>13931.999999999998</v>
      </c>
      <c r="BZ8" s="106">
        <v>44</v>
      </c>
      <c r="CA8" s="106">
        <v>13622.399999999998</v>
      </c>
      <c r="CB8" s="106">
        <v>44</v>
      </c>
      <c r="CC8" s="106">
        <v>13622.399999999998</v>
      </c>
      <c r="CD8" s="106">
        <v>53</v>
      </c>
      <c r="CE8" s="106">
        <v>16408.8</v>
      </c>
      <c r="CF8" s="106">
        <v>69</v>
      </c>
      <c r="CG8" s="106">
        <v>21362.399999999998</v>
      </c>
      <c r="CH8" s="106">
        <v>49</v>
      </c>
      <c r="CI8" s="106">
        <v>15170.399999999998</v>
      </c>
      <c r="CJ8" s="106">
        <v>74</v>
      </c>
      <c r="CK8" s="106">
        <v>22910.399999999998</v>
      </c>
      <c r="CL8" s="106">
        <v>47</v>
      </c>
      <c r="CM8" s="106">
        <v>14551.199999999999</v>
      </c>
      <c r="CN8" s="106">
        <v>66</v>
      </c>
      <c r="CO8" s="106">
        <v>20433.599999999999</v>
      </c>
      <c r="CP8" s="106">
        <v>112</v>
      </c>
      <c r="CQ8" s="106">
        <v>34675.199999999997</v>
      </c>
      <c r="CR8" s="106">
        <v>64</v>
      </c>
      <c r="CS8" s="106">
        <v>19814.399999999998</v>
      </c>
      <c r="CT8" s="106">
        <v>60</v>
      </c>
      <c r="CU8" s="106">
        <v>18575.999999999996</v>
      </c>
    </row>
    <row r="9" spans="1:99" x14ac:dyDescent="0.2">
      <c r="C9" s="105" t="s">
        <v>174</v>
      </c>
      <c r="D9" s="106">
        <v>53</v>
      </c>
      <c r="E9" s="106">
        <v>37206</v>
      </c>
      <c r="F9" s="106">
        <v>64</v>
      </c>
      <c r="G9" s="106">
        <v>44928</v>
      </c>
      <c r="H9" s="106">
        <v>44</v>
      </c>
      <c r="I9" s="106">
        <v>30888</v>
      </c>
      <c r="J9" s="106">
        <v>72</v>
      </c>
      <c r="K9" s="106">
        <v>50544</v>
      </c>
      <c r="L9" s="106">
        <v>38</v>
      </c>
      <c r="M9" s="106">
        <v>26676</v>
      </c>
      <c r="N9" s="106">
        <v>64</v>
      </c>
      <c r="O9" s="106">
        <v>44928</v>
      </c>
      <c r="P9" s="106">
        <v>72</v>
      </c>
      <c r="Q9" s="106">
        <v>50544</v>
      </c>
      <c r="R9" s="106">
        <v>42</v>
      </c>
      <c r="S9" s="106">
        <v>29484</v>
      </c>
      <c r="T9" s="106">
        <v>53</v>
      </c>
      <c r="U9" s="106">
        <v>37206</v>
      </c>
      <c r="V9" s="106">
        <v>57</v>
      </c>
      <c r="W9" s="106">
        <v>40014</v>
      </c>
      <c r="X9" s="106">
        <v>57</v>
      </c>
      <c r="Y9" s="106">
        <v>40014</v>
      </c>
      <c r="Z9" s="106">
        <v>48</v>
      </c>
      <c r="AA9" s="106">
        <v>33696</v>
      </c>
      <c r="AB9" s="106">
        <v>88</v>
      </c>
      <c r="AC9" s="106">
        <v>61776</v>
      </c>
      <c r="AD9" s="106">
        <v>46</v>
      </c>
      <c r="AE9" s="106">
        <v>32292</v>
      </c>
      <c r="AF9" s="106">
        <v>45</v>
      </c>
      <c r="AG9" s="106">
        <v>31590</v>
      </c>
      <c r="AH9" s="106">
        <v>68</v>
      </c>
      <c r="AI9" s="106">
        <v>47736</v>
      </c>
      <c r="AJ9" s="106">
        <v>63</v>
      </c>
      <c r="AK9" s="106">
        <v>44226</v>
      </c>
      <c r="AL9" s="106">
        <v>61</v>
      </c>
      <c r="AM9" s="106">
        <v>42822</v>
      </c>
      <c r="AN9" s="106">
        <v>64</v>
      </c>
      <c r="AO9" s="106">
        <v>44928</v>
      </c>
      <c r="AP9" s="106">
        <v>74</v>
      </c>
      <c r="AQ9" s="106">
        <v>51948</v>
      </c>
      <c r="AR9" s="106">
        <v>80</v>
      </c>
      <c r="AS9" s="106">
        <v>56160</v>
      </c>
      <c r="AT9" s="106">
        <v>85</v>
      </c>
      <c r="AU9" s="106">
        <v>59670</v>
      </c>
      <c r="AV9" s="106">
        <v>82</v>
      </c>
      <c r="AW9" s="106">
        <v>57564</v>
      </c>
      <c r="AX9" s="106">
        <v>77</v>
      </c>
      <c r="AY9" s="106">
        <v>54054</v>
      </c>
      <c r="AZ9" s="106">
        <v>61</v>
      </c>
      <c r="BA9" s="106">
        <v>42822</v>
      </c>
      <c r="BB9" s="106">
        <v>59</v>
      </c>
      <c r="BC9" s="106">
        <v>41418</v>
      </c>
      <c r="BD9" s="106">
        <v>60</v>
      </c>
      <c r="BE9" s="106">
        <v>42120</v>
      </c>
      <c r="BF9" s="106">
        <v>88</v>
      </c>
      <c r="BG9" s="106">
        <v>61776</v>
      </c>
      <c r="BH9" s="106">
        <v>67</v>
      </c>
      <c r="BI9" s="106">
        <v>47034</v>
      </c>
      <c r="BJ9" s="106">
        <v>49</v>
      </c>
      <c r="BK9" s="106">
        <v>34398</v>
      </c>
      <c r="BL9" s="106">
        <v>74</v>
      </c>
      <c r="BM9" s="106">
        <v>51948</v>
      </c>
      <c r="BN9" s="106">
        <v>48</v>
      </c>
      <c r="BO9" s="106">
        <v>33696</v>
      </c>
      <c r="BP9" s="106">
        <v>86</v>
      </c>
      <c r="BQ9" s="106">
        <v>60372</v>
      </c>
      <c r="BR9" s="106">
        <v>52</v>
      </c>
      <c r="BS9" s="106">
        <v>36504</v>
      </c>
      <c r="BT9" s="106">
        <v>45</v>
      </c>
      <c r="BU9" s="106">
        <v>31590</v>
      </c>
      <c r="BV9" s="106">
        <v>100</v>
      </c>
      <c r="BW9" s="106">
        <v>70200</v>
      </c>
      <c r="BX9" s="106">
        <v>39</v>
      </c>
      <c r="BY9" s="106">
        <v>27378</v>
      </c>
      <c r="BZ9" s="106">
        <v>34</v>
      </c>
      <c r="CA9" s="106">
        <v>23868</v>
      </c>
      <c r="CB9" s="106">
        <v>40</v>
      </c>
      <c r="CC9" s="106">
        <v>28080</v>
      </c>
      <c r="CD9" s="106">
        <v>53</v>
      </c>
      <c r="CE9" s="106">
        <v>37206</v>
      </c>
      <c r="CF9" s="106">
        <v>55</v>
      </c>
      <c r="CG9" s="106">
        <v>38610</v>
      </c>
      <c r="CH9" s="106">
        <v>45</v>
      </c>
      <c r="CI9" s="106">
        <v>31590</v>
      </c>
      <c r="CJ9" s="106">
        <v>66</v>
      </c>
      <c r="CK9" s="106">
        <v>46332</v>
      </c>
      <c r="CL9" s="106">
        <v>45</v>
      </c>
      <c r="CM9" s="106">
        <v>31590</v>
      </c>
      <c r="CN9" s="106">
        <v>61</v>
      </c>
      <c r="CO9" s="106">
        <v>42822</v>
      </c>
      <c r="CP9" s="106">
        <v>88</v>
      </c>
      <c r="CQ9" s="106">
        <v>61776</v>
      </c>
      <c r="CR9" s="106">
        <v>62</v>
      </c>
      <c r="CS9" s="106">
        <v>43524</v>
      </c>
      <c r="CT9" s="106">
        <v>59</v>
      </c>
      <c r="CU9" s="106">
        <v>41418</v>
      </c>
    </row>
    <row r="10" spans="1:99" x14ac:dyDescent="0.2">
      <c r="C10" s="105" t="s">
        <v>175</v>
      </c>
      <c r="D10" s="106">
        <v>56</v>
      </c>
      <c r="E10" s="106">
        <v>30508.799999999996</v>
      </c>
      <c r="F10" s="106">
        <v>77</v>
      </c>
      <c r="G10" s="106">
        <v>41949.599999999999</v>
      </c>
      <c r="H10" s="106">
        <v>47</v>
      </c>
      <c r="I10" s="106">
        <v>25605.599999999999</v>
      </c>
      <c r="J10" s="106">
        <v>73</v>
      </c>
      <c r="K10" s="106">
        <v>39770.399999999994</v>
      </c>
      <c r="L10" s="106">
        <v>38</v>
      </c>
      <c r="M10" s="106">
        <v>20702.399999999998</v>
      </c>
      <c r="N10" s="106">
        <v>55</v>
      </c>
      <c r="O10" s="106">
        <v>29963.999999999996</v>
      </c>
      <c r="P10" s="106">
        <v>74</v>
      </c>
      <c r="Q10" s="106">
        <v>40315.199999999997</v>
      </c>
      <c r="R10" s="106">
        <v>50</v>
      </c>
      <c r="S10" s="106">
        <v>27239.999999999996</v>
      </c>
      <c r="T10" s="106">
        <v>47</v>
      </c>
      <c r="U10" s="106">
        <v>25605.599999999999</v>
      </c>
      <c r="V10" s="106">
        <v>58</v>
      </c>
      <c r="W10" s="106">
        <v>31598.399999999998</v>
      </c>
      <c r="X10" s="106">
        <v>64</v>
      </c>
      <c r="Y10" s="106">
        <v>34867.199999999997</v>
      </c>
      <c r="Z10" s="106">
        <v>44</v>
      </c>
      <c r="AA10" s="106">
        <v>23971.199999999997</v>
      </c>
      <c r="AB10" s="106">
        <v>89</v>
      </c>
      <c r="AC10" s="106">
        <v>48487.199999999997</v>
      </c>
      <c r="AD10" s="106">
        <v>45</v>
      </c>
      <c r="AE10" s="106">
        <v>24515.999999999996</v>
      </c>
      <c r="AF10" s="106">
        <v>45</v>
      </c>
      <c r="AG10" s="106">
        <v>24515.999999999996</v>
      </c>
      <c r="AH10" s="106">
        <v>68</v>
      </c>
      <c r="AI10" s="106">
        <v>37046.399999999994</v>
      </c>
      <c r="AJ10" s="106">
        <v>67</v>
      </c>
      <c r="AK10" s="106">
        <v>36501.599999999999</v>
      </c>
      <c r="AL10" s="106">
        <v>63</v>
      </c>
      <c r="AM10" s="106">
        <v>34322.399999999994</v>
      </c>
      <c r="AN10" s="106">
        <v>71</v>
      </c>
      <c r="AO10" s="106">
        <v>38680.799999999996</v>
      </c>
      <c r="AP10" s="106">
        <v>65</v>
      </c>
      <c r="AQ10" s="106">
        <v>35412</v>
      </c>
      <c r="AR10" s="106">
        <v>80</v>
      </c>
      <c r="AS10" s="106">
        <v>43584</v>
      </c>
      <c r="AT10" s="106">
        <v>83</v>
      </c>
      <c r="AU10" s="106">
        <v>45218.399999999994</v>
      </c>
      <c r="AV10" s="106">
        <v>91</v>
      </c>
      <c r="AW10" s="106">
        <v>49576.799999999996</v>
      </c>
      <c r="AX10" s="106">
        <v>76</v>
      </c>
      <c r="AY10" s="106">
        <v>41404.799999999996</v>
      </c>
      <c r="AZ10" s="106">
        <v>71</v>
      </c>
      <c r="BA10" s="106">
        <v>38680.799999999996</v>
      </c>
      <c r="BB10" s="106">
        <v>53</v>
      </c>
      <c r="BC10" s="106">
        <v>28874.399999999998</v>
      </c>
      <c r="BD10" s="106">
        <v>63</v>
      </c>
      <c r="BE10" s="106">
        <v>34322.399999999994</v>
      </c>
      <c r="BF10" s="106">
        <v>80</v>
      </c>
      <c r="BG10" s="106">
        <v>43584</v>
      </c>
      <c r="BH10" s="106">
        <v>75</v>
      </c>
      <c r="BI10" s="106">
        <v>40860</v>
      </c>
      <c r="BJ10" s="106">
        <v>50</v>
      </c>
      <c r="BK10" s="106">
        <v>27239.999999999996</v>
      </c>
      <c r="BL10" s="106">
        <v>75</v>
      </c>
      <c r="BM10" s="106">
        <v>40860</v>
      </c>
      <c r="BN10" s="106">
        <v>50</v>
      </c>
      <c r="BO10" s="106">
        <v>27239.999999999996</v>
      </c>
      <c r="BP10" s="106">
        <v>82</v>
      </c>
      <c r="BQ10" s="106">
        <v>44673.599999999999</v>
      </c>
      <c r="BR10" s="106">
        <v>57</v>
      </c>
      <c r="BS10" s="106">
        <v>31053.599999999999</v>
      </c>
      <c r="BT10" s="106">
        <v>51</v>
      </c>
      <c r="BU10" s="106">
        <v>27784.799999999999</v>
      </c>
      <c r="BV10" s="106">
        <v>86</v>
      </c>
      <c r="BW10" s="106">
        <v>46852.799999999996</v>
      </c>
      <c r="BX10" s="106">
        <v>46</v>
      </c>
      <c r="BY10" s="106">
        <v>25060.799999999999</v>
      </c>
      <c r="BZ10" s="106">
        <v>41</v>
      </c>
      <c r="CA10" s="106">
        <v>22336.799999999999</v>
      </c>
      <c r="CB10" s="106">
        <v>39</v>
      </c>
      <c r="CC10" s="106">
        <v>21247.199999999997</v>
      </c>
      <c r="CD10" s="106">
        <v>52</v>
      </c>
      <c r="CE10" s="106">
        <v>28329.599999999999</v>
      </c>
      <c r="CF10" s="106">
        <v>66</v>
      </c>
      <c r="CG10" s="106">
        <v>35956.799999999996</v>
      </c>
      <c r="CH10" s="106">
        <v>44</v>
      </c>
      <c r="CI10" s="106">
        <v>23971.199999999997</v>
      </c>
      <c r="CJ10" s="106">
        <v>64</v>
      </c>
      <c r="CK10" s="106">
        <v>34867.199999999997</v>
      </c>
      <c r="CL10" s="106">
        <v>47</v>
      </c>
      <c r="CM10" s="106">
        <v>25605.599999999999</v>
      </c>
      <c r="CN10" s="106">
        <v>67</v>
      </c>
      <c r="CO10" s="106">
        <v>36501.599999999999</v>
      </c>
      <c r="CP10" s="106">
        <v>104</v>
      </c>
      <c r="CQ10" s="106">
        <v>56659.199999999997</v>
      </c>
      <c r="CR10" s="106">
        <v>64</v>
      </c>
      <c r="CS10" s="106">
        <v>34867.199999999997</v>
      </c>
      <c r="CT10" s="106">
        <v>58</v>
      </c>
      <c r="CU10" s="106">
        <v>31598.399999999998</v>
      </c>
    </row>
    <row r="11" spans="1:99" x14ac:dyDescent="0.2">
      <c r="C11" s="105" t="s">
        <v>176</v>
      </c>
      <c r="D11" s="106">
        <v>55</v>
      </c>
      <c r="E11" s="106">
        <v>29303.999999999996</v>
      </c>
      <c r="F11" s="106">
        <v>73</v>
      </c>
      <c r="G11" s="106">
        <v>38894.399999999994</v>
      </c>
      <c r="H11" s="106">
        <v>44</v>
      </c>
      <c r="I11" s="106">
        <v>23443.199999999997</v>
      </c>
      <c r="J11" s="106">
        <v>82</v>
      </c>
      <c r="K11" s="106">
        <v>43689.599999999999</v>
      </c>
      <c r="L11" s="106">
        <v>42</v>
      </c>
      <c r="M11" s="106">
        <v>22377.599999999999</v>
      </c>
      <c r="N11" s="106">
        <v>56</v>
      </c>
      <c r="O11" s="106">
        <v>29836.799999999996</v>
      </c>
      <c r="P11" s="106">
        <v>79</v>
      </c>
      <c r="Q11" s="106">
        <v>42091.199999999997</v>
      </c>
      <c r="R11" s="106">
        <v>41</v>
      </c>
      <c r="S11" s="106">
        <v>21844.799999999999</v>
      </c>
      <c r="T11" s="106">
        <v>52</v>
      </c>
      <c r="U11" s="106">
        <v>27705.599999999999</v>
      </c>
      <c r="V11" s="106">
        <v>58</v>
      </c>
      <c r="W11" s="106">
        <v>30902.399999999998</v>
      </c>
      <c r="X11" s="106">
        <v>58</v>
      </c>
      <c r="Y11" s="106">
        <v>30902.399999999998</v>
      </c>
      <c r="Z11" s="106">
        <v>52</v>
      </c>
      <c r="AA11" s="106">
        <v>27705.599999999999</v>
      </c>
      <c r="AB11" s="106">
        <v>88</v>
      </c>
      <c r="AC11" s="106">
        <v>46886.399999999994</v>
      </c>
      <c r="AD11" s="106">
        <v>44</v>
      </c>
      <c r="AE11" s="106">
        <v>23443.199999999997</v>
      </c>
      <c r="AF11" s="106">
        <v>48</v>
      </c>
      <c r="AG11" s="106">
        <v>25574.399999999998</v>
      </c>
      <c r="AH11" s="106">
        <v>72</v>
      </c>
      <c r="AI11" s="106">
        <v>38361.599999999999</v>
      </c>
      <c r="AJ11" s="106">
        <v>59</v>
      </c>
      <c r="AK11" s="106">
        <v>31435.199999999997</v>
      </c>
      <c r="AL11" s="106">
        <v>57</v>
      </c>
      <c r="AM11" s="106">
        <v>30369.599999999999</v>
      </c>
      <c r="AN11" s="106">
        <v>65</v>
      </c>
      <c r="AO11" s="106">
        <v>34632</v>
      </c>
      <c r="AP11" s="106">
        <v>70</v>
      </c>
      <c r="AQ11" s="106">
        <v>37296</v>
      </c>
      <c r="AR11" s="106">
        <v>82</v>
      </c>
      <c r="AS11" s="106">
        <v>43689.599999999999</v>
      </c>
      <c r="AT11" s="106">
        <v>89</v>
      </c>
      <c r="AU11" s="106">
        <v>47419.199999999997</v>
      </c>
      <c r="AV11" s="106">
        <v>79</v>
      </c>
      <c r="AW11" s="106">
        <v>42091.199999999997</v>
      </c>
      <c r="AX11" s="106">
        <v>88</v>
      </c>
      <c r="AY11" s="106">
        <v>46886.399999999994</v>
      </c>
      <c r="AZ11" s="106">
        <v>60</v>
      </c>
      <c r="BA11" s="106">
        <v>31967.999999999996</v>
      </c>
      <c r="BB11" s="106">
        <v>59</v>
      </c>
      <c r="BC11" s="106">
        <v>31435.199999999997</v>
      </c>
      <c r="BD11" s="106">
        <v>66</v>
      </c>
      <c r="BE11" s="106">
        <v>35164.799999999996</v>
      </c>
      <c r="BF11" s="106">
        <v>84</v>
      </c>
      <c r="BG11" s="106">
        <v>44755.199999999997</v>
      </c>
      <c r="BH11" s="106">
        <v>73</v>
      </c>
      <c r="BI11" s="106">
        <v>38894.399999999994</v>
      </c>
      <c r="BJ11" s="106">
        <v>51</v>
      </c>
      <c r="BK11" s="106">
        <v>27172.799999999999</v>
      </c>
      <c r="BL11" s="106">
        <v>77</v>
      </c>
      <c r="BM11" s="106">
        <v>41025.599999999999</v>
      </c>
      <c r="BN11" s="106">
        <v>49</v>
      </c>
      <c r="BO11" s="106">
        <v>26107.199999999997</v>
      </c>
      <c r="BP11" s="106">
        <v>93</v>
      </c>
      <c r="BQ11" s="106">
        <v>49550.399999999994</v>
      </c>
      <c r="BR11" s="106">
        <v>53</v>
      </c>
      <c r="BS11" s="106">
        <v>28238.399999999998</v>
      </c>
      <c r="BT11" s="106">
        <v>48</v>
      </c>
      <c r="BU11" s="106">
        <v>25574.399999999998</v>
      </c>
      <c r="BV11" s="106">
        <v>89</v>
      </c>
      <c r="BW11" s="106">
        <v>47419.199999999997</v>
      </c>
      <c r="BX11" s="106">
        <v>45</v>
      </c>
      <c r="BY11" s="106">
        <v>23975.999999999996</v>
      </c>
      <c r="BZ11" s="106">
        <v>42</v>
      </c>
      <c r="CA11" s="106">
        <v>22377.599999999999</v>
      </c>
      <c r="CB11" s="106">
        <v>40</v>
      </c>
      <c r="CC11" s="106">
        <v>21312</v>
      </c>
      <c r="CD11" s="106">
        <v>56</v>
      </c>
      <c r="CE11" s="106">
        <v>29836.799999999996</v>
      </c>
      <c r="CF11" s="106">
        <v>66</v>
      </c>
      <c r="CG11" s="106">
        <v>35164.799999999996</v>
      </c>
      <c r="CH11" s="106">
        <v>43</v>
      </c>
      <c r="CI11" s="106">
        <v>22910.399999999998</v>
      </c>
      <c r="CJ11" s="106">
        <v>71</v>
      </c>
      <c r="CK11" s="106">
        <v>37828.799999999996</v>
      </c>
      <c r="CL11" s="106">
        <v>46</v>
      </c>
      <c r="CM11" s="106">
        <v>24508.799999999999</v>
      </c>
      <c r="CN11" s="106">
        <v>62</v>
      </c>
      <c r="CO11" s="106">
        <v>33033.599999999999</v>
      </c>
      <c r="CP11" s="106">
        <v>104</v>
      </c>
      <c r="CQ11" s="106">
        <v>55411.199999999997</v>
      </c>
      <c r="CR11" s="106">
        <v>56</v>
      </c>
      <c r="CS11" s="106">
        <v>29836.799999999996</v>
      </c>
      <c r="CT11" s="106">
        <v>55</v>
      </c>
      <c r="CU11" s="106">
        <v>29303.999999999996</v>
      </c>
    </row>
    <row r="12" spans="1:99" x14ac:dyDescent="0.2">
      <c r="C12" s="105" t="s">
        <v>177</v>
      </c>
      <c r="D12" s="106">
        <v>60</v>
      </c>
      <c r="E12" s="106">
        <v>33768</v>
      </c>
      <c r="F12" s="106">
        <v>71</v>
      </c>
      <c r="G12" s="106">
        <v>39958.799999999996</v>
      </c>
      <c r="H12" s="106">
        <v>43</v>
      </c>
      <c r="I12" s="106">
        <v>24200.399999999998</v>
      </c>
      <c r="J12" s="106">
        <v>81</v>
      </c>
      <c r="K12" s="106">
        <v>45586.799999999996</v>
      </c>
      <c r="L12" s="106">
        <v>46</v>
      </c>
      <c r="M12" s="106">
        <v>25888.799999999999</v>
      </c>
      <c r="N12" s="106">
        <v>56</v>
      </c>
      <c r="O12" s="106">
        <v>31516.799999999996</v>
      </c>
      <c r="P12" s="106">
        <v>67</v>
      </c>
      <c r="Q12" s="106">
        <v>37707.599999999999</v>
      </c>
      <c r="R12" s="106">
        <v>49</v>
      </c>
      <c r="S12" s="106">
        <v>27577.199999999997</v>
      </c>
      <c r="T12" s="106">
        <v>53</v>
      </c>
      <c r="U12" s="106">
        <v>29828.399999999998</v>
      </c>
      <c r="V12" s="106">
        <v>61</v>
      </c>
      <c r="W12" s="106">
        <v>34330.799999999996</v>
      </c>
      <c r="X12" s="106">
        <v>56</v>
      </c>
      <c r="Y12" s="106">
        <v>31516.799999999996</v>
      </c>
      <c r="Z12" s="106">
        <v>47</v>
      </c>
      <c r="AA12" s="106">
        <v>26451.599999999999</v>
      </c>
      <c r="AB12" s="106">
        <v>89</v>
      </c>
      <c r="AC12" s="106">
        <v>50089.2</v>
      </c>
      <c r="AD12" s="106">
        <v>50</v>
      </c>
      <c r="AE12" s="106">
        <v>28139.999999999996</v>
      </c>
      <c r="AF12" s="106">
        <v>43</v>
      </c>
      <c r="AG12" s="106">
        <v>24200.399999999998</v>
      </c>
      <c r="AH12" s="106">
        <v>80</v>
      </c>
      <c r="AI12" s="106">
        <v>45024</v>
      </c>
      <c r="AJ12" s="106">
        <v>57</v>
      </c>
      <c r="AK12" s="106">
        <v>32079.599999999999</v>
      </c>
      <c r="AL12" s="106">
        <v>61</v>
      </c>
      <c r="AM12" s="106">
        <v>34330.799999999996</v>
      </c>
      <c r="AN12" s="106">
        <v>72</v>
      </c>
      <c r="AO12" s="106">
        <v>40521.599999999999</v>
      </c>
      <c r="AP12" s="106">
        <v>67</v>
      </c>
      <c r="AQ12" s="106">
        <v>37707.599999999999</v>
      </c>
      <c r="AR12" s="106">
        <v>72</v>
      </c>
      <c r="AS12" s="106">
        <v>40521.599999999999</v>
      </c>
      <c r="AT12" s="106">
        <v>84</v>
      </c>
      <c r="AU12" s="106">
        <v>47275.199999999997</v>
      </c>
      <c r="AV12" s="106">
        <v>80</v>
      </c>
      <c r="AW12" s="106">
        <v>45024</v>
      </c>
      <c r="AX12" s="106">
        <v>80</v>
      </c>
      <c r="AY12" s="106">
        <v>45024</v>
      </c>
      <c r="AZ12" s="106">
        <v>62</v>
      </c>
      <c r="BA12" s="106">
        <v>34893.599999999999</v>
      </c>
      <c r="BB12" s="106">
        <v>61</v>
      </c>
      <c r="BC12" s="106">
        <v>34330.799999999996</v>
      </c>
      <c r="BD12" s="106">
        <v>67</v>
      </c>
      <c r="BE12" s="106">
        <v>37707.599999999999</v>
      </c>
      <c r="BF12" s="106">
        <v>85</v>
      </c>
      <c r="BG12" s="106">
        <v>47837.999999999993</v>
      </c>
      <c r="BH12" s="106">
        <v>66</v>
      </c>
      <c r="BI12" s="106">
        <v>37144.799999999996</v>
      </c>
      <c r="BJ12" s="106">
        <v>57</v>
      </c>
      <c r="BK12" s="106">
        <v>32079.599999999999</v>
      </c>
      <c r="BL12" s="106">
        <v>79</v>
      </c>
      <c r="BM12" s="106">
        <v>44461.2</v>
      </c>
      <c r="BN12" s="106">
        <v>49</v>
      </c>
      <c r="BO12" s="106">
        <v>27577.199999999997</v>
      </c>
      <c r="BP12" s="106">
        <v>81</v>
      </c>
      <c r="BQ12" s="106">
        <v>45586.799999999996</v>
      </c>
      <c r="BR12" s="106">
        <v>56</v>
      </c>
      <c r="BS12" s="106">
        <v>31516.799999999996</v>
      </c>
      <c r="BT12" s="106">
        <v>49</v>
      </c>
      <c r="BU12" s="106">
        <v>27577.199999999997</v>
      </c>
      <c r="BV12" s="106">
        <v>92</v>
      </c>
      <c r="BW12" s="106">
        <v>51777.599999999999</v>
      </c>
      <c r="BX12" s="106">
        <v>41</v>
      </c>
      <c r="BY12" s="106">
        <v>23074.799999999999</v>
      </c>
      <c r="BZ12" s="106">
        <v>41</v>
      </c>
      <c r="CA12" s="106">
        <v>23074.799999999999</v>
      </c>
      <c r="CB12" s="106">
        <v>42</v>
      </c>
      <c r="CC12" s="106">
        <v>23637.599999999999</v>
      </c>
      <c r="CD12" s="106">
        <v>51</v>
      </c>
      <c r="CE12" s="106">
        <v>28702.799999999999</v>
      </c>
      <c r="CF12" s="106">
        <v>60</v>
      </c>
      <c r="CG12" s="106">
        <v>33768</v>
      </c>
      <c r="CH12" s="106">
        <v>46</v>
      </c>
      <c r="CI12" s="106">
        <v>25888.799999999999</v>
      </c>
      <c r="CJ12" s="106">
        <v>66</v>
      </c>
      <c r="CK12" s="106">
        <v>37144.799999999996</v>
      </c>
      <c r="CL12" s="106">
        <v>45</v>
      </c>
      <c r="CM12" s="106">
        <v>25325.999999999996</v>
      </c>
      <c r="CN12" s="106">
        <v>65</v>
      </c>
      <c r="CO12" s="106">
        <v>36582</v>
      </c>
      <c r="CP12" s="106">
        <v>105</v>
      </c>
      <c r="CQ12" s="106">
        <v>59093.999999999993</v>
      </c>
      <c r="CR12" s="106">
        <v>62</v>
      </c>
      <c r="CS12" s="106">
        <v>34893.599999999999</v>
      </c>
      <c r="CT12" s="106">
        <v>63</v>
      </c>
      <c r="CU12" s="106">
        <v>35456.399999999994</v>
      </c>
    </row>
    <row r="13" spans="1:99" x14ac:dyDescent="0.2">
      <c r="C13" s="105" t="s">
        <v>178</v>
      </c>
      <c r="D13" s="106">
        <v>65</v>
      </c>
      <c r="E13" s="106">
        <v>5538</v>
      </c>
      <c r="F13" s="106">
        <v>75</v>
      </c>
      <c r="G13" s="106">
        <v>6390</v>
      </c>
      <c r="H13" s="106">
        <v>50</v>
      </c>
      <c r="I13" s="106">
        <v>4260</v>
      </c>
      <c r="J13" s="106">
        <v>85</v>
      </c>
      <c r="K13" s="106">
        <v>7242</v>
      </c>
      <c r="L13" s="106">
        <v>49</v>
      </c>
      <c r="M13" s="106">
        <v>4174.8</v>
      </c>
      <c r="N13" s="106">
        <v>73</v>
      </c>
      <c r="O13" s="106">
        <v>6219.6</v>
      </c>
      <c r="P13" s="106">
        <v>77</v>
      </c>
      <c r="Q13" s="106">
        <v>6560.4000000000005</v>
      </c>
      <c r="R13" s="106">
        <v>46</v>
      </c>
      <c r="S13" s="106">
        <v>3919.2000000000003</v>
      </c>
      <c r="T13" s="106">
        <v>55</v>
      </c>
      <c r="U13" s="106">
        <v>4686</v>
      </c>
      <c r="V13" s="106">
        <v>67</v>
      </c>
      <c r="W13" s="106">
        <v>5708.4000000000005</v>
      </c>
      <c r="X13" s="106">
        <v>63</v>
      </c>
      <c r="Y13" s="106">
        <v>5367.6</v>
      </c>
      <c r="Z13" s="106">
        <v>50</v>
      </c>
      <c r="AA13" s="106">
        <v>4260</v>
      </c>
      <c r="AB13" s="106">
        <v>96</v>
      </c>
      <c r="AC13" s="106">
        <v>8179.2000000000007</v>
      </c>
      <c r="AD13" s="106">
        <v>54</v>
      </c>
      <c r="AE13" s="106">
        <v>4600.8</v>
      </c>
      <c r="AF13" s="106">
        <v>54</v>
      </c>
      <c r="AG13" s="106">
        <v>4600.8</v>
      </c>
      <c r="AH13" s="106">
        <v>75</v>
      </c>
      <c r="AI13" s="106">
        <v>6390</v>
      </c>
      <c r="AJ13" s="106">
        <v>74</v>
      </c>
      <c r="AK13" s="106">
        <v>6304.8</v>
      </c>
      <c r="AL13" s="106">
        <v>70</v>
      </c>
      <c r="AM13" s="106">
        <v>5964</v>
      </c>
      <c r="AN13" s="106">
        <v>82</v>
      </c>
      <c r="AO13" s="106">
        <v>6986.4000000000005</v>
      </c>
      <c r="AP13" s="106">
        <v>75</v>
      </c>
      <c r="AQ13" s="106">
        <v>6390</v>
      </c>
      <c r="AR13" s="106">
        <v>90</v>
      </c>
      <c r="AS13" s="106">
        <v>7668</v>
      </c>
      <c r="AT13" s="106">
        <v>90</v>
      </c>
      <c r="AU13" s="106">
        <v>7668</v>
      </c>
      <c r="AV13" s="106">
        <v>94</v>
      </c>
      <c r="AW13" s="106">
        <v>8008.8</v>
      </c>
      <c r="AX13" s="106">
        <v>82</v>
      </c>
      <c r="AY13" s="106">
        <v>6986.4000000000005</v>
      </c>
      <c r="AZ13" s="106">
        <v>72</v>
      </c>
      <c r="BA13" s="106">
        <v>6134.4000000000005</v>
      </c>
      <c r="BB13" s="106">
        <v>61</v>
      </c>
      <c r="BC13" s="106">
        <v>5197.2</v>
      </c>
      <c r="BD13" s="106">
        <v>74</v>
      </c>
      <c r="BE13" s="106">
        <v>6304.8</v>
      </c>
      <c r="BF13" s="106">
        <v>99</v>
      </c>
      <c r="BG13" s="106">
        <v>8434.8000000000011</v>
      </c>
      <c r="BH13" s="106">
        <v>87</v>
      </c>
      <c r="BI13" s="106">
        <v>7412.4000000000005</v>
      </c>
      <c r="BJ13" s="106">
        <v>55</v>
      </c>
      <c r="BK13" s="106">
        <v>4686</v>
      </c>
      <c r="BL13" s="106">
        <v>86</v>
      </c>
      <c r="BM13" s="106">
        <v>7327.2</v>
      </c>
      <c r="BN13" s="106">
        <v>51</v>
      </c>
      <c r="BO13" s="106">
        <v>4345.2</v>
      </c>
      <c r="BP13" s="106">
        <v>92</v>
      </c>
      <c r="BQ13" s="106">
        <v>7838.4000000000005</v>
      </c>
      <c r="BR13" s="106">
        <v>62</v>
      </c>
      <c r="BS13" s="106">
        <v>5282.4000000000005</v>
      </c>
      <c r="BT13" s="106">
        <v>52</v>
      </c>
      <c r="BU13" s="106">
        <v>4430.4000000000005</v>
      </c>
      <c r="BV13" s="106">
        <v>110</v>
      </c>
      <c r="BW13" s="106">
        <v>9372</v>
      </c>
      <c r="BX13" s="106">
        <v>50</v>
      </c>
      <c r="BY13" s="106">
        <v>4260</v>
      </c>
      <c r="BZ13" s="106">
        <v>46</v>
      </c>
      <c r="CA13" s="106">
        <v>3919.2000000000003</v>
      </c>
      <c r="CB13" s="106">
        <v>44</v>
      </c>
      <c r="CC13" s="106">
        <v>3748.8</v>
      </c>
      <c r="CD13" s="106">
        <v>55</v>
      </c>
      <c r="CE13" s="106">
        <v>4686</v>
      </c>
      <c r="CF13" s="106">
        <v>63</v>
      </c>
      <c r="CG13" s="106">
        <v>5367.6</v>
      </c>
      <c r="CH13" s="106">
        <v>52</v>
      </c>
      <c r="CI13" s="106">
        <v>4430.4000000000005</v>
      </c>
      <c r="CJ13" s="106">
        <v>67</v>
      </c>
      <c r="CK13" s="106">
        <v>5708.4000000000005</v>
      </c>
      <c r="CL13" s="106">
        <v>48</v>
      </c>
      <c r="CM13" s="106">
        <v>4089.6000000000004</v>
      </c>
      <c r="CN13" s="106">
        <v>70</v>
      </c>
      <c r="CO13" s="106">
        <v>5964</v>
      </c>
      <c r="CP13" s="106">
        <v>116</v>
      </c>
      <c r="CQ13" s="106">
        <v>9883.2000000000007</v>
      </c>
      <c r="CR13" s="106">
        <v>71</v>
      </c>
      <c r="CS13" s="106">
        <v>6049.2</v>
      </c>
      <c r="CT13" s="106">
        <v>61</v>
      </c>
      <c r="CU13" s="106">
        <v>5197.2</v>
      </c>
    </row>
    <row r="14" spans="1:99" x14ac:dyDescent="0.2">
      <c r="C14" s="105" t="s">
        <v>179</v>
      </c>
      <c r="D14" s="106">
        <v>53</v>
      </c>
      <c r="E14" s="106">
        <v>25885.199999999997</v>
      </c>
      <c r="F14" s="106">
        <v>72</v>
      </c>
      <c r="G14" s="106">
        <v>35164.799999999996</v>
      </c>
      <c r="H14" s="106">
        <v>44</v>
      </c>
      <c r="I14" s="106">
        <v>21489.599999999999</v>
      </c>
      <c r="J14" s="106">
        <v>83</v>
      </c>
      <c r="K14" s="106">
        <v>40537.199999999997</v>
      </c>
      <c r="L14" s="106">
        <v>42</v>
      </c>
      <c r="M14" s="106">
        <v>20512.8</v>
      </c>
      <c r="N14" s="106">
        <v>62</v>
      </c>
      <c r="O14" s="106">
        <v>30280.799999999999</v>
      </c>
      <c r="P14" s="106">
        <v>79</v>
      </c>
      <c r="Q14" s="106">
        <v>38583.599999999999</v>
      </c>
      <c r="R14" s="106">
        <v>47</v>
      </c>
      <c r="S14" s="106">
        <v>22954.799999999999</v>
      </c>
      <c r="T14" s="106">
        <v>54</v>
      </c>
      <c r="U14" s="106">
        <v>26373.599999999999</v>
      </c>
      <c r="V14" s="106">
        <v>52</v>
      </c>
      <c r="W14" s="106">
        <v>25396.799999999999</v>
      </c>
      <c r="X14" s="106">
        <v>62</v>
      </c>
      <c r="Y14" s="106">
        <v>30280.799999999999</v>
      </c>
      <c r="Z14" s="106">
        <v>53</v>
      </c>
      <c r="AA14" s="106">
        <v>25885.199999999997</v>
      </c>
      <c r="AB14" s="106">
        <v>89</v>
      </c>
      <c r="AC14" s="106">
        <v>43467.6</v>
      </c>
      <c r="AD14" s="106">
        <v>52</v>
      </c>
      <c r="AE14" s="106">
        <v>25396.799999999999</v>
      </c>
      <c r="AF14" s="106">
        <v>50</v>
      </c>
      <c r="AG14" s="106">
        <v>24420</v>
      </c>
      <c r="AH14" s="106">
        <v>72</v>
      </c>
      <c r="AI14" s="106">
        <v>35164.799999999996</v>
      </c>
      <c r="AJ14" s="106">
        <v>61</v>
      </c>
      <c r="AK14" s="106">
        <v>29792.399999999998</v>
      </c>
      <c r="AL14" s="106">
        <v>57</v>
      </c>
      <c r="AM14" s="106">
        <v>27838.799999999999</v>
      </c>
      <c r="AN14" s="106">
        <v>75</v>
      </c>
      <c r="AO14" s="106">
        <v>36630</v>
      </c>
      <c r="AP14" s="106">
        <v>67</v>
      </c>
      <c r="AQ14" s="106">
        <v>32722.799999999999</v>
      </c>
      <c r="AR14" s="106">
        <v>77</v>
      </c>
      <c r="AS14" s="106">
        <v>37606.799999999996</v>
      </c>
      <c r="AT14" s="106">
        <v>89</v>
      </c>
      <c r="AU14" s="106">
        <v>43467.6</v>
      </c>
      <c r="AV14" s="106">
        <v>93</v>
      </c>
      <c r="AW14" s="106">
        <v>45421.2</v>
      </c>
      <c r="AX14" s="106">
        <v>87</v>
      </c>
      <c r="AY14" s="106">
        <v>42490.799999999996</v>
      </c>
      <c r="AZ14" s="106">
        <v>65</v>
      </c>
      <c r="BA14" s="106">
        <v>31746</v>
      </c>
      <c r="BB14" s="106">
        <v>56</v>
      </c>
      <c r="BC14" s="106">
        <v>27350.399999999998</v>
      </c>
      <c r="BD14" s="106">
        <v>68</v>
      </c>
      <c r="BE14" s="106">
        <v>33211.199999999997</v>
      </c>
      <c r="BF14" s="106">
        <v>87</v>
      </c>
      <c r="BG14" s="106">
        <v>42490.799999999996</v>
      </c>
      <c r="BH14" s="106">
        <v>79</v>
      </c>
      <c r="BI14" s="106">
        <v>38583.599999999999</v>
      </c>
      <c r="BJ14" s="106">
        <v>58</v>
      </c>
      <c r="BK14" s="106">
        <v>28327.199999999997</v>
      </c>
      <c r="BL14" s="106">
        <v>73</v>
      </c>
      <c r="BM14" s="106">
        <v>35653.199999999997</v>
      </c>
      <c r="BN14" s="106">
        <v>55</v>
      </c>
      <c r="BO14" s="106">
        <v>26862</v>
      </c>
      <c r="BP14" s="106">
        <v>87</v>
      </c>
      <c r="BQ14" s="106">
        <v>42490.799999999996</v>
      </c>
      <c r="BR14" s="106">
        <v>52</v>
      </c>
      <c r="BS14" s="106">
        <v>25396.799999999999</v>
      </c>
      <c r="BT14" s="106">
        <v>54</v>
      </c>
      <c r="BU14" s="106">
        <v>26373.599999999999</v>
      </c>
      <c r="BV14" s="106">
        <v>87</v>
      </c>
      <c r="BW14" s="106">
        <v>42490.799999999996</v>
      </c>
      <c r="BX14" s="106">
        <v>39</v>
      </c>
      <c r="BY14" s="106">
        <v>19047.599999999999</v>
      </c>
      <c r="BZ14" s="106">
        <v>43</v>
      </c>
      <c r="CA14" s="106">
        <v>21001.200000000001</v>
      </c>
      <c r="CB14" s="106">
        <v>38</v>
      </c>
      <c r="CC14" s="106">
        <v>18559.2</v>
      </c>
      <c r="CD14" s="106">
        <v>51</v>
      </c>
      <c r="CE14" s="106">
        <v>24908.399999999998</v>
      </c>
      <c r="CF14" s="106">
        <v>61</v>
      </c>
      <c r="CG14" s="106">
        <v>29792.399999999998</v>
      </c>
      <c r="CH14" s="106">
        <v>46</v>
      </c>
      <c r="CI14" s="106">
        <v>22466.399999999998</v>
      </c>
      <c r="CJ14" s="106">
        <v>62</v>
      </c>
      <c r="CK14" s="106">
        <v>30280.799999999999</v>
      </c>
      <c r="CL14" s="106">
        <v>44</v>
      </c>
      <c r="CM14" s="106">
        <v>21489.599999999999</v>
      </c>
      <c r="CN14" s="106">
        <v>70</v>
      </c>
      <c r="CO14" s="106">
        <v>34188</v>
      </c>
      <c r="CP14" s="106">
        <v>93</v>
      </c>
      <c r="CQ14" s="106">
        <v>45421.2</v>
      </c>
      <c r="CR14" s="106">
        <v>68</v>
      </c>
      <c r="CS14" s="106">
        <v>33211.199999999997</v>
      </c>
      <c r="CT14" s="106">
        <v>59</v>
      </c>
      <c r="CU14" s="106">
        <v>28815.599999999999</v>
      </c>
    </row>
    <row r="15" spans="1:99" x14ac:dyDescent="0.2">
      <c r="C15" s="105" t="s">
        <v>180</v>
      </c>
      <c r="D15" s="106">
        <v>58</v>
      </c>
      <c r="E15" s="106">
        <v>44265.599999999999</v>
      </c>
      <c r="F15" s="106">
        <v>75</v>
      </c>
      <c r="G15" s="106">
        <v>57239.999999999993</v>
      </c>
      <c r="H15" s="106">
        <v>46</v>
      </c>
      <c r="I15" s="106">
        <v>35107.199999999997</v>
      </c>
      <c r="J15" s="106">
        <v>81</v>
      </c>
      <c r="K15" s="106">
        <v>61819.199999999997</v>
      </c>
      <c r="L15" s="106">
        <v>43</v>
      </c>
      <c r="M15" s="106">
        <v>32817.599999999999</v>
      </c>
      <c r="N15" s="106">
        <v>63</v>
      </c>
      <c r="O15" s="106">
        <v>48081.599999999999</v>
      </c>
      <c r="P15" s="106">
        <v>73</v>
      </c>
      <c r="Q15" s="106">
        <v>55713.599999999999</v>
      </c>
      <c r="R15" s="106">
        <v>39</v>
      </c>
      <c r="S15" s="106">
        <v>29764.799999999996</v>
      </c>
      <c r="T15" s="106">
        <v>51</v>
      </c>
      <c r="U15" s="106">
        <v>38923.199999999997</v>
      </c>
      <c r="V15" s="106">
        <v>55</v>
      </c>
      <c r="W15" s="106">
        <v>41975.999999999993</v>
      </c>
      <c r="X15" s="106">
        <v>62</v>
      </c>
      <c r="Y15" s="106">
        <v>47318.399999999994</v>
      </c>
      <c r="Z15" s="106">
        <v>50</v>
      </c>
      <c r="AA15" s="106">
        <v>38160</v>
      </c>
      <c r="AB15" s="106">
        <v>87</v>
      </c>
      <c r="AC15" s="106">
        <v>66398.399999999994</v>
      </c>
      <c r="AD15" s="106">
        <v>44</v>
      </c>
      <c r="AE15" s="106">
        <v>33580.799999999996</v>
      </c>
      <c r="AF15" s="106">
        <v>48</v>
      </c>
      <c r="AG15" s="106">
        <v>36633.599999999999</v>
      </c>
      <c r="AH15" s="106">
        <v>66</v>
      </c>
      <c r="AI15" s="106">
        <v>50371.199999999997</v>
      </c>
      <c r="AJ15" s="106">
        <v>59</v>
      </c>
      <c r="AK15" s="106">
        <v>45028.799999999996</v>
      </c>
      <c r="AL15" s="106">
        <v>57</v>
      </c>
      <c r="AM15" s="106">
        <v>43502.399999999994</v>
      </c>
      <c r="AN15" s="106">
        <v>68</v>
      </c>
      <c r="AO15" s="106">
        <v>51897.599999999999</v>
      </c>
      <c r="AP15" s="106">
        <v>71</v>
      </c>
      <c r="AQ15" s="106">
        <v>54187.199999999997</v>
      </c>
      <c r="AR15" s="106">
        <v>72</v>
      </c>
      <c r="AS15" s="106">
        <v>54950.399999999994</v>
      </c>
      <c r="AT15" s="106">
        <v>72</v>
      </c>
      <c r="AU15" s="106">
        <v>54950.399999999994</v>
      </c>
      <c r="AV15" s="106">
        <v>84</v>
      </c>
      <c r="AW15" s="106">
        <v>64108.799999999996</v>
      </c>
      <c r="AX15" s="106">
        <v>73</v>
      </c>
      <c r="AY15" s="106">
        <v>55713.599999999999</v>
      </c>
      <c r="AZ15" s="106">
        <v>59</v>
      </c>
      <c r="BA15" s="106">
        <v>45028.799999999996</v>
      </c>
      <c r="BB15" s="106">
        <v>52</v>
      </c>
      <c r="BC15" s="106">
        <v>39686.399999999994</v>
      </c>
      <c r="BD15" s="106">
        <v>54</v>
      </c>
      <c r="BE15" s="106">
        <v>41212.799999999996</v>
      </c>
      <c r="BF15" s="106">
        <v>76</v>
      </c>
      <c r="BG15" s="106">
        <v>58003.199999999997</v>
      </c>
      <c r="BH15" s="106">
        <v>73</v>
      </c>
      <c r="BI15" s="106">
        <v>55713.599999999999</v>
      </c>
      <c r="BJ15" s="106">
        <v>51</v>
      </c>
      <c r="BK15" s="106">
        <v>38923.199999999997</v>
      </c>
      <c r="BL15" s="106">
        <v>66</v>
      </c>
      <c r="BM15" s="106">
        <v>50371.199999999997</v>
      </c>
      <c r="BN15" s="106">
        <v>51</v>
      </c>
      <c r="BO15" s="106">
        <v>38923.199999999997</v>
      </c>
      <c r="BP15" s="106">
        <v>91</v>
      </c>
      <c r="BQ15" s="106">
        <v>69451.199999999997</v>
      </c>
      <c r="BR15" s="106">
        <v>49</v>
      </c>
      <c r="BS15" s="106">
        <v>37396.799999999996</v>
      </c>
      <c r="BT15" s="106">
        <v>48</v>
      </c>
      <c r="BU15" s="106">
        <v>36633.599999999999</v>
      </c>
      <c r="BV15" s="106">
        <v>90</v>
      </c>
      <c r="BW15" s="106">
        <v>68688</v>
      </c>
      <c r="BX15" s="106">
        <v>44</v>
      </c>
      <c r="BY15" s="106">
        <v>33580.799999999996</v>
      </c>
      <c r="BZ15" s="106">
        <v>36</v>
      </c>
      <c r="CA15" s="106">
        <v>27475.199999999997</v>
      </c>
      <c r="CB15" s="106">
        <v>39</v>
      </c>
      <c r="CC15" s="106">
        <v>29764.799999999996</v>
      </c>
      <c r="CD15" s="106">
        <v>47</v>
      </c>
      <c r="CE15" s="106">
        <v>35870.399999999994</v>
      </c>
      <c r="CF15" s="106">
        <v>60</v>
      </c>
      <c r="CG15" s="106">
        <v>45791.999999999993</v>
      </c>
      <c r="CH15" s="106">
        <v>48</v>
      </c>
      <c r="CI15" s="106">
        <v>36633.599999999999</v>
      </c>
      <c r="CJ15" s="106">
        <v>58</v>
      </c>
      <c r="CK15" s="106">
        <v>44265.599999999999</v>
      </c>
      <c r="CL15" s="106">
        <v>46</v>
      </c>
      <c r="CM15" s="106">
        <v>35107.199999999997</v>
      </c>
      <c r="CN15" s="106">
        <v>63</v>
      </c>
      <c r="CO15" s="106">
        <v>48081.599999999999</v>
      </c>
      <c r="CP15" s="106">
        <v>90</v>
      </c>
      <c r="CQ15" s="106">
        <v>68688</v>
      </c>
      <c r="CR15" s="106">
        <v>62</v>
      </c>
      <c r="CS15" s="106">
        <v>47318.399999999994</v>
      </c>
      <c r="CT15" s="106">
        <v>55</v>
      </c>
      <c r="CU15" s="106">
        <v>41975.999999999993</v>
      </c>
    </row>
    <row r="16" spans="1:99" x14ac:dyDescent="0.2">
      <c r="C16" s="105" t="s">
        <v>181</v>
      </c>
      <c r="D16" s="106">
        <v>61</v>
      </c>
      <c r="E16" s="106">
        <v>20788.8</v>
      </c>
      <c r="F16" s="106">
        <v>72</v>
      </c>
      <c r="G16" s="106">
        <v>24537.600000000002</v>
      </c>
      <c r="H16" s="106">
        <v>47</v>
      </c>
      <c r="I16" s="106">
        <v>16017.6</v>
      </c>
      <c r="J16" s="106">
        <v>85</v>
      </c>
      <c r="K16" s="106">
        <v>28968</v>
      </c>
      <c r="L16" s="106">
        <v>45</v>
      </c>
      <c r="M16" s="106">
        <v>15336</v>
      </c>
      <c r="N16" s="106">
        <v>58</v>
      </c>
      <c r="O16" s="106">
        <v>19766.400000000001</v>
      </c>
      <c r="P16" s="106">
        <v>69</v>
      </c>
      <c r="Q16" s="106">
        <v>23515.200000000001</v>
      </c>
      <c r="R16" s="106">
        <v>51</v>
      </c>
      <c r="S16" s="106">
        <v>17380.8</v>
      </c>
      <c r="T16" s="106">
        <v>55</v>
      </c>
      <c r="U16" s="106">
        <v>18744</v>
      </c>
      <c r="V16" s="106">
        <v>59</v>
      </c>
      <c r="W16" s="106">
        <v>20107.2</v>
      </c>
      <c r="X16" s="106">
        <v>66</v>
      </c>
      <c r="Y16" s="106">
        <v>22492.799999999999</v>
      </c>
      <c r="Z16" s="106">
        <v>51</v>
      </c>
      <c r="AA16" s="106">
        <v>17380.8</v>
      </c>
      <c r="AB16" s="106">
        <v>84</v>
      </c>
      <c r="AC16" s="106">
        <v>28627.200000000001</v>
      </c>
      <c r="AD16" s="106">
        <v>48</v>
      </c>
      <c r="AE16" s="106">
        <v>16358.400000000001</v>
      </c>
      <c r="AF16" s="106">
        <v>47</v>
      </c>
      <c r="AG16" s="106">
        <v>16017.6</v>
      </c>
      <c r="AH16" s="106">
        <v>77</v>
      </c>
      <c r="AI16" s="106">
        <v>26241.600000000002</v>
      </c>
      <c r="AJ16" s="106">
        <v>65</v>
      </c>
      <c r="AK16" s="106">
        <v>22152</v>
      </c>
      <c r="AL16" s="106">
        <v>57</v>
      </c>
      <c r="AM16" s="106">
        <v>19425.600000000002</v>
      </c>
      <c r="AN16" s="106">
        <v>75</v>
      </c>
      <c r="AO16" s="106">
        <v>25560</v>
      </c>
      <c r="AP16" s="106">
        <v>77</v>
      </c>
      <c r="AQ16" s="106">
        <v>26241.600000000002</v>
      </c>
      <c r="AR16" s="106">
        <v>90</v>
      </c>
      <c r="AS16" s="106">
        <v>30672</v>
      </c>
      <c r="AT16" s="106">
        <v>81</v>
      </c>
      <c r="AU16" s="106">
        <v>27604.799999999999</v>
      </c>
      <c r="AV16" s="106">
        <v>84</v>
      </c>
      <c r="AW16" s="106">
        <v>28627.200000000001</v>
      </c>
      <c r="AX16" s="106">
        <v>86</v>
      </c>
      <c r="AY16" s="106">
        <v>29308.799999999999</v>
      </c>
      <c r="AZ16" s="106">
        <v>64</v>
      </c>
      <c r="BA16" s="106">
        <v>21811.200000000001</v>
      </c>
      <c r="BB16" s="106">
        <v>57</v>
      </c>
      <c r="BC16" s="106">
        <v>19425.600000000002</v>
      </c>
      <c r="BD16" s="106">
        <v>70</v>
      </c>
      <c r="BE16" s="106">
        <v>23856</v>
      </c>
      <c r="BF16" s="106">
        <v>83</v>
      </c>
      <c r="BG16" s="106">
        <v>28286.400000000001</v>
      </c>
      <c r="BH16" s="106">
        <v>82</v>
      </c>
      <c r="BI16" s="106">
        <v>27945.600000000002</v>
      </c>
      <c r="BJ16" s="106">
        <v>53</v>
      </c>
      <c r="BK16" s="106">
        <v>18062.400000000001</v>
      </c>
      <c r="BL16" s="106">
        <v>84</v>
      </c>
      <c r="BM16" s="106">
        <v>28627.200000000001</v>
      </c>
      <c r="BN16" s="106">
        <v>53</v>
      </c>
      <c r="BO16" s="106">
        <v>18062.400000000001</v>
      </c>
      <c r="BP16" s="106">
        <v>94</v>
      </c>
      <c r="BQ16" s="106">
        <v>32035.200000000001</v>
      </c>
      <c r="BR16" s="106">
        <v>60</v>
      </c>
      <c r="BS16" s="106">
        <v>20448</v>
      </c>
      <c r="BT16" s="106">
        <v>55</v>
      </c>
      <c r="BU16" s="106">
        <v>18744</v>
      </c>
      <c r="BV16" s="106">
        <v>91</v>
      </c>
      <c r="BW16" s="106">
        <v>31012.799999999999</v>
      </c>
      <c r="BX16" s="106">
        <v>47</v>
      </c>
      <c r="BY16" s="106">
        <v>16017.6</v>
      </c>
      <c r="BZ16" s="106">
        <v>39</v>
      </c>
      <c r="CA16" s="106">
        <v>13291.2</v>
      </c>
      <c r="CB16" s="106">
        <v>37</v>
      </c>
      <c r="CC16" s="106">
        <v>12609.6</v>
      </c>
      <c r="CD16" s="106">
        <v>58</v>
      </c>
      <c r="CE16" s="106">
        <v>19766.400000000001</v>
      </c>
      <c r="CF16" s="106">
        <v>67</v>
      </c>
      <c r="CG16" s="106">
        <v>22833.600000000002</v>
      </c>
      <c r="CH16" s="106">
        <v>47</v>
      </c>
      <c r="CI16" s="106">
        <v>16017.6</v>
      </c>
      <c r="CJ16" s="106">
        <v>73</v>
      </c>
      <c r="CK16" s="106">
        <v>24878.400000000001</v>
      </c>
      <c r="CL16" s="106">
        <v>46</v>
      </c>
      <c r="CM16" s="106">
        <v>15676.800000000001</v>
      </c>
      <c r="CN16" s="106">
        <v>69</v>
      </c>
      <c r="CO16" s="106">
        <v>23515.200000000001</v>
      </c>
      <c r="CP16" s="106">
        <v>106</v>
      </c>
      <c r="CQ16" s="106">
        <v>36124.800000000003</v>
      </c>
      <c r="CR16" s="106">
        <v>62</v>
      </c>
      <c r="CS16" s="106">
        <v>21129.600000000002</v>
      </c>
      <c r="CT16" s="106">
        <v>62</v>
      </c>
      <c r="CU16" s="106">
        <v>21129.600000000002</v>
      </c>
    </row>
    <row r="17" spans="2:99" x14ac:dyDescent="0.2">
      <c r="C17" s="105" t="s">
        <v>182</v>
      </c>
      <c r="D17" s="106">
        <v>58</v>
      </c>
      <c r="E17" s="106">
        <v>24499.199999999997</v>
      </c>
      <c r="F17" s="106">
        <v>68</v>
      </c>
      <c r="G17" s="106">
        <v>28723.199999999997</v>
      </c>
      <c r="H17" s="106">
        <v>50</v>
      </c>
      <c r="I17" s="106">
        <v>21120</v>
      </c>
      <c r="J17" s="106">
        <v>74</v>
      </c>
      <c r="K17" s="106">
        <v>31257.599999999999</v>
      </c>
      <c r="L17" s="106">
        <v>43</v>
      </c>
      <c r="M17" s="106">
        <v>18163.2</v>
      </c>
      <c r="N17" s="106">
        <v>57</v>
      </c>
      <c r="O17" s="106">
        <v>24076.799999999999</v>
      </c>
      <c r="P17" s="106">
        <v>75</v>
      </c>
      <c r="Q17" s="106">
        <v>31680</v>
      </c>
      <c r="R17" s="106">
        <v>47</v>
      </c>
      <c r="S17" s="106">
        <v>19852.8</v>
      </c>
      <c r="T17" s="106">
        <v>54</v>
      </c>
      <c r="U17" s="106">
        <v>22809.599999999999</v>
      </c>
      <c r="V17" s="106">
        <v>63</v>
      </c>
      <c r="W17" s="106">
        <v>26611.199999999997</v>
      </c>
      <c r="X17" s="106">
        <v>57</v>
      </c>
      <c r="Y17" s="106">
        <v>24076.799999999999</v>
      </c>
      <c r="Z17" s="106">
        <v>51</v>
      </c>
      <c r="AA17" s="106">
        <v>21542.399999999998</v>
      </c>
      <c r="AB17" s="106">
        <v>81</v>
      </c>
      <c r="AC17" s="106">
        <v>34214.400000000001</v>
      </c>
      <c r="AD17" s="106">
        <v>53</v>
      </c>
      <c r="AE17" s="106">
        <v>22387.199999999997</v>
      </c>
      <c r="AF17" s="106">
        <v>52</v>
      </c>
      <c r="AG17" s="106">
        <v>21964.799999999999</v>
      </c>
      <c r="AH17" s="106">
        <v>68</v>
      </c>
      <c r="AI17" s="106">
        <v>28723.199999999997</v>
      </c>
      <c r="AJ17" s="106">
        <v>71</v>
      </c>
      <c r="AK17" s="106">
        <v>29990.399999999998</v>
      </c>
      <c r="AL17" s="106">
        <v>64</v>
      </c>
      <c r="AM17" s="106">
        <v>27033.599999999999</v>
      </c>
      <c r="AN17" s="106">
        <v>70</v>
      </c>
      <c r="AO17" s="106">
        <v>29568</v>
      </c>
      <c r="AP17" s="106">
        <v>72</v>
      </c>
      <c r="AQ17" s="106">
        <v>30412.799999999999</v>
      </c>
      <c r="AR17" s="106">
        <v>76</v>
      </c>
      <c r="AS17" s="106">
        <v>32102.399999999998</v>
      </c>
      <c r="AT17" s="106">
        <v>90</v>
      </c>
      <c r="AU17" s="106">
        <v>38016</v>
      </c>
      <c r="AV17" s="106">
        <v>83</v>
      </c>
      <c r="AW17" s="106">
        <v>35059.199999999997</v>
      </c>
      <c r="AX17" s="106">
        <v>81</v>
      </c>
      <c r="AY17" s="106">
        <v>34214.400000000001</v>
      </c>
      <c r="AZ17" s="106">
        <v>68</v>
      </c>
      <c r="BA17" s="106">
        <v>28723.199999999997</v>
      </c>
      <c r="BB17" s="106">
        <v>58</v>
      </c>
      <c r="BC17" s="106">
        <v>24499.199999999997</v>
      </c>
      <c r="BD17" s="106">
        <v>65</v>
      </c>
      <c r="BE17" s="106">
        <v>27456</v>
      </c>
      <c r="BF17" s="106">
        <v>86</v>
      </c>
      <c r="BG17" s="106">
        <v>36326.400000000001</v>
      </c>
      <c r="BH17" s="106">
        <v>68</v>
      </c>
      <c r="BI17" s="106">
        <v>28723.199999999997</v>
      </c>
      <c r="BJ17" s="106">
        <v>56</v>
      </c>
      <c r="BK17" s="106">
        <v>23654.399999999998</v>
      </c>
      <c r="BL17" s="106">
        <v>80</v>
      </c>
      <c r="BM17" s="106">
        <v>33792</v>
      </c>
      <c r="BN17" s="106">
        <v>53</v>
      </c>
      <c r="BO17" s="106">
        <v>22387.199999999997</v>
      </c>
      <c r="BP17" s="106">
        <v>85</v>
      </c>
      <c r="BQ17" s="106">
        <v>35904</v>
      </c>
      <c r="BR17" s="106">
        <v>57</v>
      </c>
      <c r="BS17" s="106">
        <v>24076.799999999999</v>
      </c>
      <c r="BT17" s="106">
        <v>47</v>
      </c>
      <c r="BU17" s="106">
        <v>19852.8</v>
      </c>
      <c r="BV17" s="106">
        <v>95</v>
      </c>
      <c r="BW17" s="106">
        <v>40128</v>
      </c>
      <c r="BX17" s="106">
        <v>39</v>
      </c>
      <c r="BY17" s="106">
        <v>16473.599999999999</v>
      </c>
      <c r="BZ17" s="106">
        <v>41</v>
      </c>
      <c r="CA17" s="106">
        <v>17318.399999999998</v>
      </c>
      <c r="CB17" s="106">
        <v>41</v>
      </c>
      <c r="CC17" s="106">
        <v>17318.399999999998</v>
      </c>
      <c r="CD17" s="106">
        <v>49</v>
      </c>
      <c r="CE17" s="106">
        <v>20697.599999999999</v>
      </c>
      <c r="CF17" s="106">
        <v>63</v>
      </c>
      <c r="CG17" s="106">
        <v>26611.199999999997</v>
      </c>
      <c r="CH17" s="106">
        <v>47</v>
      </c>
      <c r="CI17" s="106">
        <v>19852.8</v>
      </c>
      <c r="CJ17" s="106">
        <v>61</v>
      </c>
      <c r="CK17" s="106">
        <v>25766.399999999998</v>
      </c>
      <c r="CL17" s="106">
        <v>49</v>
      </c>
      <c r="CM17" s="106">
        <v>20697.599999999999</v>
      </c>
      <c r="CN17" s="106">
        <v>69</v>
      </c>
      <c r="CO17" s="106">
        <v>29145.599999999999</v>
      </c>
      <c r="CP17" s="106">
        <v>104</v>
      </c>
      <c r="CQ17" s="106">
        <v>43929.599999999999</v>
      </c>
      <c r="CR17" s="106">
        <v>67</v>
      </c>
      <c r="CS17" s="106">
        <v>28300.799999999999</v>
      </c>
      <c r="CT17" s="106">
        <v>58</v>
      </c>
      <c r="CU17" s="106">
        <v>24499.199999999997</v>
      </c>
    </row>
    <row r="18" spans="2:99" x14ac:dyDescent="0.2">
      <c r="C18" s="105" t="s">
        <v>183</v>
      </c>
      <c r="D18" s="106">
        <v>55</v>
      </c>
      <c r="E18" s="106">
        <v>35904</v>
      </c>
      <c r="F18" s="106">
        <v>71</v>
      </c>
      <c r="G18" s="106">
        <v>46348.799999999996</v>
      </c>
      <c r="H18" s="106">
        <v>48</v>
      </c>
      <c r="I18" s="106">
        <v>31334.399999999998</v>
      </c>
      <c r="J18" s="106">
        <v>84</v>
      </c>
      <c r="K18" s="106">
        <v>54835.199999999997</v>
      </c>
      <c r="L18" s="106">
        <v>42</v>
      </c>
      <c r="M18" s="106">
        <v>27417.599999999999</v>
      </c>
      <c r="N18" s="106">
        <v>56</v>
      </c>
      <c r="O18" s="106">
        <v>36556.799999999996</v>
      </c>
      <c r="P18" s="106">
        <v>73</v>
      </c>
      <c r="Q18" s="106">
        <v>47654.399999999994</v>
      </c>
      <c r="R18" s="106">
        <v>40</v>
      </c>
      <c r="S18" s="106">
        <v>26112</v>
      </c>
      <c r="T18" s="106">
        <v>54</v>
      </c>
      <c r="U18" s="106">
        <v>35251.199999999997</v>
      </c>
      <c r="V18" s="106">
        <v>56</v>
      </c>
      <c r="W18" s="106">
        <v>36556.799999999996</v>
      </c>
      <c r="X18" s="106">
        <v>59</v>
      </c>
      <c r="Y18" s="106">
        <v>38515.199999999997</v>
      </c>
      <c r="Z18" s="106">
        <v>49</v>
      </c>
      <c r="AA18" s="106">
        <v>31987.199999999997</v>
      </c>
      <c r="AB18" s="106">
        <v>86</v>
      </c>
      <c r="AC18" s="106">
        <v>56140.799999999996</v>
      </c>
      <c r="AD18" s="106">
        <v>46</v>
      </c>
      <c r="AE18" s="106">
        <v>30028.799999999999</v>
      </c>
      <c r="AF18" s="106">
        <v>43</v>
      </c>
      <c r="AG18" s="106">
        <v>28070.399999999998</v>
      </c>
      <c r="AH18" s="106">
        <v>72</v>
      </c>
      <c r="AI18" s="106">
        <v>47001.599999999999</v>
      </c>
      <c r="AJ18" s="106">
        <v>63</v>
      </c>
      <c r="AK18" s="106">
        <v>41126.399999999994</v>
      </c>
      <c r="AL18" s="106">
        <v>60</v>
      </c>
      <c r="AM18" s="106">
        <v>39168</v>
      </c>
      <c r="AN18" s="106">
        <v>73</v>
      </c>
      <c r="AO18" s="106">
        <v>47654.399999999994</v>
      </c>
      <c r="AP18" s="106">
        <v>72</v>
      </c>
      <c r="AQ18" s="106">
        <v>47001.599999999999</v>
      </c>
      <c r="AR18" s="106">
        <v>79</v>
      </c>
      <c r="AS18" s="106">
        <v>51571.199999999997</v>
      </c>
      <c r="AT18" s="106">
        <v>81</v>
      </c>
      <c r="AU18" s="106">
        <v>52876.799999999996</v>
      </c>
      <c r="AV18" s="106">
        <v>81</v>
      </c>
      <c r="AW18" s="106">
        <v>52876.799999999996</v>
      </c>
      <c r="AX18" s="106">
        <v>85</v>
      </c>
      <c r="AY18" s="106">
        <v>55487.999999999993</v>
      </c>
      <c r="AZ18" s="106">
        <v>70</v>
      </c>
      <c r="BA18" s="106">
        <v>45696</v>
      </c>
      <c r="BB18" s="106">
        <v>55</v>
      </c>
      <c r="BC18" s="106">
        <v>35904</v>
      </c>
      <c r="BD18" s="106">
        <v>56</v>
      </c>
      <c r="BE18" s="106">
        <v>36556.799999999996</v>
      </c>
      <c r="BF18" s="106">
        <v>78</v>
      </c>
      <c r="BG18" s="106">
        <v>50918.399999999994</v>
      </c>
      <c r="BH18" s="106">
        <v>75</v>
      </c>
      <c r="BI18" s="106">
        <v>48960</v>
      </c>
      <c r="BJ18" s="106">
        <v>56</v>
      </c>
      <c r="BK18" s="106">
        <v>36556.799999999996</v>
      </c>
      <c r="BL18" s="106">
        <v>72</v>
      </c>
      <c r="BM18" s="106">
        <v>47001.599999999999</v>
      </c>
      <c r="BN18" s="106">
        <v>51</v>
      </c>
      <c r="BO18" s="106">
        <v>33292.799999999996</v>
      </c>
      <c r="BP18" s="106">
        <v>82</v>
      </c>
      <c r="BQ18" s="106">
        <v>53529.599999999999</v>
      </c>
      <c r="BR18" s="106">
        <v>53</v>
      </c>
      <c r="BS18" s="106">
        <v>34598.399999999994</v>
      </c>
      <c r="BT18" s="106">
        <v>47</v>
      </c>
      <c r="BU18" s="106">
        <v>30681.599999999999</v>
      </c>
      <c r="BV18" s="106">
        <v>88</v>
      </c>
      <c r="BW18" s="106">
        <v>57446.399999999994</v>
      </c>
      <c r="BX18" s="106">
        <v>44</v>
      </c>
      <c r="BY18" s="106">
        <v>28723.199999999997</v>
      </c>
      <c r="BZ18" s="106">
        <v>41</v>
      </c>
      <c r="CA18" s="106">
        <v>26764.799999999999</v>
      </c>
      <c r="CB18" s="106">
        <v>42</v>
      </c>
      <c r="CC18" s="106">
        <v>27417.599999999999</v>
      </c>
      <c r="CD18" s="106">
        <v>49</v>
      </c>
      <c r="CE18" s="106">
        <v>31987.199999999997</v>
      </c>
      <c r="CF18" s="106">
        <v>64</v>
      </c>
      <c r="CG18" s="106">
        <v>41779.199999999997</v>
      </c>
      <c r="CH18" s="106">
        <v>43</v>
      </c>
      <c r="CI18" s="106">
        <v>28070.399999999998</v>
      </c>
      <c r="CJ18" s="106">
        <v>66</v>
      </c>
      <c r="CK18" s="106">
        <v>43084.799999999996</v>
      </c>
      <c r="CL18" s="106">
        <v>40</v>
      </c>
      <c r="CM18" s="106">
        <v>26112</v>
      </c>
      <c r="CN18" s="106">
        <v>60</v>
      </c>
      <c r="CO18" s="106">
        <v>39168</v>
      </c>
      <c r="CP18" s="106">
        <v>87</v>
      </c>
      <c r="CQ18" s="106">
        <v>56793.599999999999</v>
      </c>
      <c r="CR18" s="106">
        <v>61</v>
      </c>
      <c r="CS18" s="106">
        <v>39820.799999999996</v>
      </c>
      <c r="CT18" s="106">
        <v>54</v>
      </c>
      <c r="CU18" s="106">
        <v>35251.199999999997</v>
      </c>
    </row>
    <row r="19" spans="2:99" x14ac:dyDescent="0.2">
      <c r="C19" s="105" t="s">
        <v>184</v>
      </c>
      <c r="D19" s="106">
        <v>59</v>
      </c>
      <c r="E19" s="106">
        <v>19470</v>
      </c>
      <c r="F19" s="106">
        <v>74</v>
      </c>
      <c r="G19" s="106">
        <v>24420</v>
      </c>
      <c r="H19" s="106">
        <v>53</v>
      </c>
      <c r="I19" s="106">
        <v>17490</v>
      </c>
      <c r="J19" s="106">
        <v>80</v>
      </c>
      <c r="K19" s="106">
        <v>26400</v>
      </c>
      <c r="L19" s="106">
        <v>46</v>
      </c>
      <c r="M19" s="106">
        <v>15180</v>
      </c>
      <c r="N19" s="106">
        <v>59</v>
      </c>
      <c r="O19" s="106">
        <v>19470</v>
      </c>
      <c r="P19" s="106">
        <v>72</v>
      </c>
      <c r="Q19" s="106">
        <v>23760</v>
      </c>
      <c r="R19" s="106">
        <v>46</v>
      </c>
      <c r="S19" s="106">
        <v>15180</v>
      </c>
      <c r="T19" s="106">
        <v>57</v>
      </c>
      <c r="U19" s="106">
        <v>18810</v>
      </c>
      <c r="V19" s="106">
        <v>63</v>
      </c>
      <c r="W19" s="106">
        <v>20790</v>
      </c>
      <c r="X19" s="106">
        <v>64</v>
      </c>
      <c r="Y19" s="106">
        <v>21120</v>
      </c>
      <c r="Z19" s="106">
        <v>50</v>
      </c>
      <c r="AA19" s="106">
        <v>16500</v>
      </c>
      <c r="AB19" s="106">
        <v>84</v>
      </c>
      <c r="AC19" s="106">
        <v>27720</v>
      </c>
      <c r="AD19" s="106">
        <v>52</v>
      </c>
      <c r="AE19" s="106">
        <v>17160</v>
      </c>
      <c r="AF19" s="106">
        <v>50</v>
      </c>
      <c r="AG19" s="106">
        <v>16500</v>
      </c>
      <c r="AH19" s="106">
        <v>73</v>
      </c>
      <c r="AI19" s="106">
        <v>24090</v>
      </c>
      <c r="AJ19" s="106">
        <v>61</v>
      </c>
      <c r="AK19" s="106">
        <v>20130</v>
      </c>
      <c r="AL19" s="106">
        <v>62</v>
      </c>
      <c r="AM19" s="106">
        <v>20460</v>
      </c>
      <c r="AN19" s="106">
        <v>67</v>
      </c>
      <c r="AO19" s="106">
        <v>22110</v>
      </c>
      <c r="AP19" s="106">
        <v>77</v>
      </c>
      <c r="AQ19" s="106">
        <v>25410</v>
      </c>
      <c r="AR19" s="106">
        <v>88</v>
      </c>
      <c r="AS19" s="106">
        <v>29040</v>
      </c>
      <c r="AT19" s="106">
        <v>78</v>
      </c>
      <c r="AU19" s="106">
        <v>25740</v>
      </c>
      <c r="AV19" s="106">
        <v>91</v>
      </c>
      <c r="AW19" s="106">
        <v>30030</v>
      </c>
      <c r="AX19" s="106">
        <v>93</v>
      </c>
      <c r="AY19" s="106">
        <v>30690</v>
      </c>
      <c r="AZ19" s="106">
        <v>68</v>
      </c>
      <c r="BA19" s="106">
        <v>22440</v>
      </c>
      <c r="BB19" s="106">
        <v>62</v>
      </c>
      <c r="BC19" s="106">
        <v>20460</v>
      </c>
      <c r="BD19" s="106">
        <v>68</v>
      </c>
      <c r="BE19" s="106">
        <v>22440</v>
      </c>
      <c r="BF19" s="106">
        <v>96</v>
      </c>
      <c r="BG19" s="106">
        <v>31680</v>
      </c>
      <c r="BH19" s="106">
        <v>83</v>
      </c>
      <c r="BI19" s="106">
        <v>27390</v>
      </c>
      <c r="BJ19" s="106">
        <v>57</v>
      </c>
      <c r="BK19" s="106">
        <v>18810</v>
      </c>
      <c r="BL19" s="106">
        <v>86</v>
      </c>
      <c r="BM19" s="106">
        <v>28380</v>
      </c>
      <c r="BN19" s="106">
        <v>51</v>
      </c>
      <c r="BO19" s="106">
        <v>16830</v>
      </c>
      <c r="BP19" s="106">
        <v>97</v>
      </c>
      <c r="BQ19" s="106">
        <v>32010</v>
      </c>
      <c r="BR19" s="106">
        <v>61</v>
      </c>
      <c r="BS19" s="106">
        <v>20130</v>
      </c>
      <c r="BT19" s="106">
        <v>49</v>
      </c>
      <c r="BU19" s="106">
        <v>16170</v>
      </c>
      <c r="BV19" s="106">
        <v>107</v>
      </c>
      <c r="BW19" s="106">
        <v>35310</v>
      </c>
      <c r="BX19" s="106">
        <v>40</v>
      </c>
      <c r="BY19" s="106">
        <v>13200</v>
      </c>
      <c r="BZ19" s="106">
        <v>37</v>
      </c>
      <c r="CA19" s="106">
        <v>12210</v>
      </c>
      <c r="CB19" s="106">
        <v>37</v>
      </c>
      <c r="CC19" s="106">
        <v>12210</v>
      </c>
      <c r="CD19" s="106">
        <v>50</v>
      </c>
      <c r="CE19" s="106">
        <v>16500</v>
      </c>
      <c r="CF19" s="106">
        <v>67</v>
      </c>
      <c r="CG19" s="106">
        <v>22110</v>
      </c>
      <c r="CH19" s="106">
        <v>50</v>
      </c>
      <c r="CI19" s="106">
        <v>16500</v>
      </c>
      <c r="CJ19" s="106">
        <v>62</v>
      </c>
      <c r="CK19" s="106">
        <v>20460</v>
      </c>
      <c r="CL19" s="106">
        <v>45</v>
      </c>
      <c r="CM19" s="106">
        <v>14850</v>
      </c>
      <c r="CN19" s="106">
        <v>74</v>
      </c>
      <c r="CO19" s="106">
        <v>24420</v>
      </c>
      <c r="CP19" s="106">
        <v>112</v>
      </c>
      <c r="CQ19" s="106">
        <v>36960</v>
      </c>
      <c r="CR19" s="106">
        <v>64</v>
      </c>
      <c r="CS19" s="106">
        <v>21120</v>
      </c>
      <c r="CT19" s="106">
        <v>68</v>
      </c>
      <c r="CU19" s="106">
        <v>22440</v>
      </c>
    </row>
    <row r="20" spans="2:99" x14ac:dyDescent="0.2">
      <c r="B20" s="105" t="s">
        <v>127</v>
      </c>
      <c r="C20" s="105" t="s">
        <v>185</v>
      </c>
      <c r="D20" s="106">
        <v>129</v>
      </c>
      <c r="E20" s="106">
        <v>36997.200000000004</v>
      </c>
      <c r="F20" s="106">
        <v>115</v>
      </c>
      <c r="G20" s="106">
        <v>32982</v>
      </c>
      <c r="H20" s="106">
        <v>63</v>
      </c>
      <c r="I20" s="106">
        <v>18068.400000000001</v>
      </c>
      <c r="J20" s="106">
        <v>68</v>
      </c>
      <c r="K20" s="106">
        <v>19502.400000000001</v>
      </c>
      <c r="L20" s="106">
        <v>72</v>
      </c>
      <c r="M20" s="106">
        <v>20649.600000000002</v>
      </c>
      <c r="N20" s="106">
        <v>91</v>
      </c>
      <c r="O20" s="106">
        <v>26098.799999999999</v>
      </c>
      <c r="P20" s="106">
        <v>124</v>
      </c>
      <c r="Q20" s="106">
        <v>35563.200000000004</v>
      </c>
      <c r="R20" s="106">
        <v>96</v>
      </c>
      <c r="S20" s="106">
        <v>27532.800000000003</v>
      </c>
      <c r="T20" s="106">
        <v>118</v>
      </c>
      <c r="U20" s="106">
        <v>33842.400000000001</v>
      </c>
      <c r="V20" s="106">
        <v>109</v>
      </c>
      <c r="W20" s="106">
        <v>31261.200000000001</v>
      </c>
      <c r="X20" s="106">
        <v>124</v>
      </c>
      <c r="Y20" s="106">
        <v>35563.200000000004</v>
      </c>
      <c r="Z20" s="106">
        <v>142</v>
      </c>
      <c r="AA20" s="106">
        <v>40725.599999999999</v>
      </c>
      <c r="AB20" s="106">
        <v>123</v>
      </c>
      <c r="AC20" s="106">
        <v>35276.400000000001</v>
      </c>
      <c r="AD20" s="106">
        <v>91</v>
      </c>
      <c r="AE20" s="106">
        <v>26098.799999999999</v>
      </c>
      <c r="AF20" s="106">
        <v>114</v>
      </c>
      <c r="AG20" s="106">
        <v>32695.200000000001</v>
      </c>
      <c r="AH20" s="106">
        <v>152</v>
      </c>
      <c r="AI20" s="106">
        <v>43593.599999999999</v>
      </c>
      <c r="AJ20" s="106">
        <v>124</v>
      </c>
      <c r="AK20" s="106">
        <v>35563.200000000004</v>
      </c>
      <c r="AL20" s="106">
        <v>90</v>
      </c>
      <c r="AM20" s="106">
        <v>25812</v>
      </c>
      <c r="AN20" s="106">
        <v>93</v>
      </c>
      <c r="AO20" s="106">
        <v>26672.400000000001</v>
      </c>
      <c r="AP20" s="106">
        <v>99</v>
      </c>
      <c r="AQ20" s="106">
        <v>28393.200000000001</v>
      </c>
      <c r="AR20" s="106">
        <v>139</v>
      </c>
      <c r="AS20" s="106">
        <v>39865.200000000004</v>
      </c>
      <c r="AT20" s="106">
        <v>121</v>
      </c>
      <c r="AU20" s="106">
        <v>34702.800000000003</v>
      </c>
      <c r="AV20" s="106">
        <v>88</v>
      </c>
      <c r="AW20" s="106">
        <v>25238.400000000001</v>
      </c>
      <c r="AX20" s="106">
        <v>125</v>
      </c>
      <c r="AY20" s="106">
        <v>35850</v>
      </c>
      <c r="AZ20" s="106">
        <v>82</v>
      </c>
      <c r="BA20" s="106">
        <v>23517.600000000002</v>
      </c>
      <c r="BB20" s="106">
        <v>121</v>
      </c>
      <c r="BC20" s="106">
        <v>34702.800000000003</v>
      </c>
      <c r="BD20" s="106">
        <v>79</v>
      </c>
      <c r="BE20" s="106">
        <v>22657.200000000001</v>
      </c>
      <c r="BF20" s="106">
        <v>87</v>
      </c>
      <c r="BG20" s="106">
        <v>24951.600000000002</v>
      </c>
      <c r="BH20" s="106">
        <v>129</v>
      </c>
      <c r="BI20" s="106">
        <v>36997.200000000004</v>
      </c>
      <c r="BJ20" s="106">
        <v>149</v>
      </c>
      <c r="BK20" s="106">
        <v>42733.200000000004</v>
      </c>
      <c r="BL20" s="106">
        <v>128</v>
      </c>
      <c r="BM20" s="106">
        <v>36710.400000000001</v>
      </c>
      <c r="BN20" s="106">
        <v>102</v>
      </c>
      <c r="BO20" s="106">
        <v>29253.600000000002</v>
      </c>
      <c r="BP20" s="106">
        <v>139</v>
      </c>
      <c r="BQ20" s="106">
        <v>39865.200000000004</v>
      </c>
      <c r="BR20" s="106">
        <v>90</v>
      </c>
      <c r="BS20" s="106">
        <v>25812</v>
      </c>
      <c r="BT20" s="106">
        <v>109</v>
      </c>
      <c r="BU20" s="106">
        <v>31261.200000000001</v>
      </c>
      <c r="BV20" s="106">
        <v>147</v>
      </c>
      <c r="BW20" s="106">
        <v>42159.6</v>
      </c>
      <c r="BX20" s="106">
        <v>87</v>
      </c>
      <c r="BY20" s="106">
        <v>24951.600000000002</v>
      </c>
      <c r="BZ20" s="106">
        <v>88</v>
      </c>
      <c r="CA20" s="106">
        <v>25238.400000000001</v>
      </c>
      <c r="CB20" s="106">
        <v>85</v>
      </c>
      <c r="CC20" s="106">
        <v>24378</v>
      </c>
      <c r="CD20" s="106">
        <v>79</v>
      </c>
      <c r="CE20" s="106">
        <v>22657.200000000001</v>
      </c>
      <c r="CF20" s="106">
        <v>99</v>
      </c>
      <c r="CG20" s="106">
        <v>28393.200000000001</v>
      </c>
      <c r="CH20" s="106">
        <v>89</v>
      </c>
      <c r="CI20" s="106">
        <v>25525.200000000001</v>
      </c>
      <c r="CJ20" s="106">
        <v>76</v>
      </c>
      <c r="CK20" s="106">
        <v>21796.799999999999</v>
      </c>
      <c r="CL20" s="106">
        <v>60</v>
      </c>
      <c r="CM20" s="106">
        <v>17208</v>
      </c>
      <c r="CN20" s="106">
        <v>80</v>
      </c>
      <c r="CO20" s="106">
        <v>22944</v>
      </c>
      <c r="CP20" s="106">
        <v>135</v>
      </c>
      <c r="CQ20" s="106">
        <v>38718</v>
      </c>
      <c r="CR20" s="106">
        <v>99</v>
      </c>
      <c r="CS20" s="106">
        <v>28393.200000000001</v>
      </c>
      <c r="CT20" s="106">
        <v>112</v>
      </c>
      <c r="CU20" s="106">
        <v>32121.600000000002</v>
      </c>
    </row>
    <row r="21" spans="2:99" x14ac:dyDescent="0.2">
      <c r="C21" s="105" t="s">
        <v>186</v>
      </c>
      <c r="D21" s="106">
        <v>126</v>
      </c>
      <c r="E21" s="106">
        <v>7862.4</v>
      </c>
      <c r="F21" s="106">
        <v>128</v>
      </c>
      <c r="G21" s="106">
        <v>7987.2</v>
      </c>
      <c r="H21" s="106">
        <v>74</v>
      </c>
      <c r="I21" s="106">
        <v>4617.5999999999995</v>
      </c>
      <c r="J21" s="106">
        <v>70</v>
      </c>
      <c r="K21" s="106">
        <v>4368</v>
      </c>
      <c r="L21" s="106">
        <v>72</v>
      </c>
      <c r="M21" s="106">
        <v>4492.8</v>
      </c>
      <c r="N21" s="106">
        <v>103</v>
      </c>
      <c r="O21" s="106">
        <v>6427.2</v>
      </c>
      <c r="P21" s="106">
        <v>114</v>
      </c>
      <c r="Q21" s="106">
        <v>7113.5999999999995</v>
      </c>
      <c r="R21" s="106">
        <v>109</v>
      </c>
      <c r="S21" s="106">
        <v>6801.5999999999995</v>
      </c>
      <c r="T21" s="106">
        <v>130</v>
      </c>
      <c r="U21" s="106">
        <v>8112</v>
      </c>
      <c r="V21" s="106">
        <v>115</v>
      </c>
      <c r="W21" s="106">
        <v>7176</v>
      </c>
      <c r="X21" s="106">
        <v>148</v>
      </c>
      <c r="Y21" s="106">
        <v>9235.1999999999989</v>
      </c>
      <c r="Z21" s="106">
        <v>132</v>
      </c>
      <c r="AA21" s="106">
        <v>8236.7999999999993</v>
      </c>
      <c r="AB21" s="106">
        <v>111</v>
      </c>
      <c r="AC21" s="106">
        <v>6926.4</v>
      </c>
      <c r="AD21" s="106">
        <v>98</v>
      </c>
      <c r="AE21" s="106">
        <v>6115.2</v>
      </c>
      <c r="AF21" s="106">
        <v>105</v>
      </c>
      <c r="AG21" s="106">
        <v>6552</v>
      </c>
      <c r="AH21" s="106">
        <v>140</v>
      </c>
      <c r="AI21" s="106">
        <v>8736</v>
      </c>
      <c r="AJ21" s="106">
        <v>124</v>
      </c>
      <c r="AK21" s="106">
        <v>7737.5999999999995</v>
      </c>
      <c r="AL21" s="106">
        <v>94</v>
      </c>
      <c r="AM21" s="106">
        <v>5865.5999999999995</v>
      </c>
      <c r="AN21" s="106">
        <v>109</v>
      </c>
      <c r="AO21" s="106">
        <v>6801.5999999999995</v>
      </c>
      <c r="AP21" s="106">
        <v>119</v>
      </c>
      <c r="AQ21" s="106">
        <v>7425.5999999999995</v>
      </c>
      <c r="AR21" s="106">
        <v>149</v>
      </c>
      <c r="AS21" s="106">
        <v>9297.6</v>
      </c>
      <c r="AT21" s="106">
        <v>144</v>
      </c>
      <c r="AU21" s="106">
        <v>8985.6</v>
      </c>
      <c r="AV21" s="106">
        <v>96</v>
      </c>
      <c r="AW21" s="106">
        <v>5990.4</v>
      </c>
      <c r="AX21" s="106">
        <v>134</v>
      </c>
      <c r="AY21" s="106">
        <v>8361.6</v>
      </c>
      <c r="AZ21" s="106">
        <v>80</v>
      </c>
      <c r="BA21" s="106">
        <v>4992</v>
      </c>
      <c r="BB21" s="106">
        <v>129</v>
      </c>
      <c r="BC21" s="106">
        <v>8049.5999999999995</v>
      </c>
      <c r="BD21" s="106">
        <v>74</v>
      </c>
      <c r="BE21" s="106">
        <v>4617.5999999999995</v>
      </c>
      <c r="BF21" s="106">
        <v>91</v>
      </c>
      <c r="BG21" s="106">
        <v>5678.4</v>
      </c>
      <c r="BH21" s="106">
        <v>116</v>
      </c>
      <c r="BI21" s="106">
        <v>7238.4</v>
      </c>
      <c r="BJ21" s="106">
        <v>154</v>
      </c>
      <c r="BK21" s="106">
        <v>9609.6</v>
      </c>
      <c r="BL21" s="106">
        <v>125</v>
      </c>
      <c r="BM21" s="106">
        <v>7800</v>
      </c>
      <c r="BN21" s="106">
        <v>96</v>
      </c>
      <c r="BO21" s="106">
        <v>5990.4</v>
      </c>
      <c r="BP21" s="106">
        <v>138</v>
      </c>
      <c r="BQ21" s="106">
        <v>8611.1999999999989</v>
      </c>
      <c r="BR21" s="106">
        <v>100</v>
      </c>
      <c r="BS21" s="106">
        <v>6240</v>
      </c>
      <c r="BT21" s="106">
        <v>123</v>
      </c>
      <c r="BU21" s="106">
        <v>7675.2</v>
      </c>
      <c r="BV21" s="106">
        <v>161</v>
      </c>
      <c r="BW21" s="106">
        <v>10046.4</v>
      </c>
      <c r="BX21" s="106">
        <v>87</v>
      </c>
      <c r="BY21" s="106">
        <v>5428.8</v>
      </c>
      <c r="BZ21" s="106">
        <v>82</v>
      </c>
      <c r="CA21" s="106">
        <v>5116.8</v>
      </c>
      <c r="CB21" s="106">
        <v>80</v>
      </c>
      <c r="CC21" s="106">
        <v>4992</v>
      </c>
      <c r="CD21" s="106">
        <v>83</v>
      </c>
      <c r="CE21" s="106">
        <v>5179.2</v>
      </c>
      <c r="CF21" s="106">
        <v>90</v>
      </c>
      <c r="CG21" s="106">
        <v>5616</v>
      </c>
      <c r="CH21" s="106">
        <v>92</v>
      </c>
      <c r="CI21" s="106">
        <v>5740.8</v>
      </c>
      <c r="CJ21" s="106">
        <v>83</v>
      </c>
      <c r="CK21" s="106">
        <v>5179.2</v>
      </c>
      <c r="CL21" s="106">
        <v>63</v>
      </c>
      <c r="CM21" s="106">
        <v>3931.2</v>
      </c>
      <c r="CN21" s="106">
        <v>81</v>
      </c>
      <c r="CO21" s="106">
        <v>5054.3999999999996</v>
      </c>
      <c r="CP21" s="106">
        <v>139</v>
      </c>
      <c r="CQ21" s="106">
        <v>8673.6</v>
      </c>
      <c r="CR21" s="106">
        <v>111</v>
      </c>
      <c r="CS21" s="106">
        <v>6926.4</v>
      </c>
      <c r="CT21" s="106">
        <v>117</v>
      </c>
      <c r="CU21" s="106">
        <v>7300.8</v>
      </c>
    </row>
    <row r="22" spans="2:99" x14ac:dyDescent="0.2">
      <c r="C22" s="105" t="s">
        <v>187</v>
      </c>
      <c r="D22" s="106">
        <v>119</v>
      </c>
      <c r="E22" s="106">
        <v>22276.799999999999</v>
      </c>
      <c r="F22" s="106">
        <v>122</v>
      </c>
      <c r="G22" s="106">
        <v>22838.399999999998</v>
      </c>
      <c r="H22" s="106">
        <v>70</v>
      </c>
      <c r="I22" s="106">
        <v>13104</v>
      </c>
      <c r="J22" s="106">
        <v>79</v>
      </c>
      <c r="K22" s="106">
        <v>14788.8</v>
      </c>
      <c r="L22" s="106">
        <v>67</v>
      </c>
      <c r="M22" s="106">
        <v>12542.4</v>
      </c>
      <c r="N22" s="106">
        <v>89</v>
      </c>
      <c r="O22" s="106">
        <v>16660.8</v>
      </c>
      <c r="P22" s="106">
        <v>130</v>
      </c>
      <c r="Q22" s="106">
        <v>24336</v>
      </c>
      <c r="R22" s="106">
        <v>103</v>
      </c>
      <c r="S22" s="106">
        <v>19281.599999999999</v>
      </c>
      <c r="T22" s="106">
        <v>114</v>
      </c>
      <c r="U22" s="106">
        <v>21340.799999999999</v>
      </c>
      <c r="V22" s="106">
        <v>99</v>
      </c>
      <c r="W22" s="106">
        <v>18532.8</v>
      </c>
      <c r="X22" s="106">
        <v>141</v>
      </c>
      <c r="Y22" s="106">
        <v>26395.199999999997</v>
      </c>
      <c r="Z22" s="106">
        <v>147</v>
      </c>
      <c r="AA22" s="106">
        <v>27518.399999999998</v>
      </c>
      <c r="AB22" s="106">
        <v>122</v>
      </c>
      <c r="AC22" s="106">
        <v>22838.399999999998</v>
      </c>
      <c r="AD22" s="106">
        <v>88</v>
      </c>
      <c r="AE22" s="106">
        <v>16473.599999999999</v>
      </c>
      <c r="AF22" s="106">
        <v>106</v>
      </c>
      <c r="AG22" s="106">
        <v>19843.199999999997</v>
      </c>
      <c r="AH22" s="106">
        <v>149</v>
      </c>
      <c r="AI22" s="106">
        <v>27892.799999999999</v>
      </c>
      <c r="AJ22" s="106">
        <v>115</v>
      </c>
      <c r="AK22" s="106">
        <v>21528</v>
      </c>
      <c r="AL22" s="106">
        <v>81</v>
      </c>
      <c r="AM22" s="106">
        <v>15163.199999999999</v>
      </c>
      <c r="AN22" s="106">
        <v>112</v>
      </c>
      <c r="AO22" s="106">
        <v>20966.399999999998</v>
      </c>
      <c r="AP22" s="106">
        <v>112</v>
      </c>
      <c r="AQ22" s="106">
        <v>20966.399999999998</v>
      </c>
      <c r="AR22" s="106">
        <v>141</v>
      </c>
      <c r="AS22" s="106">
        <v>26395.199999999997</v>
      </c>
      <c r="AT22" s="106">
        <v>139</v>
      </c>
      <c r="AU22" s="106">
        <v>26020.799999999999</v>
      </c>
      <c r="AV22" s="106">
        <v>96</v>
      </c>
      <c r="AW22" s="106">
        <v>17971.199999999997</v>
      </c>
      <c r="AX22" s="106">
        <v>137</v>
      </c>
      <c r="AY22" s="106">
        <v>25646.399999999998</v>
      </c>
      <c r="AZ22" s="106">
        <v>85</v>
      </c>
      <c r="BA22" s="106">
        <v>15911.999999999998</v>
      </c>
      <c r="BB22" s="106">
        <v>107</v>
      </c>
      <c r="BC22" s="106">
        <v>20030.399999999998</v>
      </c>
      <c r="BD22" s="106">
        <v>85</v>
      </c>
      <c r="BE22" s="106">
        <v>15911.999999999998</v>
      </c>
      <c r="BF22" s="106">
        <v>82</v>
      </c>
      <c r="BG22" s="106">
        <v>15350.4</v>
      </c>
      <c r="BH22" s="106">
        <v>133</v>
      </c>
      <c r="BI22" s="106">
        <v>24897.599999999999</v>
      </c>
      <c r="BJ22" s="106">
        <v>149</v>
      </c>
      <c r="BK22" s="106">
        <v>27892.799999999999</v>
      </c>
      <c r="BL22" s="106">
        <v>126</v>
      </c>
      <c r="BM22" s="106">
        <v>23587.199999999997</v>
      </c>
      <c r="BN22" s="106">
        <v>111</v>
      </c>
      <c r="BO22" s="106">
        <v>20779.199999999997</v>
      </c>
      <c r="BP22" s="106">
        <v>130</v>
      </c>
      <c r="BQ22" s="106">
        <v>24336</v>
      </c>
      <c r="BR22" s="106">
        <v>94</v>
      </c>
      <c r="BS22" s="106">
        <v>17596.8</v>
      </c>
      <c r="BT22" s="106">
        <v>101</v>
      </c>
      <c r="BU22" s="106">
        <v>18907.199999999997</v>
      </c>
      <c r="BV22" s="106">
        <v>136</v>
      </c>
      <c r="BW22" s="106">
        <v>25459.199999999997</v>
      </c>
      <c r="BX22" s="106">
        <v>96</v>
      </c>
      <c r="BY22" s="106">
        <v>17971.199999999997</v>
      </c>
      <c r="BZ22" s="106">
        <v>87</v>
      </c>
      <c r="CA22" s="106">
        <v>16286.4</v>
      </c>
      <c r="CB22" s="106">
        <v>80</v>
      </c>
      <c r="CC22" s="106">
        <v>14976</v>
      </c>
      <c r="CD22" s="106">
        <v>76</v>
      </c>
      <c r="CE22" s="106">
        <v>14227.199999999999</v>
      </c>
      <c r="CF22" s="106">
        <v>90</v>
      </c>
      <c r="CG22" s="106">
        <v>16848</v>
      </c>
      <c r="CH22" s="106">
        <v>97</v>
      </c>
      <c r="CI22" s="106">
        <v>18158.399999999998</v>
      </c>
      <c r="CJ22" s="106">
        <v>76</v>
      </c>
      <c r="CK22" s="106">
        <v>14227.199999999999</v>
      </c>
      <c r="CL22" s="106">
        <v>62</v>
      </c>
      <c r="CM22" s="106">
        <v>11606.4</v>
      </c>
      <c r="CN22" s="106">
        <v>90</v>
      </c>
      <c r="CO22" s="106">
        <v>16848</v>
      </c>
      <c r="CP22" s="106">
        <v>120</v>
      </c>
      <c r="CQ22" s="106">
        <v>22464</v>
      </c>
      <c r="CR22" s="106">
        <v>103</v>
      </c>
      <c r="CS22" s="106">
        <v>19281.599999999999</v>
      </c>
      <c r="CT22" s="106">
        <v>116</v>
      </c>
      <c r="CU22" s="106">
        <v>21715.199999999997</v>
      </c>
    </row>
    <row r="23" spans="2:99" x14ac:dyDescent="0.2">
      <c r="C23" s="105" t="s">
        <v>188</v>
      </c>
      <c r="D23" s="106">
        <v>131</v>
      </c>
      <c r="E23" s="106">
        <v>38514</v>
      </c>
      <c r="F23" s="106">
        <v>124</v>
      </c>
      <c r="G23" s="106">
        <v>36456</v>
      </c>
      <c r="H23" s="106">
        <v>73</v>
      </c>
      <c r="I23" s="106">
        <v>21462</v>
      </c>
      <c r="J23" s="106">
        <v>72</v>
      </c>
      <c r="K23" s="106">
        <v>21168</v>
      </c>
      <c r="L23" s="106">
        <v>66</v>
      </c>
      <c r="M23" s="106">
        <v>19404</v>
      </c>
      <c r="N23" s="106">
        <v>96</v>
      </c>
      <c r="O23" s="106">
        <v>28224</v>
      </c>
      <c r="P23" s="106">
        <v>111</v>
      </c>
      <c r="Q23" s="106">
        <v>32634</v>
      </c>
      <c r="R23" s="106">
        <v>102</v>
      </c>
      <c r="S23" s="106">
        <v>29988</v>
      </c>
      <c r="T23" s="106">
        <v>121</v>
      </c>
      <c r="U23" s="106">
        <v>35574</v>
      </c>
      <c r="V23" s="106">
        <v>109</v>
      </c>
      <c r="W23" s="106">
        <v>32046</v>
      </c>
      <c r="X23" s="106">
        <v>144</v>
      </c>
      <c r="Y23" s="106">
        <v>42336</v>
      </c>
      <c r="Z23" s="106">
        <v>145</v>
      </c>
      <c r="AA23" s="106">
        <v>42630</v>
      </c>
      <c r="AB23" s="106">
        <v>106</v>
      </c>
      <c r="AC23" s="106">
        <v>31164</v>
      </c>
      <c r="AD23" s="106">
        <v>93</v>
      </c>
      <c r="AE23" s="106">
        <v>27342</v>
      </c>
      <c r="AF23" s="106">
        <v>115</v>
      </c>
      <c r="AG23" s="106">
        <v>33810</v>
      </c>
      <c r="AH23" s="106">
        <v>147</v>
      </c>
      <c r="AI23" s="106">
        <v>43218</v>
      </c>
      <c r="AJ23" s="106">
        <v>113</v>
      </c>
      <c r="AK23" s="106">
        <v>33222</v>
      </c>
      <c r="AL23" s="106">
        <v>78</v>
      </c>
      <c r="AM23" s="106">
        <v>22932</v>
      </c>
      <c r="AN23" s="106">
        <v>95</v>
      </c>
      <c r="AO23" s="106">
        <v>27930</v>
      </c>
      <c r="AP23" s="106">
        <v>99</v>
      </c>
      <c r="AQ23" s="106">
        <v>29106</v>
      </c>
      <c r="AR23" s="106">
        <v>144</v>
      </c>
      <c r="AS23" s="106">
        <v>42336</v>
      </c>
      <c r="AT23" s="106">
        <v>136</v>
      </c>
      <c r="AU23" s="106">
        <v>39984</v>
      </c>
      <c r="AV23" s="106">
        <v>99</v>
      </c>
      <c r="AW23" s="106">
        <v>29106</v>
      </c>
      <c r="AX23" s="106">
        <v>116</v>
      </c>
      <c r="AY23" s="106">
        <v>34104</v>
      </c>
      <c r="AZ23" s="106">
        <v>73</v>
      </c>
      <c r="BA23" s="106">
        <v>21462</v>
      </c>
      <c r="BB23" s="106">
        <v>107</v>
      </c>
      <c r="BC23" s="106">
        <v>31458</v>
      </c>
      <c r="BD23" s="106">
        <v>72</v>
      </c>
      <c r="BE23" s="106">
        <v>21168</v>
      </c>
      <c r="BF23" s="106">
        <v>80</v>
      </c>
      <c r="BG23" s="106">
        <v>23520</v>
      </c>
      <c r="BH23" s="106">
        <v>120</v>
      </c>
      <c r="BI23" s="106">
        <v>35280</v>
      </c>
      <c r="BJ23" s="106">
        <v>152</v>
      </c>
      <c r="BK23" s="106">
        <v>44688</v>
      </c>
      <c r="BL23" s="106">
        <v>121</v>
      </c>
      <c r="BM23" s="106">
        <v>35574</v>
      </c>
      <c r="BN23" s="106">
        <v>92</v>
      </c>
      <c r="BO23" s="106">
        <v>27048</v>
      </c>
      <c r="BP23" s="106">
        <v>126</v>
      </c>
      <c r="BQ23" s="106">
        <v>37044</v>
      </c>
      <c r="BR23" s="106">
        <v>84</v>
      </c>
      <c r="BS23" s="106">
        <v>24696</v>
      </c>
      <c r="BT23" s="106">
        <v>113</v>
      </c>
      <c r="BU23" s="106">
        <v>33222</v>
      </c>
      <c r="BV23" s="106">
        <v>157</v>
      </c>
      <c r="BW23" s="106">
        <v>46158</v>
      </c>
      <c r="BX23" s="106">
        <v>84</v>
      </c>
      <c r="BY23" s="106">
        <v>24696</v>
      </c>
      <c r="BZ23" s="106">
        <v>79</v>
      </c>
      <c r="CA23" s="106">
        <v>23226</v>
      </c>
      <c r="CB23" s="106">
        <v>80</v>
      </c>
      <c r="CC23" s="106">
        <v>23520</v>
      </c>
      <c r="CD23" s="106">
        <v>80</v>
      </c>
      <c r="CE23" s="106">
        <v>23520</v>
      </c>
      <c r="CF23" s="106">
        <v>84</v>
      </c>
      <c r="CG23" s="106">
        <v>24696</v>
      </c>
      <c r="CH23" s="106">
        <v>87</v>
      </c>
      <c r="CI23" s="106">
        <v>25578</v>
      </c>
      <c r="CJ23" s="106">
        <v>75</v>
      </c>
      <c r="CK23" s="106">
        <v>22050</v>
      </c>
      <c r="CL23" s="106">
        <v>53</v>
      </c>
      <c r="CM23" s="106">
        <v>15582</v>
      </c>
      <c r="CN23" s="106">
        <v>84</v>
      </c>
      <c r="CO23" s="106">
        <v>24696</v>
      </c>
      <c r="CP23" s="106">
        <v>130</v>
      </c>
      <c r="CQ23" s="106">
        <v>38220</v>
      </c>
      <c r="CR23" s="106">
        <v>104</v>
      </c>
      <c r="CS23" s="106">
        <v>30576</v>
      </c>
      <c r="CT23" s="106">
        <v>104</v>
      </c>
      <c r="CU23" s="106">
        <v>30576</v>
      </c>
    </row>
    <row r="24" spans="2:99" x14ac:dyDescent="0.2">
      <c r="C24" s="105" t="s">
        <v>189</v>
      </c>
      <c r="D24" s="106">
        <v>117</v>
      </c>
      <c r="E24" s="106">
        <v>42962.400000000001</v>
      </c>
      <c r="F24" s="106">
        <v>124</v>
      </c>
      <c r="G24" s="106">
        <v>45532.799999999996</v>
      </c>
      <c r="H24" s="106">
        <v>63</v>
      </c>
      <c r="I24" s="106">
        <v>23133.599999999999</v>
      </c>
      <c r="J24" s="106">
        <v>71</v>
      </c>
      <c r="K24" s="106">
        <v>26071.200000000001</v>
      </c>
      <c r="L24" s="106">
        <v>73</v>
      </c>
      <c r="M24" s="106">
        <v>26805.599999999999</v>
      </c>
      <c r="N24" s="106">
        <v>86</v>
      </c>
      <c r="O24" s="106">
        <v>31579.200000000001</v>
      </c>
      <c r="P24" s="106">
        <v>114</v>
      </c>
      <c r="Q24" s="106">
        <v>41860.799999999996</v>
      </c>
      <c r="R24" s="106">
        <v>96</v>
      </c>
      <c r="S24" s="106">
        <v>35251.199999999997</v>
      </c>
      <c r="T24" s="106">
        <v>110</v>
      </c>
      <c r="U24" s="106">
        <v>40392</v>
      </c>
      <c r="V24" s="106">
        <v>113</v>
      </c>
      <c r="W24" s="106">
        <v>41493.599999999999</v>
      </c>
      <c r="X24" s="106">
        <v>129</v>
      </c>
      <c r="Y24" s="106">
        <v>47368.799999999996</v>
      </c>
      <c r="Z24" s="106">
        <v>132</v>
      </c>
      <c r="AA24" s="106">
        <v>48470.400000000001</v>
      </c>
      <c r="AB24" s="106">
        <v>121</v>
      </c>
      <c r="AC24" s="106">
        <v>44431.199999999997</v>
      </c>
      <c r="AD24" s="106">
        <v>88</v>
      </c>
      <c r="AE24" s="106">
        <v>32313.599999999999</v>
      </c>
      <c r="AF24" s="106">
        <v>99</v>
      </c>
      <c r="AG24" s="106">
        <v>36352.799999999996</v>
      </c>
      <c r="AH24" s="106">
        <v>132</v>
      </c>
      <c r="AI24" s="106">
        <v>48470.400000000001</v>
      </c>
      <c r="AJ24" s="106">
        <v>116</v>
      </c>
      <c r="AK24" s="106">
        <v>42595.199999999997</v>
      </c>
      <c r="AL24" s="106">
        <v>82</v>
      </c>
      <c r="AM24" s="106">
        <v>30110.399999999998</v>
      </c>
      <c r="AN24" s="106">
        <v>108</v>
      </c>
      <c r="AO24" s="106">
        <v>39657.599999999999</v>
      </c>
      <c r="AP24" s="106">
        <v>105</v>
      </c>
      <c r="AQ24" s="106">
        <v>38556</v>
      </c>
      <c r="AR24" s="106">
        <v>126</v>
      </c>
      <c r="AS24" s="106">
        <v>46267.199999999997</v>
      </c>
      <c r="AT24" s="106">
        <v>125</v>
      </c>
      <c r="AU24" s="106">
        <v>45900</v>
      </c>
      <c r="AV24" s="106">
        <v>85</v>
      </c>
      <c r="AW24" s="106">
        <v>31212</v>
      </c>
      <c r="AX24" s="106">
        <v>133</v>
      </c>
      <c r="AY24" s="106">
        <v>48837.599999999999</v>
      </c>
      <c r="AZ24" s="106">
        <v>68</v>
      </c>
      <c r="BA24" s="106">
        <v>24969.599999999999</v>
      </c>
      <c r="BB24" s="106">
        <v>119</v>
      </c>
      <c r="BC24" s="106">
        <v>43696.799999999996</v>
      </c>
      <c r="BD24" s="106">
        <v>76</v>
      </c>
      <c r="BE24" s="106">
        <v>27907.200000000001</v>
      </c>
      <c r="BF24" s="106">
        <v>81</v>
      </c>
      <c r="BG24" s="106">
        <v>29743.200000000001</v>
      </c>
      <c r="BH24" s="106">
        <v>106</v>
      </c>
      <c r="BI24" s="106">
        <v>38923.199999999997</v>
      </c>
      <c r="BJ24" s="106">
        <v>133</v>
      </c>
      <c r="BK24" s="106">
        <v>48837.599999999999</v>
      </c>
      <c r="BL24" s="106">
        <v>124</v>
      </c>
      <c r="BM24" s="106">
        <v>45532.799999999996</v>
      </c>
      <c r="BN24" s="106">
        <v>93</v>
      </c>
      <c r="BO24" s="106">
        <v>34149.599999999999</v>
      </c>
      <c r="BP24" s="106">
        <v>127</v>
      </c>
      <c r="BQ24" s="106">
        <v>46634.400000000001</v>
      </c>
      <c r="BR24" s="106">
        <v>94</v>
      </c>
      <c r="BS24" s="106">
        <v>34516.799999999996</v>
      </c>
      <c r="BT24" s="106">
        <v>100</v>
      </c>
      <c r="BU24" s="106">
        <v>36720</v>
      </c>
      <c r="BV24" s="106">
        <v>131</v>
      </c>
      <c r="BW24" s="106">
        <v>48103.199999999997</v>
      </c>
      <c r="BX24" s="106">
        <v>82</v>
      </c>
      <c r="BY24" s="106">
        <v>30110.399999999998</v>
      </c>
      <c r="BZ24" s="106">
        <v>83</v>
      </c>
      <c r="CA24" s="106">
        <v>30477.599999999999</v>
      </c>
      <c r="CB24" s="106">
        <v>73</v>
      </c>
      <c r="CC24" s="106">
        <v>26805.599999999999</v>
      </c>
      <c r="CD24" s="106">
        <v>78</v>
      </c>
      <c r="CE24" s="106">
        <v>28641.599999999999</v>
      </c>
      <c r="CF24" s="106">
        <v>85</v>
      </c>
      <c r="CG24" s="106">
        <v>31212</v>
      </c>
      <c r="CH24" s="106">
        <v>83</v>
      </c>
      <c r="CI24" s="106">
        <v>30477.599999999999</v>
      </c>
      <c r="CJ24" s="106">
        <v>73</v>
      </c>
      <c r="CK24" s="106">
        <v>26805.599999999999</v>
      </c>
      <c r="CL24" s="106">
        <v>54</v>
      </c>
      <c r="CM24" s="106">
        <v>19828.8</v>
      </c>
      <c r="CN24" s="106">
        <v>85</v>
      </c>
      <c r="CO24" s="106">
        <v>31212</v>
      </c>
      <c r="CP24" s="106">
        <v>114</v>
      </c>
      <c r="CQ24" s="106">
        <v>41860.799999999996</v>
      </c>
      <c r="CR24" s="106">
        <v>104</v>
      </c>
      <c r="CS24" s="106">
        <v>38188.799999999996</v>
      </c>
      <c r="CT24" s="106">
        <v>99</v>
      </c>
      <c r="CU24" s="106">
        <v>36352.799999999996</v>
      </c>
    </row>
    <row r="25" spans="2:99" x14ac:dyDescent="0.2">
      <c r="C25" s="105" t="s">
        <v>190</v>
      </c>
      <c r="D25" s="106">
        <v>124</v>
      </c>
      <c r="E25" s="106">
        <v>65769.599999999991</v>
      </c>
      <c r="F25" s="106">
        <v>108</v>
      </c>
      <c r="G25" s="106">
        <v>57283.199999999997</v>
      </c>
      <c r="H25" s="106">
        <v>62</v>
      </c>
      <c r="I25" s="106">
        <v>32884.799999999996</v>
      </c>
      <c r="J25" s="106">
        <v>62</v>
      </c>
      <c r="K25" s="106">
        <v>32884.799999999996</v>
      </c>
      <c r="L25" s="106">
        <v>72</v>
      </c>
      <c r="M25" s="106">
        <v>38188.799999999996</v>
      </c>
      <c r="N25" s="106">
        <v>100</v>
      </c>
      <c r="O25" s="106">
        <v>53040</v>
      </c>
      <c r="P25" s="106">
        <v>115</v>
      </c>
      <c r="Q25" s="106">
        <v>60996</v>
      </c>
      <c r="R25" s="106">
        <v>94</v>
      </c>
      <c r="S25" s="106">
        <v>49857.599999999999</v>
      </c>
      <c r="T25" s="106">
        <v>120</v>
      </c>
      <c r="U25" s="106">
        <v>63648</v>
      </c>
      <c r="V25" s="106">
        <v>100</v>
      </c>
      <c r="W25" s="106">
        <v>53040</v>
      </c>
      <c r="X25" s="106">
        <v>127</v>
      </c>
      <c r="Y25" s="106">
        <v>67360.800000000003</v>
      </c>
      <c r="Z25" s="106">
        <v>128</v>
      </c>
      <c r="AA25" s="106">
        <v>67891.199999999997</v>
      </c>
      <c r="AB25" s="106">
        <v>113</v>
      </c>
      <c r="AC25" s="106">
        <v>59935.199999999997</v>
      </c>
      <c r="AD25" s="106">
        <v>88</v>
      </c>
      <c r="AE25" s="106">
        <v>46675.199999999997</v>
      </c>
      <c r="AF25" s="106">
        <v>106</v>
      </c>
      <c r="AG25" s="106">
        <v>56222.399999999994</v>
      </c>
      <c r="AH25" s="106">
        <v>141</v>
      </c>
      <c r="AI25" s="106">
        <v>74786.399999999994</v>
      </c>
      <c r="AJ25" s="106">
        <v>124</v>
      </c>
      <c r="AK25" s="106">
        <v>65769.599999999991</v>
      </c>
      <c r="AL25" s="106">
        <v>82</v>
      </c>
      <c r="AM25" s="106">
        <v>43492.799999999996</v>
      </c>
      <c r="AN25" s="106">
        <v>98</v>
      </c>
      <c r="AO25" s="106">
        <v>51979.199999999997</v>
      </c>
      <c r="AP25" s="106">
        <v>90</v>
      </c>
      <c r="AQ25" s="106">
        <v>47736</v>
      </c>
      <c r="AR25" s="106">
        <v>129</v>
      </c>
      <c r="AS25" s="106">
        <v>68421.599999999991</v>
      </c>
      <c r="AT25" s="106">
        <v>109</v>
      </c>
      <c r="AU25" s="106">
        <v>57813.599999999999</v>
      </c>
      <c r="AV25" s="106">
        <v>80</v>
      </c>
      <c r="AW25" s="106">
        <v>42432</v>
      </c>
      <c r="AX25" s="106">
        <v>108</v>
      </c>
      <c r="AY25" s="106">
        <v>57283.199999999997</v>
      </c>
      <c r="AZ25" s="106">
        <v>73</v>
      </c>
      <c r="BA25" s="106">
        <v>38719.199999999997</v>
      </c>
      <c r="BB25" s="106">
        <v>114</v>
      </c>
      <c r="BC25" s="106">
        <v>60465.599999999999</v>
      </c>
      <c r="BD25" s="106">
        <v>69</v>
      </c>
      <c r="BE25" s="106">
        <v>36597.599999999999</v>
      </c>
      <c r="BF25" s="106">
        <v>84</v>
      </c>
      <c r="BG25" s="106">
        <v>44553.599999999999</v>
      </c>
      <c r="BH25" s="106">
        <v>120</v>
      </c>
      <c r="BI25" s="106">
        <v>63648</v>
      </c>
      <c r="BJ25" s="106">
        <v>128</v>
      </c>
      <c r="BK25" s="106">
        <v>67891.199999999997</v>
      </c>
      <c r="BL25" s="106">
        <v>124</v>
      </c>
      <c r="BM25" s="106">
        <v>65769.599999999991</v>
      </c>
      <c r="BN25" s="106">
        <v>103</v>
      </c>
      <c r="BO25" s="106">
        <v>54631.199999999997</v>
      </c>
      <c r="BP25" s="106">
        <v>135</v>
      </c>
      <c r="BQ25" s="106">
        <v>71604</v>
      </c>
      <c r="BR25" s="106">
        <v>81</v>
      </c>
      <c r="BS25" s="106">
        <v>42962.400000000001</v>
      </c>
      <c r="BT25" s="106">
        <v>93</v>
      </c>
      <c r="BU25" s="106">
        <v>49327.199999999997</v>
      </c>
      <c r="BV25" s="106">
        <v>151</v>
      </c>
      <c r="BW25" s="106">
        <v>80090.399999999994</v>
      </c>
      <c r="BX25" s="106">
        <v>82</v>
      </c>
      <c r="BY25" s="106">
        <v>43492.799999999996</v>
      </c>
      <c r="BZ25" s="106">
        <v>82</v>
      </c>
      <c r="CA25" s="106">
        <v>43492.799999999996</v>
      </c>
      <c r="CB25" s="106">
        <v>79</v>
      </c>
      <c r="CC25" s="106">
        <v>41901.599999999999</v>
      </c>
      <c r="CD25" s="106">
        <v>80</v>
      </c>
      <c r="CE25" s="106">
        <v>42432</v>
      </c>
      <c r="CF25" s="106">
        <v>92</v>
      </c>
      <c r="CG25" s="106">
        <v>48796.799999999996</v>
      </c>
      <c r="CH25" s="106">
        <v>85</v>
      </c>
      <c r="CI25" s="106">
        <v>45084</v>
      </c>
      <c r="CJ25" s="106">
        <v>67</v>
      </c>
      <c r="CK25" s="106">
        <v>35536.799999999996</v>
      </c>
      <c r="CL25" s="106">
        <v>53</v>
      </c>
      <c r="CM25" s="106">
        <v>28111.199999999997</v>
      </c>
      <c r="CN25" s="106">
        <v>75</v>
      </c>
      <c r="CO25" s="106">
        <v>39780</v>
      </c>
      <c r="CP25" s="106">
        <v>122</v>
      </c>
      <c r="CQ25" s="106">
        <v>64708.799999999996</v>
      </c>
      <c r="CR25" s="106">
        <v>92</v>
      </c>
      <c r="CS25" s="106">
        <v>48796.799999999996</v>
      </c>
      <c r="CT25" s="106">
        <v>98</v>
      </c>
      <c r="CU25" s="106">
        <v>51979.199999999997</v>
      </c>
    </row>
    <row r="26" spans="2:99" x14ac:dyDescent="0.2">
      <c r="C26" s="105" t="s">
        <v>191</v>
      </c>
      <c r="D26" s="106">
        <v>114</v>
      </c>
      <c r="E26" s="106">
        <v>55404</v>
      </c>
      <c r="F26" s="106">
        <v>117</v>
      </c>
      <c r="G26" s="106">
        <v>56862</v>
      </c>
      <c r="H26" s="106">
        <v>61</v>
      </c>
      <c r="I26" s="106">
        <v>29646</v>
      </c>
      <c r="J26" s="106">
        <v>65</v>
      </c>
      <c r="K26" s="106">
        <v>31590</v>
      </c>
      <c r="L26" s="106">
        <v>75</v>
      </c>
      <c r="M26" s="106">
        <v>36450</v>
      </c>
      <c r="N26" s="106">
        <v>91</v>
      </c>
      <c r="O26" s="106">
        <v>44226</v>
      </c>
      <c r="P26" s="106">
        <v>100</v>
      </c>
      <c r="Q26" s="106">
        <v>48600</v>
      </c>
      <c r="R26" s="106">
        <v>94</v>
      </c>
      <c r="S26" s="106">
        <v>45684</v>
      </c>
      <c r="T26" s="106">
        <v>121</v>
      </c>
      <c r="U26" s="106">
        <v>58806</v>
      </c>
      <c r="V26" s="106">
        <v>101</v>
      </c>
      <c r="W26" s="106">
        <v>49086</v>
      </c>
      <c r="X26" s="106">
        <v>142</v>
      </c>
      <c r="Y26" s="106">
        <v>69012</v>
      </c>
      <c r="Z26" s="106">
        <v>125</v>
      </c>
      <c r="AA26" s="106">
        <v>60750</v>
      </c>
      <c r="AB26" s="106">
        <v>101</v>
      </c>
      <c r="AC26" s="106">
        <v>49086</v>
      </c>
      <c r="AD26" s="106">
        <v>83</v>
      </c>
      <c r="AE26" s="106">
        <v>40338</v>
      </c>
      <c r="AF26" s="106">
        <v>99</v>
      </c>
      <c r="AG26" s="106">
        <v>48114</v>
      </c>
      <c r="AH26" s="106">
        <v>126</v>
      </c>
      <c r="AI26" s="106">
        <v>61236</v>
      </c>
      <c r="AJ26" s="106">
        <v>112</v>
      </c>
      <c r="AK26" s="106">
        <v>54432</v>
      </c>
      <c r="AL26" s="106">
        <v>81</v>
      </c>
      <c r="AM26" s="106">
        <v>39366</v>
      </c>
      <c r="AN26" s="106">
        <v>102</v>
      </c>
      <c r="AO26" s="106">
        <v>49572</v>
      </c>
      <c r="AP26" s="106">
        <v>98</v>
      </c>
      <c r="AQ26" s="106">
        <v>47628</v>
      </c>
      <c r="AR26" s="106">
        <v>123</v>
      </c>
      <c r="AS26" s="106">
        <v>59778</v>
      </c>
      <c r="AT26" s="106">
        <v>112</v>
      </c>
      <c r="AU26" s="106">
        <v>54432</v>
      </c>
      <c r="AV26" s="106">
        <v>93</v>
      </c>
      <c r="AW26" s="106">
        <v>45198</v>
      </c>
      <c r="AX26" s="106">
        <v>128</v>
      </c>
      <c r="AY26" s="106">
        <v>62208</v>
      </c>
      <c r="AZ26" s="106">
        <v>74</v>
      </c>
      <c r="BA26" s="106">
        <v>35964</v>
      </c>
      <c r="BB26" s="106">
        <v>109</v>
      </c>
      <c r="BC26" s="106">
        <v>52974</v>
      </c>
      <c r="BD26" s="106">
        <v>76</v>
      </c>
      <c r="BE26" s="106">
        <v>36936</v>
      </c>
      <c r="BF26" s="106">
        <v>87</v>
      </c>
      <c r="BG26" s="106">
        <v>42282</v>
      </c>
      <c r="BH26" s="106">
        <v>104</v>
      </c>
      <c r="BI26" s="106">
        <v>50544</v>
      </c>
      <c r="BJ26" s="106">
        <v>132</v>
      </c>
      <c r="BK26" s="106">
        <v>64152</v>
      </c>
      <c r="BL26" s="106">
        <v>119</v>
      </c>
      <c r="BM26" s="106">
        <v>57834</v>
      </c>
      <c r="BN26" s="106">
        <v>91</v>
      </c>
      <c r="BO26" s="106">
        <v>44226</v>
      </c>
      <c r="BP26" s="106">
        <v>144</v>
      </c>
      <c r="BQ26" s="106">
        <v>69984</v>
      </c>
      <c r="BR26" s="106">
        <v>78</v>
      </c>
      <c r="BS26" s="106">
        <v>37908</v>
      </c>
      <c r="BT26" s="106">
        <v>100</v>
      </c>
      <c r="BU26" s="106">
        <v>48600</v>
      </c>
      <c r="BV26" s="106">
        <v>142</v>
      </c>
      <c r="BW26" s="106">
        <v>69012</v>
      </c>
      <c r="BX26" s="106">
        <v>96</v>
      </c>
      <c r="BY26" s="106">
        <v>46656</v>
      </c>
      <c r="BZ26" s="106">
        <v>89</v>
      </c>
      <c r="CA26" s="106">
        <v>43254</v>
      </c>
      <c r="CB26" s="106">
        <v>77</v>
      </c>
      <c r="CC26" s="106">
        <v>37422</v>
      </c>
      <c r="CD26" s="106">
        <v>68</v>
      </c>
      <c r="CE26" s="106">
        <v>33048</v>
      </c>
      <c r="CF26" s="106">
        <v>87</v>
      </c>
      <c r="CG26" s="106">
        <v>42282</v>
      </c>
      <c r="CH26" s="106">
        <v>98</v>
      </c>
      <c r="CI26" s="106">
        <v>47628</v>
      </c>
      <c r="CJ26" s="106">
        <v>80</v>
      </c>
      <c r="CK26" s="106">
        <v>38880</v>
      </c>
      <c r="CL26" s="106">
        <v>55</v>
      </c>
      <c r="CM26" s="106">
        <v>26730</v>
      </c>
      <c r="CN26" s="106">
        <v>70</v>
      </c>
      <c r="CO26" s="106">
        <v>34020</v>
      </c>
      <c r="CP26" s="106">
        <v>123</v>
      </c>
      <c r="CQ26" s="106">
        <v>59778</v>
      </c>
      <c r="CR26" s="106">
        <v>104</v>
      </c>
      <c r="CS26" s="106">
        <v>50544</v>
      </c>
      <c r="CT26" s="106">
        <v>103</v>
      </c>
      <c r="CU26" s="106">
        <v>50058</v>
      </c>
    </row>
    <row r="27" spans="2:99" x14ac:dyDescent="0.2">
      <c r="C27" s="105" t="s">
        <v>192</v>
      </c>
      <c r="D27" s="106">
        <v>117</v>
      </c>
      <c r="E27" s="106">
        <v>49982.400000000001</v>
      </c>
      <c r="F27" s="106">
        <v>111</v>
      </c>
      <c r="G27" s="106">
        <v>47419.199999999997</v>
      </c>
      <c r="H27" s="106">
        <v>66</v>
      </c>
      <c r="I27" s="106">
        <v>28195.200000000001</v>
      </c>
      <c r="J27" s="106">
        <v>66</v>
      </c>
      <c r="K27" s="106">
        <v>28195.200000000001</v>
      </c>
      <c r="L27" s="106">
        <v>67</v>
      </c>
      <c r="M27" s="106">
        <v>28622.399999999998</v>
      </c>
      <c r="N27" s="106">
        <v>96</v>
      </c>
      <c r="O27" s="106">
        <v>41011.199999999997</v>
      </c>
      <c r="P27" s="106">
        <v>106</v>
      </c>
      <c r="Q27" s="106">
        <v>45283.199999999997</v>
      </c>
      <c r="R27" s="106">
        <v>99</v>
      </c>
      <c r="S27" s="106">
        <v>42292.799999999996</v>
      </c>
      <c r="T27" s="106">
        <v>129</v>
      </c>
      <c r="U27" s="106">
        <v>55108.799999999996</v>
      </c>
      <c r="V27" s="106">
        <v>111</v>
      </c>
      <c r="W27" s="106">
        <v>47419.199999999997</v>
      </c>
      <c r="X27" s="106">
        <v>140</v>
      </c>
      <c r="Y27" s="106">
        <v>59808</v>
      </c>
      <c r="Z27" s="106">
        <v>144</v>
      </c>
      <c r="AA27" s="106">
        <v>61516.799999999996</v>
      </c>
      <c r="AB27" s="106">
        <v>120</v>
      </c>
      <c r="AC27" s="106">
        <v>51264</v>
      </c>
      <c r="AD27" s="106">
        <v>91</v>
      </c>
      <c r="AE27" s="106">
        <v>38875.199999999997</v>
      </c>
      <c r="AF27" s="106">
        <v>113</v>
      </c>
      <c r="AG27" s="106">
        <v>48273.599999999999</v>
      </c>
      <c r="AH27" s="106">
        <v>149</v>
      </c>
      <c r="AI27" s="106">
        <v>63652.799999999996</v>
      </c>
      <c r="AJ27" s="106">
        <v>116</v>
      </c>
      <c r="AK27" s="106">
        <v>49555.199999999997</v>
      </c>
      <c r="AL27" s="106">
        <v>83</v>
      </c>
      <c r="AM27" s="106">
        <v>35457.599999999999</v>
      </c>
      <c r="AN27" s="106">
        <v>99</v>
      </c>
      <c r="AO27" s="106">
        <v>42292.799999999996</v>
      </c>
      <c r="AP27" s="106">
        <v>95</v>
      </c>
      <c r="AQ27" s="106">
        <v>40584</v>
      </c>
      <c r="AR27" s="106">
        <v>143</v>
      </c>
      <c r="AS27" s="106">
        <v>61089.599999999999</v>
      </c>
      <c r="AT27" s="106">
        <v>119</v>
      </c>
      <c r="AU27" s="106">
        <v>50836.799999999996</v>
      </c>
      <c r="AV27" s="106">
        <v>92</v>
      </c>
      <c r="AW27" s="106">
        <v>39302.400000000001</v>
      </c>
      <c r="AX27" s="106">
        <v>116</v>
      </c>
      <c r="AY27" s="106">
        <v>49555.199999999997</v>
      </c>
      <c r="AZ27" s="106">
        <v>67</v>
      </c>
      <c r="BA27" s="106">
        <v>28622.399999999998</v>
      </c>
      <c r="BB27" s="106">
        <v>114</v>
      </c>
      <c r="BC27" s="106">
        <v>48700.799999999996</v>
      </c>
      <c r="BD27" s="106">
        <v>77</v>
      </c>
      <c r="BE27" s="106">
        <v>32894.400000000001</v>
      </c>
      <c r="BF27" s="106">
        <v>88</v>
      </c>
      <c r="BG27" s="106">
        <v>37593.599999999999</v>
      </c>
      <c r="BH27" s="106">
        <v>122</v>
      </c>
      <c r="BI27" s="106">
        <v>52118.400000000001</v>
      </c>
      <c r="BJ27" s="106">
        <v>130</v>
      </c>
      <c r="BK27" s="106">
        <v>55536</v>
      </c>
      <c r="BL27" s="106">
        <v>138</v>
      </c>
      <c r="BM27" s="106">
        <v>58953.599999999999</v>
      </c>
      <c r="BN27" s="106">
        <v>104</v>
      </c>
      <c r="BO27" s="106">
        <v>44428.799999999996</v>
      </c>
      <c r="BP27" s="106">
        <v>126</v>
      </c>
      <c r="BQ27" s="106">
        <v>53827.199999999997</v>
      </c>
      <c r="BR27" s="106">
        <v>80</v>
      </c>
      <c r="BS27" s="106">
        <v>34176</v>
      </c>
      <c r="BT27" s="106">
        <v>113</v>
      </c>
      <c r="BU27" s="106">
        <v>48273.599999999999</v>
      </c>
      <c r="BV27" s="106">
        <v>143</v>
      </c>
      <c r="BW27" s="106">
        <v>61089.599999999999</v>
      </c>
      <c r="BX27" s="106">
        <v>88</v>
      </c>
      <c r="BY27" s="106">
        <v>37593.599999999999</v>
      </c>
      <c r="BZ27" s="106">
        <v>76</v>
      </c>
      <c r="CA27" s="106">
        <v>32467.200000000001</v>
      </c>
      <c r="CB27" s="106">
        <v>83</v>
      </c>
      <c r="CC27" s="106">
        <v>35457.599999999999</v>
      </c>
      <c r="CD27" s="106">
        <v>69</v>
      </c>
      <c r="CE27" s="106">
        <v>29476.799999999999</v>
      </c>
      <c r="CF27" s="106">
        <v>95</v>
      </c>
      <c r="CG27" s="106">
        <v>40584</v>
      </c>
      <c r="CH27" s="106">
        <v>96</v>
      </c>
      <c r="CI27" s="106">
        <v>41011.199999999997</v>
      </c>
      <c r="CJ27" s="106">
        <v>68</v>
      </c>
      <c r="CK27" s="106">
        <v>29049.599999999999</v>
      </c>
      <c r="CL27" s="106">
        <v>53</v>
      </c>
      <c r="CM27" s="106">
        <v>22641.599999999999</v>
      </c>
      <c r="CN27" s="106">
        <v>81</v>
      </c>
      <c r="CO27" s="106">
        <v>34603.199999999997</v>
      </c>
      <c r="CP27" s="106">
        <v>119</v>
      </c>
      <c r="CQ27" s="106">
        <v>50836.799999999996</v>
      </c>
      <c r="CR27" s="106">
        <v>93</v>
      </c>
      <c r="CS27" s="106">
        <v>39729.599999999999</v>
      </c>
      <c r="CT27" s="106">
        <v>92</v>
      </c>
      <c r="CU27" s="106">
        <v>39302.400000000001</v>
      </c>
    </row>
    <row r="28" spans="2:99" x14ac:dyDescent="0.2">
      <c r="C28" s="105" t="s">
        <v>193</v>
      </c>
      <c r="D28" s="106">
        <v>105</v>
      </c>
      <c r="E28" s="106">
        <v>77490</v>
      </c>
      <c r="F28" s="106">
        <v>111</v>
      </c>
      <c r="G28" s="106">
        <v>81918</v>
      </c>
      <c r="H28" s="106">
        <v>58</v>
      </c>
      <c r="I28" s="106">
        <v>42804</v>
      </c>
      <c r="J28" s="106">
        <v>67</v>
      </c>
      <c r="K28" s="106">
        <v>49446</v>
      </c>
      <c r="L28" s="106">
        <v>66</v>
      </c>
      <c r="M28" s="106">
        <v>48708</v>
      </c>
      <c r="N28" s="106">
        <v>87</v>
      </c>
      <c r="O28" s="106">
        <v>64206</v>
      </c>
      <c r="P28" s="106">
        <v>109</v>
      </c>
      <c r="Q28" s="106">
        <v>80442</v>
      </c>
      <c r="R28" s="106">
        <v>93</v>
      </c>
      <c r="S28" s="106">
        <v>68634</v>
      </c>
      <c r="T28" s="106">
        <v>106</v>
      </c>
      <c r="U28" s="106">
        <v>78228</v>
      </c>
      <c r="V28" s="106">
        <v>101</v>
      </c>
      <c r="W28" s="106">
        <v>74538</v>
      </c>
      <c r="X28" s="106">
        <v>137</v>
      </c>
      <c r="Y28" s="106">
        <v>101106</v>
      </c>
      <c r="Z28" s="106">
        <v>120</v>
      </c>
      <c r="AA28" s="106">
        <v>88560</v>
      </c>
      <c r="AB28" s="106">
        <v>98</v>
      </c>
      <c r="AC28" s="106">
        <v>72324</v>
      </c>
      <c r="AD28" s="106">
        <v>86</v>
      </c>
      <c r="AE28" s="106">
        <v>63468</v>
      </c>
      <c r="AF28" s="106">
        <v>107</v>
      </c>
      <c r="AG28" s="106">
        <v>78966</v>
      </c>
      <c r="AH28" s="106">
        <v>131</v>
      </c>
      <c r="AI28" s="106">
        <v>96678</v>
      </c>
      <c r="AJ28" s="106">
        <v>110</v>
      </c>
      <c r="AK28" s="106">
        <v>81180</v>
      </c>
      <c r="AL28" s="106">
        <v>83</v>
      </c>
      <c r="AM28" s="106">
        <v>61254</v>
      </c>
      <c r="AN28" s="106">
        <v>93</v>
      </c>
      <c r="AO28" s="106">
        <v>68634</v>
      </c>
      <c r="AP28" s="106">
        <v>92</v>
      </c>
      <c r="AQ28" s="106">
        <v>67896</v>
      </c>
      <c r="AR28" s="106">
        <v>134</v>
      </c>
      <c r="AS28" s="106">
        <v>98892</v>
      </c>
      <c r="AT28" s="106">
        <v>114</v>
      </c>
      <c r="AU28" s="106">
        <v>84132</v>
      </c>
      <c r="AV28" s="106">
        <v>76</v>
      </c>
      <c r="AW28" s="106">
        <v>56088</v>
      </c>
      <c r="AX28" s="106">
        <v>112</v>
      </c>
      <c r="AY28" s="106">
        <v>82656</v>
      </c>
      <c r="AZ28" s="106">
        <v>63</v>
      </c>
      <c r="BA28" s="106">
        <v>46494</v>
      </c>
      <c r="BB28" s="106">
        <v>108</v>
      </c>
      <c r="BC28" s="106">
        <v>79704</v>
      </c>
      <c r="BD28" s="106">
        <v>66</v>
      </c>
      <c r="BE28" s="106">
        <v>48708</v>
      </c>
      <c r="BF28" s="106">
        <v>81</v>
      </c>
      <c r="BG28" s="106">
        <v>59778</v>
      </c>
      <c r="BH28" s="106">
        <v>97</v>
      </c>
      <c r="BI28" s="106">
        <v>71586</v>
      </c>
      <c r="BJ28" s="106">
        <v>131</v>
      </c>
      <c r="BK28" s="106">
        <v>96678</v>
      </c>
      <c r="BL28" s="106">
        <v>116</v>
      </c>
      <c r="BM28" s="106">
        <v>85608</v>
      </c>
      <c r="BN28" s="106">
        <v>100</v>
      </c>
      <c r="BO28" s="106">
        <v>73800</v>
      </c>
      <c r="BP28" s="106">
        <v>133</v>
      </c>
      <c r="BQ28" s="106">
        <v>98154</v>
      </c>
      <c r="BR28" s="106">
        <v>75</v>
      </c>
      <c r="BS28" s="106">
        <v>55350</v>
      </c>
      <c r="BT28" s="106">
        <v>95</v>
      </c>
      <c r="BU28" s="106">
        <v>70110</v>
      </c>
      <c r="BV28" s="106">
        <v>145</v>
      </c>
      <c r="BW28" s="106">
        <v>107010</v>
      </c>
      <c r="BX28" s="106">
        <v>84</v>
      </c>
      <c r="BY28" s="106">
        <v>61992</v>
      </c>
      <c r="BZ28" s="106">
        <v>76</v>
      </c>
      <c r="CA28" s="106">
        <v>56088</v>
      </c>
      <c r="CB28" s="106">
        <v>72</v>
      </c>
      <c r="CC28" s="106">
        <v>53136</v>
      </c>
      <c r="CD28" s="106">
        <v>77</v>
      </c>
      <c r="CE28" s="106">
        <v>56826</v>
      </c>
      <c r="CF28" s="106">
        <v>92</v>
      </c>
      <c r="CG28" s="106">
        <v>67896</v>
      </c>
      <c r="CH28" s="106">
        <v>79</v>
      </c>
      <c r="CI28" s="106">
        <v>58302</v>
      </c>
      <c r="CJ28" s="106">
        <v>74</v>
      </c>
      <c r="CK28" s="106">
        <v>54612</v>
      </c>
      <c r="CL28" s="106">
        <v>57</v>
      </c>
      <c r="CM28" s="106">
        <v>42066</v>
      </c>
      <c r="CN28" s="106">
        <v>73</v>
      </c>
      <c r="CO28" s="106">
        <v>53874</v>
      </c>
      <c r="CP28" s="106">
        <v>110</v>
      </c>
      <c r="CQ28" s="106">
        <v>81180</v>
      </c>
      <c r="CR28" s="106">
        <v>86</v>
      </c>
      <c r="CS28" s="106">
        <v>63468</v>
      </c>
      <c r="CT28" s="106">
        <v>100</v>
      </c>
      <c r="CU28" s="106">
        <v>73800</v>
      </c>
    </row>
    <row r="29" spans="2:99" x14ac:dyDescent="0.2">
      <c r="C29" s="105" t="s">
        <v>194</v>
      </c>
      <c r="D29" s="106">
        <v>126</v>
      </c>
      <c r="E29" s="106">
        <v>42638.399999999994</v>
      </c>
      <c r="F29" s="106">
        <v>110</v>
      </c>
      <c r="G29" s="106">
        <v>37224</v>
      </c>
      <c r="H29" s="106">
        <v>71</v>
      </c>
      <c r="I29" s="106">
        <v>24026.399999999998</v>
      </c>
      <c r="J29" s="106">
        <v>68</v>
      </c>
      <c r="K29" s="106">
        <v>23011.199999999997</v>
      </c>
      <c r="L29" s="106">
        <v>75</v>
      </c>
      <c r="M29" s="106">
        <v>25380</v>
      </c>
      <c r="N29" s="106">
        <v>89</v>
      </c>
      <c r="O29" s="106">
        <v>30117.599999999999</v>
      </c>
      <c r="P29" s="106">
        <v>112</v>
      </c>
      <c r="Q29" s="106">
        <v>37900.799999999996</v>
      </c>
      <c r="R29" s="106">
        <v>84</v>
      </c>
      <c r="S29" s="106">
        <v>28425.599999999999</v>
      </c>
      <c r="T29" s="106">
        <v>122</v>
      </c>
      <c r="U29" s="106">
        <v>41284.799999999996</v>
      </c>
      <c r="V29" s="106">
        <v>107</v>
      </c>
      <c r="W29" s="106">
        <v>36208.799999999996</v>
      </c>
      <c r="X29" s="106">
        <v>131</v>
      </c>
      <c r="Y29" s="106">
        <v>44330.399999999994</v>
      </c>
      <c r="Z29" s="106">
        <v>125</v>
      </c>
      <c r="AA29" s="106">
        <v>42300</v>
      </c>
      <c r="AB29" s="106">
        <v>100</v>
      </c>
      <c r="AC29" s="106">
        <v>33840</v>
      </c>
      <c r="AD29" s="106">
        <v>88</v>
      </c>
      <c r="AE29" s="106">
        <v>29779.199999999997</v>
      </c>
      <c r="AF29" s="106">
        <v>114</v>
      </c>
      <c r="AG29" s="106">
        <v>38577.599999999999</v>
      </c>
      <c r="AH29" s="106">
        <v>151</v>
      </c>
      <c r="AI29" s="106">
        <v>51098.399999999994</v>
      </c>
      <c r="AJ29" s="106">
        <v>114</v>
      </c>
      <c r="AK29" s="106">
        <v>38577.599999999999</v>
      </c>
      <c r="AL29" s="106">
        <v>77</v>
      </c>
      <c r="AM29" s="106">
        <v>26056.799999999999</v>
      </c>
      <c r="AN29" s="106">
        <v>104</v>
      </c>
      <c r="AO29" s="106">
        <v>35193.599999999999</v>
      </c>
      <c r="AP29" s="106">
        <v>102</v>
      </c>
      <c r="AQ29" s="106">
        <v>34516.799999999996</v>
      </c>
      <c r="AR29" s="106">
        <v>135</v>
      </c>
      <c r="AS29" s="106">
        <v>45684</v>
      </c>
      <c r="AT29" s="106">
        <v>126</v>
      </c>
      <c r="AU29" s="106">
        <v>42638.399999999994</v>
      </c>
      <c r="AV29" s="106">
        <v>89</v>
      </c>
      <c r="AW29" s="106">
        <v>30117.599999999999</v>
      </c>
      <c r="AX29" s="106">
        <v>134</v>
      </c>
      <c r="AY29" s="106">
        <v>45345.599999999999</v>
      </c>
      <c r="AZ29" s="106">
        <v>78</v>
      </c>
      <c r="BA29" s="106">
        <v>26395.199999999997</v>
      </c>
      <c r="BB29" s="106">
        <v>117</v>
      </c>
      <c r="BC29" s="106">
        <v>39592.799999999996</v>
      </c>
      <c r="BD29" s="106">
        <v>72</v>
      </c>
      <c r="BE29" s="106">
        <v>24364.799999999999</v>
      </c>
      <c r="BF29" s="106">
        <v>85</v>
      </c>
      <c r="BG29" s="106">
        <v>28763.999999999996</v>
      </c>
      <c r="BH29" s="106">
        <v>109</v>
      </c>
      <c r="BI29" s="106">
        <v>36885.599999999999</v>
      </c>
      <c r="BJ29" s="106">
        <v>136</v>
      </c>
      <c r="BK29" s="106">
        <v>46022.399999999994</v>
      </c>
      <c r="BL29" s="106">
        <v>140</v>
      </c>
      <c r="BM29" s="106">
        <v>47376</v>
      </c>
      <c r="BN29" s="106">
        <v>101</v>
      </c>
      <c r="BO29" s="106">
        <v>34178.399999999994</v>
      </c>
      <c r="BP29" s="106">
        <v>145</v>
      </c>
      <c r="BQ29" s="106">
        <v>49068</v>
      </c>
      <c r="BR29" s="106">
        <v>79</v>
      </c>
      <c r="BS29" s="106">
        <v>26733.599999999999</v>
      </c>
      <c r="BT29" s="106">
        <v>97</v>
      </c>
      <c r="BU29" s="106">
        <v>32824.799999999996</v>
      </c>
      <c r="BV29" s="106">
        <v>155</v>
      </c>
      <c r="BW29" s="106">
        <v>52452</v>
      </c>
      <c r="BX29" s="106">
        <v>91</v>
      </c>
      <c r="BY29" s="106">
        <v>30794.399999999998</v>
      </c>
      <c r="BZ29" s="106">
        <v>75</v>
      </c>
      <c r="CA29" s="106">
        <v>25380</v>
      </c>
      <c r="CB29" s="106">
        <v>80</v>
      </c>
      <c r="CC29" s="106">
        <v>27072</v>
      </c>
      <c r="CD29" s="106">
        <v>83</v>
      </c>
      <c r="CE29" s="106">
        <v>28087.199999999997</v>
      </c>
      <c r="CF29" s="106">
        <v>91</v>
      </c>
      <c r="CG29" s="106">
        <v>30794.399999999998</v>
      </c>
      <c r="CH29" s="106">
        <v>96</v>
      </c>
      <c r="CI29" s="106">
        <v>32486.399999999998</v>
      </c>
      <c r="CJ29" s="106">
        <v>80</v>
      </c>
      <c r="CK29" s="106">
        <v>27072</v>
      </c>
      <c r="CL29" s="106">
        <v>63</v>
      </c>
      <c r="CM29" s="106">
        <v>21319.199999999997</v>
      </c>
      <c r="CN29" s="106">
        <v>84</v>
      </c>
      <c r="CO29" s="106">
        <v>28425.599999999999</v>
      </c>
      <c r="CP29" s="106">
        <v>117</v>
      </c>
      <c r="CQ29" s="106">
        <v>39592.799999999996</v>
      </c>
      <c r="CR29" s="106">
        <v>105</v>
      </c>
      <c r="CS29" s="106">
        <v>35532</v>
      </c>
      <c r="CT29" s="106">
        <v>93</v>
      </c>
      <c r="CU29" s="106">
        <v>31471.199999999997</v>
      </c>
    </row>
    <row r="30" spans="2:99" x14ac:dyDescent="0.2">
      <c r="C30" s="105" t="s">
        <v>195</v>
      </c>
      <c r="D30" s="106">
        <v>132</v>
      </c>
      <c r="E30" s="106">
        <v>18374.399999999998</v>
      </c>
      <c r="F30" s="106">
        <v>128</v>
      </c>
      <c r="G30" s="106">
        <v>17817.599999999999</v>
      </c>
      <c r="H30" s="106">
        <v>69</v>
      </c>
      <c r="I30" s="106">
        <v>9604.7999999999993</v>
      </c>
      <c r="J30" s="106">
        <v>73</v>
      </c>
      <c r="K30" s="106">
        <v>10161.599999999999</v>
      </c>
      <c r="L30" s="106">
        <v>75</v>
      </c>
      <c r="M30" s="106">
        <v>10440</v>
      </c>
      <c r="N30" s="106">
        <v>98</v>
      </c>
      <c r="O30" s="106">
        <v>13641.599999999999</v>
      </c>
      <c r="P30" s="106">
        <v>124</v>
      </c>
      <c r="Q30" s="106">
        <v>17260.8</v>
      </c>
      <c r="R30" s="106">
        <v>103</v>
      </c>
      <c r="S30" s="106">
        <v>14337.599999999999</v>
      </c>
      <c r="T30" s="106">
        <v>135</v>
      </c>
      <c r="U30" s="106">
        <v>18792</v>
      </c>
      <c r="V30" s="106">
        <v>109</v>
      </c>
      <c r="W30" s="106">
        <v>15172.8</v>
      </c>
      <c r="X30" s="106">
        <v>150</v>
      </c>
      <c r="Y30" s="106">
        <v>20880</v>
      </c>
      <c r="Z30" s="106">
        <v>137</v>
      </c>
      <c r="AA30" s="106">
        <v>19070.399999999998</v>
      </c>
      <c r="AB30" s="106">
        <v>108</v>
      </c>
      <c r="AC30" s="106">
        <v>15033.599999999999</v>
      </c>
      <c r="AD30" s="106">
        <v>101</v>
      </c>
      <c r="AE30" s="106">
        <v>14059.199999999999</v>
      </c>
      <c r="AF30" s="106">
        <v>118</v>
      </c>
      <c r="AG30" s="106">
        <v>16425.599999999999</v>
      </c>
      <c r="AH30" s="106">
        <v>145</v>
      </c>
      <c r="AI30" s="106">
        <v>20184</v>
      </c>
      <c r="AJ30" s="106">
        <v>120</v>
      </c>
      <c r="AK30" s="106">
        <v>16704</v>
      </c>
      <c r="AL30" s="106">
        <v>86</v>
      </c>
      <c r="AM30" s="106">
        <v>11971.199999999999</v>
      </c>
      <c r="AN30" s="106">
        <v>108</v>
      </c>
      <c r="AO30" s="106">
        <v>15033.599999999999</v>
      </c>
      <c r="AP30" s="106">
        <v>118</v>
      </c>
      <c r="AQ30" s="106">
        <v>16425.599999999999</v>
      </c>
      <c r="AR30" s="106">
        <v>158</v>
      </c>
      <c r="AS30" s="106">
        <v>21993.599999999999</v>
      </c>
      <c r="AT30" s="106">
        <v>120</v>
      </c>
      <c r="AU30" s="106">
        <v>16704</v>
      </c>
      <c r="AV30" s="106">
        <v>92</v>
      </c>
      <c r="AW30" s="106">
        <v>12806.4</v>
      </c>
      <c r="AX30" s="106">
        <v>117</v>
      </c>
      <c r="AY30" s="106">
        <v>16286.399999999998</v>
      </c>
      <c r="AZ30" s="106">
        <v>82</v>
      </c>
      <c r="BA30" s="106">
        <v>11414.4</v>
      </c>
      <c r="BB30" s="106">
        <v>112</v>
      </c>
      <c r="BC30" s="106">
        <v>15590.399999999998</v>
      </c>
      <c r="BD30" s="106">
        <v>81</v>
      </c>
      <c r="BE30" s="106">
        <v>11275.199999999999</v>
      </c>
      <c r="BF30" s="106">
        <v>91</v>
      </c>
      <c r="BG30" s="106">
        <v>12667.199999999999</v>
      </c>
      <c r="BH30" s="106">
        <v>125</v>
      </c>
      <c r="BI30" s="106">
        <v>17400</v>
      </c>
      <c r="BJ30" s="106">
        <v>142</v>
      </c>
      <c r="BK30" s="106">
        <v>19766.399999999998</v>
      </c>
      <c r="BL30" s="106">
        <v>133</v>
      </c>
      <c r="BM30" s="106">
        <v>18513.599999999999</v>
      </c>
      <c r="BN30" s="106">
        <v>101</v>
      </c>
      <c r="BO30" s="106">
        <v>14059.199999999999</v>
      </c>
      <c r="BP30" s="106">
        <v>148</v>
      </c>
      <c r="BQ30" s="106">
        <v>20601.599999999999</v>
      </c>
      <c r="BR30" s="106">
        <v>97</v>
      </c>
      <c r="BS30" s="106">
        <v>13502.4</v>
      </c>
      <c r="BT30" s="106">
        <v>107</v>
      </c>
      <c r="BU30" s="106">
        <v>14894.4</v>
      </c>
      <c r="BV30" s="106">
        <v>167</v>
      </c>
      <c r="BW30" s="106">
        <v>23246.399999999998</v>
      </c>
      <c r="BX30" s="106">
        <v>90</v>
      </c>
      <c r="BY30" s="106">
        <v>12527.999999999998</v>
      </c>
      <c r="BZ30" s="106">
        <v>79</v>
      </c>
      <c r="CA30" s="106">
        <v>10996.8</v>
      </c>
      <c r="CB30" s="106">
        <v>81</v>
      </c>
      <c r="CC30" s="106">
        <v>11275.199999999999</v>
      </c>
      <c r="CD30" s="106">
        <v>84</v>
      </c>
      <c r="CE30" s="106">
        <v>11692.8</v>
      </c>
      <c r="CF30" s="106">
        <v>87</v>
      </c>
      <c r="CG30" s="106">
        <v>12110.4</v>
      </c>
      <c r="CH30" s="106">
        <v>90</v>
      </c>
      <c r="CI30" s="106">
        <v>12527.999999999998</v>
      </c>
      <c r="CJ30" s="106">
        <v>70</v>
      </c>
      <c r="CK30" s="106">
        <v>9744</v>
      </c>
      <c r="CL30" s="106">
        <v>60</v>
      </c>
      <c r="CM30" s="106">
        <v>8352</v>
      </c>
      <c r="CN30" s="106">
        <v>79</v>
      </c>
      <c r="CO30" s="106">
        <v>10996.8</v>
      </c>
      <c r="CP30" s="106">
        <v>127</v>
      </c>
      <c r="CQ30" s="106">
        <v>17678.399999999998</v>
      </c>
      <c r="CR30" s="106">
        <v>102</v>
      </c>
      <c r="CS30" s="106">
        <v>14198.4</v>
      </c>
      <c r="CT30" s="106">
        <v>108</v>
      </c>
      <c r="CU30" s="106">
        <v>15033.599999999999</v>
      </c>
    </row>
    <row r="31" spans="2:99" x14ac:dyDescent="0.2">
      <c r="C31" s="105" t="s">
        <v>196</v>
      </c>
      <c r="D31" s="106">
        <v>132</v>
      </c>
      <c r="E31" s="106">
        <v>44985.599999999999</v>
      </c>
      <c r="F31" s="106">
        <v>108</v>
      </c>
      <c r="G31" s="106">
        <v>36806.400000000001</v>
      </c>
      <c r="H31" s="106">
        <v>70</v>
      </c>
      <c r="I31" s="106">
        <v>23856</v>
      </c>
      <c r="J31" s="106">
        <v>66</v>
      </c>
      <c r="K31" s="106">
        <v>22492.799999999999</v>
      </c>
      <c r="L31" s="106">
        <v>65</v>
      </c>
      <c r="M31" s="106">
        <v>22152</v>
      </c>
      <c r="N31" s="106">
        <v>103</v>
      </c>
      <c r="O31" s="106">
        <v>35102.400000000001</v>
      </c>
      <c r="P31" s="106">
        <v>123</v>
      </c>
      <c r="Q31" s="106">
        <v>41918.400000000001</v>
      </c>
      <c r="R31" s="106">
        <v>90</v>
      </c>
      <c r="S31" s="106">
        <v>30672</v>
      </c>
      <c r="T31" s="106">
        <v>113</v>
      </c>
      <c r="U31" s="106">
        <v>38510.400000000001</v>
      </c>
      <c r="V31" s="106">
        <v>94</v>
      </c>
      <c r="W31" s="106">
        <v>32035.200000000001</v>
      </c>
      <c r="X31" s="106">
        <v>129</v>
      </c>
      <c r="Y31" s="106">
        <v>43963.200000000004</v>
      </c>
      <c r="Z31" s="106">
        <v>137</v>
      </c>
      <c r="AA31" s="106">
        <v>46689.599999999999</v>
      </c>
      <c r="AB31" s="106">
        <v>111</v>
      </c>
      <c r="AC31" s="106">
        <v>37828.800000000003</v>
      </c>
      <c r="AD31" s="106">
        <v>85</v>
      </c>
      <c r="AE31" s="106">
        <v>28968</v>
      </c>
      <c r="AF31" s="106">
        <v>119</v>
      </c>
      <c r="AG31" s="106">
        <v>40555.200000000004</v>
      </c>
      <c r="AH31" s="106">
        <v>131</v>
      </c>
      <c r="AI31" s="106">
        <v>44644.800000000003</v>
      </c>
      <c r="AJ31" s="106">
        <v>130</v>
      </c>
      <c r="AK31" s="106">
        <v>44304</v>
      </c>
      <c r="AL31" s="106">
        <v>79</v>
      </c>
      <c r="AM31" s="106">
        <v>26923.200000000001</v>
      </c>
      <c r="AN31" s="106">
        <v>100</v>
      </c>
      <c r="AO31" s="106">
        <v>34080</v>
      </c>
      <c r="AP31" s="106">
        <v>115</v>
      </c>
      <c r="AQ31" s="106">
        <v>39192</v>
      </c>
      <c r="AR31" s="106">
        <v>143</v>
      </c>
      <c r="AS31" s="106">
        <v>48734.400000000001</v>
      </c>
      <c r="AT31" s="106">
        <v>123</v>
      </c>
      <c r="AU31" s="106">
        <v>41918.400000000001</v>
      </c>
      <c r="AV31" s="106">
        <v>95</v>
      </c>
      <c r="AW31" s="106">
        <v>32376</v>
      </c>
      <c r="AX31" s="106">
        <v>126</v>
      </c>
      <c r="AY31" s="106">
        <v>42940.800000000003</v>
      </c>
      <c r="AZ31" s="106">
        <v>76</v>
      </c>
      <c r="BA31" s="106">
        <v>25900.799999999999</v>
      </c>
      <c r="BB31" s="106">
        <v>109</v>
      </c>
      <c r="BC31" s="106">
        <v>37147.200000000004</v>
      </c>
      <c r="BD31" s="106">
        <v>70</v>
      </c>
      <c r="BE31" s="106">
        <v>23856</v>
      </c>
      <c r="BF31" s="106">
        <v>86</v>
      </c>
      <c r="BG31" s="106">
        <v>29308.799999999999</v>
      </c>
      <c r="BH31" s="106">
        <v>108</v>
      </c>
      <c r="BI31" s="106">
        <v>36806.400000000001</v>
      </c>
      <c r="BJ31" s="106">
        <v>148</v>
      </c>
      <c r="BK31" s="106">
        <v>50438.400000000001</v>
      </c>
      <c r="BL31" s="106">
        <v>128</v>
      </c>
      <c r="BM31" s="106">
        <v>43622.400000000001</v>
      </c>
      <c r="BN31" s="106">
        <v>96</v>
      </c>
      <c r="BO31" s="106">
        <v>32716.800000000003</v>
      </c>
      <c r="BP31" s="106">
        <v>123</v>
      </c>
      <c r="BQ31" s="106">
        <v>41918.400000000001</v>
      </c>
      <c r="BR31" s="106">
        <v>92</v>
      </c>
      <c r="BS31" s="106">
        <v>31353.600000000002</v>
      </c>
      <c r="BT31" s="106">
        <v>105</v>
      </c>
      <c r="BU31" s="106">
        <v>35784</v>
      </c>
      <c r="BV31" s="106">
        <v>148</v>
      </c>
      <c r="BW31" s="106">
        <v>50438.400000000001</v>
      </c>
      <c r="BX31" s="106">
        <v>94</v>
      </c>
      <c r="BY31" s="106">
        <v>32035.200000000001</v>
      </c>
      <c r="BZ31" s="106">
        <v>81</v>
      </c>
      <c r="CA31" s="106">
        <v>27604.799999999999</v>
      </c>
      <c r="CB31" s="106">
        <v>83</v>
      </c>
      <c r="CC31" s="106">
        <v>28286.400000000001</v>
      </c>
      <c r="CD31" s="106">
        <v>84</v>
      </c>
      <c r="CE31" s="106">
        <v>28627.200000000001</v>
      </c>
      <c r="CF31" s="106">
        <v>98</v>
      </c>
      <c r="CG31" s="106">
        <v>33398.400000000001</v>
      </c>
      <c r="CH31" s="106">
        <v>100</v>
      </c>
      <c r="CI31" s="106">
        <v>34080</v>
      </c>
      <c r="CJ31" s="106">
        <v>79</v>
      </c>
      <c r="CK31" s="106">
        <v>26923.200000000001</v>
      </c>
      <c r="CL31" s="106">
        <v>59</v>
      </c>
      <c r="CM31" s="106">
        <v>20107.2</v>
      </c>
      <c r="CN31" s="106">
        <v>78</v>
      </c>
      <c r="CO31" s="106">
        <v>26582.400000000001</v>
      </c>
      <c r="CP31" s="106">
        <v>127</v>
      </c>
      <c r="CQ31" s="106">
        <v>43281.599999999999</v>
      </c>
      <c r="CR31" s="106">
        <v>95</v>
      </c>
      <c r="CS31" s="106">
        <v>32376</v>
      </c>
      <c r="CT31" s="106">
        <v>94</v>
      </c>
      <c r="CU31" s="106">
        <v>32035.200000000001</v>
      </c>
    </row>
    <row r="32" spans="2:99" x14ac:dyDescent="0.2">
      <c r="C32" s="105" t="s">
        <v>197</v>
      </c>
      <c r="D32" s="106">
        <v>120</v>
      </c>
      <c r="E32" s="106">
        <v>100800</v>
      </c>
      <c r="F32" s="106">
        <v>106</v>
      </c>
      <c r="G32" s="106">
        <v>89040</v>
      </c>
      <c r="H32" s="106">
        <v>56</v>
      </c>
      <c r="I32" s="106">
        <v>47040</v>
      </c>
      <c r="J32" s="106">
        <v>67</v>
      </c>
      <c r="K32" s="106">
        <v>56280</v>
      </c>
      <c r="L32" s="106">
        <v>69</v>
      </c>
      <c r="M32" s="106">
        <v>57960</v>
      </c>
      <c r="N32" s="106">
        <v>80</v>
      </c>
      <c r="O32" s="106">
        <v>67200</v>
      </c>
      <c r="P32" s="106">
        <v>99</v>
      </c>
      <c r="Q32" s="106">
        <v>83160</v>
      </c>
      <c r="R32" s="106">
        <v>76</v>
      </c>
      <c r="S32" s="106">
        <v>63840</v>
      </c>
      <c r="T32" s="106">
        <v>104</v>
      </c>
      <c r="U32" s="106">
        <v>87360</v>
      </c>
      <c r="V32" s="106">
        <v>94</v>
      </c>
      <c r="W32" s="106">
        <v>78960</v>
      </c>
      <c r="X32" s="106">
        <v>117</v>
      </c>
      <c r="Y32" s="106">
        <v>98280</v>
      </c>
      <c r="Z32" s="106">
        <v>112</v>
      </c>
      <c r="AA32" s="106">
        <v>94080</v>
      </c>
      <c r="AB32" s="106">
        <v>107</v>
      </c>
      <c r="AC32" s="106">
        <v>89880</v>
      </c>
      <c r="AD32" s="106">
        <v>89</v>
      </c>
      <c r="AE32" s="106">
        <v>74760</v>
      </c>
      <c r="AF32" s="106">
        <v>91</v>
      </c>
      <c r="AG32" s="106">
        <v>76440</v>
      </c>
      <c r="AH32" s="106">
        <v>129</v>
      </c>
      <c r="AI32" s="106">
        <v>108360</v>
      </c>
      <c r="AJ32" s="106">
        <v>105</v>
      </c>
      <c r="AK32" s="106">
        <v>88200</v>
      </c>
      <c r="AL32" s="106">
        <v>84</v>
      </c>
      <c r="AM32" s="106">
        <v>70560</v>
      </c>
      <c r="AN32" s="106">
        <v>83</v>
      </c>
      <c r="AO32" s="106">
        <v>69720</v>
      </c>
      <c r="AP32" s="106">
        <v>95</v>
      </c>
      <c r="AQ32" s="106">
        <v>79800</v>
      </c>
      <c r="AR32" s="106">
        <v>135</v>
      </c>
      <c r="AS32" s="106">
        <v>113400</v>
      </c>
      <c r="AT32" s="106">
        <v>122</v>
      </c>
      <c r="AU32" s="106">
        <v>102480</v>
      </c>
      <c r="AV32" s="106">
        <v>78</v>
      </c>
      <c r="AW32" s="106">
        <v>65520</v>
      </c>
      <c r="AX32" s="106">
        <v>101</v>
      </c>
      <c r="AY32" s="106">
        <v>84840</v>
      </c>
      <c r="AZ32" s="106">
        <v>72</v>
      </c>
      <c r="BA32" s="106">
        <v>60480</v>
      </c>
      <c r="BB32" s="106">
        <v>94</v>
      </c>
      <c r="BC32" s="106">
        <v>78960</v>
      </c>
      <c r="BD32" s="106">
        <v>71</v>
      </c>
      <c r="BE32" s="106">
        <v>59640</v>
      </c>
      <c r="BF32" s="106">
        <v>75</v>
      </c>
      <c r="BG32" s="106">
        <v>63000</v>
      </c>
      <c r="BH32" s="106">
        <v>95</v>
      </c>
      <c r="BI32" s="106">
        <v>79800</v>
      </c>
      <c r="BJ32" s="106">
        <v>126</v>
      </c>
      <c r="BK32" s="106">
        <v>105840</v>
      </c>
      <c r="BL32" s="106">
        <v>105</v>
      </c>
      <c r="BM32" s="106">
        <v>88200</v>
      </c>
      <c r="BN32" s="106">
        <v>83</v>
      </c>
      <c r="BO32" s="106">
        <v>69720</v>
      </c>
      <c r="BP32" s="106">
        <v>130</v>
      </c>
      <c r="BQ32" s="106">
        <v>109200</v>
      </c>
      <c r="BR32" s="106">
        <v>78</v>
      </c>
      <c r="BS32" s="106">
        <v>65520</v>
      </c>
      <c r="BT32" s="106">
        <v>98</v>
      </c>
      <c r="BU32" s="106">
        <v>82320</v>
      </c>
      <c r="BV32" s="106">
        <v>130</v>
      </c>
      <c r="BW32" s="106">
        <v>109200</v>
      </c>
      <c r="BX32" s="106">
        <v>87</v>
      </c>
      <c r="BY32" s="106">
        <v>73080</v>
      </c>
      <c r="BZ32" s="106">
        <v>79</v>
      </c>
      <c r="CA32" s="106">
        <v>66360</v>
      </c>
      <c r="CB32" s="106">
        <v>76</v>
      </c>
      <c r="CC32" s="106">
        <v>63840</v>
      </c>
      <c r="CD32" s="106">
        <v>77</v>
      </c>
      <c r="CE32" s="106">
        <v>64680</v>
      </c>
      <c r="CF32" s="106">
        <v>83</v>
      </c>
      <c r="CG32" s="106">
        <v>69720</v>
      </c>
      <c r="CH32" s="106">
        <v>87</v>
      </c>
      <c r="CI32" s="106">
        <v>73080</v>
      </c>
      <c r="CJ32" s="106">
        <v>74</v>
      </c>
      <c r="CK32" s="106">
        <v>62160</v>
      </c>
      <c r="CL32" s="106">
        <v>51</v>
      </c>
      <c r="CM32" s="106">
        <v>42840</v>
      </c>
      <c r="CN32" s="106">
        <v>77</v>
      </c>
      <c r="CO32" s="106">
        <v>64680</v>
      </c>
      <c r="CP32" s="106">
        <v>121</v>
      </c>
      <c r="CQ32" s="106">
        <v>101640</v>
      </c>
      <c r="CR32" s="106">
        <v>91</v>
      </c>
      <c r="CS32" s="106">
        <v>76440</v>
      </c>
      <c r="CT32" s="106">
        <v>87</v>
      </c>
      <c r="CU32" s="106">
        <v>73080</v>
      </c>
    </row>
    <row r="33" spans="2:99" x14ac:dyDescent="0.2">
      <c r="C33" s="105" t="s">
        <v>198</v>
      </c>
      <c r="D33" s="106">
        <v>113</v>
      </c>
      <c r="E33" s="106">
        <v>53562</v>
      </c>
      <c r="F33" s="106">
        <v>104</v>
      </c>
      <c r="G33" s="106">
        <v>49296</v>
      </c>
      <c r="H33" s="106">
        <v>61</v>
      </c>
      <c r="I33" s="106">
        <v>28914</v>
      </c>
      <c r="J33" s="106">
        <v>72</v>
      </c>
      <c r="K33" s="106">
        <v>34128</v>
      </c>
      <c r="L33" s="106">
        <v>77</v>
      </c>
      <c r="M33" s="106">
        <v>36498</v>
      </c>
      <c r="N33" s="106">
        <v>97</v>
      </c>
      <c r="O33" s="106">
        <v>45978</v>
      </c>
      <c r="P33" s="106">
        <v>108</v>
      </c>
      <c r="Q33" s="106">
        <v>51192</v>
      </c>
      <c r="R33" s="106">
        <v>84</v>
      </c>
      <c r="S33" s="106">
        <v>39816</v>
      </c>
      <c r="T33" s="106">
        <v>115</v>
      </c>
      <c r="U33" s="106">
        <v>54510</v>
      </c>
      <c r="V33" s="106">
        <v>101</v>
      </c>
      <c r="W33" s="106">
        <v>47874</v>
      </c>
      <c r="X33" s="106">
        <v>120</v>
      </c>
      <c r="Y33" s="106">
        <v>56880</v>
      </c>
      <c r="Z33" s="106">
        <v>142</v>
      </c>
      <c r="AA33" s="106">
        <v>67308</v>
      </c>
      <c r="AB33" s="106">
        <v>104</v>
      </c>
      <c r="AC33" s="106">
        <v>49296</v>
      </c>
      <c r="AD33" s="106">
        <v>96</v>
      </c>
      <c r="AE33" s="106">
        <v>45504</v>
      </c>
      <c r="AF33" s="106">
        <v>108</v>
      </c>
      <c r="AG33" s="106">
        <v>51192</v>
      </c>
      <c r="AH33" s="106">
        <v>136</v>
      </c>
      <c r="AI33" s="106">
        <v>64464</v>
      </c>
      <c r="AJ33" s="106">
        <v>119</v>
      </c>
      <c r="AK33" s="106">
        <v>56406</v>
      </c>
      <c r="AL33" s="106">
        <v>81</v>
      </c>
      <c r="AM33" s="106">
        <v>38394</v>
      </c>
      <c r="AN33" s="106">
        <v>95</v>
      </c>
      <c r="AO33" s="106">
        <v>45030</v>
      </c>
      <c r="AP33" s="106">
        <v>99</v>
      </c>
      <c r="AQ33" s="106">
        <v>46926</v>
      </c>
      <c r="AR33" s="106">
        <v>142</v>
      </c>
      <c r="AS33" s="106">
        <v>67308</v>
      </c>
      <c r="AT33" s="106">
        <v>117</v>
      </c>
      <c r="AU33" s="106">
        <v>55458</v>
      </c>
      <c r="AV33" s="106">
        <v>80</v>
      </c>
      <c r="AW33" s="106">
        <v>37920</v>
      </c>
      <c r="AX33" s="106">
        <v>119</v>
      </c>
      <c r="AY33" s="106">
        <v>56406</v>
      </c>
      <c r="AZ33" s="106">
        <v>80</v>
      </c>
      <c r="BA33" s="106">
        <v>37920</v>
      </c>
      <c r="BB33" s="106">
        <v>101</v>
      </c>
      <c r="BC33" s="106">
        <v>47874</v>
      </c>
      <c r="BD33" s="106">
        <v>81</v>
      </c>
      <c r="BE33" s="106">
        <v>38394</v>
      </c>
      <c r="BF33" s="106">
        <v>91</v>
      </c>
      <c r="BG33" s="106">
        <v>43134</v>
      </c>
      <c r="BH33" s="106">
        <v>104</v>
      </c>
      <c r="BI33" s="106">
        <v>49296</v>
      </c>
      <c r="BJ33" s="106">
        <v>148</v>
      </c>
      <c r="BK33" s="106">
        <v>70152</v>
      </c>
      <c r="BL33" s="106">
        <v>133</v>
      </c>
      <c r="BM33" s="106">
        <v>63042</v>
      </c>
      <c r="BN33" s="106">
        <v>96</v>
      </c>
      <c r="BO33" s="106">
        <v>45504</v>
      </c>
      <c r="BP33" s="106">
        <v>142</v>
      </c>
      <c r="BQ33" s="106">
        <v>67308</v>
      </c>
      <c r="BR33" s="106">
        <v>78</v>
      </c>
      <c r="BS33" s="106">
        <v>36972</v>
      </c>
      <c r="BT33" s="106">
        <v>110</v>
      </c>
      <c r="BU33" s="106">
        <v>52140</v>
      </c>
      <c r="BV33" s="106">
        <v>150</v>
      </c>
      <c r="BW33" s="106">
        <v>71100</v>
      </c>
      <c r="BX33" s="106">
        <v>93</v>
      </c>
      <c r="BY33" s="106">
        <v>44082</v>
      </c>
      <c r="BZ33" s="106">
        <v>87</v>
      </c>
      <c r="CA33" s="106">
        <v>41238</v>
      </c>
      <c r="CB33" s="106">
        <v>69</v>
      </c>
      <c r="CC33" s="106">
        <v>32706</v>
      </c>
      <c r="CD33" s="106">
        <v>68</v>
      </c>
      <c r="CE33" s="106">
        <v>32232</v>
      </c>
      <c r="CF33" s="106">
        <v>96</v>
      </c>
      <c r="CG33" s="106">
        <v>45504</v>
      </c>
      <c r="CH33" s="106">
        <v>90</v>
      </c>
      <c r="CI33" s="106">
        <v>42660</v>
      </c>
      <c r="CJ33" s="106">
        <v>72</v>
      </c>
      <c r="CK33" s="106">
        <v>34128</v>
      </c>
      <c r="CL33" s="106">
        <v>55</v>
      </c>
      <c r="CM33" s="106">
        <v>26070</v>
      </c>
      <c r="CN33" s="106">
        <v>72</v>
      </c>
      <c r="CO33" s="106">
        <v>34128</v>
      </c>
      <c r="CP33" s="106">
        <v>126</v>
      </c>
      <c r="CQ33" s="106">
        <v>59724</v>
      </c>
      <c r="CR33" s="106">
        <v>92</v>
      </c>
      <c r="CS33" s="106">
        <v>43608</v>
      </c>
      <c r="CT33" s="106">
        <v>104</v>
      </c>
      <c r="CU33" s="106">
        <v>49296</v>
      </c>
    </row>
    <row r="34" spans="2:99" x14ac:dyDescent="0.2">
      <c r="C34" s="105" t="s">
        <v>199</v>
      </c>
      <c r="D34" s="106">
        <v>110</v>
      </c>
      <c r="E34" s="106">
        <v>60324</v>
      </c>
      <c r="F34" s="106">
        <v>118</v>
      </c>
      <c r="G34" s="106">
        <v>64711.199999999997</v>
      </c>
      <c r="H34" s="106">
        <v>68</v>
      </c>
      <c r="I34" s="106">
        <v>37291.199999999997</v>
      </c>
      <c r="J34" s="106">
        <v>70</v>
      </c>
      <c r="K34" s="106">
        <v>38388</v>
      </c>
      <c r="L34" s="106">
        <v>69</v>
      </c>
      <c r="M34" s="106">
        <v>37839.599999999999</v>
      </c>
      <c r="N34" s="106">
        <v>95</v>
      </c>
      <c r="O34" s="106">
        <v>52098</v>
      </c>
      <c r="P34" s="106">
        <v>114</v>
      </c>
      <c r="Q34" s="106">
        <v>62517.599999999999</v>
      </c>
      <c r="R34" s="106">
        <v>94</v>
      </c>
      <c r="S34" s="106">
        <v>51549.599999999999</v>
      </c>
      <c r="T34" s="106">
        <v>126</v>
      </c>
      <c r="U34" s="106">
        <v>69098.399999999994</v>
      </c>
      <c r="V34" s="106">
        <v>94</v>
      </c>
      <c r="W34" s="106">
        <v>51549.599999999999</v>
      </c>
      <c r="X34" s="106">
        <v>138</v>
      </c>
      <c r="Y34" s="106">
        <v>75679.199999999997</v>
      </c>
      <c r="Z34" s="106">
        <v>128</v>
      </c>
      <c r="AA34" s="106">
        <v>70195.199999999997</v>
      </c>
      <c r="AB34" s="106">
        <v>104</v>
      </c>
      <c r="AC34" s="106">
        <v>57033.599999999999</v>
      </c>
      <c r="AD34" s="106">
        <v>81</v>
      </c>
      <c r="AE34" s="106">
        <v>44420.4</v>
      </c>
      <c r="AF34" s="106">
        <v>109</v>
      </c>
      <c r="AG34" s="106">
        <v>59775.6</v>
      </c>
      <c r="AH34" s="106">
        <v>137</v>
      </c>
      <c r="AI34" s="106">
        <v>75130.8</v>
      </c>
      <c r="AJ34" s="106">
        <v>113</v>
      </c>
      <c r="AK34" s="106">
        <v>61969.2</v>
      </c>
      <c r="AL34" s="106">
        <v>76</v>
      </c>
      <c r="AM34" s="106">
        <v>41678.400000000001</v>
      </c>
      <c r="AN34" s="106">
        <v>100</v>
      </c>
      <c r="AO34" s="106">
        <v>54840</v>
      </c>
      <c r="AP34" s="106">
        <v>104</v>
      </c>
      <c r="AQ34" s="106">
        <v>57033.599999999999</v>
      </c>
      <c r="AR34" s="106">
        <v>134</v>
      </c>
      <c r="AS34" s="106">
        <v>73485.599999999991</v>
      </c>
      <c r="AT34" s="106">
        <v>115</v>
      </c>
      <c r="AU34" s="106">
        <v>63066</v>
      </c>
      <c r="AV34" s="106">
        <v>81</v>
      </c>
      <c r="AW34" s="106">
        <v>44420.4</v>
      </c>
      <c r="AX34" s="106">
        <v>118</v>
      </c>
      <c r="AY34" s="106">
        <v>64711.199999999997</v>
      </c>
      <c r="AZ34" s="106">
        <v>78</v>
      </c>
      <c r="BA34" s="106">
        <v>42775.199999999997</v>
      </c>
      <c r="BB34" s="106">
        <v>119</v>
      </c>
      <c r="BC34" s="106">
        <v>65259.6</v>
      </c>
      <c r="BD34" s="106">
        <v>73</v>
      </c>
      <c r="BE34" s="106">
        <v>40033.199999999997</v>
      </c>
      <c r="BF34" s="106">
        <v>82</v>
      </c>
      <c r="BG34" s="106">
        <v>44968.799999999996</v>
      </c>
      <c r="BH34" s="106">
        <v>117</v>
      </c>
      <c r="BI34" s="106">
        <v>64162.799999999996</v>
      </c>
      <c r="BJ34" s="106">
        <v>142</v>
      </c>
      <c r="BK34" s="106">
        <v>77872.800000000003</v>
      </c>
      <c r="BL34" s="106">
        <v>130</v>
      </c>
      <c r="BM34" s="106">
        <v>71292</v>
      </c>
      <c r="BN34" s="106">
        <v>102</v>
      </c>
      <c r="BO34" s="106">
        <v>55936.799999999996</v>
      </c>
      <c r="BP34" s="106">
        <v>133</v>
      </c>
      <c r="BQ34" s="106">
        <v>72937.2</v>
      </c>
      <c r="BR34" s="106">
        <v>89</v>
      </c>
      <c r="BS34" s="106">
        <v>48807.6</v>
      </c>
      <c r="BT34" s="106">
        <v>105</v>
      </c>
      <c r="BU34" s="106">
        <v>57582</v>
      </c>
      <c r="BV34" s="106">
        <v>134</v>
      </c>
      <c r="BW34" s="106">
        <v>73485.599999999991</v>
      </c>
      <c r="BX34" s="106">
        <v>86</v>
      </c>
      <c r="BY34" s="106">
        <v>47162.400000000001</v>
      </c>
      <c r="BZ34" s="106">
        <v>83</v>
      </c>
      <c r="CA34" s="106">
        <v>45517.2</v>
      </c>
      <c r="CB34" s="106">
        <v>76</v>
      </c>
      <c r="CC34" s="106">
        <v>41678.400000000001</v>
      </c>
      <c r="CD34" s="106">
        <v>69</v>
      </c>
      <c r="CE34" s="106">
        <v>37839.599999999999</v>
      </c>
      <c r="CF34" s="106">
        <v>85</v>
      </c>
      <c r="CG34" s="106">
        <v>46614</v>
      </c>
      <c r="CH34" s="106">
        <v>92</v>
      </c>
      <c r="CI34" s="106">
        <v>50452.799999999996</v>
      </c>
      <c r="CJ34" s="106">
        <v>71</v>
      </c>
      <c r="CK34" s="106">
        <v>38936.400000000001</v>
      </c>
      <c r="CL34" s="106">
        <v>57</v>
      </c>
      <c r="CM34" s="106">
        <v>31258.799999999999</v>
      </c>
      <c r="CN34" s="106">
        <v>76</v>
      </c>
      <c r="CO34" s="106">
        <v>41678.400000000001</v>
      </c>
      <c r="CP34" s="106">
        <v>110</v>
      </c>
      <c r="CQ34" s="106">
        <v>60324</v>
      </c>
      <c r="CR34" s="106">
        <v>88</v>
      </c>
      <c r="CS34" s="106">
        <v>48259.199999999997</v>
      </c>
      <c r="CT34" s="106">
        <v>105</v>
      </c>
      <c r="CU34" s="106">
        <v>57582</v>
      </c>
    </row>
    <row r="35" spans="2:99" x14ac:dyDescent="0.2">
      <c r="C35" s="105" t="s">
        <v>200</v>
      </c>
      <c r="D35" s="106">
        <v>116</v>
      </c>
      <c r="E35" s="106">
        <v>58324.799999999988</v>
      </c>
      <c r="F35" s="106">
        <v>103</v>
      </c>
      <c r="G35" s="106">
        <v>51788.399999999987</v>
      </c>
      <c r="H35" s="106">
        <v>70</v>
      </c>
      <c r="I35" s="106">
        <v>35195.999999999993</v>
      </c>
      <c r="J35" s="106">
        <v>66</v>
      </c>
      <c r="K35" s="106">
        <v>33184.799999999996</v>
      </c>
      <c r="L35" s="106">
        <v>63</v>
      </c>
      <c r="M35" s="106">
        <v>31676.399999999994</v>
      </c>
      <c r="N35" s="106">
        <v>85</v>
      </c>
      <c r="O35" s="106">
        <v>42737.999999999993</v>
      </c>
      <c r="P35" s="106">
        <v>102</v>
      </c>
      <c r="Q35" s="106">
        <v>51285.599999999991</v>
      </c>
      <c r="R35" s="106">
        <v>91</v>
      </c>
      <c r="S35" s="106">
        <v>45754.799999999988</v>
      </c>
      <c r="T35" s="106">
        <v>107</v>
      </c>
      <c r="U35" s="106">
        <v>53799.599999999991</v>
      </c>
      <c r="V35" s="106">
        <v>101</v>
      </c>
      <c r="W35" s="106">
        <v>50782.799999999988</v>
      </c>
      <c r="X35" s="106">
        <v>130</v>
      </c>
      <c r="Y35" s="106">
        <v>65363.999999999985</v>
      </c>
      <c r="Z35" s="106">
        <v>139</v>
      </c>
      <c r="AA35" s="106">
        <v>69889.199999999983</v>
      </c>
      <c r="AB35" s="106">
        <v>106</v>
      </c>
      <c r="AC35" s="106">
        <v>53296.799999999988</v>
      </c>
      <c r="AD35" s="106">
        <v>94</v>
      </c>
      <c r="AE35" s="106">
        <v>47263.19999999999</v>
      </c>
      <c r="AF35" s="106">
        <v>113</v>
      </c>
      <c r="AG35" s="106">
        <v>56816.399999999987</v>
      </c>
      <c r="AH35" s="106">
        <v>141</v>
      </c>
      <c r="AI35" s="106">
        <v>70894.799999999988</v>
      </c>
      <c r="AJ35" s="106">
        <v>127</v>
      </c>
      <c r="AK35" s="106">
        <v>63855.599999999984</v>
      </c>
      <c r="AL35" s="106">
        <v>89</v>
      </c>
      <c r="AM35" s="106">
        <v>44749.19999999999</v>
      </c>
      <c r="AN35" s="106">
        <v>89</v>
      </c>
      <c r="AO35" s="106">
        <v>44749.19999999999</v>
      </c>
      <c r="AP35" s="106">
        <v>93</v>
      </c>
      <c r="AQ35" s="106">
        <v>46760.399999999987</v>
      </c>
      <c r="AR35" s="106">
        <v>134</v>
      </c>
      <c r="AS35" s="106">
        <v>67375.199999999983</v>
      </c>
      <c r="AT35" s="106">
        <v>112</v>
      </c>
      <c r="AU35" s="106">
        <v>56313.599999999991</v>
      </c>
      <c r="AV35" s="106">
        <v>87</v>
      </c>
      <c r="AW35" s="106">
        <v>43743.599999999991</v>
      </c>
      <c r="AX35" s="106">
        <v>119</v>
      </c>
      <c r="AY35" s="106">
        <v>59833.19999999999</v>
      </c>
      <c r="AZ35" s="106">
        <v>66</v>
      </c>
      <c r="BA35" s="106">
        <v>33184.799999999996</v>
      </c>
      <c r="BB35" s="106">
        <v>104</v>
      </c>
      <c r="BC35" s="106">
        <v>52291.19999999999</v>
      </c>
      <c r="BD35" s="106">
        <v>79</v>
      </c>
      <c r="BE35" s="106">
        <v>39721.19999999999</v>
      </c>
      <c r="BF35" s="106">
        <v>84</v>
      </c>
      <c r="BG35" s="106">
        <v>42235.19999999999</v>
      </c>
      <c r="BH35" s="106">
        <v>115</v>
      </c>
      <c r="BI35" s="106">
        <v>57821.999999999985</v>
      </c>
      <c r="BJ35" s="106">
        <v>148</v>
      </c>
      <c r="BK35" s="106">
        <v>74414.39999999998</v>
      </c>
      <c r="BL35" s="106">
        <v>135</v>
      </c>
      <c r="BM35" s="106">
        <v>67877.999999999985</v>
      </c>
      <c r="BN35" s="106">
        <v>94</v>
      </c>
      <c r="BO35" s="106">
        <v>47263.19999999999</v>
      </c>
      <c r="BP35" s="106">
        <v>125</v>
      </c>
      <c r="BQ35" s="106">
        <v>62849.999999999985</v>
      </c>
      <c r="BR35" s="106">
        <v>77</v>
      </c>
      <c r="BS35" s="106">
        <v>38715.599999999991</v>
      </c>
      <c r="BT35" s="106">
        <v>107</v>
      </c>
      <c r="BU35" s="106">
        <v>53799.599999999991</v>
      </c>
      <c r="BV35" s="106">
        <v>153</v>
      </c>
      <c r="BW35" s="106">
        <v>76928.39999999998</v>
      </c>
      <c r="BX35" s="106">
        <v>90</v>
      </c>
      <c r="BY35" s="106">
        <v>45251.999999999993</v>
      </c>
      <c r="BZ35" s="106">
        <v>77</v>
      </c>
      <c r="CA35" s="106">
        <v>38715.599999999991</v>
      </c>
      <c r="CB35" s="106">
        <v>77</v>
      </c>
      <c r="CC35" s="106">
        <v>38715.599999999991</v>
      </c>
      <c r="CD35" s="106">
        <v>68</v>
      </c>
      <c r="CE35" s="106">
        <v>34190.399999999994</v>
      </c>
      <c r="CF35" s="106">
        <v>83</v>
      </c>
      <c r="CG35" s="106">
        <v>41732.399999999994</v>
      </c>
      <c r="CH35" s="106">
        <v>86</v>
      </c>
      <c r="CI35" s="106">
        <v>43240.799999999988</v>
      </c>
      <c r="CJ35" s="106">
        <v>79</v>
      </c>
      <c r="CK35" s="106">
        <v>39721.19999999999</v>
      </c>
      <c r="CL35" s="106">
        <v>54</v>
      </c>
      <c r="CM35" s="106">
        <v>27151.199999999993</v>
      </c>
      <c r="CN35" s="106">
        <v>80</v>
      </c>
      <c r="CO35" s="106">
        <v>40223.999999999993</v>
      </c>
      <c r="CP35" s="106">
        <v>129</v>
      </c>
      <c r="CQ35" s="106">
        <v>64861.19999999999</v>
      </c>
      <c r="CR35" s="106">
        <v>85</v>
      </c>
      <c r="CS35" s="106">
        <v>42737.999999999993</v>
      </c>
      <c r="CT35" s="106">
        <v>93</v>
      </c>
      <c r="CU35" s="106">
        <v>46760.399999999987</v>
      </c>
    </row>
    <row r="36" spans="2:99" x14ac:dyDescent="0.2">
      <c r="C36" s="105" t="s">
        <v>201</v>
      </c>
      <c r="D36" s="106">
        <v>107</v>
      </c>
      <c r="E36" s="106">
        <v>81405.599999999991</v>
      </c>
      <c r="F36" s="106">
        <v>105</v>
      </c>
      <c r="G36" s="106">
        <v>79884</v>
      </c>
      <c r="H36" s="106">
        <v>60</v>
      </c>
      <c r="I36" s="106">
        <v>45648</v>
      </c>
      <c r="J36" s="106">
        <v>68</v>
      </c>
      <c r="K36" s="106">
        <v>51734.399999999994</v>
      </c>
      <c r="L36" s="106">
        <v>71</v>
      </c>
      <c r="M36" s="106">
        <v>54016.799999999996</v>
      </c>
      <c r="N36" s="106">
        <v>85</v>
      </c>
      <c r="O36" s="106">
        <v>64667.999999999993</v>
      </c>
      <c r="P36" s="106">
        <v>107</v>
      </c>
      <c r="Q36" s="106">
        <v>81405.599999999991</v>
      </c>
      <c r="R36" s="106">
        <v>77</v>
      </c>
      <c r="S36" s="106">
        <v>58581.599999999999</v>
      </c>
      <c r="T36" s="106">
        <v>103</v>
      </c>
      <c r="U36" s="106">
        <v>78362.399999999994</v>
      </c>
      <c r="V36" s="106">
        <v>95</v>
      </c>
      <c r="W36" s="106">
        <v>72276</v>
      </c>
      <c r="X36" s="106">
        <v>131</v>
      </c>
      <c r="Y36" s="106">
        <v>99664.799999999988</v>
      </c>
      <c r="Z36" s="106">
        <v>129</v>
      </c>
      <c r="AA36" s="106">
        <v>98143.2</v>
      </c>
      <c r="AB36" s="106">
        <v>93</v>
      </c>
      <c r="AC36" s="106">
        <v>70754.399999999994</v>
      </c>
      <c r="AD36" s="106">
        <v>78</v>
      </c>
      <c r="AE36" s="106">
        <v>59342.399999999994</v>
      </c>
      <c r="AF36" s="106">
        <v>94</v>
      </c>
      <c r="AG36" s="106">
        <v>71515.199999999997</v>
      </c>
      <c r="AH36" s="106">
        <v>115</v>
      </c>
      <c r="AI36" s="106">
        <v>87492</v>
      </c>
      <c r="AJ36" s="106">
        <v>117</v>
      </c>
      <c r="AK36" s="106">
        <v>89013.599999999991</v>
      </c>
      <c r="AL36" s="106">
        <v>70</v>
      </c>
      <c r="AM36" s="106">
        <v>53256</v>
      </c>
      <c r="AN36" s="106">
        <v>86</v>
      </c>
      <c r="AO36" s="106">
        <v>65428.799999999996</v>
      </c>
      <c r="AP36" s="106">
        <v>95</v>
      </c>
      <c r="AQ36" s="106">
        <v>72276</v>
      </c>
      <c r="AR36" s="106">
        <v>127</v>
      </c>
      <c r="AS36" s="106">
        <v>96621.599999999991</v>
      </c>
      <c r="AT36" s="106">
        <v>116</v>
      </c>
      <c r="AU36" s="106">
        <v>88252.799999999988</v>
      </c>
      <c r="AV36" s="106">
        <v>84</v>
      </c>
      <c r="AW36" s="106">
        <v>63907.199999999997</v>
      </c>
      <c r="AX36" s="106">
        <v>123</v>
      </c>
      <c r="AY36" s="106">
        <v>93578.4</v>
      </c>
      <c r="AZ36" s="106">
        <v>62</v>
      </c>
      <c r="BA36" s="106">
        <v>47169.599999999999</v>
      </c>
      <c r="BB36" s="106">
        <v>112</v>
      </c>
      <c r="BC36" s="106">
        <v>85209.599999999991</v>
      </c>
      <c r="BD36" s="106">
        <v>69</v>
      </c>
      <c r="BE36" s="106">
        <v>52495.199999999997</v>
      </c>
      <c r="BF36" s="106">
        <v>84</v>
      </c>
      <c r="BG36" s="106">
        <v>63907.199999999997</v>
      </c>
      <c r="BH36" s="106">
        <v>117</v>
      </c>
      <c r="BI36" s="106">
        <v>89013.599999999991</v>
      </c>
      <c r="BJ36" s="106">
        <v>132</v>
      </c>
      <c r="BK36" s="106">
        <v>100425.59999999999</v>
      </c>
      <c r="BL36" s="106">
        <v>118</v>
      </c>
      <c r="BM36" s="106">
        <v>89774.399999999994</v>
      </c>
      <c r="BN36" s="106">
        <v>90</v>
      </c>
      <c r="BO36" s="106">
        <v>68472</v>
      </c>
      <c r="BP36" s="106">
        <v>122</v>
      </c>
      <c r="BQ36" s="106">
        <v>92817.599999999991</v>
      </c>
      <c r="BR36" s="106">
        <v>83</v>
      </c>
      <c r="BS36" s="106">
        <v>63146.399999999994</v>
      </c>
      <c r="BT36" s="106">
        <v>108</v>
      </c>
      <c r="BU36" s="106">
        <v>82166.399999999994</v>
      </c>
      <c r="BV36" s="106">
        <v>135</v>
      </c>
      <c r="BW36" s="106">
        <v>102708</v>
      </c>
      <c r="BX36" s="106">
        <v>78</v>
      </c>
      <c r="BY36" s="106">
        <v>59342.399999999994</v>
      </c>
      <c r="BZ36" s="106">
        <v>79</v>
      </c>
      <c r="CA36" s="106">
        <v>60103.199999999997</v>
      </c>
      <c r="CB36" s="106">
        <v>79</v>
      </c>
      <c r="CC36" s="106">
        <v>60103.199999999997</v>
      </c>
      <c r="CD36" s="106">
        <v>71</v>
      </c>
      <c r="CE36" s="106">
        <v>54016.799999999996</v>
      </c>
      <c r="CF36" s="106">
        <v>87</v>
      </c>
      <c r="CG36" s="106">
        <v>66189.599999999991</v>
      </c>
      <c r="CH36" s="106">
        <v>81</v>
      </c>
      <c r="CI36" s="106">
        <v>61624.799999999996</v>
      </c>
      <c r="CJ36" s="106">
        <v>66</v>
      </c>
      <c r="CK36" s="106">
        <v>50212.799999999996</v>
      </c>
      <c r="CL36" s="106">
        <v>49</v>
      </c>
      <c r="CM36" s="106">
        <v>37279.199999999997</v>
      </c>
      <c r="CN36" s="106">
        <v>79</v>
      </c>
      <c r="CO36" s="106">
        <v>60103.199999999997</v>
      </c>
      <c r="CP36" s="106">
        <v>110</v>
      </c>
      <c r="CQ36" s="106">
        <v>83688</v>
      </c>
      <c r="CR36" s="106">
        <v>93</v>
      </c>
      <c r="CS36" s="106">
        <v>70754.399999999994</v>
      </c>
      <c r="CT36" s="106">
        <v>100</v>
      </c>
      <c r="CU36" s="106">
        <v>76080</v>
      </c>
    </row>
    <row r="37" spans="2:99" x14ac:dyDescent="0.2">
      <c r="B37" s="105" t="s">
        <v>128</v>
      </c>
      <c r="C37" s="105" t="s">
        <v>202</v>
      </c>
      <c r="D37" s="106">
        <v>113</v>
      </c>
      <c r="E37" s="106">
        <v>97225.2</v>
      </c>
      <c r="F37" s="106">
        <v>85</v>
      </c>
      <c r="G37" s="106">
        <v>73134</v>
      </c>
      <c r="H37" s="106">
        <v>53</v>
      </c>
      <c r="I37" s="106">
        <v>45601.2</v>
      </c>
      <c r="J37" s="106">
        <v>80</v>
      </c>
      <c r="K37" s="106">
        <v>68832</v>
      </c>
      <c r="L37" s="106">
        <v>90</v>
      </c>
      <c r="M37" s="106">
        <v>77436</v>
      </c>
      <c r="N37" s="106">
        <v>95</v>
      </c>
      <c r="O37" s="106">
        <v>81738</v>
      </c>
      <c r="P37" s="106">
        <v>95</v>
      </c>
      <c r="Q37" s="106">
        <v>81738</v>
      </c>
      <c r="R37" s="106">
        <v>98</v>
      </c>
      <c r="S37" s="106">
        <v>84319.2</v>
      </c>
      <c r="T37" s="106">
        <v>79</v>
      </c>
      <c r="U37" s="106">
        <v>67971.599999999991</v>
      </c>
      <c r="V37" s="106">
        <v>82</v>
      </c>
      <c r="W37" s="106">
        <v>70552.800000000003</v>
      </c>
      <c r="X37" s="106">
        <v>88</v>
      </c>
      <c r="Y37" s="106">
        <v>75715.199999999997</v>
      </c>
      <c r="Z37" s="106">
        <v>64</v>
      </c>
      <c r="AA37" s="106">
        <v>55065.599999999999</v>
      </c>
      <c r="AB37" s="106">
        <v>102</v>
      </c>
      <c r="AC37" s="106">
        <v>87760.8</v>
      </c>
      <c r="AD37" s="106">
        <v>99</v>
      </c>
      <c r="AE37" s="106">
        <v>85179.599999999991</v>
      </c>
      <c r="AF37" s="106">
        <v>96</v>
      </c>
      <c r="AG37" s="106">
        <v>82598.399999999994</v>
      </c>
      <c r="AH37" s="106">
        <v>89</v>
      </c>
      <c r="AI37" s="106">
        <v>76575.599999999991</v>
      </c>
      <c r="AJ37" s="106">
        <v>89</v>
      </c>
      <c r="AK37" s="106">
        <v>76575.599999999991</v>
      </c>
      <c r="AL37" s="106">
        <v>73</v>
      </c>
      <c r="AM37" s="106">
        <v>62809.2</v>
      </c>
      <c r="AN37" s="106">
        <v>95</v>
      </c>
      <c r="AO37" s="106">
        <v>81738</v>
      </c>
      <c r="AP37" s="106">
        <v>99</v>
      </c>
      <c r="AQ37" s="106">
        <v>85179.599999999991</v>
      </c>
      <c r="AR37" s="106">
        <v>97</v>
      </c>
      <c r="AS37" s="106">
        <v>83458.8</v>
      </c>
      <c r="AT37" s="106">
        <v>70</v>
      </c>
      <c r="AU37" s="106">
        <v>60228</v>
      </c>
      <c r="AV37" s="106">
        <v>77</v>
      </c>
      <c r="AW37" s="106">
        <v>66250.8</v>
      </c>
      <c r="AX37" s="106">
        <v>59</v>
      </c>
      <c r="AY37" s="106">
        <v>50763.6</v>
      </c>
      <c r="AZ37" s="106">
        <v>60</v>
      </c>
      <c r="BA37" s="106">
        <v>51624</v>
      </c>
      <c r="BB37" s="106">
        <v>64</v>
      </c>
      <c r="BC37" s="106">
        <v>55065.599999999999</v>
      </c>
      <c r="BD37" s="106">
        <v>59</v>
      </c>
      <c r="BE37" s="106">
        <v>50763.6</v>
      </c>
      <c r="BF37" s="106">
        <v>90</v>
      </c>
      <c r="BG37" s="106">
        <v>77436</v>
      </c>
      <c r="BH37" s="106">
        <v>104</v>
      </c>
      <c r="BI37" s="106">
        <v>89481.599999999991</v>
      </c>
      <c r="BJ37" s="106">
        <v>81</v>
      </c>
      <c r="BK37" s="106">
        <v>69692.399999999994</v>
      </c>
      <c r="BL37" s="106">
        <v>65</v>
      </c>
      <c r="BM37" s="106">
        <v>55926</v>
      </c>
      <c r="BN37" s="106">
        <v>70</v>
      </c>
      <c r="BO37" s="106">
        <v>60228</v>
      </c>
      <c r="BP37" s="106">
        <v>88</v>
      </c>
      <c r="BQ37" s="106">
        <v>75715.199999999997</v>
      </c>
      <c r="BR37" s="106">
        <v>86</v>
      </c>
      <c r="BS37" s="106">
        <v>73994.399999999994</v>
      </c>
      <c r="BT37" s="106">
        <v>99</v>
      </c>
      <c r="BU37" s="106">
        <v>85179.599999999991</v>
      </c>
      <c r="BV37" s="106">
        <v>65</v>
      </c>
      <c r="BW37" s="106">
        <v>55926</v>
      </c>
      <c r="BX37" s="106">
        <v>62</v>
      </c>
      <c r="BY37" s="106">
        <v>53344.799999999996</v>
      </c>
      <c r="BZ37" s="106">
        <v>79</v>
      </c>
      <c r="CA37" s="106">
        <v>67971.599999999991</v>
      </c>
      <c r="CB37" s="106">
        <v>40</v>
      </c>
      <c r="CC37" s="106">
        <v>34416</v>
      </c>
      <c r="CD37" s="106">
        <v>65</v>
      </c>
      <c r="CE37" s="106">
        <v>55926</v>
      </c>
      <c r="CF37" s="106">
        <v>54</v>
      </c>
      <c r="CG37" s="106">
        <v>46461.599999999999</v>
      </c>
      <c r="CH37" s="106">
        <v>63</v>
      </c>
      <c r="CI37" s="106">
        <v>54205.2</v>
      </c>
      <c r="CJ37" s="106">
        <v>43</v>
      </c>
      <c r="CK37" s="106">
        <v>36997.199999999997</v>
      </c>
      <c r="CL37" s="106">
        <v>56</v>
      </c>
      <c r="CM37" s="106">
        <v>48182.400000000001</v>
      </c>
      <c r="CN37" s="106">
        <v>72</v>
      </c>
      <c r="CO37" s="106">
        <v>61948.799999999996</v>
      </c>
      <c r="CP37" s="106">
        <v>74</v>
      </c>
      <c r="CQ37" s="106">
        <v>63669.599999999999</v>
      </c>
      <c r="CR37" s="106">
        <v>91</v>
      </c>
      <c r="CS37" s="106">
        <v>78296.399999999994</v>
      </c>
      <c r="CT37" s="106">
        <v>108</v>
      </c>
      <c r="CU37" s="106">
        <v>92923.199999999997</v>
      </c>
    </row>
    <row r="38" spans="2:99" x14ac:dyDescent="0.2">
      <c r="C38" s="105" t="s">
        <v>203</v>
      </c>
      <c r="D38" s="106">
        <v>108</v>
      </c>
      <c r="E38" s="106">
        <v>134136</v>
      </c>
      <c r="F38" s="106">
        <v>78</v>
      </c>
      <c r="G38" s="106">
        <v>96876</v>
      </c>
      <c r="H38" s="106">
        <v>50</v>
      </c>
      <c r="I38" s="106">
        <v>62100</v>
      </c>
      <c r="J38" s="106">
        <v>79</v>
      </c>
      <c r="K38" s="106">
        <v>98118</v>
      </c>
      <c r="L38" s="106">
        <v>75</v>
      </c>
      <c r="M38" s="106">
        <v>93150</v>
      </c>
      <c r="N38" s="106">
        <v>84</v>
      </c>
      <c r="O38" s="106">
        <v>104328</v>
      </c>
      <c r="P38" s="106">
        <v>74</v>
      </c>
      <c r="Q38" s="106">
        <v>91908</v>
      </c>
      <c r="R38" s="106">
        <v>91</v>
      </c>
      <c r="S38" s="106">
        <v>113022</v>
      </c>
      <c r="T38" s="106">
        <v>66</v>
      </c>
      <c r="U38" s="106">
        <v>81972</v>
      </c>
      <c r="V38" s="106">
        <v>82</v>
      </c>
      <c r="W38" s="106">
        <v>101844</v>
      </c>
      <c r="X38" s="106">
        <v>81</v>
      </c>
      <c r="Y38" s="106">
        <v>100602</v>
      </c>
      <c r="Z38" s="106">
        <v>67</v>
      </c>
      <c r="AA38" s="106">
        <v>83214</v>
      </c>
      <c r="AB38" s="106">
        <v>91</v>
      </c>
      <c r="AC38" s="106">
        <v>113022</v>
      </c>
      <c r="AD38" s="106">
        <v>90</v>
      </c>
      <c r="AE38" s="106">
        <v>111780</v>
      </c>
      <c r="AF38" s="106">
        <v>85</v>
      </c>
      <c r="AG38" s="106">
        <v>105570</v>
      </c>
      <c r="AH38" s="106">
        <v>85</v>
      </c>
      <c r="AI38" s="106">
        <v>105570</v>
      </c>
      <c r="AJ38" s="106">
        <v>80</v>
      </c>
      <c r="AK38" s="106">
        <v>99360</v>
      </c>
      <c r="AL38" s="106">
        <v>71</v>
      </c>
      <c r="AM38" s="106">
        <v>88182</v>
      </c>
      <c r="AN38" s="106">
        <v>87</v>
      </c>
      <c r="AO38" s="106">
        <v>108054</v>
      </c>
      <c r="AP38" s="106">
        <v>79</v>
      </c>
      <c r="AQ38" s="106">
        <v>98118</v>
      </c>
      <c r="AR38" s="106">
        <v>91</v>
      </c>
      <c r="AS38" s="106">
        <v>113022</v>
      </c>
      <c r="AT38" s="106">
        <v>64</v>
      </c>
      <c r="AU38" s="106">
        <v>79488</v>
      </c>
      <c r="AV38" s="106">
        <v>67</v>
      </c>
      <c r="AW38" s="106">
        <v>83214</v>
      </c>
      <c r="AX38" s="106">
        <v>54</v>
      </c>
      <c r="AY38" s="106">
        <v>67068</v>
      </c>
      <c r="AZ38" s="106">
        <v>64</v>
      </c>
      <c r="BA38" s="106">
        <v>79488</v>
      </c>
      <c r="BB38" s="106">
        <v>54</v>
      </c>
      <c r="BC38" s="106">
        <v>67068</v>
      </c>
      <c r="BD38" s="106">
        <v>60</v>
      </c>
      <c r="BE38" s="106">
        <v>74520</v>
      </c>
      <c r="BF38" s="106">
        <v>75</v>
      </c>
      <c r="BG38" s="106">
        <v>93150</v>
      </c>
      <c r="BH38" s="106">
        <v>96</v>
      </c>
      <c r="BI38" s="106">
        <v>119232</v>
      </c>
      <c r="BJ38" s="106">
        <v>85</v>
      </c>
      <c r="BK38" s="106">
        <v>105570</v>
      </c>
      <c r="BL38" s="106">
        <v>58</v>
      </c>
      <c r="BM38" s="106">
        <v>72036</v>
      </c>
      <c r="BN38" s="106">
        <v>65</v>
      </c>
      <c r="BO38" s="106">
        <v>80730</v>
      </c>
      <c r="BP38" s="106">
        <v>72</v>
      </c>
      <c r="BQ38" s="106">
        <v>89424</v>
      </c>
      <c r="BR38" s="106">
        <v>79</v>
      </c>
      <c r="BS38" s="106">
        <v>98118</v>
      </c>
      <c r="BT38" s="106">
        <v>104</v>
      </c>
      <c r="BU38" s="106">
        <v>129168</v>
      </c>
      <c r="BV38" s="106">
        <v>69</v>
      </c>
      <c r="BW38" s="106">
        <v>85698</v>
      </c>
      <c r="BX38" s="106">
        <v>50</v>
      </c>
      <c r="BY38" s="106">
        <v>62100</v>
      </c>
      <c r="BZ38" s="106">
        <v>71</v>
      </c>
      <c r="CA38" s="106">
        <v>88182</v>
      </c>
      <c r="CB38" s="106">
        <v>43</v>
      </c>
      <c r="CC38" s="106">
        <v>53406</v>
      </c>
      <c r="CD38" s="106">
        <v>62</v>
      </c>
      <c r="CE38" s="106">
        <v>77004</v>
      </c>
      <c r="CF38" s="106">
        <v>53</v>
      </c>
      <c r="CG38" s="106">
        <v>65826</v>
      </c>
      <c r="CH38" s="106">
        <v>56</v>
      </c>
      <c r="CI38" s="106">
        <v>69552</v>
      </c>
      <c r="CJ38" s="106">
        <v>46</v>
      </c>
      <c r="CK38" s="106">
        <v>57132</v>
      </c>
      <c r="CL38" s="106">
        <v>47</v>
      </c>
      <c r="CM38" s="106">
        <v>58374</v>
      </c>
      <c r="CN38" s="106">
        <v>69</v>
      </c>
      <c r="CO38" s="106">
        <v>85698</v>
      </c>
      <c r="CP38" s="106">
        <v>83</v>
      </c>
      <c r="CQ38" s="106">
        <v>103086</v>
      </c>
      <c r="CR38" s="106">
        <v>85</v>
      </c>
      <c r="CS38" s="106">
        <v>105570</v>
      </c>
      <c r="CT38" s="106">
        <v>100</v>
      </c>
      <c r="CU38" s="106">
        <v>124200</v>
      </c>
    </row>
    <row r="39" spans="2:99" x14ac:dyDescent="0.2">
      <c r="C39" s="105" t="s">
        <v>204</v>
      </c>
      <c r="D39" s="106">
        <v>90</v>
      </c>
      <c r="E39" s="106">
        <v>128088</v>
      </c>
      <c r="F39" s="106">
        <v>88</v>
      </c>
      <c r="G39" s="106">
        <v>125241.60000000001</v>
      </c>
      <c r="H39" s="106">
        <v>46</v>
      </c>
      <c r="I39" s="106">
        <v>65467.200000000004</v>
      </c>
      <c r="J39" s="106">
        <v>65</v>
      </c>
      <c r="K39" s="106">
        <v>92508</v>
      </c>
      <c r="L39" s="106">
        <v>72</v>
      </c>
      <c r="M39" s="106">
        <v>102470.40000000001</v>
      </c>
      <c r="N39" s="106">
        <v>87</v>
      </c>
      <c r="O39" s="106">
        <v>123818.40000000001</v>
      </c>
      <c r="P39" s="106">
        <v>77</v>
      </c>
      <c r="Q39" s="106">
        <v>109586.40000000001</v>
      </c>
      <c r="R39" s="106">
        <v>94</v>
      </c>
      <c r="S39" s="106">
        <v>133780.80000000002</v>
      </c>
      <c r="T39" s="106">
        <v>69</v>
      </c>
      <c r="U39" s="106">
        <v>98200.8</v>
      </c>
      <c r="V39" s="106">
        <v>80</v>
      </c>
      <c r="W39" s="106">
        <v>113856</v>
      </c>
      <c r="X39" s="106">
        <v>74</v>
      </c>
      <c r="Y39" s="106">
        <v>105316.8</v>
      </c>
      <c r="Z39" s="106">
        <v>58</v>
      </c>
      <c r="AA39" s="106">
        <v>82545.600000000006</v>
      </c>
      <c r="AB39" s="106">
        <v>88</v>
      </c>
      <c r="AC39" s="106">
        <v>125241.60000000001</v>
      </c>
      <c r="AD39" s="106">
        <v>86</v>
      </c>
      <c r="AE39" s="106">
        <v>122395.2</v>
      </c>
      <c r="AF39" s="106">
        <v>81</v>
      </c>
      <c r="AG39" s="106">
        <v>115279.2</v>
      </c>
      <c r="AH39" s="106">
        <v>81</v>
      </c>
      <c r="AI39" s="106">
        <v>115279.2</v>
      </c>
      <c r="AJ39" s="106">
        <v>83</v>
      </c>
      <c r="AK39" s="106">
        <v>118125.6</v>
      </c>
      <c r="AL39" s="106">
        <v>77</v>
      </c>
      <c r="AM39" s="106">
        <v>109586.40000000001</v>
      </c>
      <c r="AN39" s="106">
        <v>79</v>
      </c>
      <c r="AO39" s="106">
        <v>112432.8</v>
      </c>
      <c r="AP39" s="106">
        <v>89</v>
      </c>
      <c r="AQ39" s="106">
        <v>126664.8</v>
      </c>
      <c r="AR39" s="106">
        <v>88</v>
      </c>
      <c r="AS39" s="106">
        <v>125241.60000000001</v>
      </c>
      <c r="AT39" s="106">
        <v>61</v>
      </c>
      <c r="AU39" s="106">
        <v>86815.2</v>
      </c>
      <c r="AV39" s="106">
        <v>65</v>
      </c>
      <c r="AW39" s="106">
        <v>92508</v>
      </c>
      <c r="AX39" s="106">
        <v>58</v>
      </c>
      <c r="AY39" s="106">
        <v>82545.600000000006</v>
      </c>
      <c r="AZ39" s="106">
        <v>61</v>
      </c>
      <c r="BA39" s="106">
        <v>86815.2</v>
      </c>
      <c r="BB39" s="106">
        <v>59</v>
      </c>
      <c r="BC39" s="106">
        <v>83968.8</v>
      </c>
      <c r="BD39" s="106">
        <v>51</v>
      </c>
      <c r="BE39" s="106">
        <v>72583.199999999997</v>
      </c>
      <c r="BF39" s="106">
        <v>80</v>
      </c>
      <c r="BG39" s="106">
        <v>113856</v>
      </c>
      <c r="BH39" s="106">
        <v>91</v>
      </c>
      <c r="BI39" s="106">
        <v>129511.2</v>
      </c>
      <c r="BJ39" s="106">
        <v>87</v>
      </c>
      <c r="BK39" s="106">
        <v>123818.40000000001</v>
      </c>
      <c r="BL39" s="106">
        <v>54</v>
      </c>
      <c r="BM39" s="106">
        <v>76852.800000000003</v>
      </c>
      <c r="BN39" s="106">
        <v>57</v>
      </c>
      <c r="BO39" s="106">
        <v>81122.400000000009</v>
      </c>
      <c r="BP39" s="106">
        <v>68</v>
      </c>
      <c r="BQ39" s="106">
        <v>96777.600000000006</v>
      </c>
      <c r="BR39" s="106">
        <v>77</v>
      </c>
      <c r="BS39" s="106">
        <v>109586.40000000001</v>
      </c>
      <c r="BT39" s="106">
        <v>95</v>
      </c>
      <c r="BU39" s="106">
        <v>135204</v>
      </c>
      <c r="BV39" s="106">
        <v>59</v>
      </c>
      <c r="BW39" s="106">
        <v>83968.8</v>
      </c>
      <c r="BX39" s="106">
        <v>48</v>
      </c>
      <c r="BY39" s="106">
        <v>68313.600000000006</v>
      </c>
      <c r="BZ39" s="106">
        <v>68</v>
      </c>
      <c r="CA39" s="106">
        <v>96777.600000000006</v>
      </c>
      <c r="CB39" s="106">
        <v>41</v>
      </c>
      <c r="CC39" s="106">
        <v>58351.200000000004</v>
      </c>
      <c r="CD39" s="106">
        <v>58</v>
      </c>
      <c r="CE39" s="106">
        <v>82545.600000000006</v>
      </c>
      <c r="CF39" s="106">
        <v>54</v>
      </c>
      <c r="CG39" s="106">
        <v>76852.800000000003</v>
      </c>
      <c r="CH39" s="106">
        <v>55</v>
      </c>
      <c r="CI39" s="106">
        <v>78276</v>
      </c>
      <c r="CJ39" s="106">
        <v>44</v>
      </c>
      <c r="CK39" s="106">
        <v>62620.800000000003</v>
      </c>
      <c r="CL39" s="106">
        <v>46</v>
      </c>
      <c r="CM39" s="106">
        <v>65467.200000000004</v>
      </c>
      <c r="CN39" s="106">
        <v>62</v>
      </c>
      <c r="CO39" s="106">
        <v>88238.400000000009</v>
      </c>
      <c r="CP39" s="106">
        <v>71</v>
      </c>
      <c r="CQ39" s="106">
        <v>101047.2</v>
      </c>
      <c r="CR39" s="106">
        <v>84</v>
      </c>
      <c r="CS39" s="106">
        <v>119548.8</v>
      </c>
      <c r="CT39" s="106">
        <v>90</v>
      </c>
      <c r="CU39" s="106">
        <v>128088</v>
      </c>
    </row>
    <row r="40" spans="2:99" x14ac:dyDescent="0.2">
      <c r="C40" s="105" t="s">
        <v>205</v>
      </c>
      <c r="D40" s="106">
        <v>120</v>
      </c>
      <c r="E40" s="106">
        <v>86976</v>
      </c>
      <c r="F40" s="106">
        <v>105</v>
      </c>
      <c r="G40" s="106">
        <v>76104</v>
      </c>
      <c r="H40" s="106">
        <v>58</v>
      </c>
      <c r="I40" s="106">
        <v>42038.399999999994</v>
      </c>
      <c r="J40" s="106">
        <v>86</v>
      </c>
      <c r="K40" s="106">
        <v>62332.799999999996</v>
      </c>
      <c r="L40" s="106">
        <v>90</v>
      </c>
      <c r="M40" s="106">
        <v>65231.999999999993</v>
      </c>
      <c r="N40" s="106">
        <v>93</v>
      </c>
      <c r="O40" s="106">
        <v>67406.399999999994</v>
      </c>
      <c r="P40" s="106">
        <v>90</v>
      </c>
      <c r="Q40" s="106">
        <v>65231.999999999993</v>
      </c>
      <c r="R40" s="106">
        <v>102</v>
      </c>
      <c r="S40" s="106">
        <v>73929.599999999991</v>
      </c>
      <c r="T40" s="106">
        <v>78</v>
      </c>
      <c r="U40" s="106">
        <v>56534.399999999994</v>
      </c>
      <c r="V40" s="106">
        <v>87</v>
      </c>
      <c r="W40" s="106">
        <v>63057.599999999999</v>
      </c>
      <c r="X40" s="106">
        <v>90</v>
      </c>
      <c r="Y40" s="106">
        <v>65231.999999999993</v>
      </c>
      <c r="Z40" s="106">
        <v>76</v>
      </c>
      <c r="AA40" s="106">
        <v>55084.799999999996</v>
      </c>
      <c r="AB40" s="106">
        <v>95</v>
      </c>
      <c r="AC40" s="106">
        <v>68856</v>
      </c>
      <c r="AD40" s="106">
        <v>91</v>
      </c>
      <c r="AE40" s="106">
        <v>65956.800000000003</v>
      </c>
      <c r="AF40" s="106">
        <v>93</v>
      </c>
      <c r="AG40" s="106">
        <v>67406.399999999994</v>
      </c>
      <c r="AH40" s="106">
        <v>101</v>
      </c>
      <c r="AI40" s="106">
        <v>73204.799999999988</v>
      </c>
      <c r="AJ40" s="106">
        <v>90</v>
      </c>
      <c r="AK40" s="106">
        <v>65231.999999999993</v>
      </c>
      <c r="AL40" s="106">
        <v>80</v>
      </c>
      <c r="AM40" s="106">
        <v>57984</v>
      </c>
      <c r="AN40" s="106">
        <v>102</v>
      </c>
      <c r="AO40" s="106">
        <v>73929.599999999991</v>
      </c>
      <c r="AP40" s="106">
        <v>86</v>
      </c>
      <c r="AQ40" s="106">
        <v>62332.799999999996</v>
      </c>
      <c r="AR40" s="106">
        <v>109</v>
      </c>
      <c r="AS40" s="106">
        <v>79003.199999999997</v>
      </c>
      <c r="AT40" s="106">
        <v>70</v>
      </c>
      <c r="AU40" s="106">
        <v>50736</v>
      </c>
      <c r="AV40" s="106">
        <v>77</v>
      </c>
      <c r="AW40" s="106">
        <v>55809.599999999999</v>
      </c>
      <c r="AX40" s="106">
        <v>60</v>
      </c>
      <c r="AY40" s="106">
        <v>43488</v>
      </c>
      <c r="AZ40" s="106">
        <v>70</v>
      </c>
      <c r="BA40" s="106">
        <v>50736</v>
      </c>
      <c r="BB40" s="106">
        <v>65</v>
      </c>
      <c r="BC40" s="106">
        <v>47112</v>
      </c>
      <c r="BD40" s="106">
        <v>56</v>
      </c>
      <c r="BE40" s="106">
        <v>40588.799999999996</v>
      </c>
      <c r="BF40" s="106">
        <v>90</v>
      </c>
      <c r="BG40" s="106">
        <v>65231.999999999993</v>
      </c>
      <c r="BH40" s="106">
        <v>113</v>
      </c>
      <c r="BI40" s="106">
        <v>81902.399999999994</v>
      </c>
      <c r="BJ40" s="106">
        <v>88</v>
      </c>
      <c r="BK40" s="106">
        <v>63782.399999999994</v>
      </c>
      <c r="BL40" s="106">
        <v>62</v>
      </c>
      <c r="BM40" s="106">
        <v>44937.599999999999</v>
      </c>
      <c r="BN40" s="106">
        <v>76</v>
      </c>
      <c r="BO40" s="106">
        <v>55084.799999999996</v>
      </c>
      <c r="BP40" s="106">
        <v>82</v>
      </c>
      <c r="BQ40" s="106">
        <v>59433.599999999999</v>
      </c>
      <c r="BR40" s="106">
        <v>81</v>
      </c>
      <c r="BS40" s="106">
        <v>58708.799999999996</v>
      </c>
      <c r="BT40" s="106">
        <v>115</v>
      </c>
      <c r="BU40" s="106">
        <v>83352</v>
      </c>
      <c r="BV40" s="106">
        <v>71</v>
      </c>
      <c r="BW40" s="106">
        <v>51460.799999999996</v>
      </c>
      <c r="BX40" s="106">
        <v>55</v>
      </c>
      <c r="BY40" s="106">
        <v>39864</v>
      </c>
      <c r="BZ40" s="106">
        <v>77</v>
      </c>
      <c r="CA40" s="106">
        <v>55809.599999999999</v>
      </c>
      <c r="CB40" s="106">
        <v>49</v>
      </c>
      <c r="CC40" s="106">
        <v>35515.199999999997</v>
      </c>
      <c r="CD40" s="106">
        <v>73</v>
      </c>
      <c r="CE40" s="106">
        <v>52910.399999999994</v>
      </c>
      <c r="CF40" s="106">
        <v>53</v>
      </c>
      <c r="CG40" s="106">
        <v>38414.399999999994</v>
      </c>
      <c r="CH40" s="106">
        <v>69</v>
      </c>
      <c r="CI40" s="106">
        <v>50011.199999999997</v>
      </c>
      <c r="CJ40" s="106">
        <v>50</v>
      </c>
      <c r="CK40" s="106">
        <v>36240</v>
      </c>
      <c r="CL40" s="106">
        <v>51</v>
      </c>
      <c r="CM40" s="106">
        <v>36964.799999999996</v>
      </c>
      <c r="CN40" s="106">
        <v>75</v>
      </c>
      <c r="CO40" s="106">
        <v>54360</v>
      </c>
      <c r="CP40" s="106">
        <v>81</v>
      </c>
      <c r="CQ40" s="106">
        <v>58708.799999999996</v>
      </c>
      <c r="CR40" s="106">
        <v>101</v>
      </c>
      <c r="CS40" s="106">
        <v>73204.799999999988</v>
      </c>
      <c r="CT40" s="106">
        <v>107</v>
      </c>
      <c r="CU40" s="106">
        <v>77553.599999999991</v>
      </c>
    </row>
    <row r="41" spans="2:99" x14ac:dyDescent="0.2">
      <c r="C41" s="105" t="s">
        <v>206</v>
      </c>
      <c r="D41" s="106">
        <v>109</v>
      </c>
      <c r="E41" s="106">
        <v>71940</v>
      </c>
      <c r="F41" s="106">
        <v>105</v>
      </c>
      <c r="G41" s="106">
        <v>69300</v>
      </c>
      <c r="H41" s="106">
        <v>62</v>
      </c>
      <c r="I41" s="106">
        <v>40920</v>
      </c>
      <c r="J41" s="106">
        <v>85</v>
      </c>
      <c r="K41" s="106">
        <v>56100</v>
      </c>
      <c r="L41" s="106">
        <v>89</v>
      </c>
      <c r="M41" s="106">
        <v>58740</v>
      </c>
      <c r="N41" s="106">
        <v>93</v>
      </c>
      <c r="O41" s="106">
        <v>61380</v>
      </c>
      <c r="P41" s="106">
        <v>94</v>
      </c>
      <c r="Q41" s="106">
        <v>62040</v>
      </c>
      <c r="R41" s="106">
        <v>102</v>
      </c>
      <c r="S41" s="106">
        <v>67320</v>
      </c>
      <c r="T41" s="106">
        <v>84</v>
      </c>
      <c r="U41" s="106">
        <v>55440</v>
      </c>
      <c r="V41" s="106">
        <v>90</v>
      </c>
      <c r="W41" s="106">
        <v>59400</v>
      </c>
      <c r="X41" s="106">
        <v>88</v>
      </c>
      <c r="Y41" s="106">
        <v>58080</v>
      </c>
      <c r="Z41" s="106">
        <v>66</v>
      </c>
      <c r="AA41" s="106">
        <v>43560</v>
      </c>
      <c r="AB41" s="106">
        <v>94</v>
      </c>
      <c r="AC41" s="106">
        <v>62040</v>
      </c>
      <c r="AD41" s="106">
        <v>98</v>
      </c>
      <c r="AE41" s="106">
        <v>64680</v>
      </c>
      <c r="AF41" s="106">
        <v>99</v>
      </c>
      <c r="AG41" s="106">
        <v>65340</v>
      </c>
      <c r="AH41" s="106">
        <v>96</v>
      </c>
      <c r="AI41" s="106">
        <v>63360</v>
      </c>
      <c r="AJ41" s="106">
        <v>109</v>
      </c>
      <c r="AK41" s="106">
        <v>71940</v>
      </c>
      <c r="AL41" s="106">
        <v>81</v>
      </c>
      <c r="AM41" s="106">
        <v>53460</v>
      </c>
      <c r="AN41" s="106">
        <v>100</v>
      </c>
      <c r="AO41" s="106">
        <v>66000</v>
      </c>
      <c r="AP41" s="106">
        <v>100</v>
      </c>
      <c r="AQ41" s="106">
        <v>66000</v>
      </c>
      <c r="AR41" s="106">
        <v>92</v>
      </c>
      <c r="AS41" s="106">
        <v>60720</v>
      </c>
      <c r="AT41" s="106">
        <v>63</v>
      </c>
      <c r="AU41" s="106">
        <v>41580</v>
      </c>
      <c r="AV41" s="106">
        <v>73</v>
      </c>
      <c r="AW41" s="106">
        <v>48180</v>
      </c>
      <c r="AX41" s="106">
        <v>60</v>
      </c>
      <c r="AY41" s="106">
        <v>39600</v>
      </c>
      <c r="AZ41" s="106">
        <v>74</v>
      </c>
      <c r="BA41" s="106">
        <v>48840</v>
      </c>
      <c r="BB41" s="106">
        <v>68</v>
      </c>
      <c r="BC41" s="106">
        <v>44880</v>
      </c>
      <c r="BD41" s="106">
        <v>59</v>
      </c>
      <c r="BE41" s="106">
        <v>38940</v>
      </c>
      <c r="BF41" s="106">
        <v>92</v>
      </c>
      <c r="BG41" s="106">
        <v>60720</v>
      </c>
      <c r="BH41" s="106">
        <v>111</v>
      </c>
      <c r="BI41" s="106">
        <v>73260</v>
      </c>
      <c r="BJ41" s="106">
        <v>90</v>
      </c>
      <c r="BK41" s="106">
        <v>59400</v>
      </c>
      <c r="BL41" s="106">
        <v>59</v>
      </c>
      <c r="BM41" s="106">
        <v>38940</v>
      </c>
      <c r="BN41" s="106">
        <v>66</v>
      </c>
      <c r="BO41" s="106">
        <v>43560</v>
      </c>
      <c r="BP41" s="106">
        <v>87</v>
      </c>
      <c r="BQ41" s="106">
        <v>57420</v>
      </c>
      <c r="BR41" s="106">
        <v>89</v>
      </c>
      <c r="BS41" s="106">
        <v>58740</v>
      </c>
      <c r="BT41" s="106">
        <v>112</v>
      </c>
      <c r="BU41" s="106">
        <v>73920</v>
      </c>
      <c r="BV41" s="106">
        <v>65</v>
      </c>
      <c r="BW41" s="106">
        <v>42900</v>
      </c>
      <c r="BX41" s="106">
        <v>56</v>
      </c>
      <c r="BY41" s="106">
        <v>36960</v>
      </c>
      <c r="BZ41" s="106">
        <v>72</v>
      </c>
      <c r="CA41" s="106">
        <v>47520</v>
      </c>
      <c r="CB41" s="106">
        <v>47</v>
      </c>
      <c r="CC41" s="106">
        <v>31020</v>
      </c>
      <c r="CD41" s="106">
        <v>69</v>
      </c>
      <c r="CE41" s="106">
        <v>45540</v>
      </c>
      <c r="CF41" s="106">
        <v>56</v>
      </c>
      <c r="CG41" s="106">
        <v>36960</v>
      </c>
      <c r="CH41" s="106">
        <v>70</v>
      </c>
      <c r="CI41" s="106">
        <v>46200</v>
      </c>
      <c r="CJ41" s="106">
        <v>52</v>
      </c>
      <c r="CK41" s="106">
        <v>34320</v>
      </c>
      <c r="CL41" s="106">
        <v>53</v>
      </c>
      <c r="CM41" s="106">
        <v>34980</v>
      </c>
      <c r="CN41" s="106">
        <v>79</v>
      </c>
      <c r="CO41" s="106">
        <v>52140</v>
      </c>
      <c r="CP41" s="106">
        <v>80</v>
      </c>
      <c r="CQ41" s="106">
        <v>52800</v>
      </c>
      <c r="CR41" s="106">
        <v>108</v>
      </c>
      <c r="CS41" s="106">
        <v>71280</v>
      </c>
      <c r="CT41" s="106">
        <v>122</v>
      </c>
      <c r="CU41" s="106">
        <v>80520</v>
      </c>
    </row>
    <row r="42" spans="2:99" x14ac:dyDescent="0.2">
      <c r="C42" s="105" t="s">
        <v>207</v>
      </c>
      <c r="D42" s="106">
        <v>113</v>
      </c>
      <c r="E42" s="106">
        <v>95598</v>
      </c>
      <c r="F42" s="106">
        <v>88</v>
      </c>
      <c r="G42" s="106">
        <v>74448</v>
      </c>
      <c r="H42" s="106">
        <v>55</v>
      </c>
      <c r="I42" s="106">
        <v>46530</v>
      </c>
      <c r="J42" s="106">
        <v>87</v>
      </c>
      <c r="K42" s="106">
        <v>73602</v>
      </c>
      <c r="L42" s="106">
        <v>83</v>
      </c>
      <c r="M42" s="106">
        <v>70218</v>
      </c>
      <c r="N42" s="106">
        <v>92</v>
      </c>
      <c r="O42" s="106">
        <v>77832</v>
      </c>
      <c r="P42" s="106">
        <v>94</v>
      </c>
      <c r="Q42" s="106">
        <v>79524</v>
      </c>
      <c r="R42" s="106">
        <v>101</v>
      </c>
      <c r="S42" s="106">
        <v>85446</v>
      </c>
      <c r="T42" s="106">
        <v>72</v>
      </c>
      <c r="U42" s="106">
        <v>60912</v>
      </c>
      <c r="V42" s="106">
        <v>91</v>
      </c>
      <c r="W42" s="106">
        <v>76986</v>
      </c>
      <c r="X42" s="106">
        <v>80</v>
      </c>
      <c r="Y42" s="106">
        <v>67680</v>
      </c>
      <c r="Z42" s="106">
        <v>70</v>
      </c>
      <c r="AA42" s="106">
        <v>59220</v>
      </c>
      <c r="AB42" s="106">
        <v>94</v>
      </c>
      <c r="AC42" s="106">
        <v>79524</v>
      </c>
      <c r="AD42" s="106">
        <v>100</v>
      </c>
      <c r="AE42" s="106">
        <v>84600</v>
      </c>
      <c r="AF42" s="106">
        <v>87</v>
      </c>
      <c r="AG42" s="106">
        <v>73602</v>
      </c>
      <c r="AH42" s="106">
        <v>98</v>
      </c>
      <c r="AI42" s="106">
        <v>82908</v>
      </c>
      <c r="AJ42" s="106">
        <v>89</v>
      </c>
      <c r="AK42" s="106">
        <v>75294</v>
      </c>
      <c r="AL42" s="106">
        <v>82</v>
      </c>
      <c r="AM42" s="106">
        <v>69372</v>
      </c>
      <c r="AN42" s="106">
        <v>90</v>
      </c>
      <c r="AO42" s="106">
        <v>76140</v>
      </c>
      <c r="AP42" s="106">
        <v>88</v>
      </c>
      <c r="AQ42" s="106">
        <v>74448</v>
      </c>
      <c r="AR42" s="106">
        <v>98</v>
      </c>
      <c r="AS42" s="106">
        <v>82908</v>
      </c>
      <c r="AT42" s="106">
        <v>59</v>
      </c>
      <c r="AU42" s="106">
        <v>49914</v>
      </c>
      <c r="AV42" s="106">
        <v>69</v>
      </c>
      <c r="AW42" s="106">
        <v>58374</v>
      </c>
      <c r="AX42" s="106">
        <v>60</v>
      </c>
      <c r="AY42" s="106">
        <v>50760</v>
      </c>
      <c r="AZ42" s="106">
        <v>62</v>
      </c>
      <c r="BA42" s="106">
        <v>52452</v>
      </c>
      <c r="BB42" s="106">
        <v>67</v>
      </c>
      <c r="BC42" s="106">
        <v>56682</v>
      </c>
      <c r="BD42" s="106">
        <v>67</v>
      </c>
      <c r="BE42" s="106">
        <v>56682</v>
      </c>
      <c r="BF42" s="106">
        <v>98</v>
      </c>
      <c r="BG42" s="106">
        <v>82908</v>
      </c>
      <c r="BH42" s="106">
        <v>107</v>
      </c>
      <c r="BI42" s="106">
        <v>90522</v>
      </c>
      <c r="BJ42" s="106">
        <v>90</v>
      </c>
      <c r="BK42" s="106">
        <v>76140</v>
      </c>
      <c r="BL42" s="106">
        <v>55</v>
      </c>
      <c r="BM42" s="106">
        <v>46530</v>
      </c>
      <c r="BN42" s="106">
        <v>70</v>
      </c>
      <c r="BO42" s="106">
        <v>59220</v>
      </c>
      <c r="BP42" s="106">
        <v>86</v>
      </c>
      <c r="BQ42" s="106">
        <v>72756</v>
      </c>
      <c r="BR42" s="106">
        <v>88</v>
      </c>
      <c r="BS42" s="106">
        <v>74448</v>
      </c>
      <c r="BT42" s="106">
        <v>109</v>
      </c>
      <c r="BU42" s="106">
        <v>92214</v>
      </c>
      <c r="BV42" s="106">
        <v>65</v>
      </c>
      <c r="BW42" s="106">
        <v>54990</v>
      </c>
      <c r="BX42" s="106">
        <v>53</v>
      </c>
      <c r="BY42" s="106">
        <v>44838</v>
      </c>
      <c r="BZ42" s="106">
        <v>72</v>
      </c>
      <c r="CA42" s="106">
        <v>60912</v>
      </c>
      <c r="CB42" s="106">
        <v>44</v>
      </c>
      <c r="CC42" s="106">
        <v>37224</v>
      </c>
      <c r="CD42" s="106">
        <v>64</v>
      </c>
      <c r="CE42" s="106">
        <v>54144</v>
      </c>
      <c r="CF42" s="106">
        <v>59</v>
      </c>
      <c r="CG42" s="106">
        <v>49914</v>
      </c>
      <c r="CH42" s="106">
        <v>62</v>
      </c>
      <c r="CI42" s="106">
        <v>52452</v>
      </c>
      <c r="CJ42" s="106">
        <v>46</v>
      </c>
      <c r="CK42" s="106">
        <v>38916</v>
      </c>
      <c r="CL42" s="106">
        <v>57</v>
      </c>
      <c r="CM42" s="106">
        <v>48222</v>
      </c>
      <c r="CN42" s="106">
        <v>69</v>
      </c>
      <c r="CO42" s="106">
        <v>58374</v>
      </c>
      <c r="CP42" s="106">
        <v>85</v>
      </c>
      <c r="CQ42" s="106">
        <v>71910</v>
      </c>
      <c r="CR42" s="106">
        <v>95</v>
      </c>
      <c r="CS42" s="106">
        <v>80370</v>
      </c>
      <c r="CT42" s="106">
        <v>98</v>
      </c>
      <c r="CU42" s="106">
        <v>82908</v>
      </c>
    </row>
    <row r="43" spans="2:99" x14ac:dyDescent="0.2">
      <c r="C43" s="105" t="s">
        <v>208</v>
      </c>
      <c r="D43" s="106">
        <v>95</v>
      </c>
      <c r="E43" s="106">
        <v>97128</v>
      </c>
      <c r="F43" s="106">
        <v>87</v>
      </c>
      <c r="G43" s="106">
        <v>88948.800000000003</v>
      </c>
      <c r="H43" s="106">
        <v>53</v>
      </c>
      <c r="I43" s="106">
        <v>54187.199999999997</v>
      </c>
      <c r="J43" s="106">
        <v>70</v>
      </c>
      <c r="K43" s="106">
        <v>71568</v>
      </c>
      <c r="L43" s="106">
        <v>90</v>
      </c>
      <c r="M43" s="106">
        <v>92016</v>
      </c>
      <c r="N43" s="106">
        <v>96</v>
      </c>
      <c r="O43" s="106">
        <v>98150.399999999994</v>
      </c>
      <c r="P43" s="106">
        <v>82</v>
      </c>
      <c r="Q43" s="106">
        <v>83836.800000000003</v>
      </c>
      <c r="R43" s="106">
        <v>96</v>
      </c>
      <c r="S43" s="106">
        <v>98150.399999999994</v>
      </c>
      <c r="T43" s="106">
        <v>70</v>
      </c>
      <c r="U43" s="106">
        <v>71568</v>
      </c>
      <c r="V43" s="106">
        <v>91</v>
      </c>
      <c r="W43" s="106">
        <v>93038.399999999994</v>
      </c>
      <c r="X43" s="106">
        <v>84</v>
      </c>
      <c r="Y43" s="106">
        <v>85881.599999999991</v>
      </c>
      <c r="Z43" s="106">
        <v>66</v>
      </c>
      <c r="AA43" s="106">
        <v>67478.399999999994</v>
      </c>
      <c r="AB43" s="106">
        <v>100</v>
      </c>
      <c r="AC43" s="106">
        <v>102240</v>
      </c>
      <c r="AD43" s="106">
        <v>91</v>
      </c>
      <c r="AE43" s="106">
        <v>93038.399999999994</v>
      </c>
      <c r="AF43" s="106">
        <v>81</v>
      </c>
      <c r="AG43" s="106">
        <v>82814.399999999994</v>
      </c>
      <c r="AH43" s="106">
        <v>92</v>
      </c>
      <c r="AI43" s="106">
        <v>94060.800000000003</v>
      </c>
      <c r="AJ43" s="106">
        <v>95</v>
      </c>
      <c r="AK43" s="106">
        <v>97128</v>
      </c>
      <c r="AL43" s="106">
        <v>74</v>
      </c>
      <c r="AM43" s="106">
        <v>75657.599999999991</v>
      </c>
      <c r="AN43" s="106">
        <v>85</v>
      </c>
      <c r="AO43" s="106">
        <v>86904</v>
      </c>
      <c r="AP43" s="106">
        <v>97</v>
      </c>
      <c r="AQ43" s="106">
        <v>99172.800000000003</v>
      </c>
      <c r="AR43" s="106">
        <v>88</v>
      </c>
      <c r="AS43" s="106">
        <v>89971.199999999997</v>
      </c>
      <c r="AT43" s="106">
        <v>64</v>
      </c>
      <c r="AU43" s="106">
        <v>65433.599999999999</v>
      </c>
      <c r="AV43" s="106">
        <v>73</v>
      </c>
      <c r="AW43" s="106">
        <v>74635.199999999997</v>
      </c>
      <c r="AX43" s="106">
        <v>55</v>
      </c>
      <c r="AY43" s="106">
        <v>56232</v>
      </c>
      <c r="AZ43" s="106">
        <v>59</v>
      </c>
      <c r="BA43" s="106">
        <v>60321.599999999999</v>
      </c>
      <c r="BB43" s="106">
        <v>56</v>
      </c>
      <c r="BC43" s="106">
        <v>57254.400000000001</v>
      </c>
      <c r="BD43" s="106">
        <v>54</v>
      </c>
      <c r="BE43" s="106">
        <v>55209.599999999999</v>
      </c>
      <c r="BF43" s="106">
        <v>83</v>
      </c>
      <c r="BG43" s="106">
        <v>84859.199999999997</v>
      </c>
      <c r="BH43" s="106">
        <v>105</v>
      </c>
      <c r="BI43" s="106">
        <v>107352</v>
      </c>
      <c r="BJ43" s="106">
        <v>87</v>
      </c>
      <c r="BK43" s="106">
        <v>88948.800000000003</v>
      </c>
      <c r="BL43" s="106">
        <v>53</v>
      </c>
      <c r="BM43" s="106">
        <v>54187.199999999997</v>
      </c>
      <c r="BN43" s="106">
        <v>64</v>
      </c>
      <c r="BO43" s="106">
        <v>65433.599999999999</v>
      </c>
      <c r="BP43" s="106">
        <v>80</v>
      </c>
      <c r="BQ43" s="106">
        <v>81792</v>
      </c>
      <c r="BR43" s="106">
        <v>86</v>
      </c>
      <c r="BS43" s="106">
        <v>87926.399999999994</v>
      </c>
      <c r="BT43" s="106">
        <v>97</v>
      </c>
      <c r="BU43" s="106">
        <v>99172.800000000003</v>
      </c>
      <c r="BV43" s="106">
        <v>64</v>
      </c>
      <c r="BW43" s="106">
        <v>65433.599999999999</v>
      </c>
      <c r="BX43" s="106">
        <v>52</v>
      </c>
      <c r="BY43" s="106">
        <v>53164.799999999996</v>
      </c>
      <c r="BZ43" s="106">
        <v>71</v>
      </c>
      <c r="CA43" s="106">
        <v>72590.399999999994</v>
      </c>
      <c r="CB43" s="106">
        <v>46</v>
      </c>
      <c r="CC43" s="106">
        <v>47030.400000000001</v>
      </c>
      <c r="CD43" s="106">
        <v>71</v>
      </c>
      <c r="CE43" s="106">
        <v>72590.399999999994</v>
      </c>
      <c r="CF43" s="106">
        <v>53</v>
      </c>
      <c r="CG43" s="106">
        <v>54187.199999999997</v>
      </c>
      <c r="CH43" s="106">
        <v>65</v>
      </c>
      <c r="CI43" s="106">
        <v>66456</v>
      </c>
      <c r="CJ43" s="106">
        <v>50</v>
      </c>
      <c r="CK43" s="106">
        <v>51120</v>
      </c>
      <c r="CL43" s="106">
        <v>53</v>
      </c>
      <c r="CM43" s="106">
        <v>54187.199999999997</v>
      </c>
      <c r="CN43" s="106">
        <v>67</v>
      </c>
      <c r="CO43" s="106">
        <v>68500.800000000003</v>
      </c>
      <c r="CP43" s="106">
        <v>77</v>
      </c>
      <c r="CQ43" s="106">
        <v>78724.800000000003</v>
      </c>
      <c r="CR43" s="106">
        <v>101</v>
      </c>
      <c r="CS43" s="106">
        <v>103262.39999999999</v>
      </c>
      <c r="CT43" s="106">
        <v>112</v>
      </c>
      <c r="CU43" s="106">
        <v>114508.8</v>
      </c>
    </row>
    <row r="44" spans="2:99" x14ac:dyDescent="0.2">
      <c r="C44" s="105" t="s">
        <v>209</v>
      </c>
      <c r="D44" s="106">
        <v>108</v>
      </c>
      <c r="E44" s="106">
        <v>110419.2</v>
      </c>
      <c r="F44" s="106">
        <v>88</v>
      </c>
      <c r="G44" s="106">
        <v>89971.199999999997</v>
      </c>
      <c r="H44" s="106">
        <v>56</v>
      </c>
      <c r="I44" s="106">
        <v>57254.400000000001</v>
      </c>
      <c r="J44" s="106">
        <v>79</v>
      </c>
      <c r="K44" s="106">
        <v>80769.599999999991</v>
      </c>
      <c r="L44" s="106">
        <v>88</v>
      </c>
      <c r="M44" s="106">
        <v>89971.199999999997</v>
      </c>
      <c r="N44" s="106">
        <v>96</v>
      </c>
      <c r="O44" s="106">
        <v>98150.399999999994</v>
      </c>
      <c r="P44" s="106">
        <v>92</v>
      </c>
      <c r="Q44" s="106">
        <v>94060.800000000003</v>
      </c>
      <c r="R44" s="106">
        <v>100</v>
      </c>
      <c r="S44" s="106">
        <v>102240</v>
      </c>
      <c r="T44" s="106">
        <v>71</v>
      </c>
      <c r="U44" s="106">
        <v>72590.399999999994</v>
      </c>
      <c r="V44" s="106">
        <v>81</v>
      </c>
      <c r="W44" s="106">
        <v>82814.399999999994</v>
      </c>
      <c r="X44" s="106">
        <v>88</v>
      </c>
      <c r="Y44" s="106">
        <v>89971.199999999997</v>
      </c>
      <c r="Z44" s="106">
        <v>65</v>
      </c>
      <c r="AA44" s="106">
        <v>66456</v>
      </c>
      <c r="AB44" s="106">
        <v>100</v>
      </c>
      <c r="AC44" s="106">
        <v>102240</v>
      </c>
      <c r="AD44" s="106">
        <v>81</v>
      </c>
      <c r="AE44" s="106">
        <v>82814.399999999994</v>
      </c>
      <c r="AF44" s="106">
        <v>88</v>
      </c>
      <c r="AG44" s="106">
        <v>89971.199999999997</v>
      </c>
      <c r="AH44" s="106">
        <v>95</v>
      </c>
      <c r="AI44" s="106">
        <v>97128</v>
      </c>
      <c r="AJ44" s="106">
        <v>83</v>
      </c>
      <c r="AK44" s="106">
        <v>84859.199999999997</v>
      </c>
      <c r="AL44" s="106">
        <v>80</v>
      </c>
      <c r="AM44" s="106">
        <v>81792</v>
      </c>
      <c r="AN44" s="106">
        <v>85</v>
      </c>
      <c r="AO44" s="106">
        <v>86904</v>
      </c>
      <c r="AP44" s="106">
        <v>95</v>
      </c>
      <c r="AQ44" s="106">
        <v>97128</v>
      </c>
      <c r="AR44" s="106">
        <v>100</v>
      </c>
      <c r="AS44" s="106">
        <v>102240</v>
      </c>
      <c r="AT44" s="106">
        <v>65</v>
      </c>
      <c r="AU44" s="106">
        <v>66456</v>
      </c>
      <c r="AV44" s="106">
        <v>79</v>
      </c>
      <c r="AW44" s="106">
        <v>80769.599999999991</v>
      </c>
      <c r="AX44" s="106">
        <v>54</v>
      </c>
      <c r="AY44" s="106">
        <v>55209.599999999999</v>
      </c>
      <c r="AZ44" s="106">
        <v>58</v>
      </c>
      <c r="BA44" s="106">
        <v>59299.199999999997</v>
      </c>
      <c r="BB44" s="106">
        <v>65</v>
      </c>
      <c r="BC44" s="106">
        <v>66456</v>
      </c>
      <c r="BD44" s="106">
        <v>55</v>
      </c>
      <c r="BE44" s="106">
        <v>56232</v>
      </c>
      <c r="BF44" s="106">
        <v>94</v>
      </c>
      <c r="BG44" s="106">
        <v>96105.599999999991</v>
      </c>
      <c r="BH44" s="106">
        <v>95</v>
      </c>
      <c r="BI44" s="106">
        <v>97128</v>
      </c>
      <c r="BJ44" s="106">
        <v>83</v>
      </c>
      <c r="BK44" s="106">
        <v>84859.199999999997</v>
      </c>
      <c r="BL44" s="106">
        <v>53</v>
      </c>
      <c r="BM44" s="106">
        <v>54187.199999999997</v>
      </c>
      <c r="BN44" s="106">
        <v>71</v>
      </c>
      <c r="BO44" s="106">
        <v>72590.399999999994</v>
      </c>
      <c r="BP44" s="106">
        <v>72</v>
      </c>
      <c r="BQ44" s="106">
        <v>73612.800000000003</v>
      </c>
      <c r="BR44" s="106">
        <v>85</v>
      </c>
      <c r="BS44" s="106">
        <v>86904</v>
      </c>
      <c r="BT44" s="106">
        <v>100</v>
      </c>
      <c r="BU44" s="106">
        <v>102240</v>
      </c>
      <c r="BV44" s="106">
        <v>69</v>
      </c>
      <c r="BW44" s="106">
        <v>70545.599999999991</v>
      </c>
      <c r="BX44" s="106">
        <v>53</v>
      </c>
      <c r="BY44" s="106">
        <v>54187.199999999997</v>
      </c>
      <c r="BZ44" s="106">
        <v>80</v>
      </c>
      <c r="CA44" s="106">
        <v>81792</v>
      </c>
      <c r="CB44" s="106">
        <v>39</v>
      </c>
      <c r="CC44" s="106">
        <v>39873.599999999999</v>
      </c>
      <c r="CD44" s="106">
        <v>68</v>
      </c>
      <c r="CE44" s="106">
        <v>69523.199999999997</v>
      </c>
      <c r="CF44" s="106">
        <v>57</v>
      </c>
      <c r="CG44" s="106">
        <v>58276.799999999996</v>
      </c>
      <c r="CH44" s="106">
        <v>54</v>
      </c>
      <c r="CI44" s="106">
        <v>55209.599999999999</v>
      </c>
      <c r="CJ44" s="106">
        <v>45</v>
      </c>
      <c r="CK44" s="106">
        <v>46008</v>
      </c>
      <c r="CL44" s="106">
        <v>53</v>
      </c>
      <c r="CM44" s="106">
        <v>54187.199999999997</v>
      </c>
      <c r="CN44" s="106">
        <v>65</v>
      </c>
      <c r="CO44" s="106">
        <v>66456</v>
      </c>
      <c r="CP44" s="106">
        <v>76</v>
      </c>
      <c r="CQ44" s="106">
        <v>77702.399999999994</v>
      </c>
      <c r="CR44" s="106">
        <v>89</v>
      </c>
      <c r="CS44" s="106">
        <v>90993.599999999991</v>
      </c>
      <c r="CT44" s="106">
        <v>110</v>
      </c>
      <c r="CU44" s="106">
        <v>112464</v>
      </c>
    </row>
    <row r="45" spans="2:99" x14ac:dyDescent="0.2">
      <c r="C45" s="105" t="s">
        <v>210</v>
      </c>
      <c r="D45" s="106">
        <v>93</v>
      </c>
      <c r="E45" s="106">
        <v>116175.6</v>
      </c>
      <c r="F45" s="106">
        <v>78</v>
      </c>
      <c r="G45" s="106">
        <v>97437.6</v>
      </c>
      <c r="H45" s="106">
        <v>57</v>
      </c>
      <c r="I45" s="106">
        <v>71204.400000000009</v>
      </c>
      <c r="J45" s="106">
        <v>81</v>
      </c>
      <c r="K45" s="106">
        <v>101185.2</v>
      </c>
      <c r="L45" s="106">
        <v>79</v>
      </c>
      <c r="M45" s="106">
        <v>98686.8</v>
      </c>
      <c r="N45" s="106">
        <v>93</v>
      </c>
      <c r="O45" s="106">
        <v>116175.6</v>
      </c>
      <c r="P45" s="106">
        <v>87</v>
      </c>
      <c r="Q45" s="106">
        <v>108680.40000000001</v>
      </c>
      <c r="R45" s="106">
        <v>91</v>
      </c>
      <c r="S45" s="106">
        <v>113677.2</v>
      </c>
      <c r="T45" s="106">
        <v>75</v>
      </c>
      <c r="U45" s="106">
        <v>93690</v>
      </c>
      <c r="V45" s="106">
        <v>77</v>
      </c>
      <c r="W45" s="106">
        <v>96188.400000000009</v>
      </c>
      <c r="X45" s="106">
        <v>74</v>
      </c>
      <c r="Y45" s="106">
        <v>92440.8</v>
      </c>
      <c r="Z45" s="106">
        <v>58</v>
      </c>
      <c r="AA45" s="106">
        <v>72453.600000000006</v>
      </c>
      <c r="AB45" s="106">
        <v>90</v>
      </c>
      <c r="AC45" s="106">
        <v>112428</v>
      </c>
      <c r="AD45" s="106">
        <v>78</v>
      </c>
      <c r="AE45" s="106">
        <v>97437.6</v>
      </c>
      <c r="AF45" s="106">
        <v>76</v>
      </c>
      <c r="AG45" s="106">
        <v>94939.199999999997</v>
      </c>
      <c r="AH45" s="106">
        <v>82</v>
      </c>
      <c r="AI45" s="106">
        <v>102434.40000000001</v>
      </c>
      <c r="AJ45" s="106">
        <v>87</v>
      </c>
      <c r="AK45" s="106">
        <v>108680.40000000001</v>
      </c>
      <c r="AL45" s="106">
        <v>70</v>
      </c>
      <c r="AM45" s="106">
        <v>87444</v>
      </c>
      <c r="AN45" s="106">
        <v>77</v>
      </c>
      <c r="AO45" s="106">
        <v>96188.400000000009</v>
      </c>
      <c r="AP45" s="106">
        <v>94</v>
      </c>
      <c r="AQ45" s="106">
        <v>117424.8</v>
      </c>
      <c r="AR45" s="106">
        <v>89</v>
      </c>
      <c r="AS45" s="106">
        <v>111178.8</v>
      </c>
      <c r="AT45" s="106">
        <v>57</v>
      </c>
      <c r="AU45" s="106">
        <v>71204.400000000009</v>
      </c>
      <c r="AV45" s="106">
        <v>65</v>
      </c>
      <c r="AW45" s="106">
        <v>81198</v>
      </c>
      <c r="AX45" s="106">
        <v>57</v>
      </c>
      <c r="AY45" s="106">
        <v>71204.400000000009</v>
      </c>
      <c r="AZ45" s="106">
        <v>55</v>
      </c>
      <c r="BA45" s="106">
        <v>68706</v>
      </c>
      <c r="BB45" s="106">
        <v>56</v>
      </c>
      <c r="BC45" s="106">
        <v>69955.199999999997</v>
      </c>
      <c r="BD45" s="106">
        <v>52</v>
      </c>
      <c r="BE45" s="106">
        <v>64958.400000000001</v>
      </c>
      <c r="BF45" s="106">
        <v>85</v>
      </c>
      <c r="BG45" s="106">
        <v>106182</v>
      </c>
      <c r="BH45" s="106">
        <v>93</v>
      </c>
      <c r="BI45" s="106">
        <v>116175.6</v>
      </c>
      <c r="BJ45" s="106">
        <v>81</v>
      </c>
      <c r="BK45" s="106">
        <v>101185.2</v>
      </c>
      <c r="BL45" s="106">
        <v>55</v>
      </c>
      <c r="BM45" s="106">
        <v>68706</v>
      </c>
      <c r="BN45" s="106">
        <v>62</v>
      </c>
      <c r="BO45" s="106">
        <v>77450.400000000009</v>
      </c>
      <c r="BP45" s="106">
        <v>82</v>
      </c>
      <c r="BQ45" s="106">
        <v>102434.40000000001</v>
      </c>
      <c r="BR45" s="106">
        <v>76</v>
      </c>
      <c r="BS45" s="106">
        <v>94939.199999999997</v>
      </c>
      <c r="BT45" s="106">
        <v>106</v>
      </c>
      <c r="BU45" s="106">
        <v>132415.20000000001</v>
      </c>
      <c r="BV45" s="106">
        <v>66</v>
      </c>
      <c r="BW45" s="106">
        <v>82447.199999999997</v>
      </c>
      <c r="BX45" s="106">
        <v>52</v>
      </c>
      <c r="BY45" s="106">
        <v>64958.400000000001</v>
      </c>
      <c r="BZ45" s="106">
        <v>67</v>
      </c>
      <c r="CA45" s="106">
        <v>83696.400000000009</v>
      </c>
      <c r="CB45" s="106">
        <v>41</v>
      </c>
      <c r="CC45" s="106">
        <v>51217.200000000004</v>
      </c>
      <c r="CD45" s="106">
        <v>60</v>
      </c>
      <c r="CE45" s="106">
        <v>74952</v>
      </c>
      <c r="CF45" s="106">
        <v>49</v>
      </c>
      <c r="CG45" s="106">
        <v>61210.8</v>
      </c>
      <c r="CH45" s="106">
        <v>56</v>
      </c>
      <c r="CI45" s="106">
        <v>69955.199999999997</v>
      </c>
      <c r="CJ45" s="106">
        <v>45</v>
      </c>
      <c r="CK45" s="106">
        <v>56214</v>
      </c>
      <c r="CL45" s="106">
        <v>47</v>
      </c>
      <c r="CM45" s="106">
        <v>58712.4</v>
      </c>
      <c r="CN45" s="106">
        <v>71</v>
      </c>
      <c r="CO45" s="106">
        <v>88693.2</v>
      </c>
      <c r="CP45" s="106">
        <v>77</v>
      </c>
      <c r="CQ45" s="106">
        <v>96188.400000000009</v>
      </c>
      <c r="CR45" s="106">
        <v>83</v>
      </c>
      <c r="CS45" s="106">
        <v>103683.6</v>
      </c>
      <c r="CT45" s="106">
        <v>97</v>
      </c>
      <c r="CU45" s="106">
        <v>121172.40000000001</v>
      </c>
    </row>
    <row r="46" spans="2:99" x14ac:dyDescent="0.2">
      <c r="C46" s="105" t="s">
        <v>211</v>
      </c>
      <c r="D46" s="106">
        <v>107</v>
      </c>
      <c r="E46" s="106">
        <v>129684</v>
      </c>
      <c r="F46" s="106">
        <v>92</v>
      </c>
      <c r="G46" s="106">
        <v>111504</v>
      </c>
      <c r="H46" s="106">
        <v>57</v>
      </c>
      <c r="I46" s="106">
        <v>69084</v>
      </c>
      <c r="J46" s="106">
        <v>71</v>
      </c>
      <c r="K46" s="106">
        <v>86052</v>
      </c>
      <c r="L46" s="106">
        <v>84</v>
      </c>
      <c r="M46" s="106">
        <v>101808</v>
      </c>
      <c r="N46" s="106">
        <v>87</v>
      </c>
      <c r="O46" s="106">
        <v>105444</v>
      </c>
      <c r="P46" s="106">
        <v>87</v>
      </c>
      <c r="Q46" s="106">
        <v>105444</v>
      </c>
      <c r="R46" s="106">
        <v>97</v>
      </c>
      <c r="S46" s="106">
        <v>117564</v>
      </c>
      <c r="T46" s="106">
        <v>69</v>
      </c>
      <c r="U46" s="106">
        <v>83628</v>
      </c>
      <c r="V46" s="106">
        <v>86</v>
      </c>
      <c r="W46" s="106">
        <v>104232</v>
      </c>
      <c r="X46" s="106">
        <v>85</v>
      </c>
      <c r="Y46" s="106">
        <v>103020</v>
      </c>
      <c r="Z46" s="106">
        <v>58</v>
      </c>
      <c r="AA46" s="106">
        <v>70296</v>
      </c>
      <c r="AB46" s="106">
        <v>95</v>
      </c>
      <c r="AC46" s="106">
        <v>115140</v>
      </c>
      <c r="AD46" s="106">
        <v>80</v>
      </c>
      <c r="AE46" s="106">
        <v>96960</v>
      </c>
      <c r="AF46" s="106">
        <v>84</v>
      </c>
      <c r="AG46" s="106">
        <v>101808</v>
      </c>
      <c r="AH46" s="106">
        <v>86</v>
      </c>
      <c r="AI46" s="106">
        <v>104232</v>
      </c>
      <c r="AJ46" s="106">
        <v>81</v>
      </c>
      <c r="AK46" s="106">
        <v>98172</v>
      </c>
      <c r="AL46" s="106">
        <v>75</v>
      </c>
      <c r="AM46" s="106">
        <v>90900</v>
      </c>
      <c r="AN46" s="106">
        <v>84</v>
      </c>
      <c r="AO46" s="106">
        <v>101808</v>
      </c>
      <c r="AP46" s="106">
        <v>90</v>
      </c>
      <c r="AQ46" s="106">
        <v>109080</v>
      </c>
      <c r="AR46" s="106">
        <v>91</v>
      </c>
      <c r="AS46" s="106">
        <v>110292</v>
      </c>
      <c r="AT46" s="106">
        <v>58</v>
      </c>
      <c r="AU46" s="106">
        <v>70296</v>
      </c>
      <c r="AV46" s="106">
        <v>73</v>
      </c>
      <c r="AW46" s="106">
        <v>88476</v>
      </c>
      <c r="AX46" s="106">
        <v>51</v>
      </c>
      <c r="AY46" s="106">
        <v>61812</v>
      </c>
      <c r="AZ46" s="106">
        <v>59</v>
      </c>
      <c r="BA46" s="106">
        <v>71508</v>
      </c>
      <c r="BB46" s="106">
        <v>58</v>
      </c>
      <c r="BC46" s="106">
        <v>70296</v>
      </c>
      <c r="BD46" s="106">
        <v>52</v>
      </c>
      <c r="BE46" s="106">
        <v>63024</v>
      </c>
      <c r="BF46" s="106">
        <v>76</v>
      </c>
      <c r="BG46" s="106">
        <v>92112</v>
      </c>
      <c r="BH46" s="106">
        <v>99</v>
      </c>
      <c r="BI46" s="106">
        <v>119988</v>
      </c>
      <c r="BJ46" s="106">
        <v>76</v>
      </c>
      <c r="BK46" s="106">
        <v>92112</v>
      </c>
      <c r="BL46" s="106">
        <v>62</v>
      </c>
      <c r="BM46" s="106">
        <v>75144</v>
      </c>
      <c r="BN46" s="106">
        <v>67</v>
      </c>
      <c r="BO46" s="106">
        <v>81204</v>
      </c>
      <c r="BP46" s="106">
        <v>78</v>
      </c>
      <c r="BQ46" s="106">
        <v>94536</v>
      </c>
      <c r="BR46" s="106">
        <v>71</v>
      </c>
      <c r="BS46" s="106">
        <v>86052</v>
      </c>
      <c r="BT46" s="106">
        <v>97</v>
      </c>
      <c r="BU46" s="106">
        <v>117564</v>
      </c>
      <c r="BV46" s="106">
        <v>65</v>
      </c>
      <c r="BW46" s="106">
        <v>78780</v>
      </c>
      <c r="BX46" s="106">
        <v>56</v>
      </c>
      <c r="BY46" s="106">
        <v>67872</v>
      </c>
      <c r="BZ46" s="106">
        <v>64</v>
      </c>
      <c r="CA46" s="106">
        <v>77568</v>
      </c>
      <c r="CB46" s="106">
        <v>42</v>
      </c>
      <c r="CC46" s="106">
        <v>50904</v>
      </c>
      <c r="CD46" s="106">
        <v>62</v>
      </c>
      <c r="CE46" s="106">
        <v>75144</v>
      </c>
      <c r="CF46" s="106">
        <v>48</v>
      </c>
      <c r="CG46" s="106">
        <v>58176</v>
      </c>
      <c r="CH46" s="106">
        <v>59</v>
      </c>
      <c r="CI46" s="106">
        <v>71508</v>
      </c>
      <c r="CJ46" s="106">
        <v>44</v>
      </c>
      <c r="CK46" s="106">
        <v>53328</v>
      </c>
      <c r="CL46" s="106">
        <v>50</v>
      </c>
      <c r="CM46" s="106">
        <v>60600</v>
      </c>
      <c r="CN46" s="106">
        <v>66</v>
      </c>
      <c r="CO46" s="106">
        <v>79992</v>
      </c>
      <c r="CP46" s="106">
        <v>74</v>
      </c>
      <c r="CQ46" s="106">
        <v>89688</v>
      </c>
      <c r="CR46" s="106">
        <v>92</v>
      </c>
      <c r="CS46" s="106">
        <v>111504</v>
      </c>
      <c r="CT46" s="106">
        <v>100</v>
      </c>
      <c r="CU46" s="106">
        <v>121200</v>
      </c>
    </row>
    <row r="47" spans="2:99" x14ac:dyDescent="0.2">
      <c r="C47" s="105" t="s">
        <v>212</v>
      </c>
      <c r="D47" s="106">
        <v>87</v>
      </c>
      <c r="E47" s="106">
        <v>132901.19999999998</v>
      </c>
      <c r="F47" s="106">
        <v>83</v>
      </c>
      <c r="G47" s="106">
        <v>126790.79999999999</v>
      </c>
      <c r="H47" s="106">
        <v>45</v>
      </c>
      <c r="I47" s="106">
        <v>68742</v>
      </c>
      <c r="J47" s="106">
        <v>63</v>
      </c>
      <c r="K47" s="106">
        <v>96238.799999999988</v>
      </c>
      <c r="L47" s="106">
        <v>83</v>
      </c>
      <c r="M47" s="106">
        <v>126790.79999999999</v>
      </c>
      <c r="N47" s="106">
        <v>80</v>
      </c>
      <c r="O47" s="106">
        <v>122208</v>
      </c>
      <c r="P47" s="106">
        <v>77</v>
      </c>
      <c r="Q47" s="106">
        <v>117625.2</v>
      </c>
      <c r="R47" s="106">
        <v>79</v>
      </c>
      <c r="S47" s="106">
        <v>120680.4</v>
      </c>
      <c r="T47" s="106">
        <v>60</v>
      </c>
      <c r="U47" s="106">
        <v>91656</v>
      </c>
      <c r="V47" s="106">
        <v>81</v>
      </c>
      <c r="W47" s="106">
        <v>123735.59999999999</v>
      </c>
      <c r="X47" s="106">
        <v>77</v>
      </c>
      <c r="Y47" s="106">
        <v>117625.2</v>
      </c>
      <c r="Z47" s="106">
        <v>59</v>
      </c>
      <c r="AA47" s="106">
        <v>90128.4</v>
      </c>
      <c r="AB47" s="106">
        <v>91</v>
      </c>
      <c r="AC47" s="106">
        <v>139011.6</v>
      </c>
      <c r="AD47" s="106">
        <v>87</v>
      </c>
      <c r="AE47" s="106">
        <v>132901.19999999998</v>
      </c>
      <c r="AF47" s="106">
        <v>77</v>
      </c>
      <c r="AG47" s="106">
        <v>117625.2</v>
      </c>
      <c r="AH47" s="106">
        <v>85</v>
      </c>
      <c r="AI47" s="106">
        <v>129845.99999999999</v>
      </c>
      <c r="AJ47" s="106">
        <v>78</v>
      </c>
      <c r="AK47" s="106">
        <v>119152.79999999999</v>
      </c>
      <c r="AL47" s="106">
        <v>69</v>
      </c>
      <c r="AM47" s="106">
        <v>105404.4</v>
      </c>
      <c r="AN47" s="106">
        <v>77</v>
      </c>
      <c r="AO47" s="106">
        <v>117625.2</v>
      </c>
      <c r="AP47" s="106">
        <v>81</v>
      </c>
      <c r="AQ47" s="106">
        <v>123735.59999999999</v>
      </c>
      <c r="AR47" s="106">
        <v>89</v>
      </c>
      <c r="AS47" s="106">
        <v>135956.4</v>
      </c>
      <c r="AT47" s="106">
        <v>62</v>
      </c>
      <c r="AU47" s="106">
        <v>94711.2</v>
      </c>
      <c r="AV47" s="106">
        <v>65</v>
      </c>
      <c r="AW47" s="106">
        <v>99294</v>
      </c>
      <c r="AX47" s="106">
        <v>47</v>
      </c>
      <c r="AY47" s="106">
        <v>71797.2</v>
      </c>
      <c r="AZ47" s="106">
        <v>55</v>
      </c>
      <c r="BA47" s="106">
        <v>84018</v>
      </c>
      <c r="BB47" s="106">
        <v>59</v>
      </c>
      <c r="BC47" s="106">
        <v>90128.4</v>
      </c>
      <c r="BD47" s="106">
        <v>58</v>
      </c>
      <c r="BE47" s="106">
        <v>88600.799999999988</v>
      </c>
      <c r="BF47" s="106">
        <v>83</v>
      </c>
      <c r="BG47" s="106">
        <v>126790.79999999999</v>
      </c>
      <c r="BH47" s="106">
        <v>93</v>
      </c>
      <c r="BI47" s="106">
        <v>142066.79999999999</v>
      </c>
      <c r="BJ47" s="106">
        <v>77</v>
      </c>
      <c r="BK47" s="106">
        <v>117625.2</v>
      </c>
      <c r="BL47" s="106">
        <v>51</v>
      </c>
      <c r="BM47" s="106">
        <v>77907.599999999991</v>
      </c>
      <c r="BN47" s="106">
        <v>64</v>
      </c>
      <c r="BO47" s="106">
        <v>97766.399999999994</v>
      </c>
      <c r="BP47" s="106">
        <v>67</v>
      </c>
      <c r="BQ47" s="106">
        <v>102349.2</v>
      </c>
      <c r="BR47" s="106">
        <v>75</v>
      </c>
      <c r="BS47" s="106">
        <v>114570</v>
      </c>
      <c r="BT47" s="106">
        <v>94</v>
      </c>
      <c r="BU47" s="106">
        <v>143594.4</v>
      </c>
      <c r="BV47" s="106">
        <v>54</v>
      </c>
      <c r="BW47" s="106">
        <v>82490.399999999994</v>
      </c>
      <c r="BX47" s="106">
        <v>47</v>
      </c>
      <c r="BY47" s="106">
        <v>71797.2</v>
      </c>
      <c r="BZ47" s="106">
        <v>66</v>
      </c>
      <c r="CA47" s="106">
        <v>100821.59999999999</v>
      </c>
      <c r="CB47" s="106">
        <v>38</v>
      </c>
      <c r="CC47" s="106">
        <v>58048.799999999996</v>
      </c>
      <c r="CD47" s="106">
        <v>57</v>
      </c>
      <c r="CE47" s="106">
        <v>87073.2</v>
      </c>
      <c r="CF47" s="106">
        <v>52</v>
      </c>
      <c r="CG47" s="106">
        <v>79435.199999999997</v>
      </c>
      <c r="CH47" s="106">
        <v>57</v>
      </c>
      <c r="CI47" s="106">
        <v>87073.2</v>
      </c>
      <c r="CJ47" s="106">
        <v>39</v>
      </c>
      <c r="CK47" s="106">
        <v>59576.399999999994</v>
      </c>
      <c r="CL47" s="106">
        <v>52</v>
      </c>
      <c r="CM47" s="106">
        <v>79435.199999999997</v>
      </c>
      <c r="CN47" s="106">
        <v>65</v>
      </c>
      <c r="CO47" s="106">
        <v>99294</v>
      </c>
      <c r="CP47" s="106">
        <v>74</v>
      </c>
      <c r="CQ47" s="106">
        <v>113042.4</v>
      </c>
      <c r="CR47" s="106">
        <v>89</v>
      </c>
      <c r="CS47" s="106">
        <v>135956.4</v>
      </c>
      <c r="CT47" s="106">
        <v>92</v>
      </c>
      <c r="CU47" s="106">
        <v>140539.19999999998</v>
      </c>
    </row>
    <row r="48" spans="2:99" x14ac:dyDescent="0.2">
      <c r="C48" s="105" t="s">
        <v>213</v>
      </c>
      <c r="D48" s="106">
        <v>110</v>
      </c>
      <c r="E48" s="106">
        <v>95436</v>
      </c>
      <c r="F48" s="106">
        <v>100</v>
      </c>
      <c r="G48" s="106">
        <v>86760</v>
      </c>
      <c r="H48" s="106">
        <v>62</v>
      </c>
      <c r="I48" s="106">
        <v>53791.200000000004</v>
      </c>
      <c r="J48" s="106">
        <v>74</v>
      </c>
      <c r="K48" s="106">
        <v>64202.400000000001</v>
      </c>
      <c r="L48" s="106">
        <v>92</v>
      </c>
      <c r="M48" s="106">
        <v>79819.199999999997</v>
      </c>
      <c r="N48" s="106">
        <v>87</v>
      </c>
      <c r="O48" s="106">
        <v>75481.2</v>
      </c>
      <c r="P48" s="106">
        <v>86</v>
      </c>
      <c r="Q48" s="106">
        <v>74613.600000000006</v>
      </c>
      <c r="R48" s="106">
        <v>103</v>
      </c>
      <c r="S48" s="106">
        <v>89362.8</v>
      </c>
      <c r="T48" s="106">
        <v>75</v>
      </c>
      <c r="U48" s="106">
        <v>65070</v>
      </c>
      <c r="V48" s="106">
        <v>89</v>
      </c>
      <c r="W48" s="106">
        <v>77216.400000000009</v>
      </c>
      <c r="X48" s="106">
        <v>81</v>
      </c>
      <c r="Y48" s="106">
        <v>70275.600000000006</v>
      </c>
      <c r="Z48" s="106">
        <v>73</v>
      </c>
      <c r="AA48" s="106">
        <v>63334.8</v>
      </c>
      <c r="AB48" s="106">
        <v>89</v>
      </c>
      <c r="AC48" s="106">
        <v>77216.400000000009</v>
      </c>
      <c r="AD48" s="106">
        <v>91</v>
      </c>
      <c r="AE48" s="106">
        <v>78951.600000000006</v>
      </c>
      <c r="AF48" s="106">
        <v>89</v>
      </c>
      <c r="AG48" s="106">
        <v>77216.400000000009</v>
      </c>
      <c r="AH48" s="106">
        <v>104</v>
      </c>
      <c r="AI48" s="106">
        <v>90230.400000000009</v>
      </c>
      <c r="AJ48" s="106">
        <v>94</v>
      </c>
      <c r="AK48" s="106">
        <v>81554.400000000009</v>
      </c>
      <c r="AL48" s="106">
        <v>82</v>
      </c>
      <c r="AM48" s="106">
        <v>71143.199999999997</v>
      </c>
      <c r="AN48" s="106">
        <v>85</v>
      </c>
      <c r="AO48" s="106">
        <v>73746</v>
      </c>
      <c r="AP48" s="106">
        <v>91</v>
      </c>
      <c r="AQ48" s="106">
        <v>78951.600000000006</v>
      </c>
      <c r="AR48" s="106">
        <v>106</v>
      </c>
      <c r="AS48" s="106">
        <v>91965.6</v>
      </c>
      <c r="AT48" s="106">
        <v>60</v>
      </c>
      <c r="AU48" s="106">
        <v>52056</v>
      </c>
      <c r="AV48" s="106">
        <v>75</v>
      </c>
      <c r="AW48" s="106">
        <v>65070</v>
      </c>
      <c r="AX48" s="106">
        <v>59</v>
      </c>
      <c r="AY48" s="106">
        <v>51188.4</v>
      </c>
      <c r="AZ48" s="106">
        <v>66</v>
      </c>
      <c r="BA48" s="106">
        <v>57261.599999999999</v>
      </c>
      <c r="BB48" s="106">
        <v>62</v>
      </c>
      <c r="BC48" s="106">
        <v>53791.200000000004</v>
      </c>
      <c r="BD48" s="106">
        <v>65</v>
      </c>
      <c r="BE48" s="106">
        <v>56394</v>
      </c>
      <c r="BF48" s="106">
        <v>81</v>
      </c>
      <c r="BG48" s="106">
        <v>70275.600000000006</v>
      </c>
      <c r="BH48" s="106">
        <v>108</v>
      </c>
      <c r="BI48" s="106">
        <v>93700.800000000003</v>
      </c>
      <c r="BJ48" s="106">
        <v>97</v>
      </c>
      <c r="BK48" s="106">
        <v>84157.2</v>
      </c>
      <c r="BL48" s="106">
        <v>62</v>
      </c>
      <c r="BM48" s="106">
        <v>53791.200000000004</v>
      </c>
      <c r="BN48" s="106">
        <v>67</v>
      </c>
      <c r="BO48" s="106">
        <v>58129.200000000004</v>
      </c>
      <c r="BP48" s="106">
        <v>78</v>
      </c>
      <c r="BQ48" s="106">
        <v>67672.800000000003</v>
      </c>
      <c r="BR48" s="106">
        <v>90</v>
      </c>
      <c r="BS48" s="106">
        <v>78084</v>
      </c>
      <c r="BT48" s="106">
        <v>103</v>
      </c>
      <c r="BU48" s="106">
        <v>89362.8</v>
      </c>
      <c r="BV48" s="106">
        <v>73</v>
      </c>
      <c r="BW48" s="106">
        <v>63334.8</v>
      </c>
      <c r="BX48" s="106">
        <v>57</v>
      </c>
      <c r="BY48" s="106">
        <v>49453.200000000004</v>
      </c>
      <c r="BZ48" s="106">
        <v>68</v>
      </c>
      <c r="CA48" s="106">
        <v>58996.800000000003</v>
      </c>
      <c r="CB48" s="106">
        <v>45</v>
      </c>
      <c r="CC48" s="106">
        <v>39042</v>
      </c>
      <c r="CD48" s="106">
        <v>67</v>
      </c>
      <c r="CE48" s="106">
        <v>58129.200000000004</v>
      </c>
      <c r="CF48" s="106">
        <v>57</v>
      </c>
      <c r="CG48" s="106">
        <v>49453.200000000004</v>
      </c>
      <c r="CH48" s="106">
        <v>59</v>
      </c>
      <c r="CI48" s="106">
        <v>51188.4</v>
      </c>
      <c r="CJ48" s="106">
        <v>50</v>
      </c>
      <c r="CK48" s="106">
        <v>43380</v>
      </c>
      <c r="CL48" s="106">
        <v>55</v>
      </c>
      <c r="CM48" s="106">
        <v>47718</v>
      </c>
      <c r="CN48" s="106">
        <v>66</v>
      </c>
      <c r="CO48" s="106">
        <v>57261.599999999999</v>
      </c>
      <c r="CP48" s="106">
        <v>84</v>
      </c>
      <c r="CQ48" s="106">
        <v>72878.400000000009</v>
      </c>
      <c r="CR48" s="106">
        <v>88</v>
      </c>
      <c r="CS48" s="106">
        <v>76348.800000000003</v>
      </c>
      <c r="CT48" s="106">
        <v>119</v>
      </c>
      <c r="CU48" s="106">
        <v>103244.40000000001</v>
      </c>
    </row>
    <row r="49" spans="2:99" x14ac:dyDescent="0.2">
      <c r="B49" s="105" t="s">
        <v>129</v>
      </c>
      <c r="C49" s="105" t="s">
        <v>214</v>
      </c>
      <c r="D49" s="106">
        <v>45</v>
      </c>
      <c r="E49" s="106">
        <v>44334</v>
      </c>
      <c r="F49" s="106">
        <v>38</v>
      </c>
      <c r="G49" s="106">
        <v>37437.599999999999</v>
      </c>
      <c r="H49" s="106">
        <v>31</v>
      </c>
      <c r="I49" s="106">
        <v>30541.199999999997</v>
      </c>
      <c r="J49" s="106">
        <v>30</v>
      </c>
      <c r="K49" s="106">
        <v>29555.999999999996</v>
      </c>
      <c r="L49" s="106">
        <v>32.022875816993469</v>
      </c>
      <c r="M49" s="106">
        <v>31548.937254901964</v>
      </c>
      <c r="N49" s="106">
        <v>47.191011235955052</v>
      </c>
      <c r="O49" s="106">
        <v>46492.584269662912</v>
      </c>
      <c r="P49" s="106">
        <v>48</v>
      </c>
      <c r="Q49" s="106">
        <v>47289.599999999999</v>
      </c>
      <c r="R49" s="106">
        <v>43.172789896670494</v>
      </c>
      <c r="S49" s="106">
        <v>42533.832606199765</v>
      </c>
      <c r="T49" s="106">
        <v>30.192962542565265</v>
      </c>
      <c r="U49" s="106">
        <v>29746.106696935298</v>
      </c>
      <c r="V49" s="106">
        <v>45.211581291759465</v>
      </c>
      <c r="W49" s="106">
        <v>44542.449888641422</v>
      </c>
      <c r="X49" s="106">
        <v>27.525942108137627</v>
      </c>
      <c r="Y49" s="106">
        <v>27118.558164937189</v>
      </c>
      <c r="Z49" s="106">
        <v>30.601092896174862</v>
      </c>
      <c r="AA49" s="106">
        <v>30148.196721311473</v>
      </c>
      <c r="AB49" s="106">
        <v>37.175141242937855</v>
      </c>
      <c r="AC49" s="106">
        <v>36624.949152542373</v>
      </c>
      <c r="AD49" s="106">
        <v>23.716632443531829</v>
      </c>
      <c r="AE49" s="106">
        <v>23365.626283367557</v>
      </c>
      <c r="AF49" s="106">
        <v>40.569020021074813</v>
      </c>
      <c r="AG49" s="106">
        <v>39968.5985247629</v>
      </c>
      <c r="AH49" s="106">
        <v>53</v>
      </c>
      <c r="AI49" s="106">
        <v>52215.6</v>
      </c>
      <c r="AJ49" s="106">
        <v>27.026584867075666</v>
      </c>
      <c r="AK49" s="106">
        <v>26626.591411042944</v>
      </c>
      <c r="AL49" s="106">
        <v>40.462427745664741</v>
      </c>
      <c r="AM49" s="106">
        <v>39863.583815028898</v>
      </c>
      <c r="AN49" s="106">
        <v>32</v>
      </c>
      <c r="AO49" s="106">
        <v>31526.399999999998</v>
      </c>
      <c r="AP49" s="106">
        <v>39</v>
      </c>
      <c r="AQ49" s="106">
        <v>38422.799999999996</v>
      </c>
      <c r="AR49" s="106">
        <v>38</v>
      </c>
      <c r="AS49" s="106">
        <v>37437.599999999999</v>
      </c>
      <c r="AT49" s="106">
        <v>30</v>
      </c>
      <c r="AU49" s="106">
        <v>29555.999999999996</v>
      </c>
      <c r="AV49" s="106">
        <v>42</v>
      </c>
      <c r="AW49" s="106">
        <v>41378.399999999994</v>
      </c>
      <c r="AX49" s="106">
        <v>46.536480686695278</v>
      </c>
      <c r="AY49" s="106">
        <v>45847.740772532183</v>
      </c>
      <c r="AZ49" s="106">
        <v>36.067297581493165</v>
      </c>
      <c r="BA49" s="106">
        <v>35533.501577287061</v>
      </c>
      <c r="BB49" s="106">
        <v>56</v>
      </c>
      <c r="BC49" s="106">
        <v>55171.199999999997</v>
      </c>
      <c r="BD49" s="106">
        <v>41.489454094292803</v>
      </c>
      <c r="BE49" s="106">
        <v>40875.410173697266</v>
      </c>
      <c r="BF49" s="106">
        <v>43.668122270742359</v>
      </c>
      <c r="BG49" s="106">
        <v>43021.834061135371</v>
      </c>
      <c r="BH49" s="106">
        <v>38.84657236126224</v>
      </c>
      <c r="BI49" s="106">
        <v>38271.643090315556</v>
      </c>
      <c r="BJ49" s="106">
        <v>41.692789968652036</v>
      </c>
      <c r="BK49" s="106">
        <v>41075.736677115987</v>
      </c>
      <c r="BL49" s="106">
        <v>27.5</v>
      </c>
      <c r="BM49" s="106">
        <v>27092.999999999996</v>
      </c>
      <c r="BN49" s="106">
        <v>40</v>
      </c>
      <c r="BO49" s="106">
        <v>39408</v>
      </c>
      <c r="BP49" s="106">
        <v>46.119486320491347</v>
      </c>
      <c r="BQ49" s="106">
        <v>45436.917922948072</v>
      </c>
      <c r="BR49" s="106">
        <v>32.710280373831772</v>
      </c>
      <c r="BS49" s="106">
        <v>32226.168224299061</v>
      </c>
      <c r="BT49" s="106">
        <v>36.003956478733926</v>
      </c>
      <c r="BU49" s="106">
        <v>35471.097922848661</v>
      </c>
      <c r="BV49" s="106">
        <v>38.22304488662656</v>
      </c>
      <c r="BW49" s="106">
        <v>37657.343822304487</v>
      </c>
      <c r="BX49" s="106">
        <v>40</v>
      </c>
      <c r="BY49" s="106">
        <v>39408</v>
      </c>
      <c r="BZ49" s="106">
        <v>40.797029702970292</v>
      </c>
      <c r="CA49" s="106">
        <v>40193.233663366329</v>
      </c>
      <c r="CB49" s="106">
        <v>34</v>
      </c>
      <c r="CC49" s="106">
        <v>33496.799999999996</v>
      </c>
      <c r="CD49" s="106">
        <v>32</v>
      </c>
      <c r="CE49" s="106">
        <v>31526.399999999998</v>
      </c>
      <c r="CF49" s="106">
        <v>28</v>
      </c>
      <c r="CG49" s="106">
        <v>27585.599999999999</v>
      </c>
      <c r="CH49" s="106">
        <v>32</v>
      </c>
      <c r="CI49" s="106">
        <v>31526.399999999998</v>
      </c>
      <c r="CJ49" s="106">
        <v>30</v>
      </c>
      <c r="CK49" s="106">
        <v>29555.999999999996</v>
      </c>
      <c r="CL49" s="106">
        <v>40</v>
      </c>
      <c r="CM49" s="106">
        <v>39408</v>
      </c>
      <c r="CN49" s="106">
        <v>46</v>
      </c>
      <c r="CO49" s="106">
        <v>45319.199999999997</v>
      </c>
      <c r="CP49" s="106">
        <v>34</v>
      </c>
      <c r="CQ49" s="106">
        <v>33496.799999999996</v>
      </c>
      <c r="CR49" s="106">
        <v>53</v>
      </c>
      <c r="CS49" s="106">
        <v>52215.6</v>
      </c>
      <c r="CT49" s="106">
        <v>40.392734413352969</v>
      </c>
      <c r="CU49" s="106">
        <v>39794.921944035341</v>
      </c>
    </row>
    <row r="50" spans="2:99" x14ac:dyDescent="0.2">
      <c r="C50" s="105" t="s">
        <v>215</v>
      </c>
      <c r="D50" s="106">
        <v>46</v>
      </c>
      <c r="E50" s="106">
        <v>12972</v>
      </c>
      <c r="F50" s="106">
        <v>36</v>
      </c>
      <c r="G50" s="106">
        <v>10152</v>
      </c>
      <c r="H50" s="106">
        <v>38</v>
      </c>
      <c r="I50" s="106">
        <v>10716</v>
      </c>
      <c r="J50" s="106">
        <v>38</v>
      </c>
      <c r="K50" s="106">
        <v>10716</v>
      </c>
      <c r="L50" s="106">
        <v>50</v>
      </c>
      <c r="M50" s="106">
        <v>14100</v>
      </c>
      <c r="N50" s="106">
        <v>54</v>
      </c>
      <c r="O50" s="106">
        <v>15228</v>
      </c>
      <c r="P50" s="106">
        <v>48</v>
      </c>
      <c r="Q50" s="106">
        <v>13536</v>
      </c>
      <c r="R50" s="106">
        <v>65</v>
      </c>
      <c r="S50" s="106">
        <v>18330</v>
      </c>
      <c r="T50" s="106">
        <v>49</v>
      </c>
      <c r="U50" s="106">
        <v>13818</v>
      </c>
      <c r="V50" s="106">
        <v>69</v>
      </c>
      <c r="W50" s="106">
        <v>19458</v>
      </c>
      <c r="X50" s="106">
        <v>38</v>
      </c>
      <c r="Y50" s="106">
        <v>10716</v>
      </c>
      <c r="Z50" s="106">
        <v>38</v>
      </c>
      <c r="AA50" s="106">
        <v>10716</v>
      </c>
      <c r="AB50" s="106">
        <v>54</v>
      </c>
      <c r="AC50" s="106">
        <v>15228</v>
      </c>
      <c r="AD50" s="106">
        <v>44</v>
      </c>
      <c r="AE50" s="106">
        <v>12408</v>
      </c>
      <c r="AF50" s="106">
        <v>64</v>
      </c>
      <c r="AG50" s="106">
        <v>18048</v>
      </c>
      <c r="AH50" s="106">
        <v>51</v>
      </c>
      <c r="AI50" s="106">
        <v>14382</v>
      </c>
      <c r="AJ50" s="106">
        <v>36</v>
      </c>
      <c r="AK50" s="106">
        <v>10152</v>
      </c>
      <c r="AL50" s="106">
        <v>43</v>
      </c>
      <c r="AM50" s="106">
        <v>12126</v>
      </c>
      <c r="AN50" s="106">
        <v>36</v>
      </c>
      <c r="AO50" s="106">
        <v>10152</v>
      </c>
      <c r="AP50" s="106">
        <v>44</v>
      </c>
      <c r="AQ50" s="106">
        <v>12408</v>
      </c>
      <c r="AR50" s="106">
        <v>38</v>
      </c>
      <c r="AS50" s="106">
        <v>10716</v>
      </c>
      <c r="AT50" s="106">
        <v>37</v>
      </c>
      <c r="AU50" s="106">
        <v>10434</v>
      </c>
      <c r="AV50" s="106">
        <v>51</v>
      </c>
      <c r="AW50" s="106">
        <v>14382</v>
      </c>
      <c r="AX50" s="106">
        <v>56</v>
      </c>
      <c r="AY50" s="106">
        <v>15792</v>
      </c>
      <c r="AZ50" s="106">
        <v>64</v>
      </c>
      <c r="BA50" s="106">
        <v>18048</v>
      </c>
      <c r="BB50" s="106">
        <v>58</v>
      </c>
      <c r="BC50" s="106">
        <v>16356</v>
      </c>
      <c r="BD50" s="106">
        <v>44</v>
      </c>
      <c r="BE50" s="106">
        <v>12408</v>
      </c>
      <c r="BF50" s="106">
        <v>54</v>
      </c>
      <c r="BG50" s="106">
        <v>15228</v>
      </c>
      <c r="BH50" s="106">
        <v>56</v>
      </c>
      <c r="BI50" s="106">
        <v>15792</v>
      </c>
      <c r="BJ50" s="106">
        <v>59</v>
      </c>
      <c r="BK50" s="106">
        <v>16638</v>
      </c>
      <c r="BL50" s="106">
        <v>40</v>
      </c>
      <c r="BM50" s="106">
        <v>11280</v>
      </c>
      <c r="BN50" s="106">
        <v>61</v>
      </c>
      <c r="BO50" s="106">
        <v>17202</v>
      </c>
      <c r="BP50" s="106">
        <v>71</v>
      </c>
      <c r="BQ50" s="106">
        <v>20022</v>
      </c>
      <c r="BR50" s="106">
        <v>39</v>
      </c>
      <c r="BS50" s="106">
        <v>10998</v>
      </c>
      <c r="BT50" s="106">
        <v>58</v>
      </c>
      <c r="BU50" s="106">
        <v>16356</v>
      </c>
      <c r="BV50" s="106">
        <v>71</v>
      </c>
      <c r="BW50" s="106">
        <v>20022</v>
      </c>
      <c r="BX50" s="106">
        <v>38</v>
      </c>
      <c r="BY50" s="106">
        <v>10716</v>
      </c>
      <c r="BZ50" s="106">
        <v>46</v>
      </c>
      <c r="CA50" s="106">
        <v>12972</v>
      </c>
      <c r="CB50" s="106">
        <v>34</v>
      </c>
      <c r="CC50" s="106">
        <v>9588</v>
      </c>
      <c r="CD50" s="106">
        <v>39</v>
      </c>
      <c r="CE50" s="106">
        <v>10998</v>
      </c>
      <c r="CF50" s="106">
        <v>27</v>
      </c>
      <c r="CG50" s="106">
        <v>7614</v>
      </c>
      <c r="CH50" s="106">
        <v>41</v>
      </c>
      <c r="CI50" s="106">
        <v>11562</v>
      </c>
      <c r="CJ50" s="106">
        <v>30</v>
      </c>
      <c r="CK50" s="106">
        <v>8460</v>
      </c>
      <c r="CL50" s="106">
        <v>43</v>
      </c>
      <c r="CM50" s="106">
        <v>12126</v>
      </c>
      <c r="CN50" s="106">
        <v>49</v>
      </c>
      <c r="CO50" s="106">
        <v>13818</v>
      </c>
      <c r="CP50" s="106">
        <v>34</v>
      </c>
      <c r="CQ50" s="106">
        <v>9588</v>
      </c>
      <c r="CR50" s="106">
        <v>51</v>
      </c>
      <c r="CS50" s="106">
        <v>14382</v>
      </c>
      <c r="CT50" s="106">
        <v>52</v>
      </c>
      <c r="CU50" s="106">
        <v>14664</v>
      </c>
    </row>
    <row r="51" spans="2:99" x14ac:dyDescent="0.2">
      <c r="C51" s="105" t="s">
        <v>216</v>
      </c>
      <c r="D51" s="106">
        <v>41</v>
      </c>
      <c r="E51" s="106">
        <v>35030.400000000001</v>
      </c>
      <c r="F51" s="106">
        <v>36</v>
      </c>
      <c r="G51" s="106">
        <v>30758.399999999998</v>
      </c>
      <c r="H51" s="106">
        <v>33</v>
      </c>
      <c r="I51" s="106">
        <v>28195.200000000001</v>
      </c>
      <c r="J51" s="106">
        <v>33</v>
      </c>
      <c r="K51" s="106">
        <v>28195.200000000001</v>
      </c>
      <c r="L51" s="106">
        <v>39</v>
      </c>
      <c r="M51" s="106">
        <v>33321.599999999999</v>
      </c>
      <c r="N51" s="106">
        <v>47</v>
      </c>
      <c r="O51" s="106">
        <v>40156.799999999996</v>
      </c>
      <c r="P51" s="106">
        <v>49</v>
      </c>
      <c r="Q51" s="106">
        <v>41865.599999999999</v>
      </c>
      <c r="R51" s="106">
        <v>57</v>
      </c>
      <c r="S51" s="106">
        <v>48700.799999999996</v>
      </c>
      <c r="T51" s="106">
        <v>39</v>
      </c>
      <c r="U51" s="106">
        <v>33321.599999999999</v>
      </c>
      <c r="V51" s="106">
        <v>56</v>
      </c>
      <c r="W51" s="106">
        <v>47846.400000000001</v>
      </c>
      <c r="X51" s="106">
        <v>33</v>
      </c>
      <c r="Y51" s="106">
        <v>28195.200000000001</v>
      </c>
      <c r="Z51" s="106">
        <v>35</v>
      </c>
      <c r="AA51" s="106">
        <v>29904</v>
      </c>
      <c r="AB51" s="106">
        <v>47</v>
      </c>
      <c r="AC51" s="106">
        <v>40156.799999999996</v>
      </c>
      <c r="AD51" s="106">
        <v>38</v>
      </c>
      <c r="AE51" s="106">
        <v>32467.200000000001</v>
      </c>
      <c r="AF51" s="106">
        <v>63</v>
      </c>
      <c r="AG51" s="106">
        <v>53827.199999999997</v>
      </c>
      <c r="AH51" s="106">
        <v>50</v>
      </c>
      <c r="AI51" s="106">
        <v>42720</v>
      </c>
      <c r="AJ51" s="106">
        <v>34</v>
      </c>
      <c r="AK51" s="106">
        <v>29049.599999999999</v>
      </c>
      <c r="AL51" s="106">
        <v>39</v>
      </c>
      <c r="AM51" s="106">
        <v>33321.599999999999</v>
      </c>
      <c r="AN51" s="106">
        <v>33</v>
      </c>
      <c r="AO51" s="106">
        <v>28195.200000000001</v>
      </c>
      <c r="AP51" s="106">
        <v>37</v>
      </c>
      <c r="AQ51" s="106">
        <v>31612.799999999999</v>
      </c>
      <c r="AR51" s="106">
        <v>38</v>
      </c>
      <c r="AS51" s="106">
        <v>32467.200000000001</v>
      </c>
      <c r="AT51" s="106">
        <v>31</v>
      </c>
      <c r="AU51" s="106">
        <v>26486.399999999998</v>
      </c>
      <c r="AV51" s="106">
        <v>40</v>
      </c>
      <c r="AW51" s="106">
        <v>34176</v>
      </c>
      <c r="AX51" s="106">
        <v>55</v>
      </c>
      <c r="AY51" s="106">
        <v>46992</v>
      </c>
      <c r="AZ51" s="106">
        <v>59</v>
      </c>
      <c r="BA51" s="106">
        <v>50409.599999999999</v>
      </c>
      <c r="BB51" s="106">
        <v>54</v>
      </c>
      <c r="BC51" s="106">
        <v>46137.599999999999</v>
      </c>
      <c r="BD51" s="106">
        <v>43</v>
      </c>
      <c r="BE51" s="106">
        <v>36739.199999999997</v>
      </c>
      <c r="BF51" s="106">
        <v>51</v>
      </c>
      <c r="BG51" s="106">
        <v>43574.400000000001</v>
      </c>
      <c r="BH51" s="106">
        <v>51</v>
      </c>
      <c r="BI51" s="106">
        <v>43574.400000000001</v>
      </c>
      <c r="BJ51" s="106">
        <v>55</v>
      </c>
      <c r="BK51" s="106">
        <v>46992</v>
      </c>
      <c r="BL51" s="106">
        <v>36</v>
      </c>
      <c r="BM51" s="106">
        <v>30758.399999999998</v>
      </c>
      <c r="BN51" s="106">
        <v>56</v>
      </c>
      <c r="BO51" s="106">
        <v>47846.400000000001</v>
      </c>
      <c r="BP51" s="106">
        <v>54</v>
      </c>
      <c r="BQ51" s="106">
        <v>46137.599999999999</v>
      </c>
      <c r="BR51" s="106">
        <v>37</v>
      </c>
      <c r="BS51" s="106">
        <v>31612.799999999999</v>
      </c>
      <c r="BT51" s="106">
        <v>57</v>
      </c>
      <c r="BU51" s="106">
        <v>48700.799999999996</v>
      </c>
      <c r="BV51" s="106">
        <v>63</v>
      </c>
      <c r="BW51" s="106">
        <v>53827.199999999997</v>
      </c>
      <c r="BX51" s="106">
        <v>40</v>
      </c>
      <c r="BY51" s="106">
        <v>34176</v>
      </c>
      <c r="BZ51" s="106">
        <v>41</v>
      </c>
      <c r="CA51" s="106">
        <v>35030.400000000001</v>
      </c>
      <c r="CB51" s="106">
        <v>36</v>
      </c>
      <c r="CC51" s="106">
        <v>30758.399999999998</v>
      </c>
      <c r="CD51" s="106">
        <v>31</v>
      </c>
      <c r="CE51" s="106">
        <v>26486.399999999998</v>
      </c>
      <c r="CF51" s="106">
        <v>25</v>
      </c>
      <c r="CG51" s="106">
        <v>21360</v>
      </c>
      <c r="CH51" s="106">
        <v>36</v>
      </c>
      <c r="CI51" s="106">
        <v>30758.399999999998</v>
      </c>
      <c r="CJ51" s="106">
        <v>32</v>
      </c>
      <c r="CK51" s="106">
        <v>27340.799999999999</v>
      </c>
      <c r="CL51" s="106">
        <v>42</v>
      </c>
      <c r="CM51" s="106">
        <v>35884.799999999996</v>
      </c>
      <c r="CN51" s="106">
        <v>48</v>
      </c>
      <c r="CO51" s="106">
        <v>41011.199999999997</v>
      </c>
      <c r="CP51" s="106">
        <v>34</v>
      </c>
      <c r="CQ51" s="106">
        <v>29049.599999999999</v>
      </c>
      <c r="CR51" s="106">
        <v>50</v>
      </c>
      <c r="CS51" s="106">
        <v>42720</v>
      </c>
      <c r="CT51" s="106">
        <v>48</v>
      </c>
      <c r="CU51" s="106">
        <v>41011.199999999997</v>
      </c>
    </row>
    <row r="52" spans="2:99" x14ac:dyDescent="0.2">
      <c r="C52" s="105" t="s">
        <v>217</v>
      </c>
      <c r="D52" s="106">
        <v>43</v>
      </c>
      <c r="E52" s="106">
        <v>23220</v>
      </c>
      <c r="F52" s="106">
        <v>35</v>
      </c>
      <c r="G52" s="106">
        <v>18900</v>
      </c>
      <c r="H52" s="106">
        <v>36</v>
      </c>
      <c r="I52" s="106">
        <v>19440</v>
      </c>
      <c r="J52" s="106">
        <v>34</v>
      </c>
      <c r="K52" s="106">
        <v>18360</v>
      </c>
      <c r="L52" s="106">
        <v>39</v>
      </c>
      <c r="M52" s="106">
        <v>21060</v>
      </c>
      <c r="N52" s="106">
        <v>57</v>
      </c>
      <c r="O52" s="106">
        <v>30780</v>
      </c>
      <c r="P52" s="106">
        <v>47</v>
      </c>
      <c r="Q52" s="106">
        <v>25380</v>
      </c>
      <c r="R52" s="106">
        <v>63</v>
      </c>
      <c r="S52" s="106">
        <v>34020</v>
      </c>
      <c r="T52" s="106">
        <v>45</v>
      </c>
      <c r="U52" s="106">
        <v>24300</v>
      </c>
      <c r="V52" s="106">
        <v>67</v>
      </c>
      <c r="W52" s="106">
        <v>36180</v>
      </c>
      <c r="X52" s="106">
        <v>40</v>
      </c>
      <c r="Y52" s="106">
        <v>21600</v>
      </c>
      <c r="Z52" s="106">
        <v>34</v>
      </c>
      <c r="AA52" s="106">
        <v>18360</v>
      </c>
      <c r="AB52" s="106">
        <v>50</v>
      </c>
      <c r="AC52" s="106">
        <v>27000</v>
      </c>
      <c r="AD52" s="106">
        <v>38</v>
      </c>
      <c r="AE52" s="106">
        <v>20520</v>
      </c>
      <c r="AF52" s="106">
        <v>65</v>
      </c>
      <c r="AG52" s="106">
        <v>35100</v>
      </c>
      <c r="AH52" s="106">
        <v>57</v>
      </c>
      <c r="AI52" s="106">
        <v>30780</v>
      </c>
      <c r="AJ52" s="106">
        <v>35</v>
      </c>
      <c r="AK52" s="106">
        <v>18900</v>
      </c>
      <c r="AL52" s="106">
        <v>43</v>
      </c>
      <c r="AM52" s="106">
        <v>23220</v>
      </c>
      <c r="AN52" s="106">
        <v>35</v>
      </c>
      <c r="AO52" s="106">
        <v>18900</v>
      </c>
      <c r="AP52" s="106">
        <v>39</v>
      </c>
      <c r="AQ52" s="106">
        <v>21060</v>
      </c>
      <c r="AR52" s="106">
        <v>37</v>
      </c>
      <c r="AS52" s="106">
        <v>19980</v>
      </c>
      <c r="AT52" s="106">
        <v>32</v>
      </c>
      <c r="AU52" s="106">
        <v>17280</v>
      </c>
      <c r="AV52" s="106">
        <v>45</v>
      </c>
      <c r="AW52" s="106">
        <v>24300</v>
      </c>
      <c r="AX52" s="106">
        <v>54</v>
      </c>
      <c r="AY52" s="106">
        <v>29160</v>
      </c>
      <c r="AZ52" s="106">
        <v>60</v>
      </c>
      <c r="BA52" s="106">
        <v>32400</v>
      </c>
      <c r="BB52" s="106">
        <v>59</v>
      </c>
      <c r="BC52" s="106">
        <v>31860</v>
      </c>
      <c r="BD52" s="106">
        <v>46</v>
      </c>
      <c r="BE52" s="106">
        <v>24840</v>
      </c>
      <c r="BF52" s="106">
        <v>47</v>
      </c>
      <c r="BG52" s="106">
        <v>25380</v>
      </c>
      <c r="BH52" s="106">
        <v>51</v>
      </c>
      <c r="BI52" s="106">
        <v>27540</v>
      </c>
      <c r="BJ52" s="106">
        <v>66</v>
      </c>
      <c r="BK52" s="106">
        <v>35640</v>
      </c>
      <c r="BL52" s="106">
        <v>36</v>
      </c>
      <c r="BM52" s="106">
        <v>19440</v>
      </c>
      <c r="BN52" s="106">
        <v>55</v>
      </c>
      <c r="BO52" s="106">
        <v>29700</v>
      </c>
      <c r="BP52" s="106">
        <v>64</v>
      </c>
      <c r="BQ52" s="106">
        <v>34560</v>
      </c>
      <c r="BR52" s="106">
        <v>42</v>
      </c>
      <c r="BS52" s="106">
        <v>22680</v>
      </c>
      <c r="BT52" s="106">
        <v>61</v>
      </c>
      <c r="BU52" s="106">
        <v>32940</v>
      </c>
      <c r="BV52" s="106">
        <v>68</v>
      </c>
      <c r="BW52" s="106">
        <v>36720</v>
      </c>
      <c r="BX52" s="106">
        <v>41</v>
      </c>
      <c r="BY52" s="106">
        <v>22140</v>
      </c>
      <c r="BZ52" s="106">
        <v>42</v>
      </c>
      <c r="CA52" s="106">
        <v>22680</v>
      </c>
      <c r="CB52" s="106">
        <v>38</v>
      </c>
      <c r="CC52" s="106">
        <v>20520</v>
      </c>
      <c r="CD52" s="106">
        <v>33</v>
      </c>
      <c r="CE52" s="106">
        <v>17820</v>
      </c>
      <c r="CF52" s="106">
        <v>29</v>
      </c>
      <c r="CG52" s="106">
        <v>15660</v>
      </c>
      <c r="CH52" s="106">
        <v>40</v>
      </c>
      <c r="CI52" s="106">
        <v>21600</v>
      </c>
      <c r="CJ52" s="106">
        <v>29</v>
      </c>
      <c r="CK52" s="106">
        <v>15660</v>
      </c>
      <c r="CL52" s="106">
        <v>43</v>
      </c>
      <c r="CM52" s="106">
        <v>23220</v>
      </c>
      <c r="CN52" s="106">
        <v>51</v>
      </c>
      <c r="CO52" s="106">
        <v>27540</v>
      </c>
      <c r="CP52" s="106">
        <v>31</v>
      </c>
      <c r="CQ52" s="106">
        <v>16740</v>
      </c>
      <c r="CR52" s="106">
        <v>57</v>
      </c>
      <c r="CS52" s="106">
        <v>30780</v>
      </c>
      <c r="CT52" s="106">
        <v>48</v>
      </c>
      <c r="CU52" s="106">
        <v>25920</v>
      </c>
    </row>
    <row r="53" spans="2:99" x14ac:dyDescent="0.2">
      <c r="C53" s="105" t="s">
        <v>218</v>
      </c>
      <c r="D53" s="106">
        <v>53</v>
      </c>
      <c r="E53" s="106">
        <v>21560.400000000001</v>
      </c>
      <c r="F53" s="106">
        <v>37</v>
      </c>
      <c r="G53" s="106">
        <v>15051.6</v>
      </c>
      <c r="H53" s="106">
        <v>31</v>
      </c>
      <c r="I53" s="106">
        <v>12610.800000000001</v>
      </c>
      <c r="J53" s="106">
        <v>36</v>
      </c>
      <c r="K53" s="106">
        <v>14644.800000000001</v>
      </c>
      <c r="L53" s="106">
        <v>40</v>
      </c>
      <c r="M53" s="106">
        <v>16272</v>
      </c>
      <c r="N53" s="106">
        <v>48</v>
      </c>
      <c r="O53" s="106">
        <v>19526.400000000001</v>
      </c>
      <c r="P53" s="106">
        <v>46</v>
      </c>
      <c r="Q53" s="106">
        <v>18712.8</v>
      </c>
      <c r="R53" s="106">
        <v>58</v>
      </c>
      <c r="S53" s="106">
        <v>23594.400000000001</v>
      </c>
      <c r="T53" s="106">
        <v>44</v>
      </c>
      <c r="U53" s="106">
        <v>17899.2</v>
      </c>
      <c r="V53" s="106">
        <v>68</v>
      </c>
      <c r="W53" s="106">
        <v>27662.400000000001</v>
      </c>
      <c r="X53" s="106">
        <v>39</v>
      </c>
      <c r="Y53" s="106">
        <v>15865.2</v>
      </c>
      <c r="Z53" s="106">
        <v>35</v>
      </c>
      <c r="AA53" s="106">
        <v>14238</v>
      </c>
      <c r="AB53" s="106">
        <v>53</v>
      </c>
      <c r="AC53" s="106">
        <v>21560.400000000001</v>
      </c>
      <c r="AD53" s="106">
        <v>41</v>
      </c>
      <c r="AE53" s="106">
        <v>16678.8</v>
      </c>
      <c r="AF53" s="106">
        <v>58</v>
      </c>
      <c r="AG53" s="106">
        <v>23594.400000000001</v>
      </c>
      <c r="AH53" s="106">
        <v>57</v>
      </c>
      <c r="AI53" s="106">
        <v>23187.600000000002</v>
      </c>
      <c r="AJ53" s="106">
        <v>35</v>
      </c>
      <c r="AK53" s="106">
        <v>14238</v>
      </c>
      <c r="AL53" s="106">
        <v>49</v>
      </c>
      <c r="AM53" s="106">
        <v>19933.2</v>
      </c>
      <c r="AN53" s="106">
        <v>31</v>
      </c>
      <c r="AO53" s="106">
        <v>12610.800000000001</v>
      </c>
      <c r="AP53" s="106">
        <v>43</v>
      </c>
      <c r="AQ53" s="106">
        <v>17492.400000000001</v>
      </c>
      <c r="AR53" s="106">
        <v>34</v>
      </c>
      <c r="AS53" s="106">
        <v>13831.2</v>
      </c>
      <c r="AT53" s="106">
        <v>32</v>
      </c>
      <c r="AU53" s="106">
        <v>13017.6</v>
      </c>
      <c r="AV53" s="106">
        <v>44</v>
      </c>
      <c r="AW53" s="106">
        <v>17899.2</v>
      </c>
      <c r="AX53" s="106">
        <v>58</v>
      </c>
      <c r="AY53" s="106">
        <v>23594.400000000001</v>
      </c>
      <c r="AZ53" s="106">
        <v>59</v>
      </c>
      <c r="BA53" s="106">
        <v>24001.200000000001</v>
      </c>
      <c r="BB53" s="106">
        <v>58</v>
      </c>
      <c r="BC53" s="106">
        <v>23594.400000000001</v>
      </c>
      <c r="BD53" s="106">
        <v>43</v>
      </c>
      <c r="BE53" s="106">
        <v>17492.400000000001</v>
      </c>
      <c r="BF53" s="106">
        <v>55</v>
      </c>
      <c r="BG53" s="106">
        <v>22374</v>
      </c>
      <c r="BH53" s="106">
        <v>58</v>
      </c>
      <c r="BI53" s="106">
        <v>23594.400000000001</v>
      </c>
      <c r="BJ53" s="106">
        <v>60</v>
      </c>
      <c r="BK53" s="106">
        <v>24408</v>
      </c>
      <c r="BL53" s="106">
        <v>42</v>
      </c>
      <c r="BM53" s="106">
        <v>17085.600000000002</v>
      </c>
      <c r="BN53" s="106">
        <v>58</v>
      </c>
      <c r="BO53" s="106">
        <v>23594.400000000001</v>
      </c>
      <c r="BP53" s="106">
        <v>62</v>
      </c>
      <c r="BQ53" s="106">
        <v>25221.600000000002</v>
      </c>
      <c r="BR53" s="106">
        <v>41</v>
      </c>
      <c r="BS53" s="106">
        <v>16678.8</v>
      </c>
      <c r="BT53" s="106">
        <v>57</v>
      </c>
      <c r="BU53" s="106">
        <v>23187.600000000002</v>
      </c>
      <c r="BV53" s="106">
        <v>59</v>
      </c>
      <c r="BW53" s="106">
        <v>24001.200000000001</v>
      </c>
      <c r="BX53" s="106">
        <v>44</v>
      </c>
      <c r="BY53" s="106">
        <v>17899.2</v>
      </c>
      <c r="BZ53" s="106">
        <v>38</v>
      </c>
      <c r="CA53" s="106">
        <v>15458.4</v>
      </c>
      <c r="CB53" s="106">
        <v>32</v>
      </c>
      <c r="CC53" s="106">
        <v>13017.6</v>
      </c>
      <c r="CD53" s="106">
        <v>37</v>
      </c>
      <c r="CE53" s="106">
        <v>15051.6</v>
      </c>
      <c r="CF53" s="106">
        <v>28</v>
      </c>
      <c r="CG53" s="106">
        <v>11390.4</v>
      </c>
      <c r="CH53" s="106">
        <v>38</v>
      </c>
      <c r="CI53" s="106">
        <v>15458.4</v>
      </c>
      <c r="CJ53" s="106">
        <v>29</v>
      </c>
      <c r="CK53" s="106">
        <v>11797.2</v>
      </c>
      <c r="CL53" s="106">
        <v>43</v>
      </c>
      <c r="CM53" s="106">
        <v>17492.400000000001</v>
      </c>
      <c r="CN53" s="106">
        <v>51</v>
      </c>
      <c r="CO53" s="106">
        <v>20746.8</v>
      </c>
      <c r="CP53" s="106">
        <v>35</v>
      </c>
      <c r="CQ53" s="106">
        <v>14238</v>
      </c>
      <c r="CR53" s="106">
        <v>51</v>
      </c>
      <c r="CS53" s="106">
        <v>20746.8</v>
      </c>
      <c r="CT53" s="106">
        <v>52</v>
      </c>
      <c r="CU53" s="106">
        <v>21153.600000000002</v>
      </c>
    </row>
    <row r="54" spans="2:99" x14ac:dyDescent="0.2">
      <c r="C54" s="105" t="s">
        <v>219</v>
      </c>
      <c r="D54" s="106">
        <v>47</v>
      </c>
      <c r="E54" s="106">
        <v>15735.6</v>
      </c>
      <c r="F54" s="106">
        <v>38</v>
      </c>
      <c r="G54" s="106">
        <v>12722.4</v>
      </c>
      <c r="H54" s="106">
        <v>32</v>
      </c>
      <c r="I54" s="106">
        <v>10713.6</v>
      </c>
      <c r="J54" s="106">
        <v>37</v>
      </c>
      <c r="K54" s="106">
        <v>12387.6</v>
      </c>
      <c r="L54" s="106">
        <v>43</v>
      </c>
      <c r="M54" s="106">
        <v>14396.4</v>
      </c>
      <c r="N54" s="106">
        <v>59</v>
      </c>
      <c r="O54" s="106">
        <v>19753.2</v>
      </c>
      <c r="P54" s="106">
        <v>46</v>
      </c>
      <c r="Q54" s="106">
        <v>15400.800000000001</v>
      </c>
      <c r="R54" s="106">
        <v>60</v>
      </c>
      <c r="S54" s="106">
        <v>20088</v>
      </c>
      <c r="T54" s="106">
        <v>47</v>
      </c>
      <c r="U54" s="106">
        <v>15735.6</v>
      </c>
      <c r="V54" s="106">
        <v>60</v>
      </c>
      <c r="W54" s="106">
        <v>20088</v>
      </c>
      <c r="X54" s="106">
        <v>43</v>
      </c>
      <c r="Y54" s="106">
        <v>14396.4</v>
      </c>
      <c r="Z54" s="106">
        <v>41</v>
      </c>
      <c r="AA54" s="106">
        <v>13726.800000000001</v>
      </c>
      <c r="AB54" s="106">
        <v>57</v>
      </c>
      <c r="AC54" s="106">
        <v>19083.600000000002</v>
      </c>
      <c r="AD54" s="106">
        <v>39</v>
      </c>
      <c r="AE54" s="106">
        <v>13057.2</v>
      </c>
      <c r="AF54" s="106">
        <v>62</v>
      </c>
      <c r="AG54" s="106">
        <v>20757.600000000002</v>
      </c>
      <c r="AH54" s="106">
        <v>58</v>
      </c>
      <c r="AI54" s="106">
        <v>19418.400000000001</v>
      </c>
      <c r="AJ54" s="106">
        <v>37</v>
      </c>
      <c r="AK54" s="106">
        <v>12387.6</v>
      </c>
      <c r="AL54" s="106">
        <v>50</v>
      </c>
      <c r="AM54" s="106">
        <v>16740</v>
      </c>
      <c r="AN54" s="106">
        <v>36</v>
      </c>
      <c r="AO54" s="106">
        <v>12052.800000000001</v>
      </c>
      <c r="AP54" s="106">
        <v>43</v>
      </c>
      <c r="AQ54" s="106">
        <v>14396.4</v>
      </c>
      <c r="AR54" s="106">
        <v>39</v>
      </c>
      <c r="AS54" s="106">
        <v>13057.2</v>
      </c>
      <c r="AT54" s="106">
        <v>36</v>
      </c>
      <c r="AU54" s="106">
        <v>12052.800000000001</v>
      </c>
      <c r="AV54" s="106">
        <v>48</v>
      </c>
      <c r="AW54" s="106">
        <v>16070.400000000001</v>
      </c>
      <c r="AX54" s="106">
        <v>61</v>
      </c>
      <c r="AY54" s="106">
        <v>20422.8</v>
      </c>
      <c r="AZ54" s="106">
        <v>59</v>
      </c>
      <c r="BA54" s="106">
        <v>19753.2</v>
      </c>
      <c r="BB54" s="106">
        <v>60</v>
      </c>
      <c r="BC54" s="106">
        <v>20088</v>
      </c>
      <c r="BD54" s="106">
        <v>49</v>
      </c>
      <c r="BE54" s="106">
        <v>16405.2</v>
      </c>
      <c r="BF54" s="106">
        <v>52</v>
      </c>
      <c r="BG54" s="106">
        <v>17409.600000000002</v>
      </c>
      <c r="BH54" s="106">
        <v>58</v>
      </c>
      <c r="BI54" s="106">
        <v>19418.400000000001</v>
      </c>
      <c r="BJ54" s="106">
        <v>69</v>
      </c>
      <c r="BK54" s="106">
        <v>23101.200000000001</v>
      </c>
      <c r="BL54" s="106">
        <v>39</v>
      </c>
      <c r="BM54" s="106">
        <v>13057.2</v>
      </c>
      <c r="BN54" s="106">
        <v>57</v>
      </c>
      <c r="BO54" s="106">
        <v>19083.600000000002</v>
      </c>
      <c r="BP54" s="106">
        <v>70</v>
      </c>
      <c r="BQ54" s="106">
        <v>23436</v>
      </c>
      <c r="BR54" s="106">
        <v>43</v>
      </c>
      <c r="BS54" s="106">
        <v>14396.4</v>
      </c>
      <c r="BT54" s="106">
        <v>60</v>
      </c>
      <c r="BU54" s="106">
        <v>20088</v>
      </c>
      <c r="BV54" s="106">
        <v>68</v>
      </c>
      <c r="BW54" s="106">
        <v>22766.400000000001</v>
      </c>
      <c r="BX54" s="106">
        <v>44</v>
      </c>
      <c r="BY54" s="106">
        <v>14731.2</v>
      </c>
      <c r="BZ54" s="106">
        <v>38</v>
      </c>
      <c r="CA54" s="106">
        <v>12722.4</v>
      </c>
      <c r="CB54" s="106">
        <v>38</v>
      </c>
      <c r="CC54" s="106">
        <v>12722.4</v>
      </c>
      <c r="CD54" s="106">
        <v>33</v>
      </c>
      <c r="CE54" s="106">
        <v>11048.4</v>
      </c>
      <c r="CF54" s="106">
        <v>29</v>
      </c>
      <c r="CG54" s="106">
        <v>9709.2000000000007</v>
      </c>
      <c r="CH54" s="106">
        <v>39</v>
      </c>
      <c r="CI54" s="106">
        <v>13057.2</v>
      </c>
      <c r="CJ54" s="106">
        <v>35</v>
      </c>
      <c r="CK54" s="106">
        <v>11718</v>
      </c>
      <c r="CL54" s="106">
        <v>48</v>
      </c>
      <c r="CM54" s="106">
        <v>16070.400000000001</v>
      </c>
      <c r="CN54" s="106">
        <v>55</v>
      </c>
      <c r="CO54" s="106">
        <v>18414</v>
      </c>
      <c r="CP54" s="106">
        <v>34</v>
      </c>
      <c r="CQ54" s="106">
        <v>11383.2</v>
      </c>
      <c r="CR54" s="106">
        <v>50</v>
      </c>
      <c r="CS54" s="106">
        <v>16740</v>
      </c>
      <c r="CT54" s="106">
        <v>50</v>
      </c>
      <c r="CU54" s="106">
        <v>16740</v>
      </c>
    </row>
    <row r="55" spans="2:99" x14ac:dyDescent="0.2">
      <c r="C55" s="105" t="s">
        <v>220</v>
      </c>
      <c r="D55" s="106">
        <v>42</v>
      </c>
      <c r="E55" s="106">
        <v>27871.200000000001</v>
      </c>
      <c r="F55" s="106">
        <v>35</v>
      </c>
      <c r="G55" s="106">
        <v>23226</v>
      </c>
      <c r="H55" s="106">
        <v>30</v>
      </c>
      <c r="I55" s="106">
        <v>19908</v>
      </c>
      <c r="J55" s="106">
        <v>37</v>
      </c>
      <c r="K55" s="106">
        <v>24553.200000000001</v>
      </c>
      <c r="L55" s="106">
        <v>39</v>
      </c>
      <c r="M55" s="106">
        <v>25880.400000000001</v>
      </c>
      <c r="N55" s="106">
        <v>53</v>
      </c>
      <c r="O55" s="106">
        <v>35170.800000000003</v>
      </c>
      <c r="P55" s="106">
        <v>44</v>
      </c>
      <c r="Q55" s="106">
        <v>29198.400000000001</v>
      </c>
      <c r="R55" s="106">
        <v>65</v>
      </c>
      <c r="S55" s="106">
        <v>43134</v>
      </c>
      <c r="T55" s="106">
        <v>42</v>
      </c>
      <c r="U55" s="106">
        <v>27871.200000000001</v>
      </c>
      <c r="V55" s="106">
        <v>59</v>
      </c>
      <c r="W55" s="106">
        <v>39152.400000000001</v>
      </c>
      <c r="X55" s="106">
        <v>37</v>
      </c>
      <c r="Y55" s="106">
        <v>24553.200000000001</v>
      </c>
      <c r="Z55" s="106">
        <v>37</v>
      </c>
      <c r="AA55" s="106">
        <v>24553.200000000001</v>
      </c>
      <c r="AB55" s="106">
        <v>56</v>
      </c>
      <c r="AC55" s="106">
        <v>37161.599999999999</v>
      </c>
      <c r="AD55" s="106">
        <v>35</v>
      </c>
      <c r="AE55" s="106">
        <v>23226</v>
      </c>
      <c r="AF55" s="106">
        <v>61</v>
      </c>
      <c r="AG55" s="106">
        <v>40479.599999999999</v>
      </c>
      <c r="AH55" s="106">
        <v>55</v>
      </c>
      <c r="AI55" s="106">
        <v>36498</v>
      </c>
      <c r="AJ55" s="106">
        <v>32</v>
      </c>
      <c r="AK55" s="106">
        <v>21235.200000000001</v>
      </c>
      <c r="AL55" s="106">
        <v>46</v>
      </c>
      <c r="AM55" s="106">
        <v>30525.600000000002</v>
      </c>
      <c r="AN55" s="106">
        <v>29</v>
      </c>
      <c r="AO55" s="106">
        <v>19244.400000000001</v>
      </c>
      <c r="AP55" s="106">
        <v>42</v>
      </c>
      <c r="AQ55" s="106">
        <v>27871.200000000001</v>
      </c>
      <c r="AR55" s="106">
        <v>39</v>
      </c>
      <c r="AS55" s="106">
        <v>25880.400000000001</v>
      </c>
      <c r="AT55" s="106">
        <v>32</v>
      </c>
      <c r="AU55" s="106">
        <v>21235.200000000001</v>
      </c>
      <c r="AV55" s="106">
        <v>41</v>
      </c>
      <c r="AW55" s="106">
        <v>27207.600000000002</v>
      </c>
      <c r="AX55" s="106">
        <v>56</v>
      </c>
      <c r="AY55" s="106">
        <v>37161.599999999999</v>
      </c>
      <c r="AZ55" s="106">
        <v>60</v>
      </c>
      <c r="BA55" s="106">
        <v>39816</v>
      </c>
      <c r="BB55" s="106">
        <v>52</v>
      </c>
      <c r="BC55" s="106">
        <v>34507.200000000004</v>
      </c>
      <c r="BD55" s="106">
        <v>46</v>
      </c>
      <c r="BE55" s="106">
        <v>30525.600000000002</v>
      </c>
      <c r="BF55" s="106">
        <v>53</v>
      </c>
      <c r="BG55" s="106">
        <v>35170.800000000003</v>
      </c>
      <c r="BH55" s="106">
        <v>53</v>
      </c>
      <c r="BI55" s="106">
        <v>35170.800000000003</v>
      </c>
      <c r="BJ55" s="106">
        <v>65</v>
      </c>
      <c r="BK55" s="106">
        <v>43134</v>
      </c>
      <c r="BL55" s="106">
        <v>38</v>
      </c>
      <c r="BM55" s="106">
        <v>25216.799999999999</v>
      </c>
      <c r="BN55" s="106">
        <v>51</v>
      </c>
      <c r="BO55" s="106">
        <v>33843.599999999999</v>
      </c>
      <c r="BP55" s="106">
        <v>64</v>
      </c>
      <c r="BQ55" s="106">
        <v>42470.400000000001</v>
      </c>
      <c r="BR55" s="106">
        <v>41</v>
      </c>
      <c r="BS55" s="106">
        <v>27207.600000000002</v>
      </c>
      <c r="BT55" s="106">
        <v>53</v>
      </c>
      <c r="BU55" s="106">
        <v>35170.800000000003</v>
      </c>
      <c r="BV55" s="106">
        <v>60</v>
      </c>
      <c r="BW55" s="106">
        <v>39816</v>
      </c>
      <c r="BX55" s="106">
        <v>40</v>
      </c>
      <c r="BY55" s="106">
        <v>26544</v>
      </c>
      <c r="BZ55" s="106">
        <v>37</v>
      </c>
      <c r="CA55" s="106">
        <v>24553.200000000001</v>
      </c>
      <c r="CB55" s="106">
        <v>31</v>
      </c>
      <c r="CC55" s="106">
        <v>20571.600000000002</v>
      </c>
      <c r="CD55" s="106">
        <v>35</v>
      </c>
      <c r="CE55" s="106">
        <v>23226</v>
      </c>
      <c r="CF55" s="106">
        <v>30</v>
      </c>
      <c r="CG55" s="106">
        <v>19908</v>
      </c>
      <c r="CH55" s="106">
        <v>39</v>
      </c>
      <c r="CI55" s="106">
        <v>25880.400000000001</v>
      </c>
      <c r="CJ55" s="106">
        <v>29</v>
      </c>
      <c r="CK55" s="106">
        <v>19244.400000000001</v>
      </c>
      <c r="CL55" s="106">
        <v>40</v>
      </c>
      <c r="CM55" s="106">
        <v>26544</v>
      </c>
      <c r="CN55" s="106">
        <v>43</v>
      </c>
      <c r="CO55" s="106">
        <v>28534.799999999999</v>
      </c>
      <c r="CP55" s="106">
        <v>32</v>
      </c>
      <c r="CQ55" s="106">
        <v>21235.200000000001</v>
      </c>
      <c r="CR55" s="106">
        <v>55</v>
      </c>
      <c r="CS55" s="106">
        <v>36498</v>
      </c>
      <c r="CT55" s="106">
        <v>50</v>
      </c>
      <c r="CU55" s="106">
        <v>33180</v>
      </c>
    </row>
    <row r="56" spans="2:99" x14ac:dyDescent="0.2">
      <c r="C56" s="105" t="s">
        <v>221</v>
      </c>
      <c r="D56" s="106">
        <v>44</v>
      </c>
      <c r="E56" s="106">
        <v>50635.199999999997</v>
      </c>
      <c r="F56" s="106">
        <v>31</v>
      </c>
      <c r="G56" s="106">
        <v>35674.799999999996</v>
      </c>
      <c r="H56" s="106">
        <v>30</v>
      </c>
      <c r="I56" s="106">
        <v>34524</v>
      </c>
      <c r="J56" s="106">
        <v>29</v>
      </c>
      <c r="K56" s="106">
        <v>33373.199999999997</v>
      </c>
      <c r="L56" s="106">
        <v>32.803921568627452</v>
      </c>
      <c r="M56" s="106">
        <v>37750.75294117647</v>
      </c>
      <c r="N56" s="106">
        <v>44.415069398545938</v>
      </c>
      <c r="O56" s="106">
        <v>51112.861863846665</v>
      </c>
      <c r="P56" s="106">
        <v>46</v>
      </c>
      <c r="Q56" s="106">
        <v>52936.799999999996</v>
      </c>
      <c r="R56" s="106">
        <v>44.801951779563716</v>
      </c>
      <c r="S56" s="106">
        <v>51558.086107921925</v>
      </c>
      <c r="T56" s="106">
        <v>30.987514188422246</v>
      </c>
      <c r="U56" s="106">
        <v>35660.43132803632</v>
      </c>
      <c r="V56" s="106">
        <v>42.093541202672604</v>
      </c>
      <c r="W56" s="106">
        <v>48441.247216035634</v>
      </c>
      <c r="X56" s="106">
        <v>28.290551611141453</v>
      </c>
      <c r="Y56" s="106">
        <v>32556.766794101582</v>
      </c>
      <c r="Z56" s="106">
        <v>32.513661202185794</v>
      </c>
      <c r="AA56" s="106">
        <v>37416.721311475412</v>
      </c>
      <c r="AB56" s="106">
        <v>40.33898305084746</v>
      </c>
      <c r="AC56" s="106">
        <v>46422.101694915254</v>
      </c>
      <c r="AD56" s="106">
        <v>28.028747433264886</v>
      </c>
      <c r="AE56" s="106">
        <v>32255.48254620123</v>
      </c>
      <c r="AF56" s="106">
        <v>44.257112750263438</v>
      </c>
      <c r="AG56" s="106">
        <v>50931.08535300316</v>
      </c>
      <c r="AH56" s="106">
        <v>44</v>
      </c>
      <c r="AI56" s="106">
        <v>50635.199999999997</v>
      </c>
      <c r="AJ56" s="106">
        <v>26.061349693251536</v>
      </c>
      <c r="AK56" s="106">
        <v>29991.401226993865</v>
      </c>
      <c r="AL56" s="106">
        <v>39.56326268464997</v>
      </c>
      <c r="AM56" s="106">
        <v>45529.402697495185</v>
      </c>
      <c r="AN56" s="106">
        <v>27</v>
      </c>
      <c r="AO56" s="106">
        <v>31071.599999999999</v>
      </c>
      <c r="AP56" s="106">
        <v>37</v>
      </c>
      <c r="AQ56" s="106">
        <v>42579.6</v>
      </c>
      <c r="AR56" s="106">
        <v>32</v>
      </c>
      <c r="AS56" s="106">
        <v>36825.599999999999</v>
      </c>
      <c r="AT56" s="106">
        <v>28</v>
      </c>
      <c r="AU56" s="106">
        <v>32222.399999999998</v>
      </c>
      <c r="AV56" s="106">
        <v>44</v>
      </c>
      <c r="AW56" s="106">
        <v>50635.199999999997</v>
      </c>
      <c r="AX56" s="106">
        <v>47.367489270386265</v>
      </c>
      <c r="AY56" s="106">
        <v>54510.506652360513</v>
      </c>
      <c r="AZ56" s="106">
        <v>35.331230283911673</v>
      </c>
      <c r="BA56" s="106">
        <v>40659.179810725553</v>
      </c>
      <c r="BB56" s="106">
        <v>54</v>
      </c>
      <c r="BC56" s="106">
        <v>62143.199999999997</v>
      </c>
      <c r="BD56" s="106">
        <v>39.723945409429277</v>
      </c>
      <c r="BE56" s="106">
        <v>45714.316377171213</v>
      </c>
      <c r="BF56" s="106">
        <v>41.921397379912662</v>
      </c>
      <c r="BG56" s="106">
        <v>48243.14410480349</v>
      </c>
      <c r="BH56" s="106">
        <v>39.608269858541895</v>
      </c>
      <c r="BI56" s="106">
        <v>45581.196953210012</v>
      </c>
      <c r="BJ56" s="106">
        <v>42.424242424242422</v>
      </c>
      <c r="BK56" s="106">
        <v>48821.818181818177</v>
      </c>
      <c r="BL56" s="106">
        <v>30.833333333333336</v>
      </c>
      <c r="BM56" s="106">
        <v>35483</v>
      </c>
      <c r="BN56" s="106">
        <v>45.714285714285715</v>
      </c>
      <c r="BO56" s="106">
        <v>52608</v>
      </c>
      <c r="BP56" s="106">
        <v>48.464544946957005</v>
      </c>
      <c r="BQ56" s="106">
        <v>55772.99832495812</v>
      </c>
      <c r="BR56" s="106">
        <v>33.644859813084111</v>
      </c>
      <c r="BS56" s="106">
        <v>38718.504672897194</v>
      </c>
      <c r="BT56" s="106">
        <v>38.773491592482692</v>
      </c>
      <c r="BU56" s="106">
        <v>44620.534124629077</v>
      </c>
      <c r="BV56" s="106">
        <v>38.22304488662656</v>
      </c>
      <c r="BW56" s="106">
        <v>43987.080055529841</v>
      </c>
      <c r="BX56" s="106">
        <v>36</v>
      </c>
      <c r="BY56" s="106">
        <v>41428.799999999996</v>
      </c>
      <c r="BZ56" s="106">
        <v>37.811881188118811</v>
      </c>
      <c r="CA56" s="106">
        <v>43513.912871287124</v>
      </c>
      <c r="CB56" s="106">
        <v>31</v>
      </c>
      <c r="CC56" s="106">
        <v>35674.799999999996</v>
      </c>
      <c r="CD56" s="106">
        <v>30</v>
      </c>
      <c r="CE56" s="106">
        <v>34524</v>
      </c>
      <c r="CF56" s="106">
        <v>29</v>
      </c>
      <c r="CG56" s="106">
        <v>33373.199999999997</v>
      </c>
      <c r="CH56" s="106">
        <v>33</v>
      </c>
      <c r="CI56" s="106">
        <v>37976.400000000001</v>
      </c>
      <c r="CJ56" s="106">
        <v>29</v>
      </c>
      <c r="CK56" s="106">
        <v>33373.199999999997</v>
      </c>
      <c r="CL56" s="106">
        <v>42</v>
      </c>
      <c r="CM56" s="106">
        <v>48333.599999999999</v>
      </c>
      <c r="CN56" s="106">
        <v>46</v>
      </c>
      <c r="CO56" s="106">
        <v>52936.799999999996</v>
      </c>
      <c r="CP56" s="106">
        <v>27</v>
      </c>
      <c r="CQ56" s="106">
        <v>31071.599999999999</v>
      </c>
      <c r="CR56" s="106">
        <v>48</v>
      </c>
      <c r="CS56" s="106">
        <v>55238.399999999994</v>
      </c>
      <c r="CT56" s="106">
        <v>43.146784486990676</v>
      </c>
      <c r="CU56" s="106">
        <v>49653.319587628866</v>
      </c>
    </row>
    <row r="57" spans="2:99" x14ac:dyDescent="0.2">
      <c r="C57" s="105" t="s">
        <v>222</v>
      </c>
      <c r="D57" s="106">
        <v>41</v>
      </c>
      <c r="E57" s="106">
        <v>57859.200000000004</v>
      </c>
      <c r="F57" s="106">
        <v>36</v>
      </c>
      <c r="G57" s="106">
        <v>50803.200000000004</v>
      </c>
      <c r="H57" s="106">
        <v>26</v>
      </c>
      <c r="I57" s="106">
        <v>36691.200000000004</v>
      </c>
      <c r="J57" s="106">
        <v>31</v>
      </c>
      <c r="K57" s="106">
        <v>43747.200000000004</v>
      </c>
      <c r="L57" s="106">
        <v>37</v>
      </c>
      <c r="M57" s="106">
        <v>52214.400000000001</v>
      </c>
      <c r="N57" s="106">
        <v>47</v>
      </c>
      <c r="O57" s="106">
        <v>66326.400000000009</v>
      </c>
      <c r="P57" s="106">
        <v>45</v>
      </c>
      <c r="Q57" s="106">
        <v>63504</v>
      </c>
      <c r="R57" s="106">
        <v>49</v>
      </c>
      <c r="S57" s="106">
        <v>69148.800000000003</v>
      </c>
      <c r="T57" s="106">
        <v>40</v>
      </c>
      <c r="U57" s="106">
        <v>56448</v>
      </c>
      <c r="V57" s="106">
        <v>57</v>
      </c>
      <c r="W57" s="106">
        <v>80438.400000000009</v>
      </c>
      <c r="X57" s="106">
        <v>33</v>
      </c>
      <c r="Y57" s="106">
        <v>46569.599999999999</v>
      </c>
      <c r="Z57" s="106">
        <v>33</v>
      </c>
      <c r="AA57" s="106">
        <v>46569.599999999999</v>
      </c>
      <c r="AB57" s="106">
        <v>44</v>
      </c>
      <c r="AC57" s="106">
        <v>62092.800000000003</v>
      </c>
      <c r="AD57" s="106">
        <v>32</v>
      </c>
      <c r="AE57" s="106">
        <v>45158.400000000001</v>
      </c>
      <c r="AF57" s="106">
        <v>53</v>
      </c>
      <c r="AG57" s="106">
        <v>74793.600000000006</v>
      </c>
      <c r="AH57" s="106">
        <v>48</v>
      </c>
      <c r="AI57" s="106">
        <v>67737.600000000006</v>
      </c>
      <c r="AJ57" s="106">
        <v>29</v>
      </c>
      <c r="AK57" s="106">
        <v>40924.800000000003</v>
      </c>
      <c r="AL57" s="106">
        <v>36</v>
      </c>
      <c r="AM57" s="106">
        <v>50803.200000000004</v>
      </c>
      <c r="AN57" s="106">
        <v>29</v>
      </c>
      <c r="AO57" s="106">
        <v>40924.800000000003</v>
      </c>
      <c r="AP57" s="106">
        <v>34</v>
      </c>
      <c r="AQ57" s="106">
        <v>47980.800000000003</v>
      </c>
      <c r="AR57" s="106">
        <v>34</v>
      </c>
      <c r="AS57" s="106">
        <v>47980.800000000003</v>
      </c>
      <c r="AT57" s="106">
        <v>28</v>
      </c>
      <c r="AU57" s="106">
        <v>39513.599999999999</v>
      </c>
      <c r="AV57" s="106">
        <v>44</v>
      </c>
      <c r="AW57" s="106">
        <v>62092.800000000003</v>
      </c>
      <c r="AX57" s="106">
        <v>54</v>
      </c>
      <c r="AY57" s="106">
        <v>76204.800000000003</v>
      </c>
      <c r="AZ57" s="106">
        <v>51</v>
      </c>
      <c r="BA57" s="106">
        <v>71971.199999999997</v>
      </c>
      <c r="BB57" s="106">
        <v>49</v>
      </c>
      <c r="BC57" s="106">
        <v>69148.800000000003</v>
      </c>
      <c r="BD57" s="106">
        <v>41</v>
      </c>
      <c r="BE57" s="106">
        <v>57859.200000000004</v>
      </c>
      <c r="BF57" s="106">
        <v>46</v>
      </c>
      <c r="BG57" s="106">
        <v>64915.200000000004</v>
      </c>
      <c r="BH57" s="106">
        <v>45</v>
      </c>
      <c r="BI57" s="106">
        <v>63504</v>
      </c>
      <c r="BJ57" s="106">
        <v>50</v>
      </c>
      <c r="BK57" s="106">
        <v>70560</v>
      </c>
      <c r="BL57" s="106">
        <v>34</v>
      </c>
      <c r="BM57" s="106">
        <v>47980.800000000003</v>
      </c>
      <c r="BN57" s="106">
        <v>54</v>
      </c>
      <c r="BO57" s="106">
        <v>76204.800000000003</v>
      </c>
      <c r="BP57" s="106">
        <v>54</v>
      </c>
      <c r="BQ57" s="106">
        <v>76204.800000000003</v>
      </c>
      <c r="BR57" s="106">
        <v>32</v>
      </c>
      <c r="BS57" s="106">
        <v>45158.400000000001</v>
      </c>
      <c r="BT57" s="106">
        <v>46</v>
      </c>
      <c r="BU57" s="106">
        <v>64915.200000000004</v>
      </c>
      <c r="BV57" s="106">
        <v>50</v>
      </c>
      <c r="BW57" s="106">
        <v>70560</v>
      </c>
      <c r="BX57" s="106">
        <v>37</v>
      </c>
      <c r="BY57" s="106">
        <v>52214.400000000001</v>
      </c>
      <c r="BZ57" s="106">
        <v>37</v>
      </c>
      <c r="CA57" s="106">
        <v>52214.400000000001</v>
      </c>
      <c r="CB57" s="106">
        <v>29</v>
      </c>
      <c r="CC57" s="106">
        <v>40924.800000000003</v>
      </c>
      <c r="CD57" s="106">
        <v>28</v>
      </c>
      <c r="CE57" s="106">
        <v>39513.599999999999</v>
      </c>
      <c r="CF57" s="106">
        <v>26</v>
      </c>
      <c r="CG57" s="106">
        <v>36691.200000000004</v>
      </c>
      <c r="CH57" s="106">
        <v>33</v>
      </c>
      <c r="CI57" s="106">
        <v>46569.599999999999</v>
      </c>
      <c r="CJ57" s="106">
        <v>28</v>
      </c>
      <c r="CK57" s="106">
        <v>39513.599999999999</v>
      </c>
      <c r="CL57" s="106">
        <v>35</v>
      </c>
      <c r="CM57" s="106">
        <v>49392</v>
      </c>
      <c r="CN57" s="106">
        <v>44</v>
      </c>
      <c r="CO57" s="106">
        <v>62092.800000000003</v>
      </c>
      <c r="CP57" s="106">
        <v>27</v>
      </c>
      <c r="CQ57" s="106">
        <v>38102.400000000001</v>
      </c>
      <c r="CR57" s="106">
        <v>49</v>
      </c>
      <c r="CS57" s="106">
        <v>69148.800000000003</v>
      </c>
      <c r="CT57" s="106">
        <v>39</v>
      </c>
      <c r="CU57" s="106">
        <v>55036.800000000003</v>
      </c>
    </row>
    <row r="58" spans="2:99" x14ac:dyDescent="0.2">
      <c r="C58" s="105" t="s">
        <v>223</v>
      </c>
      <c r="D58" s="106">
        <v>43</v>
      </c>
      <c r="E58" s="106">
        <v>50619.6</v>
      </c>
      <c r="F58" s="106">
        <v>35</v>
      </c>
      <c r="G58" s="106">
        <v>41202</v>
      </c>
      <c r="H58" s="106">
        <v>28</v>
      </c>
      <c r="I58" s="106">
        <v>32961.599999999999</v>
      </c>
      <c r="J58" s="106">
        <v>31</v>
      </c>
      <c r="K58" s="106">
        <v>36493.200000000004</v>
      </c>
      <c r="L58" s="106">
        <v>28.898692810457515</v>
      </c>
      <c r="M58" s="106">
        <v>34019.541176470586</v>
      </c>
      <c r="N58" s="106">
        <v>40.713813615333777</v>
      </c>
      <c r="O58" s="106">
        <v>47928.301387970925</v>
      </c>
      <c r="P58" s="106">
        <v>44</v>
      </c>
      <c r="Q58" s="106">
        <v>51796.800000000003</v>
      </c>
      <c r="R58" s="106">
        <v>49.689437428243394</v>
      </c>
      <c r="S58" s="106">
        <v>58494.405740528127</v>
      </c>
      <c r="T58" s="106">
        <v>32.576617480136207</v>
      </c>
      <c r="U58" s="106">
        <v>38349.194097616346</v>
      </c>
      <c r="V58" s="106">
        <v>45.211581291759465</v>
      </c>
      <c r="W58" s="106">
        <v>53223.073496659243</v>
      </c>
      <c r="X58" s="106">
        <v>28.290551611141453</v>
      </c>
      <c r="Y58" s="106">
        <v>33303.637356635722</v>
      </c>
      <c r="Z58" s="106">
        <v>29.644808743169399</v>
      </c>
      <c r="AA58" s="106">
        <v>34897.868852459018</v>
      </c>
      <c r="AB58" s="106">
        <v>35.593220338983052</v>
      </c>
      <c r="AC58" s="106">
        <v>41900.338983050853</v>
      </c>
      <c r="AD58" s="106">
        <v>25.154004106776181</v>
      </c>
      <c r="AE58" s="106">
        <v>29611.29363449692</v>
      </c>
      <c r="AF58" s="106">
        <v>42.781875658587992</v>
      </c>
      <c r="AG58" s="106">
        <v>50362.824025289789</v>
      </c>
      <c r="AH58" s="106">
        <v>43</v>
      </c>
      <c r="AI58" s="106">
        <v>50619.6</v>
      </c>
      <c r="AJ58" s="106">
        <v>27.991820040899796</v>
      </c>
      <c r="AK58" s="106">
        <v>32951.970552147242</v>
      </c>
      <c r="AL58" s="106">
        <v>37.764932562620423</v>
      </c>
      <c r="AM58" s="106">
        <v>44456.878612716762</v>
      </c>
      <c r="AN58" s="106">
        <v>32</v>
      </c>
      <c r="AO58" s="106">
        <v>37670.400000000001</v>
      </c>
      <c r="AP58" s="106">
        <v>38</v>
      </c>
      <c r="AQ58" s="106">
        <v>44733.599999999999</v>
      </c>
      <c r="AR58" s="106">
        <v>32</v>
      </c>
      <c r="AS58" s="106">
        <v>37670.400000000001</v>
      </c>
      <c r="AT58" s="106">
        <v>29</v>
      </c>
      <c r="AU58" s="106">
        <v>34138.800000000003</v>
      </c>
      <c r="AV58" s="106">
        <v>44</v>
      </c>
      <c r="AW58" s="106">
        <v>51796.800000000003</v>
      </c>
      <c r="AX58" s="106">
        <v>40.719420600858371</v>
      </c>
      <c r="AY58" s="106">
        <v>47934.901931330474</v>
      </c>
      <c r="AZ58" s="106">
        <v>39.747634069400632</v>
      </c>
      <c r="BA58" s="106">
        <v>46790.914826498425</v>
      </c>
      <c r="BB58" s="106">
        <v>45</v>
      </c>
      <c r="BC58" s="106">
        <v>52974</v>
      </c>
      <c r="BD58" s="106">
        <v>32.661910669975185</v>
      </c>
      <c r="BE58" s="106">
        <v>38449.601240694792</v>
      </c>
      <c r="BF58" s="106">
        <v>38.427947598253276</v>
      </c>
      <c r="BG58" s="106">
        <v>45237.37991266376</v>
      </c>
      <c r="BH58" s="106">
        <v>35.799782372143632</v>
      </c>
      <c r="BI58" s="106">
        <v>42143.503808487483</v>
      </c>
      <c r="BJ58" s="106">
        <v>43.887147335423194</v>
      </c>
      <c r="BK58" s="106">
        <v>51663.949843260183</v>
      </c>
      <c r="BL58" s="106">
        <v>28.333333333333336</v>
      </c>
      <c r="BM58" s="106">
        <v>33354.000000000007</v>
      </c>
      <c r="BN58" s="106">
        <v>45.714285714285715</v>
      </c>
      <c r="BO58" s="106">
        <v>53814.857142857145</v>
      </c>
      <c r="BP58" s="106">
        <v>47.682858738135117</v>
      </c>
      <c r="BQ58" s="106">
        <v>56132.261306532659</v>
      </c>
      <c r="BR58" s="106">
        <v>35.514018691588781</v>
      </c>
      <c r="BS58" s="106">
        <v>41807.102803738315</v>
      </c>
      <c r="BT58" s="106">
        <v>37.388724035608305</v>
      </c>
      <c r="BU58" s="106">
        <v>44014.005934718101</v>
      </c>
      <c r="BV58" s="106">
        <v>34.983803794539561</v>
      </c>
      <c r="BW58" s="106">
        <v>41182.933826931971</v>
      </c>
      <c r="BX58" s="106">
        <v>36</v>
      </c>
      <c r="BY58" s="106">
        <v>42379.200000000004</v>
      </c>
      <c r="BZ58" s="106">
        <v>35.821782178217823</v>
      </c>
      <c r="CA58" s="106">
        <v>42169.401980198025</v>
      </c>
      <c r="CB58" s="106">
        <v>34</v>
      </c>
      <c r="CC58" s="106">
        <v>40024.800000000003</v>
      </c>
      <c r="CD58" s="106">
        <v>33</v>
      </c>
      <c r="CE58" s="106">
        <v>38847.599999999999</v>
      </c>
      <c r="CF58" s="106">
        <v>29</v>
      </c>
      <c r="CG58" s="106">
        <v>34138.800000000003</v>
      </c>
      <c r="CH58" s="106">
        <v>33</v>
      </c>
      <c r="CI58" s="106">
        <v>38847.599999999999</v>
      </c>
      <c r="CJ58" s="106">
        <v>30</v>
      </c>
      <c r="CK58" s="106">
        <v>35316</v>
      </c>
      <c r="CL58" s="106">
        <v>41</v>
      </c>
      <c r="CM58" s="106">
        <v>48265.200000000004</v>
      </c>
      <c r="CN58" s="106">
        <v>47</v>
      </c>
      <c r="CO58" s="106">
        <v>55328.4</v>
      </c>
      <c r="CP58" s="106">
        <v>31</v>
      </c>
      <c r="CQ58" s="106">
        <v>36493.200000000004</v>
      </c>
      <c r="CR58" s="106">
        <v>51</v>
      </c>
      <c r="CS58" s="106">
        <v>60037.200000000004</v>
      </c>
      <c r="CT58" s="106">
        <v>38.556701030927833</v>
      </c>
      <c r="CU58" s="106">
        <v>45388.948453608245</v>
      </c>
    </row>
    <row r="59" spans="2:99" x14ac:dyDescent="0.2">
      <c r="C59" s="105" t="s">
        <v>224</v>
      </c>
      <c r="D59" s="106">
        <v>48</v>
      </c>
      <c r="E59" s="106">
        <v>14572.8</v>
      </c>
      <c r="F59" s="106">
        <v>39</v>
      </c>
      <c r="G59" s="106">
        <v>11840.399999999998</v>
      </c>
      <c r="H59" s="106">
        <v>33</v>
      </c>
      <c r="I59" s="106">
        <v>10018.799999999999</v>
      </c>
      <c r="J59" s="106">
        <v>39</v>
      </c>
      <c r="K59" s="106">
        <v>11840.399999999998</v>
      </c>
      <c r="L59" s="106">
        <v>49</v>
      </c>
      <c r="M59" s="106">
        <v>14876.399999999998</v>
      </c>
      <c r="N59" s="106">
        <v>59</v>
      </c>
      <c r="O59" s="106">
        <v>17912.399999999998</v>
      </c>
      <c r="P59" s="106">
        <v>46</v>
      </c>
      <c r="Q59" s="106">
        <v>13965.599999999999</v>
      </c>
      <c r="R59" s="106">
        <v>70</v>
      </c>
      <c r="S59" s="106">
        <v>21251.999999999996</v>
      </c>
      <c r="T59" s="106">
        <v>48</v>
      </c>
      <c r="U59" s="106">
        <v>14572.8</v>
      </c>
      <c r="V59" s="106">
        <v>60</v>
      </c>
      <c r="W59" s="106">
        <v>18215.999999999996</v>
      </c>
      <c r="X59" s="106">
        <v>39</v>
      </c>
      <c r="Y59" s="106">
        <v>11840.399999999998</v>
      </c>
      <c r="Z59" s="106">
        <v>40</v>
      </c>
      <c r="AA59" s="106">
        <v>12143.999999999998</v>
      </c>
      <c r="AB59" s="106">
        <v>58</v>
      </c>
      <c r="AC59" s="106">
        <v>17608.8</v>
      </c>
      <c r="AD59" s="106">
        <v>43</v>
      </c>
      <c r="AE59" s="106">
        <v>13054.8</v>
      </c>
      <c r="AF59" s="106">
        <v>69</v>
      </c>
      <c r="AG59" s="106">
        <v>20948.399999999998</v>
      </c>
      <c r="AH59" s="106">
        <v>52</v>
      </c>
      <c r="AI59" s="106">
        <v>15787.199999999999</v>
      </c>
      <c r="AJ59" s="106">
        <v>35</v>
      </c>
      <c r="AK59" s="106">
        <v>10625.999999999998</v>
      </c>
      <c r="AL59" s="106">
        <v>42</v>
      </c>
      <c r="AM59" s="106">
        <v>12751.199999999999</v>
      </c>
      <c r="AN59" s="106">
        <v>33</v>
      </c>
      <c r="AO59" s="106">
        <v>10018.799999999999</v>
      </c>
      <c r="AP59" s="106">
        <v>44</v>
      </c>
      <c r="AQ59" s="106">
        <v>13358.399999999998</v>
      </c>
      <c r="AR59" s="106">
        <v>43</v>
      </c>
      <c r="AS59" s="106">
        <v>13054.8</v>
      </c>
      <c r="AT59" s="106">
        <v>31</v>
      </c>
      <c r="AU59" s="106">
        <v>9411.5999999999985</v>
      </c>
      <c r="AV59" s="106">
        <v>51</v>
      </c>
      <c r="AW59" s="106">
        <v>15483.599999999999</v>
      </c>
      <c r="AX59" s="106">
        <v>56</v>
      </c>
      <c r="AY59" s="106">
        <v>17001.599999999999</v>
      </c>
      <c r="AZ59" s="106">
        <v>66</v>
      </c>
      <c r="BA59" s="106">
        <v>20037.599999999999</v>
      </c>
      <c r="BB59" s="106">
        <v>61</v>
      </c>
      <c r="BC59" s="106">
        <v>18519.599999999999</v>
      </c>
      <c r="BD59" s="106">
        <v>52</v>
      </c>
      <c r="BE59" s="106">
        <v>15787.199999999999</v>
      </c>
      <c r="BF59" s="106">
        <v>57</v>
      </c>
      <c r="BG59" s="106">
        <v>17305.199999999997</v>
      </c>
      <c r="BH59" s="106">
        <v>62</v>
      </c>
      <c r="BI59" s="106">
        <v>18823.199999999997</v>
      </c>
      <c r="BJ59" s="106">
        <v>63</v>
      </c>
      <c r="BK59" s="106">
        <v>19126.8</v>
      </c>
      <c r="BL59" s="106">
        <v>45</v>
      </c>
      <c r="BM59" s="106">
        <v>13661.999999999998</v>
      </c>
      <c r="BN59" s="106">
        <v>56</v>
      </c>
      <c r="BO59" s="106">
        <v>17001.599999999999</v>
      </c>
      <c r="BP59" s="106">
        <v>65</v>
      </c>
      <c r="BQ59" s="106">
        <v>19733.999999999996</v>
      </c>
      <c r="BR59" s="106">
        <v>44</v>
      </c>
      <c r="BS59" s="106">
        <v>13358.399999999998</v>
      </c>
      <c r="BT59" s="106">
        <v>61</v>
      </c>
      <c r="BU59" s="106">
        <v>18519.599999999999</v>
      </c>
      <c r="BV59" s="106">
        <v>68</v>
      </c>
      <c r="BW59" s="106">
        <v>20644.8</v>
      </c>
      <c r="BX59" s="106">
        <v>43</v>
      </c>
      <c r="BY59" s="106">
        <v>13054.8</v>
      </c>
      <c r="BZ59" s="106">
        <v>43</v>
      </c>
      <c r="CA59" s="106">
        <v>13054.8</v>
      </c>
      <c r="CB59" s="106">
        <v>33</v>
      </c>
      <c r="CC59" s="106">
        <v>10018.799999999999</v>
      </c>
      <c r="CD59" s="106">
        <v>37</v>
      </c>
      <c r="CE59" s="106">
        <v>11233.199999999999</v>
      </c>
      <c r="CF59" s="106">
        <v>32</v>
      </c>
      <c r="CG59" s="106">
        <v>9715.1999999999989</v>
      </c>
      <c r="CH59" s="106">
        <v>35</v>
      </c>
      <c r="CI59" s="106">
        <v>10625.999999999998</v>
      </c>
      <c r="CJ59" s="106">
        <v>31</v>
      </c>
      <c r="CK59" s="106">
        <v>9411.5999999999985</v>
      </c>
      <c r="CL59" s="106">
        <v>41</v>
      </c>
      <c r="CM59" s="106">
        <v>12447.599999999999</v>
      </c>
      <c r="CN59" s="106">
        <v>52</v>
      </c>
      <c r="CO59" s="106">
        <v>15787.199999999999</v>
      </c>
      <c r="CP59" s="106">
        <v>32</v>
      </c>
      <c r="CQ59" s="106">
        <v>9715.1999999999989</v>
      </c>
      <c r="CR59" s="106">
        <v>50</v>
      </c>
      <c r="CS59" s="106">
        <v>15179.999999999998</v>
      </c>
      <c r="CT59" s="106">
        <v>56</v>
      </c>
      <c r="CU59" s="106">
        <v>17001.599999999999</v>
      </c>
    </row>
    <row r="60" spans="2:99" x14ac:dyDescent="0.2">
      <c r="C60" s="105" t="s">
        <v>225</v>
      </c>
      <c r="D60" s="106">
        <v>44</v>
      </c>
      <c r="E60" s="106">
        <v>28670.400000000001</v>
      </c>
      <c r="F60" s="106">
        <v>37</v>
      </c>
      <c r="G60" s="106">
        <v>24109.200000000001</v>
      </c>
      <c r="H60" s="106">
        <v>30</v>
      </c>
      <c r="I60" s="106">
        <v>19548</v>
      </c>
      <c r="J60" s="106">
        <v>31</v>
      </c>
      <c r="K60" s="106">
        <v>20199.600000000002</v>
      </c>
      <c r="L60" s="106">
        <v>46</v>
      </c>
      <c r="M60" s="106">
        <v>29973.600000000002</v>
      </c>
      <c r="N60" s="106">
        <v>48</v>
      </c>
      <c r="O60" s="106">
        <v>31276.800000000003</v>
      </c>
      <c r="P60" s="106">
        <v>47</v>
      </c>
      <c r="Q60" s="106">
        <v>30625.200000000001</v>
      </c>
      <c r="R60" s="106">
        <v>62</v>
      </c>
      <c r="S60" s="106">
        <v>40399.200000000004</v>
      </c>
      <c r="T60" s="106">
        <v>45</v>
      </c>
      <c r="U60" s="106">
        <v>29322</v>
      </c>
      <c r="V60" s="106">
        <v>63</v>
      </c>
      <c r="W60" s="106">
        <v>41050.800000000003</v>
      </c>
      <c r="X60" s="106">
        <v>35</v>
      </c>
      <c r="Y60" s="106">
        <v>22806</v>
      </c>
      <c r="Z60" s="106">
        <v>37</v>
      </c>
      <c r="AA60" s="106">
        <v>24109.200000000001</v>
      </c>
      <c r="AB60" s="106">
        <v>57</v>
      </c>
      <c r="AC60" s="106">
        <v>37141.200000000004</v>
      </c>
      <c r="AD60" s="106">
        <v>40</v>
      </c>
      <c r="AE60" s="106">
        <v>26064</v>
      </c>
      <c r="AF60" s="106">
        <v>64</v>
      </c>
      <c r="AG60" s="106">
        <v>41702.400000000001</v>
      </c>
      <c r="AH60" s="106">
        <v>57</v>
      </c>
      <c r="AI60" s="106">
        <v>37141.200000000004</v>
      </c>
      <c r="AJ60" s="106">
        <v>32</v>
      </c>
      <c r="AK60" s="106">
        <v>20851.2</v>
      </c>
      <c r="AL60" s="106">
        <v>47</v>
      </c>
      <c r="AM60" s="106">
        <v>30625.200000000001</v>
      </c>
      <c r="AN60" s="106">
        <v>34</v>
      </c>
      <c r="AO60" s="106">
        <v>22154.400000000001</v>
      </c>
      <c r="AP60" s="106">
        <v>40</v>
      </c>
      <c r="AQ60" s="106">
        <v>26064</v>
      </c>
      <c r="AR60" s="106">
        <v>34</v>
      </c>
      <c r="AS60" s="106">
        <v>22154.400000000001</v>
      </c>
      <c r="AT60" s="106">
        <v>34</v>
      </c>
      <c r="AU60" s="106">
        <v>22154.400000000001</v>
      </c>
      <c r="AV60" s="106">
        <v>49</v>
      </c>
      <c r="AW60" s="106">
        <v>31928.400000000001</v>
      </c>
      <c r="AX60" s="106">
        <v>52</v>
      </c>
      <c r="AY60" s="106">
        <v>33883.200000000004</v>
      </c>
      <c r="AZ60" s="106">
        <v>59</v>
      </c>
      <c r="BA60" s="106">
        <v>38444.400000000001</v>
      </c>
      <c r="BB60" s="106">
        <v>60</v>
      </c>
      <c r="BC60" s="106">
        <v>39096</v>
      </c>
      <c r="BD60" s="106">
        <v>45</v>
      </c>
      <c r="BE60" s="106">
        <v>29322</v>
      </c>
      <c r="BF60" s="106">
        <v>45</v>
      </c>
      <c r="BG60" s="106">
        <v>29322</v>
      </c>
      <c r="BH60" s="106">
        <v>50</v>
      </c>
      <c r="BI60" s="106">
        <v>32580</v>
      </c>
      <c r="BJ60" s="106">
        <v>56</v>
      </c>
      <c r="BK60" s="106">
        <v>36489.599999999999</v>
      </c>
      <c r="BL60" s="106">
        <v>38</v>
      </c>
      <c r="BM60" s="106">
        <v>24760.799999999999</v>
      </c>
      <c r="BN60" s="106">
        <v>54</v>
      </c>
      <c r="BO60" s="106">
        <v>35186.400000000001</v>
      </c>
      <c r="BP60" s="106">
        <v>63</v>
      </c>
      <c r="BQ60" s="106">
        <v>41050.800000000003</v>
      </c>
      <c r="BR60" s="106">
        <v>39</v>
      </c>
      <c r="BS60" s="106">
        <v>25412.400000000001</v>
      </c>
      <c r="BT60" s="106">
        <v>55</v>
      </c>
      <c r="BU60" s="106">
        <v>35838</v>
      </c>
      <c r="BV60" s="106">
        <v>67</v>
      </c>
      <c r="BW60" s="106">
        <v>43657.200000000004</v>
      </c>
      <c r="BX60" s="106">
        <v>39</v>
      </c>
      <c r="BY60" s="106">
        <v>25412.400000000001</v>
      </c>
      <c r="BZ60" s="106">
        <v>36</v>
      </c>
      <c r="CA60" s="106">
        <v>23457.600000000002</v>
      </c>
      <c r="CB60" s="106">
        <v>34</v>
      </c>
      <c r="CC60" s="106">
        <v>22154.400000000001</v>
      </c>
      <c r="CD60" s="106">
        <v>33</v>
      </c>
      <c r="CE60" s="106">
        <v>21502.799999999999</v>
      </c>
      <c r="CF60" s="106">
        <v>29</v>
      </c>
      <c r="CG60" s="106">
        <v>18896.400000000001</v>
      </c>
      <c r="CH60" s="106">
        <v>37</v>
      </c>
      <c r="CI60" s="106">
        <v>24109.200000000001</v>
      </c>
      <c r="CJ60" s="106">
        <v>29</v>
      </c>
      <c r="CK60" s="106">
        <v>18896.400000000001</v>
      </c>
      <c r="CL60" s="106">
        <v>42</v>
      </c>
      <c r="CM60" s="106">
        <v>27367.200000000001</v>
      </c>
      <c r="CN60" s="106">
        <v>47</v>
      </c>
      <c r="CO60" s="106">
        <v>30625.200000000001</v>
      </c>
      <c r="CP60" s="106">
        <v>31</v>
      </c>
      <c r="CQ60" s="106">
        <v>20199.600000000002</v>
      </c>
      <c r="CR60" s="106">
        <v>54</v>
      </c>
      <c r="CS60" s="106">
        <v>35186.400000000001</v>
      </c>
      <c r="CT60" s="106">
        <v>44</v>
      </c>
      <c r="CU60" s="106">
        <v>28670.400000000001</v>
      </c>
    </row>
    <row r="61" spans="2:99" x14ac:dyDescent="0.2">
      <c r="C61" s="105" t="s">
        <v>226</v>
      </c>
      <c r="D61" s="106">
        <v>43</v>
      </c>
      <c r="E61" s="106">
        <v>40918.799999999996</v>
      </c>
      <c r="F61" s="106">
        <v>37</v>
      </c>
      <c r="G61" s="106">
        <v>35209.199999999997</v>
      </c>
      <c r="H61" s="106">
        <v>28</v>
      </c>
      <c r="I61" s="106">
        <v>26644.799999999996</v>
      </c>
      <c r="J61" s="106">
        <v>30</v>
      </c>
      <c r="K61" s="106">
        <v>28547.999999999996</v>
      </c>
      <c r="L61" s="106">
        <v>40</v>
      </c>
      <c r="M61" s="106">
        <v>38064</v>
      </c>
      <c r="N61" s="106">
        <v>52</v>
      </c>
      <c r="O61" s="106">
        <v>49483.199999999997</v>
      </c>
      <c r="P61" s="106">
        <v>46</v>
      </c>
      <c r="Q61" s="106">
        <v>43773.599999999999</v>
      </c>
      <c r="R61" s="106">
        <v>58</v>
      </c>
      <c r="S61" s="106">
        <v>55192.799999999996</v>
      </c>
      <c r="T61" s="106">
        <v>43</v>
      </c>
      <c r="U61" s="106">
        <v>40918.799999999996</v>
      </c>
      <c r="V61" s="106">
        <v>52</v>
      </c>
      <c r="W61" s="106">
        <v>49483.199999999997</v>
      </c>
      <c r="X61" s="106">
        <v>35</v>
      </c>
      <c r="Y61" s="106">
        <v>33306</v>
      </c>
      <c r="Z61" s="106">
        <v>34</v>
      </c>
      <c r="AA61" s="106">
        <v>32354.399999999998</v>
      </c>
      <c r="AB61" s="106">
        <v>53</v>
      </c>
      <c r="AC61" s="106">
        <v>50434.799999999996</v>
      </c>
      <c r="AD61" s="106">
        <v>35</v>
      </c>
      <c r="AE61" s="106">
        <v>33306</v>
      </c>
      <c r="AF61" s="106">
        <v>59</v>
      </c>
      <c r="AG61" s="106">
        <v>56144.399999999994</v>
      </c>
      <c r="AH61" s="106">
        <v>51</v>
      </c>
      <c r="AI61" s="106">
        <v>48531.6</v>
      </c>
      <c r="AJ61" s="106">
        <v>31</v>
      </c>
      <c r="AK61" s="106">
        <v>29499.599999999999</v>
      </c>
      <c r="AL61" s="106">
        <v>45</v>
      </c>
      <c r="AM61" s="106">
        <v>42821.999999999993</v>
      </c>
      <c r="AN61" s="106">
        <v>33</v>
      </c>
      <c r="AO61" s="106">
        <v>31402.799999999996</v>
      </c>
      <c r="AP61" s="106">
        <v>40</v>
      </c>
      <c r="AQ61" s="106">
        <v>38064</v>
      </c>
      <c r="AR61" s="106">
        <v>33</v>
      </c>
      <c r="AS61" s="106">
        <v>31402.799999999996</v>
      </c>
      <c r="AT61" s="106">
        <v>28</v>
      </c>
      <c r="AU61" s="106">
        <v>26644.799999999996</v>
      </c>
      <c r="AV61" s="106">
        <v>44</v>
      </c>
      <c r="AW61" s="106">
        <v>41870.399999999994</v>
      </c>
      <c r="AX61" s="106">
        <v>57</v>
      </c>
      <c r="AY61" s="106">
        <v>54241.2</v>
      </c>
      <c r="AZ61" s="106">
        <v>57</v>
      </c>
      <c r="BA61" s="106">
        <v>54241.2</v>
      </c>
      <c r="BB61" s="106">
        <v>51</v>
      </c>
      <c r="BC61" s="106">
        <v>48531.6</v>
      </c>
      <c r="BD61" s="106">
        <v>42</v>
      </c>
      <c r="BE61" s="106">
        <v>39967.199999999997</v>
      </c>
      <c r="BF61" s="106">
        <v>45</v>
      </c>
      <c r="BG61" s="106">
        <v>42821.999999999993</v>
      </c>
      <c r="BH61" s="106">
        <v>52</v>
      </c>
      <c r="BI61" s="106">
        <v>49483.199999999997</v>
      </c>
      <c r="BJ61" s="106">
        <v>54</v>
      </c>
      <c r="BK61" s="106">
        <v>51386.399999999994</v>
      </c>
      <c r="BL61" s="106">
        <v>38</v>
      </c>
      <c r="BM61" s="106">
        <v>36160.799999999996</v>
      </c>
      <c r="BN61" s="106">
        <v>50</v>
      </c>
      <c r="BO61" s="106">
        <v>47579.999999999993</v>
      </c>
      <c r="BP61" s="106">
        <v>59</v>
      </c>
      <c r="BQ61" s="106">
        <v>56144.399999999994</v>
      </c>
      <c r="BR61" s="106">
        <v>41</v>
      </c>
      <c r="BS61" s="106">
        <v>39015.599999999999</v>
      </c>
      <c r="BT61" s="106">
        <v>50</v>
      </c>
      <c r="BU61" s="106">
        <v>47579.999999999993</v>
      </c>
      <c r="BV61" s="106">
        <v>63</v>
      </c>
      <c r="BW61" s="106">
        <v>59950.799999999996</v>
      </c>
      <c r="BX61" s="106">
        <v>38</v>
      </c>
      <c r="BY61" s="106">
        <v>36160.799999999996</v>
      </c>
      <c r="BZ61" s="106">
        <v>39</v>
      </c>
      <c r="CA61" s="106">
        <v>37112.399999999994</v>
      </c>
      <c r="CB61" s="106">
        <v>35</v>
      </c>
      <c r="CC61" s="106">
        <v>33306</v>
      </c>
      <c r="CD61" s="106">
        <v>31</v>
      </c>
      <c r="CE61" s="106">
        <v>29499.599999999999</v>
      </c>
      <c r="CF61" s="106">
        <v>29</v>
      </c>
      <c r="CG61" s="106">
        <v>27596.399999999998</v>
      </c>
      <c r="CH61" s="106">
        <v>32</v>
      </c>
      <c r="CI61" s="106">
        <v>30451.199999999997</v>
      </c>
      <c r="CJ61" s="106">
        <v>27</v>
      </c>
      <c r="CK61" s="106">
        <v>25693.199999999997</v>
      </c>
      <c r="CL61" s="106">
        <v>44</v>
      </c>
      <c r="CM61" s="106">
        <v>41870.399999999994</v>
      </c>
      <c r="CN61" s="106">
        <v>44</v>
      </c>
      <c r="CO61" s="106">
        <v>41870.399999999994</v>
      </c>
      <c r="CP61" s="106">
        <v>33</v>
      </c>
      <c r="CQ61" s="106">
        <v>31402.799999999996</v>
      </c>
      <c r="CR61" s="106">
        <v>45</v>
      </c>
      <c r="CS61" s="106">
        <v>42821.999999999993</v>
      </c>
      <c r="CT61" s="106">
        <v>43</v>
      </c>
      <c r="CU61" s="106">
        <v>40918.799999999996</v>
      </c>
    </row>
    <row r="62" spans="2:99" x14ac:dyDescent="0.2">
      <c r="C62" s="105" t="s">
        <v>227</v>
      </c>
      <c r="D62" s="106">
        <v>37</v>
      </c>
      <c r="E62" s="106">
        <v>63092.4</v>
      </c>
      <c r="F62" s="106">
        <v>34</v>
      </c>
      <c r="G62" s="106">
        <v>57976.800000000003</v>
      </c>
      <c r="H62" s="106">
        <v>28</v>
      </c>
      <c r="I62" s="106">
        <v>47745.599999999999</v>
      </c>
      <c r="J62" s="106">
        <v>28</v>
      </c>
      <c r="K62" s="106">
        <v>47745.599999999999</v>
      </c>
      <c r="L62" s="106">
        <v>34</v>
      </c>
      <c r="M62" s="106">
        <v>57976.800000000003</v>
      </c>
      <c r="N62" s="106">
        <v>42</v>
      </c>
      <c r="O62" s="106">
        <v>71618.400000000009</v>
      </c>
      <c r="P62" s="106">
        <v>37</v>
      </c>
      <c r="Q62" s="106">
        <v>63092.4</v>
      </c>
      <c r="R62" s="106">
        <v>53</v>
      </c>
      <c r="S62" s="106">
        <v>90375.6</v>
      </c>
      <c r="T62" s="106">
        <v>36</v>
      </c>
      <c r="U62" s="106">
        <v>61387.200000000004</v>
      </c>
      <c r="V62" s="106">
        <v>54</v>
      </c>
      <c r="W62" s="106">
        <v>92080.8</v>
      </c>
      <c r="X62" s="106">
        <v>32</v>
      </c>
      <c r="Y62" s="106">
        <v>54566.400000000001</v>
      </c>
      <c r="Z62" s="106">
        <v>33</v>
      </c>
      <c r="AA62" s="106">
        <v>56271.6</v>
      </c>
      <c r="AB62" s="106">
        <v>41</v>
      </c>
      <c r="AC62" s="106">
        <v>69913.2</v>
      </c>
      <c r="AD62" s="106">
        <v>30</v>
      </c>
      <c r="AE62" s="106">
        <v>51156</v>
      </c>
      <c r="AF62" s="106">
        <v>48</v>
      </c>
      <c r="AG62" s="106">
        <v>81849.600000000006</v>
      </c>
      <c r="AH62" s="106">
        <v>47</v>
      </c>
      <c r="AI62" s="106">
        <v>80144.400000000009</v>
      </c>
      <c r="AJ62" s="106">
        <v>28</v>
      </c>
      <c r="AK62" s="106">
        <v>47745.599999999999</v>
      </c>
      <c r="AL62" s="106">
        <v>34</v>
      </c>
      <c r="AM62" s="106">
        <v>57976.800000000003</v>
      </c>
      <c r="AN62" s="106">
        <v>26</v>
      </c>
      <c r="AO62" s="106">
        <v>44335.200000000004</v>
      </c>
      <c r="AP62" s="106">
        <v>35</v>
      </c>
      <c r="AQ62" s="106">
        <v>59682</v>
      </c>
      <c r="AR62" s="106">
        <v>28</v>
      </c>
      <c r="AS62" s="106">
        <v>47745.599999999999</v>
      </c>
      <c r="AT62" s="106">
        <v>29</v>
      </c>
      <c r="AU62" s="106">
        <v>49450.8</v>
      </c>
      <c r="AV62" s="106">
        <v>39</v>
      </c>
      <c r="AW62" s="106">
        <v>66502.8</v>
      </c>
      <c r="AX62" s="106">
        <v>52</v>
      </c>
      <c r="AY62" s="106">
        <v>88670.400000000009</v>
      </c>
      <c r="AZ62" s="106">
        <v>46</v>
      </c>
      <c r="BA62" s="106">
        <v>78439.199999999997</v>
      </c>
      <c r="BB62" s="106">
        <v>46</v>
      </c>
      <c r="BC62" s="106">
        <v>78439.199999999997</v>
      </c>
      <c r="BD62" s="106">
        <v>37</v>
      </c>
      <c r="BE62" s="106">
        <v>63092.4</v>
      </c>
      <c r="BF62" s="106">
        <v>40</v>
      </c>
      <c r="BG62" s="106">
        <v>68208</v>
      </c>
      <c r="BH62" s="106">
        <v>43</v>
      </c>
      <c r="BI62" s="106">
        <v>73323.600000000006</v>
      </c>
      <c r="BJ62" s="106">
        <v>52</v>
      </c>
      <c r="BK62" s="106">
        <v>88670.400000000009</v>
      </c>
      <c r="BL62" s="106">
        <v>34</v>
      </c>
      <c r="BM62" s="106">
        <v>57976.800000000003</v>
      </c>
      <c r="BN62" s="106">
        <v>48</v>
      </c>
      <c r="BO62" s="106">
        <v>81849.600000000006</v>
      </c>
      <c r="BP62" s="106">
        <v>57</v>
      </c>
      <c r="BQ62" s="106">
        <v>97196.400000000009</v>
      </c>
      <c r="BR62" s="106">
        <v>35</v>
      </c>
      <c r="BS62" s="106">
        <v>59682</v>
      </c>
      <c r="BT62" s="106">
        <v>46</v>
      </c>
      <c r="BU62" s="106">
        <v>78439.199999999997</v>
      </c>
      <c r="BV62" s="106">
        <v>49</v>
      </c>
      <c r="BW62" s="106">
        <v>83554.8</v>
      </c>
      <c r="BX62" s="106">
        <v>34</v>
      </c>
      <c r="BY62" s="106">
        <v>57976.800000000003</v>
      </c>
      <c r="BZ62" s="106">
        <v>36</v>
      </c>
      <c r="CA62" s="106">
        <v>61387.200000000004</v>
      </c>
      <c r="CB62" s="106">
        <v>30</v>
      </c>
      <c r="CC62" s="106">
        <v>51156</v>
      </c>
      <c r="CD62" s="106">
        <v>32</v>
      </c>
      <c r="CE62" s="106">
        <v>54566.400000000001</v>
      </c>
      <c r="CF62" s="106">
        <v>25</v>
      </c>
      <c r="CG62" s="106">
        <v>42630</v>
      </c>
      <c r="CH62" s="106">
        <v>29</v>
      </c>
      <c r="CI62" s="106">
        <v>49450.8</v>
      </c>
      <c r="CJ62" s="106">
        <v>26</v>
      </c>
      <c r="CK62" s="106">
        <v>44335.200000000004</v>
      </c>
      <c r="CL62" s="106">
        <v>35</v>
      </c>
      <c r="CM62" s="106">
        <v>59682</v>
      </c>
      <c r="CN62" s="106">
        <v>37</v>
      </c>
      <c r="CO62" s="106">
        <v>63092.4</v>
      </c>
      <c r="CP62" s="106">
        <v>30</v>
      </c>
      <c r="CQ62" s="106">
        <v>51156</v>
      </c>
      <c r="CR62" s="106">
        <v>39</v>
      </c>
      <c r="CS62" s="106">
        <v>66502.8</v>
      </c>
      <c r="CT62" s="106">
        <v>41</v>
      </c>
      <c r="CU62" s="106">
        <v>69913.2</v>
      </c>
    </row>
    <row r="63" spans="2:99" x14ac:dyDescent="0.2">
      <c r="C63" s="105" t="s">
        <v>228</v>
      </c>
      <c r="D63" s="106">
        <v>45</v>
      </c>
      <c r="E63" s="106">
        <v>35802</v>
      </c>
      <c r="F63" s="106">
        <v>36</v>
      </c>
      <c r="G63" s="106">
        <v>28641.600000000002</v>
      </c>
      <c r="H63" s="106">
        <v>34</v>
      </c>
      <c r="I63" s="106">
        <v>27050.400000000001</v>
      </c>
      <c r="J63" s="106">
        <v>31</v>
      </c>
      <c r="K63" s="106">
        <v>24663.600000000002</v>
      </c>
      <c r="L63" s="106">
        <v>39</v>
      </c>
      <c r="M63" s="106">
        <v>31028.400000000001</v>
      </c>
      <c r="N63" s="106">
        <v>45</v>
      </c>
      <c r="O63" s="106">
        <v>35802</v>
      </c>
      <c r="P63" s="106">
        <v>49</v>
      </c>
      <c r="Q63" s="106">
        <v>38984.400000000001</v>
      </c>
      <c r="R63" s="106">
        <v>59</v>
      </c>
      <c r="S63" s="106">
        <v>46940.4</v>
      </c>
      <c r="T63" s="106">
        <v>42</v>
      </c>
      <c r="U63" s="106">
        <v>33415.200000000004</v>
      </c>
      <c r="V63" s="106">
        <v>57</v>
      </c>
      <c r="W63" s="106">
        <v>45349.200000000004</v>
      </c>
      <c r="X63" s="106">
        <v>38</v>
      </c>
      <c r="Y63" s="106">
        <v>30232.799999999999</v>
      </c>
      <c r="Z63" s="106">
        <v>38</v>
      </c>
      <c r="AA63" s="106">
        <v>30232.799999999999</v>
      </c>
      <c r="AB63" s="106">
        <v>50</v>
      </c>
      <c r="AC63" s="106">
        <v>39780</v>
      </c>
      <c r="AD63" s="106">
        <v>40</v>
      </c>
      <c r="AE63" s="106">
        <v>31824</v>
      </c>
      <c r="AF63" s="106">
        <v>60</v>
      </c>
      <c r="AG63" s="106">
        <v>47736</v>
      </c>
      <c r="AH63" s="106">
        <v>46</v>
      </c>
      <c r="AI63" s="106">
        <v>36597.599999999999</v>
      </c>
      <c r="AJ63" s="106">
        <v>34</v>
      </c>
      <c r="AK63" s="106">
        <v>27050.400000000001</v>
      </c>
      <c r="AL63" s="106">
        <v>39</v>
      </c>
      <c r="AM63" s="106">
        <v>31028.400000000001</v>
      </c>
      <c r="AN63" s="106">
        <v>30</v>
      </c>
      <c r="AO63" s="106">
        <v>23868</v>
      </c>
      <c r="AP63" s="106">
        <v>40</v>
      </c>
      <c r="AQ63" s="106">
        <v>31824</v>
      </c>
      <c r="AR63" s="106">
        <v>34</v>
      </c>
      <c r="AS63" s="106">
        <v>27050.400000000001</v>
      </c>
      <c r="AT63" s="106">
        <v>34</v>
      </c>
      <c r="AU63" s="106">
        <v>27050.400000000001</v>
      </c>
      <c r="AV63" s="106">
        <v>43</v>
      </c>
      <c r="AW63" s="106">
        <v>34210.800000000003</v>
      </c>
      <c r="AX63" s="106">
        <v>62</v>
      </c>
      <c r="AY63" s="106">
        <v>49327.200000000004</v>
      </c>
      <c r="AZ63" s="106">
        <v>60</v>
      </c>
      <c r="BA63" s="106">
        <v>47736</v>
      </c>
      <c r="BB63" s="106">
        <v>54</v>
      </c>
      <c r="BC63" s="106">
        <v>42962.400000000001</v>
      </c>
      <c r="BD63" s="106">
        <v>48</v>
      </c>
      <c r="BE63" s="106">
        <v>38188.800000000003</v>
      </c>
      <c r="BF63" s="106">
        <v>52</v>
      </c>
      <c r="BG63" s="106">
        <v>41371.200000000004</v>
      </c>
      <c r="BH63" s="106">
        <v>51</v>
      </c>
      <c r="BI63" s="106">
        <v>40575.599999999999</v>
      </c>
      <c r="BJ63" s="106">
        <v>59</v>
      </c>
      <c r="BK63" s="106">
        <v>46940.4</v>
      </c>
      <c r="BL63" s="106">
        <v>39</v>
      </c>
      <c r="BM63" s="106">
        <v>31028.400000000001</v>
      </c>
      <c r="BN63" s="106">
        <v>52</v>
      </c>
      <c r="BO63" s="106">
        <v>41371.200000000004</v>
      </c>
      <c r="BP63" s="106">
        <v>60</v>
      </c>
      <c r="BQ63" s="106">
        <v>47736</v>
      </c>
      <c r="BR63" s="106">
        <v>36</v>
      </c>
      <c r="BS63" s="106">
        <v>28641.600000000002</v>
      </c>
      <c r="BT63" s="106">
        <v>51</v>
      </c>
      <c r="BU63" s="106">
        <v>40575.599999999999</v>
      </c>
      <c r="BV63" s="106">
        <v>64</v>
      </c>
      <c r="BW63" s="106">
        <v>50918.400000000001</v>
      </c>
      <c r="BX63" s="106">
        <v>37</v>
      </c>
      <c r="BY63" s="106">
        <v>29437.200000000001</v>
      </c>
      <c r="BZ63" s="106">
        <v>37</v>
      </c>
      <c r="CA63" s="106">
        <v>29437.200000000001</v>
      </c>
      <c r="CB63" s="106">
        <v>31</v>
      </c>
      <c r="CC63" s="106">
        <v>24663.600000000002</v>
      </c>
      <c r="CD63" s="106">
        <v>31</v>
      </c>
      <c r="CE63" s="106">
        <v>24663.600000000002</v>
      </c>
      <c r="CF63" s="106">
        <v>27</v>
      </c>
      <c r="CG63" s="106">
        <v>21481.200000000001</v>
      </c>
      <c r="CH63" s="106">
        <v>36</v>
      </c>
      <c r="CI63" s="106">
        <v>28641.600000000002</v>
      </c>
      <c r="CJ63" s="106">
        <v>31</v>
      </c>
      <c r="CK63" s="106">
        <v>24663.600000000002</v>
      </c>
      <c r="CL63" s="106">
        <v>41</v>
      </c>
      <c r="CM63" s="106">
        <v>32619.600000000002</v>
      </c>
      <c r="CN63" s="106">
        <v>46</v>
      </c>
      <c r="CO63" s="106">
        <v>36597.599999999999</v>
      </c>
      <c r="CP63" s="106">
        <v>31</v>
      </c>
      <c r="CQ63" s="106">
        <v>24663.600000000002</v>
      </c>
      <c r="CR63" s="106">
        <v>45</v>
      </c>
      <c r="CS63" s="106">
        <v>35802</v>
      </c>
      <c r="CT63" s="106">
        <v>51</v>
      </c>
      <c r="CU63" s="106">
        <v>40575.599999999999</v>
      </c>
    </row>
    <row r="64" spans="2:99" x14ac:dyDescent="0.2">
      <c r="C64" s="105" t="s">
        <v>229</v>
      </c>
      <c r="D64" s="106">
        <v>43</v>
      </c>
      <c r="E64" s="106">
        <v>43395.599999999991</v>
      </c>
      <c r="F64" s="106">
        <v>38</v>
      </c>
      <c r="G64" s="106">
        <v>38349.599999999991</v>
      </c>
      <c r="H64" s="106">
        <v>31</v>
      </c>
      <c r="I64" s="106">
        <v>31285.199999999993</v>
      </c>
      <c r="J64" s="106">
        <v>32</v>
      </c>
      <c r="K64" s="106">
        <v>32294.399999999994</v>
      </c>
      <c r="L64" s="106">
        <v>39</v>
      </c>
      <c r="M64" s="106">
        <v>39358.799999999996</v>
      </c>
      <c r="N64" s="106">
        <v>46</v>
      </c>
      <c r="O64" s="106">
        <v>46423.19999999999</v>
      </c>
      <c r="P64" s="106">
        <v>46</v>
      </c>
      <c r="Q64" s="106">
        <v>46423.19999999999</v>
      </c>
      <c r="R64" s="106">
        <v>53</v>
      </c>
      <c r="S64" s="106">
        <v>53487.599999999991</v>
      </c>
      <c r="T64" s="106">
        <v>38</v>
      </c>
      <c r="U64" s="106">
        <v>38349.599999999991</v>
      </c>
      <c r="V64" s="106">
        <v>56</v>
      </c>
      <c r="W64" s="106">
        <v>56515.19999999999</v>
      </c>
      <c r="X64" s="106">
        <v>35</v>
      </c>
      <c r="Y64" s="106">
        <v>35321.999999999993</v>
      </c>
      <c r="Z64" s="106">
        <v>33</v>
      </c>
      <c r="AA64" s="106">
        <v>33303.599999999991</v>
      </c>
      <c r="AB64" s="106">
        <v>51</v>
      </c>
      <c r="AC64" s="106">
        <v>51469.19999999999</v>
      </c>
      <c r="AD64" s="106">
        <v>34</v>
      </c>
      <c r="AE64" s="106">
        <v>34312.799999999996</v>
      </c>
      <c r="AF64" s="106">
        <v>58</v>
      </c>
      <c r="AG64" s="106">
        <v>58533.599999999991</v>
      </c>
      <c r="AH64" s="106">
        <v>50</v>
      </c>
      <c r="AI64" s="106">
        <v>50459.999999999993</v>
      </c>
      <c r="AJ64" s="106">
        <v>33</v>
      </c>
      <c r="AK64" s="106">
        <v>33303.599999999991</v>
      </c>
      <c r="AL64" s="106">
        <v>41</v>
      </c>
      <c r="AM64" s="106">
        <v>41377.19999999999</v>
      </c>
      <c r="AN64" s="106">
        <v>28</v>
      </c>
      <c r="AO64" s="106">
        <v>28257.599999999995</v>
      </c>
      <c r="AP64" s="106">
        <v>35</v>
      </c>
      <c r="AQ64" s="106">
        <v>35321.999999999993</v>
      </c>
      <c r="AR64" s="106">
        <v>35</v>
      </c>
      <c r="AS64" s="106">
        <v>35321.999999999993</v>
      </c>
      <c r="AT64" s="106">
        <v>28</v>
      </c>
      <c r="AU64" s="106">
        <v>28257.599999999995</v>
      </c>
      <c r="AV64" s="106">
        <v>42</v>
      </c>
      <c r="AW64" s="106">
        <v>42386.399999999994</v>
      </c>
      <c r="AX64" s="106">
        <v>52</v>
      </c>
      <c r="AY64" s="106">
        <v>52478.399999999994</v>
      </c>
      <c r="AZ64" s="106">
        <v>48</v>
      </c>
      <c r="BA64" s="106">
        <v>48441.599999999991</v>
      </c>
      <c r="BB64" s="106">
        <v>50</v>
      </c>
      <c r="BC64" s="106">
        <v>50459.999999999993</v>
      </c>
      <c r="BD64" s="106">
        <v>41</v>
      </c>
      <c r="BE64" s="106">
        <v>41377.19999999999</v>
      </c>
      <c r="BF64" s="106">
        <v>50</v>
      </c>
      <c r="BG64" s="106">
        <v>50459.999999999993</v>
      </c>
      <c r="BH64" s="106">
        <v>47</v>
      </c>
      <c r="BI64" s="106">
        <v>47432.399999999994</v>
      </c>
      <c r="BJ64" s="106">
        <v>55</v>
      </c>
      <c r="BK64" s="106">
        <v>55505.999999999993</v>
      </c>
      <c r="BL64" s="106">
        <v>37</v>
      </c>
      <c r="BM64" s="106">
        <v>37340.399999999994</v>
      </c>
      <c r="BN64" s="106">
        <v>52</v>
      </c>
      <c r="BO64" s="106">
        <v>52478.399999999994</v>
      </c>
      <c r="BP64" s="106">
        <v>58</v>
      </c>
      <c r="BQ64" s="106">
        <v>58533.599999999991</v>
      </c>
      <c r="BR64" s="106">
        <v>35</v>
      </c>
      <c r="BS64" s="106">
        <v>35321.999999999993</v>
      </c>
      <c r="BT64" s="106">
        <v>60</v>
      </c>
      <c r="BU64" s="106">
        <v>60551.999999999985</v>
      </c>
      <c r="BV64" s="106">
        <v>56</v>
      </c>
      <c r="BW64" s="106">
        <v>56515.19999999999</v>
      </c>
      <c r="BX64" s="106">
        <v>34</v>
      </c>
      <c r="BY64" s="106">
        <v>34312.799999999996</v>
      </c>
      <c r="BZ64" s="106">
        <v>39</v>
      </c>
      <c r="CA64" s="106">
        <v>39358.799999999996</v>
      </c>
      <c r="CB64" s="106">
        <v>35</v>
      </c>
      <c r="CC64" s="106">
        <v>35321.999999999993</v>
      </c>
      <c r="CD64" s="106">
        <v>32</v>
      </c>
      <c r="CE64" s="106">
        <v>32294.399999999994</v>
      </c>
      <c r="CF64" s="106">
        <v>28</v>
      </c>
      <c r="CG64" s="106">
        <v>28257.599999999995</v>
      </c>
      <c r="CH64" s="106">
        <v>38</v>
      </c>
      <c r="CI64" s="106">
        <v>38349.599999999991</v>
      </c>
      <c r="CJ64" s="106">
        <v>28</v>
      </c>
      <c r="CK64" s="106">
        <v>28257.599999999995</v>
      </c>
      <c r="CL64" s="106">
        <v>41</v>
      </c>
      <c r="CM64" s="106">
        <v>41377.19999999999</v>
      </c>
      <c r="CN64" s="106">
        <v>42</v>
      </c>
      <c r="CO64" s="106">
        <v>42386.399999999994</v>
      </c>
      <c r="CP64" s="106">
        <v>33</v>
      </c>
      <c r="CQ64" s="106">
        <v>33303.599999999991</v>
      </c>
      <c r="CR64" s="106">
        <v>50</v>
      </c>
      <c r="CS64" s="106">
        <v>50459.999999999993</v>
      </c>
      <c r="CT64" s="106">
        <v>47</v>
      </c>
      <c r="CU64" s="106">
        <v>47432.399999999994</v>
      </c>
    </row>
    <row r="65" spans="2:99" x14ac:dyDescent="0.2">
      <c r="C65" s="105" t="s">
        <v>230</v>
      </c>
      <c r="D65" s="106">
        <v>43</v>
      </c>
      <c r="E65" s="106">
        <v>44118</v>
      </c>
      <c r="F65" s="106">
        <v>33</v>
      </c>
      <c r="G65" s="106">
        <v>33858</v>
      </c>
      <c r="H65" s="106">
        <v>34</v>
      </c>
      <c r="I65" s="106">
        <v>34884</v>
      </c>
      <c r="J65" s="106">
        <v>30</v>
      </c>
      <c r="K65" s="106">
        <v>30780</v>
      </c>
      <c r="L65" s="106">
        <v>37</v>
      </c>
      <c r="M65" s="106">
        <v>37962</v>
      </c>
      <c r="N65" s="106">
        <v>49</v>
      </c>
      <c r="O65" s="106">
        <v>50274</v>
      </c>
      <c r="P65" s="106">
        <v>44</v>
      </c>
      <c r="Q65" s="106">
        <v>45144</v>
      </c>
      <c r="R65" s="106">
        <v>62</v>
      </c>
      <c r="S65" s="106">
        <v>63612</v>
      </c>
      <c r="T65" s="106">
        <v>43</v>
      </c>
      <c r="U65" s="106">
        <v>44118</v>
      </c>
      <c r="V65" s="106">
        <v>53</v>
      </c>
      <c r="W65" s="106">
        <v>54378</v>
      </c>
      <c r="X65" s="106">
        <v>38</v>
      </c>
      <c r="Y65" s="106">
        <v>38988</v>
      </c>
      <c r="Z65" s="106">
        <v>34</v>
      </c>
      <c r="AA65" s="106">
        <v>34884</v>
      </c>
      <c r="AB65" s="106">
        <v>49</v>
      </c>
      <c r="AC65" s="106">
        <v>50274</v>
      </c>
      <c r="AD65" s="106">
        <v>37</v>
      </c>
      <c r="AE65" s="106">
        <v>37962</v>
      </c>
      <c r="AF65" s="106">
        <v>53</v>
      </c>
      <c r="AG65" s="106">
        <v>54378</v>
      </c>
      <c r="AH65" s="106">
        <v>50</v>
      </c>
      <c r="AI65" s="106">
        <v>51300</v>
      </c>
      <c r="AJ65" s="106">
        <v>29</v>
      </c>
      <c r="AK65" s="106">
        <v>29754</v>
      </c>
      <c r="AL65" s="106">
        <v>38</v>
      </c>
      <c r="AM65" s="106">
        <v>38988</v>
      </c>
      <c r="AN65" s="106">
        <v>28</v>
      </c>
      <c r="AO65" s="106">
        <v>28728</v>
      </c>
      <c r="AP65" s="106">
        <v>40</v>
      </c>
      <c r="AQ65" s="106">
        <v>41040</v>
      </c>
      <c r="AR65" s="106">
        <v>34</v>
      </c>
      <c r="AS65" s="106">
        <v>34884</v>
      </c>
      <c r="AT65" s="106">
        <v>31</v>
      </c>
      <c r="AU65" s="106">
        <v>31806</v>
      </c>
      <c r="AV65" s="106">
        <v>39</v>
      </c>
      <c r="AW65" s="106">
        <v>40014</v>
      </c>
      <c r="AX65" s="106">
        <v>59</v>
      </c>
      <c r="AY65" s="106">
        <v>60534</v>
      </c>
      <c r="AZ65" s="106">
        <v>53</v>
      </c>
      <c r="BA65" s="106">
        <v>54378</v>
      </c>
      <c r="BB65" s="106">
        <v>56</v>
      </c>
      <c r="BC65" s="106">
        <v>57456</v>
      </c>
      <c r="BD65" s="106">
        <v>43</v>
      </c>
      <c r="BE65" s="106">
        <v>44118</v>
      </c>
      <c r="BF65" s="106">
        <v>49</v>
      </c>
      <c r="BG65" s="106">
        <v>50274</v>
      </c>
      <c r="BH65" s="106">
        <v>51</v>
      </c>
      <c r="BI65" s="106">
        <v>52326</v>
      </c>
      <c r="BJ65" s="106">
        <v>54</v>
      </c>
      <c r="BK65" s="106">
        <v>55404</v>
      </c>
      <c r="BL65" s="106">
        <v>34</v>
      </c>
      <c r="BM65" s="106">
        <v>34884</v>
      </c>
      <c r="BN65" s="106">
        <v>52</v>
      </c>
      <c r="BO65" s="106">
        <v>53352</v>
      </c>
      <c r="BP65" s="106">
        <v>55</v>
      </c>
      <c r="BQ65" s="106">
        <v>56430</v>
      </c>
      <c r="BR65" s="106">
        <v>38</v>
      </c>
      <c r="BS65" s="106">
        <v>38988</v>
      </c>
      <c r="BT65" s="106">
        <v>52</v>
      </c>
      <c r="BU65" s="106">
        <v>53352</v>
      </c>
      <c r="BV65" s="106">
        <v>57</v>
      </c>
      <c r="BW65" s="106">
        <v>58482</v>
      </c>
      <c r="BX65" s="106">
        <v>36</v>
      </c>
      <c r="BY65" s="106">
        <v>36936</v>
      </c>
      <c r="BZ65" s="106">
        <v>38</v>
      </c>
      <c r="CA65" s="106">
        <v>38988</v>
      </c>
      <c r="CB65" s="106">
        <v>30</v>
      </c>
      <c r="CC65" s="106">
        <v>30780</v>
      </c>
      <c r="CD65" s="106">
        <v>35</v>
      </c>
      <c r="CE65" s="106">
        <v>35910</v>
      </c>
      <c r="CF65" s="106">
        <v>29</v>
      </c>
      <c r="CG65" s="106">
        <v>29754</v>
      </c>
      <c r="CH65" s="106">
        <v>33</v>
      </c>
      <c r="CI65" s="106">
        <v>33858</v>
      </c>
      <c r="CJ65" s="106">
        <v>29</v>
      </c>
      <c r="CK65" s="106">
        <v>29754</v>
      </c>
      <c r="CL65" s="106">
        <v>43</v>
      </c>
      <c r="CM65" s="106">
        <v>44118</v>
      </c>
      <c r="CN65" s="106">
        <v>43</v>
      </c>
      <c r="CO65" s="106">
        <v>44118</v>
      </c>
      <c r="CP65" s="106">
        <v>30</v>
      </c>
      <c r="CQ65" s="106">
        <v>30780</v>
      </c>
      <c r="CR65" s="106">
        <v>53</v>
      </c>
      <c r="CS65" s="106">
        <v>54378</v>
      </c>
      <c r="CT65" s="106">
        <v>43</v>
      </c>
      <c r="CU65" s="106">
        <v>44118</v>
      </c>
    </row>
    <row r="66" spans="2:99" x14ac:dyDescent="0.2">
      <c r="C66" s="105" t="s">
        <v>231</v>
      </c>
      <c r="D66" s="106">
        <v>41</v>
      </c>
      <c r="E66" s="106">
        <v>48806.399999999994</v>
      </c>
      <c r="F66" s="106">
        <v>33</v>
      </c>
      <c r="G66" s="106">
        <v>39283.199999999997</v>
      </c>
      <c r="H66" s="106">
        <v>30</v>
      </c>
      <c r="I66" s="106">
        <v>35711.999999999993</v>
      </c>
      <c r="J66" s="106">
        <v>31</v>
      </c>
      <c r="K66" s="106">
        <v>36902.399999999994</v>
      </c>
      <c r="L66" s="106">
        <v>38</v>
      </c>
      <c r="M66" s="106">
        <v>45235.199999999997</v>
      </c>
      <c r="N66" s="106">
        <v>45</v>
      </c>
      <c r="O66" s="106">
        <v>53567.999999999993</v>
      </c>
      <c r="P66" s="106">
        <v>41</v>
      </c>
      <c r="Q66" s="106">
        <v>48806.399999999994</v>
      </c>
      <c r="R66" s="106">
        <v>53</v>
      </c>
      <c r="S66" s="106">
        <v>63091.19999999999</v>
      </c>
      <c r="T66" s="106">
        <v>37</v>
      </c>
      <c r="U66" s="106">
        <v>44044.799999999996</v>
      </c>
      <c r="V66" s="106">
        <v>59</v>
      </c>
      <c r="W66" s="106">
        <v>70233.599999999991</v>
      </c>
      <c r="X66" s="106">
        <v>32</v>
      </c>
      <c r="Y66" s="106">
        <v>38092.799999999996</v>
      </c>
      <c r="Z66" s="106">
        <v>36</v>
      </c>
      <c r="AA66" s="106">
        <v>42854.399999999994</v>
      </c>
      <c r="AB66" s="106">
        <v>43</v>
      </c>
      <c r="AC66" s="106">
        <v>51187.199999999997</v>
      </c>
      <c r="AD66" s="106">
        <v>32</v>
      </c>
      <c r="AE66" s="106">
        <v>38092.799999999996</v>
      </c>
      <c r="AF66" s="106">
        <v>51</v>
      </c>
      <c r="AG66" s="106">
        <v>60710.399999999994</v>
      </c>
      <c r="AH66" s="106">
        <v>46</v>
      </c>
      <c r="AI66" s="106">
        <v>54758.399999999994</v>
      </c>
      <c r="AJ66" s="106">
        <v>29</v>
      </c>
      <c r="AK66" s="106">
        <v>34521.599999999999</v>
      </c>
      <c r="AL66" s="106">
        <v>37</v>
      </c>
      <c r="AM66" s="106">
        <v>44044.799999999996</v>
      </c>
      <c r="AN66" s="106">
        <v>31</v>
      </c>
      <c r="AO66" s="106">
        <v>36902.399999999994</v>
      </c>
      <c r="AP66" s="106">
        <v>37</v>
      </c>
      <c r="AQ66" s="106">
        <v>44044.799999999996</v>
      </c>
      <c r="AR66" s="106">
        <v>33</v>
      </c>
      <c r="AS66" s="106">
        <v>39283.199999999997</v>
      </c>
      <c r="AT66" s="106">
        <v>31</v>
      </c>
      <c r="AU66" s="106">
        <v>36902.399999999994</v>
      </c>
      <c r="AV66" s="106">
        <v>39</v>
      </c>
      <c r="AW66" s="106">
        <v>46425.599999999991</v>
      </c>
      <c r="AX66" s="106">
        <v>57</v>
      </c>
      <c r="AY66" s="106">
        <v>67852.799999999988</v>
      </c>
      <c r="AZ66" s="106">
        <v>52</v>
      </c>
      <c r="BA66" s="106">
        <v>61900.799999999996</v>
      </c>
      <c r="BB66" s="106">
        <v>49</v>
      </c>
      <c r="BC66" s="106">
        <v>58329.599999999991</v>
      </c>
      <c r="BD66" s="106">
        <v>45</v>
      </c>
      <c r="BE66" s="106">
        <v>53567.999999999993</v>
      </c>
      <c r="BF66" s="106">
        <v>42</v>
      </c>
      <c r="BG66" s="106">
        <v>49996.799999999996</v>
      </c>
      <c r="BH66" s="106">
        <v>45</v>
      </c>
      <c r="BI66" s="106">
        <v>53567.999999999993</v>
      </c>
      <c r="BJ66" s="106">
        <v>56</v>
      </c>
      <c r="BK66" s="106">
        <v>66662.399999999994</v>
      </c>
      <c r="BL66" s="106">
        <v>37</v>
      </c>
      <c r="BM66" s="106">
        <v>44044.799999999996</v>
      </c>
      <c r="BN66" s="106">
        <v>55</v>
      </c>
      <c r="BO66" s="106">
        <v>65471.999999999993</v>
      </c>
      <c r="BP66" s="106">
        <v>57</v>
      </c>
      <c r="BQ66" s="106">
        <v>67852.799999999988</v>
      </c>
      <c r="BR66" s="106">
        <v>38</v>
      </c>
      <c r="BS66" s="106">
        <v>45235.199999999997</v>
      </c>
      <c r="BT66" s="106">
        <v>57</v>
      </c>
      <c r="BU66" s="106">
        <v>67852.799999999988</v>
      </c>
      <c r="BV66" s="106">
        <v>56</v>
      </c>
      <c r="BW66" s="106">
        <v>66662.399999999994</v>
      </c>
      <c r="BX66" s="106">
        <v>36</v>
      </c>
      <c r="BY66" s="106">
        <v>42854.399999999994</v>
      </c>
      <c r="BZ66" s="106">
        <v>33</v>
      </c>
      <c r="CA66" s="106">
        <v>39283.199999999997</v>
      </c>
      <c r="CB66" s="106">
        <v>33</v>
      </c>
      <c r="CC66" s="106">
        <v>39283.199999999997</v>
      </c>
      <c r="CD66" s="106">
        <v>34</v>
      </c>
      <c r="CE66" s="106">
        <v>40473.599999999999</v>
      </c>
      <c r="CF66" s="106">
        <v>24</v>
      </c>
      <c r="CG66" s="106">
        <v>28569.599999999999</v>
      </c>
      <c r="CH66" s="106">
        <v>35</v>
      </c>
      <c r="CI66" s="106">
        <v>41663.999999999993</v>
      </c>
      <c r="CJ66" s="106">
        <v>27</v>
      </c>
      <c r="CK66" s="106">
        <v>32140.799999999996</v>
      </c>
      <c r="CL66" s="106">
        <v>36</v>
      </c>
      <c r="CM66" s="106">
        <v>42854.399999999994</v>
      </c>
      <c r="CN66" s="106">
        <v>42</v>
      </c>
      <c r="CO66" s="106">
        <v>49996.799999999996</v>
      </c>
      <c r="CP66" s="106">
        <v>28</v>
      </c>
      <c r="CQ66" s="106">
        <v>33331.199999999997</v>
      </c>
      <c r="CR66" s="106">
        <v>44</v>
      </c>
      <c r="CS66" s="106">
        <v>52377.599999999991</v>
      </c>
      <c r="CT66" s="106">
        <v>45</v>
      </c>
      <c r="CU66" s="106">
        <v>53567.999999999993</v>
      </c>
    </row>
    <row r="67" spans="2:99" x14ac:dyDescent="0.2">
      <c r="C67" s="105" t="s">
        <v>232</v>
      </c>
      <c r="D67" s="106">
        <v>47</v>
      </c>
      <c r="E67" s="106">
        <v>52790.400000000001</v>
      </c>
      <c r="F67" s="106">
        <v>32</v>
      </c>
      <c r="G67" s="106">
        <v>35942.400000000001</v>
      </c>
      <c r="H67" s="106">
        <v>29</v>
      </c>
      <c r="I67" s="106">
        <v>32572.800000000003</v>
      </c>
      <c r="J67" s="106">
        <v>34</v>
      </c>
      <c r="K67" s="106">
        <v>38188.800000000003</v>
      </c>
      <c r="L67" s="106">
        <v>41</v>
      </c>
      <c r="M67" s="106">
        <v>46051.200000000004</v>
      </c>
      <c r="N67" s="106">
        <v>50</v>
      </c>
      <c r="O67" s="106">
        <v>56160</v>
      </c>
      <c r="P67" s="106">
        <v>42</v>
      </c>
      <c r="Q67" s="106">
        <v>47174.400000000001</v>
      </c>
      <c r="R67" s="106">
        <v>56</v>
      </c>
      <c r="S67" s="106">
        <v>62899.200000000004</v>
      </c>
      <c r="T67" s="106">
        <v>41</v>
      </c>
      <c r="U67" s="106">
        <v>46051.200000000004</v>
      </c>
      <c r="V67" s="106">
        <v>52</v>
      </c>
      <c r="W67" s="106">
        <v>58406.400000000001</v>
      </c>
      <c r="X67" s="106">
        <v>36</v>
      </c>
      <c r="Y67" s="106">
        <v>40435.200000000004</v>
      </c>
      <c r="Z67" s="106">
        <v>34</v>
      </c>
      <c r="AA67" s="106">
        <v>38188.800000000003</v>
      </c>
      <c r="AB67" s="106">
        <v>48</v>
      </c>
      <c r="AC67" s="106">
        <v>53913.600000000006</v>
      </c>
      <c r="AD67" s="106">
        <v>32</v>
      </c>
      <c r="AE67" s="106">
        <v>35942.400000000001</v>
      </c>
      <c r="AF67" s="106">
        <v>61</v>
      </c>
      <c r="AG67" s="106">
        <v>68515.199999999997</v>
      </c>
      <c r="AH67" s="106">
        <v>46</v>
      </c>
      <c r="AI67" s="106">
        <v>51667.200000000004</v>
      </c>
      <c r="AJ67" s="106">
        <v>27</v>
      </c>
      <c r="AK67" s="106">
        <v>30326.400000000001</v>
      </c>
      <c r="AL67" s="106">
        <v>39</v>
      </c>
      <c r="AM67" s="106">
        <v>43804.800000000003</v>
      </c>
      <c r="AN67" s="106">
        <v>26</v>
      </c>
      <c r="AO67" s="106">
        <v>29203.200000000001</v>
      </c>
      <c r="AP67" s="106">
        <v>41</v>
      </c>
      <c r="AQ67" s="106">
        <v>46051.200000000004</v>
      </c>
      <c r="AR67" s="106">
        <v>32</v>
      </c>
      <c r="AS67" s="106">
        <v>35942.400000000001</v>
      </c>
      <c r="AT67" s="106">
        <v>28</v>
      </c>
      <c r="AU67" s="106">
        <v>31449.600000000002</v>
      </c>
      <c r="AV67" s="106">
        <v>42</v>
      </c>
      <c r="AW67" s="106">
        <v>47174.400000000001</v>
      </c>
      <c r="AX67" s="106">
        <v>51</v>
      </c>
      <c r="AY67" s="106">
        <v>57283.200000000004</v>
      </c>
      <c r="AZ67" s="106">
        <v>56</v>
      </c>
      <c r="BA67" s="106">
        <v>62899.200000000004</v>
      </c>
      <c r="BB67" s="106">
        <v>47</v>
      </c>
      <c r="BC67" s="106">
        <v>52790.400000000001</v>
      </c>
      <c r="BD67" s="106">
        <v>40</v>
      </c>
      <c r="BE67" s="106">
        <v>44928</v>
      </c>
      <c r="BF67" s="106">
        <v>42</v>
      </c>
      <c r="BG67" s="106">
        <v>47174.400000000001</v>
      </c>
      <c r="BH67" s="106">
        <v>45</v>
      </c>
      <c r="BI67" s="106">
        <v>50544</v>
      </c>
      <c r="BJ67" s="106">
        <v>51</v>
      </c>
      <c r="BK67" s="106">
        <v>57283.200000000004</v>
      </c>
      <c r="BL67" s="106">
        <v>37</v>
      </c>
      <c r="BM67" s="106">
        <v>41558.400000000001</v>
      </c>
      <c r="BN67" s="106">
        <v>50</v>
      </c>
      <c r="BO67" s="106">
        <v>56160</v>
      </c>
      <c r="BP67" s="106">
        <v>61</v>
      </c>
      <c r="BQ67" s="106">
        <v>68515.199999999997</v>
      </c>
      <c r="BR67" s="106">
        <v>33</v>
      </c>
      <c r="BS67" s="106">
        <v>37065.599999999999</v>
      </c>
      <c r="BT67" s="106">
        <v>50</v>
      </c>
      <c r="BU67" s="106">
        <v>56160</v>
      </c>
      <c r="BV67" s="106">
        <v>56</v>
      </c>
      <c r="BW67" s="106">
        <v>62899.200000000004</v>
      </c>
      <c r="BX67" s="106">
        <v>38</v>
      </c>
      <c r="BY67" s="106">
        <v>42681.599999999999</v>
      </c>
      <c r="BZ67" s="106">
        <v>39</v>
      </c>
      <c r="CA67" s="106">
        <v>43804.800000000003</v>
      </c>
      <c r="CB67" s="106">
        <v>32</v>
      </c>
      <c r="CC67" s="106">
        <v>35942.400000000001</v>
      </c>
      <c r="CD67" s="106">
        <v>35</v>
      </c>
      <c r="CE67" s="106">
        <v>39312</v>
      </c>
      <c r="CF67" s="106">
        <v>28</v>
      </c>
      <c r="CG67" s="106">
        <v>31449.600000000002</v>
      </c>
      <c r="CH67" s="106">
        <v>37</v>
      </c>
      <c r="CI67" s="106">
        <v>41558.400000000001</v>
      </c>
      <c r="CJ67" s="106">
        <v>26</v>
      </c>
      <c r="CK67" s="106">
        <v>29203.200000000001</v>
      </c>
      <c r="CL67" s="106">
        <v>35</v>
      </c>
      <c r="CM67" s="106">
        <v>39312</v>
      </c>
      <c r="CN67" s="106">
        <v>43</v>
      </c>
      <c r="CO67" s="106">
        <v>48297.599999999999</v>
      </c>
      <c r="CP67" s="106">
        <v>29</v>
      </c>
      <c r="CQ67" s="106">
        <v>32572.800000000003</v>
      </c>
      <c r="CR67" s="106">
        <v>44</v>
      </c>
      <c r="CS67" s="106">
        <v>49420.800000000003</v>
      </c>
      <c r="CT67" s="106">
        <v>47</v>
      </c>
      <c r="CU67" s="106">
        <v>52790.400000000001</v>
      </c>
    </row>
    <row r="68" spans="2:99" x14ac:dyDescent="0.2">
      <c r="C68" s="105" t="s">
        <v>233</v>
      </c>
      <c r="D68" s="106">
        <v>43</v>
      </c>
      <c r="E68" s="106">
        <v>44427.6</v>
      </c>
      <c r="F68" s="106">
        <v>32</v>
      </c>
      <c r="G68" s="106">
        <v>33062.400000000001</v>
      </c>
      <c r="H68" s="106">
        <v>34</v>
      </c>
      <c r="I68" s="106">
        <v>35128.800000000003</v>
      </c>
      <c r="J68" s="106">
        <v>34</v>
      </c>
      <c r="K68" s="106">
        <v>35128.800000000003</v>
      </c>
      <c r="L68" s="106">
        <v>37</v>
      </c>
      <c r="M68" s="106">
        <v>38228.400000000001</v>
      </c>
      <c r="N68" s="106">
        <v>47</v>
      </c>
      <c r="O68" s="106">
        <v>48560.4</v>
      </c>
      <c r="P68" s="106">
        <v>47</v>
      </c>
      <c r="Q68" s="106">
        <v>48560.4</v>
      </c>
      <c r="R68" s="106">
        <v>55</v>
      </c>
      <c r="S68" s="106">
        <v>56826</v>
      </c>
      <c r="T68" s="106">
        <v>43</v>
      </c>
      <c r="U68" s="106">
        <v>44427.6</v>
      </c>
      <c r="V68" s="106">
        <v>55</v>
      </c>
      <c r="W68" s="106">
        <v>56826</v>
      </c>
      <c r="X68" s="106">
        <v>34</v>
      </c>
      <c r="Y68" s="106">
        <v>35128.800000000003</v>
      </c>
      <c r="Z68" s="106">
        <v>37</v>
      </c>
      <c r="AA68" s="106">
        <v>38228.400000000001</v>
      </c>
      <c r="AB68" s="106">
        <v>50</v>
      </c>
      <c r="AC68" s="106">
        <v>51660</v>
      </c>
      <c r="AD68" s="106">
        <v>39</v>
      </c>
      <c r="AE68" s="106">
        <v>40294.800000000003</v>
      </c>
      <c r="AF68" s="106">
        <v>56</v>
      </c>
      <c r="AG68" s="106">
        <v>57859.200000000004</v>
      </c>
      <c r="AH68" s="106">
        <v>50</v>
      </c>
      <c r="AI68" s="106">
        <v>51660</v>
      </c>
      <c r="AJ68" s="106">
        <v>31</v>
      </c>
      <c r="AK68" s="106">
        <v>32029.200000000001</v>
      </c>
      <c r="AL68" s="106">
        <v>37</v>
      </c>
      <c r="AM68" s="106">
        <v>38228.400000000001</v>
      </c>
      <c r="AN68" s="106">
        <v>28</v>
      </c>
      <c r="AO68" s="106">
        <v>28929.600000000002</v>
      </c>
      <c r="AP68" s="106">
        <v>41</v>
      </c>
      <c r="AQ68" s="106">
        <v>42361.200000000004</v>
      </c>
      <c r="AR68" s="106">
        <v>31</v>
      </c>
      <c r="AS68" s="106">
        <v>32029.200000000001</v>
      </c>
      <c r="AT68" s="106">
        <v>32</v>
      </c>
      <c r="AU68" s="106">
        <v>33062.400000000001</v>
      </c>
      <c r="AV68" s="106">
        <v>38</v>
      </c>
      <c r="AW68" s="106">
        <v>39261.599999999999</v>
      </c>
      <c r="AX68" s="106">
        <v>49</v>
      </c>
      <c r="AY68" s="106">
        <v>50626.8</v>
      </c>
      <c r="AZ68" s="106">
        <v>53</v>
      </c>
      <c r="BA68" s="106">
        <v>54759.600000000006</v>
      </c>
      <c r="BB68" s="106">
        <v>55</v>
      </c>
      <c r="BC68" s="106">
        <v>56826</v>
      </c>
      <c r="BD68" s="106">
        <v>45</v>
      </c>
      <c r="BE68" s="106">
        <v>46494</v>
      </c>
      <c r="BF68" s="106">
        <v>50</v>
      </c>
      <c r="BG68" s="106">
        <v>51660</v>
      </c>
      <c r="BH68" s="106">
        <v>50</v>
      </c>
      <c r="BI68" s="106">
        <v>51660</v>
      </c>
      <c r="BJ68" s="106">
        <v>62</v>
      </c>
      <c r="BK68" s="106">
        <v>64058.400000000001</v>
      </c>
      <c r="BL68" s="106">
        <v>34</v>
      </c>
      <c r="BM68" s="106">
        <v>35128.800000000003</v>
      </c>
      <c r="BN68" s="106">
        <v>57</v>
      </c>
      <c r="BO68" s="106">
        <v>58892.4</v>
      </c>
      <c r="BP68" s="106">
        <v>55</v>
      </c>
      <c r="BQ68" s="106">
        <v>56826</v>
      </c>
      <c r="BR68" s="106">
        <v>40</v>
      </c>
      <c r="BS68" s="106">
        <v>41328</v>
      </c>
      <c r="BT68" s="106">
        <v>58</v>
      </c>
      <c r="BU68" s="106">
        <v>59925.600000000006</v>
      </c>
      <c r="BV68" s="106">
        <v>60</v>
      </c>
      <c r="BW68" s="106">
        <v>61992</v>
      </c>
      <c r="BX68" s="106">
        <v>40</v>
      </c>
      <c r="BY68" s="106">
        <v>41328</v>
      </c>
      <c r="BZ68" s="106">
        <v>37</v>
      </c>
      <c r="CA68" s="106">
        <v>38228.400000000001</v>
      </c>
      <c r="CB68" s="106">
        <v>35</v>
      </c>
      <c r="CC68" s="106">
        <v>36162</v>
      </c>
      <c r="CD68" s="106">
        <v>30</v>
      </c>
      <c r="CE68" s="106">
        <v>30996</v>
      </c>
      <c r="CF68" s="106">
        <v>29</v>
      </c>
      <c r="CG68" s="106">
        <v>29962.800000000003</v>
      </c>
      <c r="CH68" s="106">
        <v>33</v>
      </c>
      <c r="CI68" s="106">
        <v>34095.599999999999</v>
      </c>
      <c r="CJ68" s="106">
        <v>29</v>
      </c>
      <c r="CK68" s="106">
        <v>29962.800000000003</v>
      </c>
      <c r="CL68" s="106">
        <v>37</v>
      </c>
      <c r="CM68" s="106">
        <v>38228.400000000001</v>
      </c>
      <c r="CN68" s="106">
        <v>47</v>
      </c>
      <c r="CO68" s="106">
        <v>48560.4</v>
      </c>
      <c r="CP68" s="106">
        <v>29</v>
      </c>
      <c r="CQ68" s="106">
        <v>29962.800000000003</v>
      </c>
      <c r="CR68" s="106">
        <v>44</v>
      </c>
      <c r="CS68" s="106">
        <v>45460.800000000003</v>
      </c>
      <c r="CT68" s="106">
        <v>47</v>
      </c>
      <c r="CU68" s="106">
        <v>48560.4</v>
      </c>
    </row>
    <row r="69" spans="2:99" x14ac:dyDescent="0.2">
      <c r="C69" s="105" t="s">
        <v>234</v>
      </c>
      <c r="D69" s="106">
        <v>50</v>
      </c>
      <c r="E69" s="106">
        <v>37920</v>
      </c>
      <c r="F69" s="106">
        <v>34</v>
      </c>
      <c r="G69" s="106">
        <v>25785.599999999999</v>
      </c>
      <c r="H69" s="106">
        <v>32</v>
      </c>
      <c r="I69" s="106">
        <v>24268.799999999999</v>
      </c>
      <c r="J69" s="106">
        <v>35</v>
      </c>
      <c r="K69" s="106">
        <v>26544</v>
      </c>
      <c r="L69" s="106">
        <v>41</v>
      </c>
      <c r="M69" s="106">
        <v>31094.399999999998</v>
      </c>
      <c r="N69" s="106">
        <v>48</v>
      </c>
      <c r="O69" s="106">
        <v>36403.199999999997</v>
      </c>
      <c r="P69" s="106">
        <v>49</v>
      </c>
      <c r="Q69" s="106">
        <v>37161.599999999999</v>
      </c>
      <c r="R69" s="106">
        <v>56</v>
      </c>
      <c r="S69" s="106">
        <v>42470.400000000001</v>
      </c>
      <c r="T69" s="106">
        <v>42</v>
      </c>
      <c r="U69" s="106">
        <v>31852.799999999999</v>
      </c>
      <c r="V69" s="106">
        <v>60</v>
      </c>
      <c r="W69" s="106">
        <v>45504</v>
      </c>
      <c r="X69" s="106">
        <v>35</v>
      </c>
      <c r="Y69" s="106">
        <v>26544</v>
      </c>
      <c r="Z69" s="106">
        <v>36</v>
      </c>
      <c r="AA69" s="106">
        <v>27302.399999999998</v>
      </c>
      <c r="AB69" s="106">
        <v>49</v>
      </c>
      <c r="AC69" s="106">
        <v>37161.599999999999</v>
      </c>
      <c r="AD69" s="106">
        <v>35</v>
      </c>
      <c r="AE69" s="106">
        <v>26544</v>
      </c>
      <c r="AF69" s="106">
        <v>56</v>
      </c>
      <c r="AG69" s="106">
        <v>42470.400000000001</v>
      </c>
      <c r="AH69" s="106">
        <v>53</v>
      </c>
      <c r="AI69" s="106">
        <v>40195.199999999997</v>
      </c>
      <c r="AJ69" s="106">
        <v>28</v>
      </c>
      <c r="AK69" s="106">
        <v>21235.200000000001</v>
      </c>
      <c r="AL69" s="106">
        <v>47</v>
      </c>
      <c r="AM69" s="106">
        <v>35644.799999999996</v>
      </c>
      <c r="AN69" s="106">
        <v>28</v>
      </c>
      <c r="AO69" s="106">
        <v>21235.200000000001</v>
      </c>
      <c r="AP69" s="106">
        <v>41</v>
      </c>
      <c r="AQ69" s="106">
        <v>31094.399999999998</v>
      </c>
      <c r="AR69" s="106">
        <v>36</v>
      </c>
      <c r="AS69" s="106">
        <v>27302.399999999998</v>
      </c>
      <c r="AT69" s="106">
        <v>32</v>
      </c>
      <c r="AU69" s="106">
        <v>24268.799999999999</v>
      </c>
      <c r="AV69" s="106">
        <v>46</v>
      </c>
      <c r="AW69" s="106">
        <v>34886.400000000001</v>
      </c>
      <c r="AX69" s="106">
        <v>55</v>
      </c>
      <c r="AY69" s="106">
        <v>41712</v>
      </c>
      <c r="AZ69" s="106">
        <v>51</v>
      </c>
      <c r="BA69" s="106">
        <v>38678.400000000001</v>
      </c>
      <c r="BB69" s="106">
        <v>53</v>
      </c>
      <c r="BC69" s="106">
        <v>40195.199999999997</v>
      </c>
      <c r="BD69" s="106">
        <v>45</v>
      </c>
      <c r="BE69" s="106">
        <v>34128</v>
      </c>
      <c r="BF69" s="106">
        <v>51</v>
      </c>
      <c r="BG69" s="106">
        <v>38678.400000000001</v>
      </c>
      <c r="BH69" s="106">
        <v>57</v>
      </c>
      <c r="BI69" s="106">
        <v>43228.799999999996</v>
      </c>
      <c r="BJ69" s="106">
        <v>61</v>
      </c>
      <c r="BK69" s="106">
        <v>46262.400000000001</v>
      </c>
      <c r="BL69" s="106">
        <v>35</v>
      </c>
      <c r="BM69" s="106">
        <v>26544</v>
      </c>
      <c r="BN69" s="106">
        <v>51</v>
      </c>
      <c r="BO69" s="106">
        <v>38678.400000000001</v>
      </c>
      <c r="BP69" s="106">
        <v>66</v>
      </c>
      <c r="BQ69" s="106">
        <v>50054.400000000001</v>
      </c>
      <c r="BR69" s="106">
        <v>42</v>
      </c>
      <c r="BS69" s="106">
        <v>31852.799999999999</v>
      </c>
      <c r="BT69" s="106">
        <v>62</v>
      </c>
      <c r="BU69" s="106">
        <v>47020.799999999996</v>
      </c>
      <c r="BV69" s="106">
        <v>56</v>
      </c>
      <c r="BW69" s="106">
        <v>42470.400000000001</v>
      </c>
      <c r="BX69" s="106">
        <v>37</v>
      </c>
      <c r="BY69" s="106">
        <v>28060.799999999999</v>
      </c>
      <c r="BZ69" s="106">
        <v>38</v>
      </c>
      <c r="CA69" s="106">
        <v>28819.200000000001</v>
      </c>
      <c r="CB69" s="106">
        <v>31</v>
      </c>
      <c r="CC69" s="106">
        <v>23510.399999999998</v>
      </c>
      <c r="CD69" s="106">
        <v>30</v>
      </c>
      <c r="CE69" s="106">
        <v>22752</v>
      </c>
      <c r="CF69" s="106">
        <v>27</v>
      </c>
      <c r="CG69" s="106">
        <v>20476.8</v>
      </c>
      <c r="CH69" s="106">
        <v>34</v>
      </c>
      <c r="CI69" s="106">
        <v>25785.599999999999</v>
      </c>
      <c r="CJ69" s="106">
        <v>30</v>
      </c>
      <c r="CK69" s="106">
        <v>22752</v>
      </c>
      <c r="CL69" s="106">
        <v>41</v>
      </c>
      <c r="CM69" s="106">
        <v>31094.399999999998</v>
      </c>
      <c r="CN69" s="106">
        <v>51</v>
      </c>
      <c r="CO69" s="106">
        <v>38678.400000000001</v>
      </c>
      <c r="CP69" s="106">
        <v>32</v>
      </c>
      <c r="CQ69" s="106">
        <v>24268.799999999999</v>
      </c>
      <c r="CR69" s="106">
        <v>51</v>
      </c>
      <c r="CS69" s="106">
        <v>38678.400000000001</v>
      </c>
      <c r="CT69" s="106">
        <v>51</v>
      </c>
      <c r="CU69" s="106">
        <v>38678.400000000001</v>
      </c>
    </row>
    <row r="70" spans="2:99" x14ac:dyDescent="0.2">
      <c r="C70" s="105" t="s">
        <v>235</v>
      </c>
      <c r="D70" s="106">
        <v>48</v>
      </c>
      <c r="E70" s="106">
        <v>25689.599999999999</v>
      </c>
      <c r="F70" s="106">
        <v>42</v>
      </c>
      <c r="G70" s="106">
        <v>22478.399999999998</v>
      </c>
      <c r="H70" s="106">
        <v>31</v>
      </c>
      <c r="I70" s="106">
        <v>16591.199999999997</v>
      </c>
      <c r="J70" s="106">
        <v>36</v>
      </c>
      <c r="K70" s="106">
        <v>19267.199999999997</v>
      </c>
      <c r="L70" s="106">
        <v>40</v>
      </c>
      <c r="M70" s="106">
        <v>21407.999999999996</v>
      </c>
      <c r="N70" s="106">
        <v>55</v>
      </c>
      <c r="O70" s="106">
        <v>29435.999999999996</v>
      </c>
      <c r="P70" s="106">
        <v>52</v>
      </c>
      <c r="Q70" s="106">
        <v>27830.399999999998</v>
      </c>
      <c r="R70" s="106">
        <v>62</v>
      </c>
      <c r="S70" s="106">
        <v>33182.399999999994</v>
      </c>
      <c r="T70" s="106">
        <v>41</v>
      </c>
      <c r="U70" s="106">
        <v>21943.199999999997</v>
      </c>
      <c r="V70" s="106">
        <v>67</v>
      </c>
      <c r="W70" s="106">
        <v>35858.399999999994</v>
      </c>
      <c r="X70" s="106">
        <v>35</v>
      </c>
      <c r="Y70" s="106">
        <v>18731.999999999996</v>
      </c>
      <c r="Z70" s="106">
        <v>37</v>
      </c>
      <c r="AA70" s="106">
        <v>19802.399999999998</v>
      </c>
      <c r="AB70" s="106">
        <v>55</v>
      </c>
      <c r="AC70" s="106">
        <v>29435.999999999996</v>
      </c>
      <c r="AD70" s="106">
        <v>42</v>
      </c>
      <c r="AE70" s="106">
        <v>22478.399999999998</v>
      </c>
      <c r="AF70" s="106">
        <v>65</v>
      </c>
      <c r="AG70" s="106">
        <v>34787.999999999993</v>
      </c>
      <c r="AH70" s="106">
        <v>50</v>
      </c>
      <c r="AI70" s="106">
        <v>26759.999999999996</v>
      </c>
      <c r="AJ70" s="106">
        <v>34</v>
      </c>
      <c r="AK70" s="106">
        <v>18196.8</v>
      </c>
      <c r="AL70" s="106">
        <v>45</v>
      </c>
      <c r="AM70" s="106">
        <v>24083.999999999996</v>
      </c>
      <c r="AN70" s="106">
        <v>31</v>
      </c>
      <c r="AO70" s="106">
        <v>16591.199999999997</v>
      </c>
      <c r="AP70" s="106">
        <v>42</v>
      </c>
      <c r="AQ70" s="106">
        <v>22478.399999999998</v>
      </c>
      <c r="AR70" s="106">
        <v>39</v>
      </c>
      <c r="AS70" s="106">
        <v>20872.799999999996</v>
      </c>
      <c r="AT70" s="106">
        <v>35</v>
      </c>
      <c r="AU70" s="106">
        <v>18731.999999999996</v>
      </c>
      <c r="AV70" s="106">
        <v>48</v>
      </c>
      <c r="AW70" s="106">
        <v>25689.599999999999</v>
      </c>
      <c r="AX70" s="106">
        <v>59</v>
      </c>
      <c r="AY70" s="106">
        <v>31576.799999999996</v>
      </c>
      <c r="AZ70" s="106">
        <v>58</v>
      </c>
      <c r="BA70" s="106">
        <v>31041.599999999995</v>
      </c>
      <c r="BB70" s="106">
        <v>52</v>
      </c>
      <c r="BC70" s="106">
        <v>27830.399999999998</v>
      </c>
      <c r="BD70" s="106">
        <v>47</v>
      </c>
      <c r="BE70" s="106">
        <v>25154.399999999998</v>
      </c>
      <c r="BF70" s="106">
        <v>47</v>
      </c>
      <c r="BG70" s="106">
        <v>25154.399999999998</v>
      </c>
      <c r="BH70" s="106">
        <v>52</v>
      </c>
      <c r="BI70" s="106">
        <v>27830.399999999998</v>
      </c>
      <c r="BJ70" s="106">
        <v>67</v>
      </c>
      <c r="BK70" s="106">
        <v>35858.399999999994</v>
      </c>
      <c r="BL70" s="106">
        <v>42</v>
      </c>
      <c r="BM70" s="106">
        <v>22478.399999999998</v>
      </c>
      <c r="BN70" s="106">
        <v>64</v>
      </c>
      <c r="BO70" s="106">
        <v>34252.799999999996</v>
      </c>
      <c r="BP70" s="106">
        <v>58</v>
      </c>
      <c r="BQ70" s="106">
        <v>31041.599999999995</v>
      </c>
      <c r="BR70" s="106">
        <v>38</v>
      </c>
      <c r="BS70" s="106">
        <v>20337.599999999999</v>
      </c>
      <c r="BT70" s="106">
        <v>57</v>
      </c>
      <c r="BU70" s="106">
        <v>30506.399999999998</v>
      </c>
      <c r="BV70" s="106">
        <v>64</v>
      </c>
      <c r="BW70" s="106">
        <v>34252.799999999996</v>
      </c>
      <c r="BX70" s="106">
        <v>41</v>
      </c>
      <c r="BY70" s="106">
        <v>21943.199999999997</v>
      </c>
      <c r="BZ70" s="106">
        <v>38</v>
      </c>
      <c r="CA70" s="106">
        <v>20337.599999999999</v>
      </c>
      <c r="CB70" s="106">
        <v>32</v>
      </c>
      <c r="CC70" s="106">
        <v>17126.399999999998</v>
      </c>
      <c r="CD70" s="106">
        <v>38</v>
      </c>
      <c r="CE70" s="106">
        <v>20337.599999999999</v>
      </c>
      <c r="CF70" s="106">
        <v>29</v>
      </c>
      <c r="CG70" s="106">
        <v>15520.799999999997</v>
      </c>
      <c r="CH70" s="106">
        <v>37</v>
      </c>
      <c r="CI70" s="106">
        <v>19802.399999999998</v>
      </c>
      <c r="CJ70" s="106">
        <v>30</v>
      </c>
      <c r="CK70" s="106">
        <v>16055.999999999998</v>
      </c>
      <c r="CL70" s="106">
        <v>41</v>
      </c>
      <c r="CM70" s="106">
        <v>21943.199999999997</v>
      </c>
      <c r="CN70" s="106">
        <v>52</v>
      </c>
      <c r="CO70" s="106">
        <v>27830.399999999998</v>
      </c>
      <c r="CP70" s="106">
        <v>34</v>
      </c>
      <c r="CQ70" s="106">
        <v>18196.8</v>
      </c>
      <c r="CR70" s="106">
        <v>57</v>
      </c>
      <c r="CS70" s="106">
        <v>30506.399999999998</v>
      </c>
      <c r="CT70" s="106">
        <v>50</v>
      </c>
      <c r="CU70" s="106">
        <v>26759.999999999996</v>
      </c>
    </row>
    <row r="71" spans="2:99" x14ac:dyDescent="0.2">
      <c r="B71" s="105" t="s">
        <v>130</v>
      </c>
      <c r="C71" s="105" t="s">
        <v>236</v>
      </c>
      <c r="D71" s="106">
        <v>45</v>
      </c>
      <c r="E71" s="106">
        <v>25380</v>
      </c>
      <c r="F71" s="106">
        <v>40</v>
      </c>
      <c r="G71" s="106">
        <v>22560</v>
      </c>
      <c r="H71" s="106">
        <v>50</v>
      </c>
      <c r="I71" s="106">
        <v>28200</v>
      </c>
      <c r="J71" s="106">
        <v>54</v>
      </c>
      <c r="K71" s="106">
        <v>30456</v>
      </c>
      <c r="L71" s="106">
        <v>56.235294117647058</v>
      </c>
      <c r="M71" s="106">
        <v>31716.705882352941</v>
      </c>
      <c r="N71" s="106">
        <v>52.742894910773302</v>
      </c>
      <c r="O71" s="106">
        <v>29746.992729676142</v>
      </c>
      <c r="P71" s="106">
        <v>52</v>
      </c>
      <c r="Q71" s="106">
        <v>29328</v>
      </c>
      <c r="R71" s="106">
        <v>39.914466130884044</v>
      </c>
      <c r="S71" s="106">
        <v>22511.7588978186</v>
      </c>
      <c r="T71" s="106">
        <v>46.878547105561857</v>
      </c>
      <c r="U71" s="106">
        <v>26439.500567536888</v>
      </c>
      <c r="V71" s="106">
        <v>47.550111358574611</v>
      </c>
      <c r="W71" s="106">
        <v>26818.262806236082</v>
      </c>
      <c r="X71" s="106">
        <v>58.874931731294367</v>
      </c>
      <c r="Y71" s="106">
        <v>33205.461496450022</v>
      </c>
      <c r="Z71" s="106">
        <v>41.120218579234972</v>
      </c>
      <c r="AA71" s="106">
        <v>23191.803278688523</v>
      </c>
      <c r="AB71" s="106">
        <v>54.576271186440685</v>
      </c>
      <c r="AC71" s="106">
        <v>30781.016949152545</v>
      </c>
      <c r="AD71" s="106">
        <v>47.433264887063658</v>
      </c>
      <c r="AE71" s="106">
        <v>26752.361396303902</v>
      </c>
      <c r="AF71" s="106">
        <v>48.682824025289776</v>
      </c>
      <c r="AG71" s="106">
        <v>27457.112750263434</v>
      </c>
      <c r="AH71" s="106">
        <v>51</v>
      </c>
      <c r="AI71" s="106">
        <v>28764</v>
      </c>
      <c r="AJ71" s="106">
        <v>42.470347648261757</v>
      </c>
      <c r="AK71" s="106">
        <v>23953.276073619632</v>
      </c>
      <c r="AL71" s="106">
        <v>41.361592806679511</v>
      </c>
      <c r="AM71" s="106">
        <v>23327.938342967245</v>
      </c>
      <c r="AN71" s="106">
        <v>44</v>
      </c>
      <c r="AO71" s="106">
        <v>24816</v>
      </c>
      <c r="AP71" s="106">
        <v>44</v>
      </c>
      <c r="AQ71" s="106">
        <v>24816</v>
      </c>
      <c r="AR71" s="106">
        <v>58</v>
      </c>
      <c r="AS71" s="106">
        <v>32712</v>
      </c>
      <c r="AT71" s="106">
        <v>46</v>
      </c>
      <c r="AU71" s="106">
        <v>25944</v>
      </c>
      <c r="AV71" s="106">
        <v>44</v>
      </c>
      <c r="AW71" s="106">
        <v>24816</v>
      </c>
      <c r="AX71" s="106">
        <v>56.50858369098713</v>
      </c>
      <c r="AY71" s="106">
        <v>31870.841201716743</v>
      </c>
      <c r="AZ71" s="106">
        <v>49.316508937960045</v>
      </c>
      <c r="BA71" s="106">
        <v>27814.511041009464</v>
      </c>
      <c r="BB71" s="106">
        <v>43</v>
      </c>
      <c r="BC71" s="106">
        <v>24252</v>
      </c>
      <c r="BD71" s="106">
        <v>53.848014888337474</v>
      </c>
      <c r="BE71" s="106">
        <v>30370.280397022336</v>
      </c>
      <c r="BF71" s="106">
        <v>50.655021834061138</v>
      </c>
      <c r="BG71" s="106">
        <v>28569.432314410482</v>
      </c>
      <c r="BH71" s="106">
        <v>44.178454842219807</v>
      </c>
      <c r="BI71" s="106">
        <v>24916.648531011971</v>
      </c>
      <c r="BJ71" s="106">
        <v>49.007314524555902</v>
      </c>
      <c r="BK71" s="106">
        <v>27640.125391849528</v>
      </c>
      <c r="BL71" s="106">
        <v>45.833333333333336</v>
      </c>
      <c r="BM71" s="106">
        <v>25850</v>
      </c>
      <c r="BN71" s="106">
        <v>53.061224489795919</v>
      </c>
      <c r="BO71" s="106">
        <v>29926.530612244896</v>
      </c>
      <c r="BP71" s="106">
        <v>46.901172529313229</v>
      </c>
      <c r="BQ71" s="106">
        <v>26452.261306532662</v>
      </c>
      <c r="BR71" s="106">
        <v>42.056074766355138</v>
      </c>
      <c r="BS71" s="106">
        <v>23719.626168224298</v>
      </c>
      <c r="BT71" s="106">
        <v>49.15924826904056</v>
      </c>
      <c r="BU71" s="106">
        <v>27725.816023738877</v>
      </c>
      <c r="BV71" s="106">
        <v>49.884312818139747</v>
      </c>
      <c r="BW71" s="106">
        <v>28134.752429430817</v>
      </c>
      <c r="BX71" s="106">
        <v>50</v>
      </c>
      <c r="BY71" s="106">
        <v>28200</v>
      </c>
      <c r="BZ71" s="106">
        <v>46.767326732673268</v>
      </c>
      <c r="CA71" s="106">
        <v>26376.772277227723</v>
      </c>
      <c r="CB71" s="106">
        <v>28</v>
      </c>
      <c r="CC71" s="106">
        <v>15792</v>
      </c>
      <c r="CD71" s="106">
        <v>34</v>
      </c>
      <c r="CE71" s="106">
        <v>19176</v>
      </c>
      <c r="CF71" s="106">
        <v>36</v>
      </c>
      <c r="CG71" s="106">
        <v>20304</v>
      </c>
      <c r="CH71" s="106">
        <v>51</v>
      </c>
      <c r="CI71" s="106">
        <v>28764</v>
      </c>
      <c r="CJ71" s="106">
        <v>46</v>
      </c>
      <c r="CK71" s="106">
        <v>25944</v>
      </c>
      <c r="CL71" s="106">
        <v>44</v>
      </c>
      <c r="CM71" s="106">
        <v>24816</v>
      </c>
      <c r="CN71" s="106">
        <v>77</v>
      </c>
      <c r="CO71" s="106">
        <v>43428</v>
      </c>
      <c r="CP71" s="106">
        <v>47</v>
      </c>
      <c r="CQ71" s="106">
        <v>26508</v>
      </c>
      <c r="CR71" s="106">
        <v>53</v>
      </c>
      <c r="CS71" s="106">
        <v>29892</v>
      </c>
      <c r="CT71" s="106">
        <v>73.441335297005395</v>
      </c>
      <c r="CU71" s="106">
        <v>41420.913107511042</v>
      </c>
    </row>
    <row r="72" spans="2:99" x14ac:dyDescent="0.2">
      <c r="C72" s="105" t="s">
        <v>237</v>
      </c>
      <c r="D72" s="106">
        <v>50</v>
      </c>
      <c r="E72" s="106">
        <v>3719.9999999999995</v>
      </c>
      <c r="F72" s="106">
        <v>51</v>
      </c>
      <c r="G72" s="106">
        <v>3794.3999999999996</v>
      </c>
      <c r="H72" s="106">
        <v>53</v>
      </c>
      <c r="I72" s="106">
        <v>3943.1999999999994</v>
      </c>
      <c r="J72" s="106">
        <v>68</v>
      </c>
      <c r="K72" s="106">
        <v>5059.2</v>
      </c>
      <c r="L72" s="106">
        <v>55.454248366013069</v>
      </c>
      <c r="M72" s="106">
        <v>4125.7960784313718</v>
      </c>
      <c r="N72" s="106">
        <v>54.593522802379383</v>
      </c>
      <c r="O72" s="106">
        <v>4061.7580964970257</v>
      </c>
      <c r="P72" s="106">
        <v>54</v>
      </c>
      <c r="Q72" s="106">
        <v>4017.5999999999995</v>
      </c>
      <c r="R72" s="106">
        <v>52.133180252583237</v>
      </c>
      <c r="S72" s="106">
        <v>3878.7086107921923</v>
      </c>
      <c r="T72" s="106">
        <v>54.029511918274686</v>
      </c>
      <c r="U72" s="106">
        <v>4019.7956867196363</v>
      </c>
      <c r="V72" s="106">
        <v>52.227171492204903</v>
      </c>
      <c r="W72" s="106">
        <v>3885.7015590200444</v>
      </c>
      <c r="X72" s="106">
        <v>60.404150737302018</v>
      </c>
      <c r="Y72" s="106">
        <v>4494.0688148552699</v>
      </c>
      <c r="Z72" s="106">
        <v>53.551912568306015</v>
      </c>
      <c r="AA72" s="106">
        <v>3984.2622950819673</v>
      </c>
      <c r="AB72" s="106">
        <v>58.531073446327682</v>
      </c>
      <c r="AC72" s="106">
        <v>4354.7118644067787</v>
      </c>
      <c r="AD72" s="106">
        <v>52.464065708418893</v>
      </c>
      <c r="AE72" s="106">
        <v>3903.3264887063651</v>
      </c>
      <c r="AF72" s="106">
        <v>53.846153846153847</v>
      </c>
      <c r="AG72" s="106">
        <v>4006.1538461538457</v>
      </c>
      <c r="AH72" s="106">
        <v>51</v>
      </c>
      <c r="AI72" s="106">
        <v>3794.3999999999996</v>
      </c>
      <c r="AJ72" s="106">
        <v>44.400817995910025</v>
      </c>
      <c r="AK72" s="106">
        <v>3303.4208588957054</v>
      </c>
      <c r="AL72" s="106">
        <v>55.748233782915861</v>
      </c>
      <c r="AM72" s="106">
        <v>4147.6685934489396</v>
      </c>
      <c r="AN72" s="106">
        <v>52</v>
      </c>
      <c r="AO72" s="106">
        <v>3868.7999999999997</v>
      </c>
      <c r="AP72" s="106">
        <v>44</v>
      </c>
      <c r="AQ72" s="106">
        <v>3273.5999999999995</v>
      </c>
      <c r="AR72" s="106">
        <v>56</v>
      </c>
      <c r="AS72" s="106">
        <v>4166.3999999999996</v>
      </c>
      <c r="AT72" s="106">
        <v>45</v>
      </c>
      <c r="AU72" s="106">
        <v>3347.9999999999995</v>
      </c>
      <c r="AV72" s="106">
        <v>52</v>
      </c>
      <c r="AW72" s="106">
        <v>3868.7999999999997</v>
      </c>
      <c r="AX72" s="106">
        <v>68.973712446351925</v>
      </c>
      <c r="AY72" s="106">
        <v>5131.6442060085828</v>
      </c>
      <c r="AZ72" s="106">
        <v>58.149316508937957</v>
      </c>
      <c r="BA72" s="106">
        <v>4326.3091482649834</v>
      </c>
      <c r="BB72" s="106">
        <v>44</v>
      </c>
      <c r="BC72" s="106">
        <v>3273.5999999999995</v>
      </c>
      <c r="BD72" s="106">
        <v>55.613523573200993</v>
      </c>
      <c r="BE72" s="106">
        <v>4137.6461538461535</v>
      </c>
      <c r="BF72" s="106">
        <v>54.148471615720531</v>
      </c>
      <c r="BG72" s="106">
        <v>4028.6462882096071</v>
      </c>
      <c r="BH72" s="106">
        <v>43.416757344940152</v>
      </c>
      <c r="BI72" s="106">
        <v>3230.206746463547</v>
      </c>
      <c r="BJ72" s="106">
        <v>59.979101358411697</v>
      </c>
      <c r="BK72" s="106">
        <v>4462.4451410658294</v>
      </c>
      <c r="BL72" s="106">
        <v>50</v>
      </c>
      <c r="BM72" s="106">
        <v>3719.9999999999995</v>
      </c>
      <c r="BN72" s="106">
        <v>55.510204081632651</v>
      </c>
      <c r="BO72" s="106">
        <v>4129.9591836734689</v>
      </c>
      <c r="BP72" s="106">
        <v>50.027917364600782</v>
      </c>
      <c r="BQ72" s="106">
        <v>3722.0770519262978</v>
      </c>
      <c r="BR72" s="106">
        <v>51.401869158878512</v>
      </c>
      <c r="BS72" s="106">
        <v>3824.299065420561</v>
      </c>
      <c r="BT72" s="106">
        <v>62.314540059347188</v>
      </c>
      <c r="BU72" s="106">
        <v>4636.2017804154302</v>
      </c>
      <c r="BV72" s="106">
        <v>61.545580749652935</v>
      </c>
      <c r="BW72" s="106">
        <v>4578.9912077741774</v>
      </c>
      <c r="BX72" s="106">
        <v>62</v>
      </c>
      <c r="BY72" s="106">
        <v>4612.7999999999993</v>
      </c>
      <c r="BZ72" s="106">
        <v>56.717821782178213</v>
      </c>
      <c r="CA72" s="106">
        <v>4219.8059405940585</v>
      </c>
      <c r="CB72" s="106">
        <v>31</v>
      </c>
      <c r="CC72" s="106">
        <v>2306.3999999999996</v>
      </c>
      <c r="CD72" s="106">
        <v>37</v>
      </c>
      <c r="CE72" s="106">
        <v>2752.7999999999997</v>
      </c>
      <c r="CF72" s="106">
        <v>38</v>
      </c>
      <c r="CG72" s="106">
        <v>2827.2</v>
      </c>
      <c r="CH72" s="106">
        <v>48</v>
      </c>
      <c r="CI72" s="106">
        <v>3571.2</v>
      </c>
      <c r="CJ72" s="106">
        <v>48</v>
      </c>
      <c r="CK72" s="106">
        <v>3571.2</v>
      </c>
      <c r="CL72" s="106">
        <v>51</v>
      </c>
      <c r="CM72" s="106">
        <v>3794.3999999999996</v>
      </c>
      <c r="CN72" s="106">
        <v>76</v>
      </c>
      <c r="CO72" s="106">
        <v>5654.4</v>
      </c>
      <c r="CP72" s="106">
        <v>48</v>
      </c>
      <c r="CQ72" s="106">
        <v>3571.2</v>
      </c>
      <c r="CR72" s="106">
        <v>60</v>
      </c>
      <c r="CS72" s="106">
        <v>4463.9999999999991</v>
      </c>
      <c r="CT72" s="106">
        <v>77.113402061855666</v>
      </c>
      <c r="CU72" s="106">
        <v>5737.2371134020605</v>
      </c>
    </row>
    <row r="73" spans="2:99" x14ac:dyDescent="0.2">
      <c r="C73" s="105" t="s">
        <v>238</v>
      </c>
      <c r="D73" s="106">
        <v>53</v>
      </c>
      <c r="E73" s="106">
        <v>29637.599999999995</v>
      </c>
      <c r="F73" s="106">
        <v>45</v>
      </c>
      <c r="G73" s="106">
        <v>25163.999999999996</v>
      </c>
      <c r="H73" s="106">
        <v>42</v>
      </c>
      <c r="I73" s="106">
        <v>23486.399999999998</v>
      </c>
      <c r="J73" s="106">
        <v>61</v>
      </c>
      <c r="K73" s="106">
        <v>34111.199999999997</v>
      </c>
      <c r="L73" s="106">
        <v>48.424836601307192</v>
      </c>
      <c r="M73" s="106">
        <v>27079.168627450978</v>
      </c>
      <c r="N73" s="106">
        <v>56.444150693985463</v>
      </c>
      <c r="O73" s="106">
        <v>31563.569068076667</v>
      </c>
      <c r="P73" s="106">
        <v>46</v>
      </c>
      <c r="Q73" s="106">
        <v>25723.199999999997</v>
      </c>
      <c r="R73" s="106">
        <v>45.61653272101033</v>
      </c>
      <c r="S73" s="106">
        <v>25508.765097588974</v>
      </c>
      <c r="T73" s="106">
        <v>50.05675368898978</v>
      </c>
      <c r="U73" s="106">
        <v>27991.736662883082</v>
      </c>
      <c r="V73" s="106">
        <v>49.109131403118042</v>
      </c>
      <c r="W73" s="106">
        <v>27461.826280623605</v>
      </c>
      <c r="X73" s="106">
        <v>53.522665210267611</v>
      </c>
      <c r="Y73" s="106">
        <v>29929.874385581643</v>
      </c>
      <c r="Z73" s="106">
        <v>44.94535519125683</v>
      </c>
      <c r="AA73" s="106">
        <v>25133.442622950817</v>
      </c>
      <c r="AB73" s="106">
        <v>61.694915254237287</v>
      </c>
      <c r="AC73" s="106">
        <v>34499.796610169484</v>
      </c>
      <c r="AD73" s="106">
        <v>47.433264887063658</v>
      </c>
      <c r="AE73" s="106">
        <v>26524.681724845996</v>
      </c>
      <c r="AF73" s="106">
        <v>49.420442571127502</v>
      </c>
      <c r="AG73" s="106">
        <v>27635.911485774497</v>
      </c>
      <c r="AH73" s="106">
        <v>50</v>
      </c>
      <c r="AI73" s="106">
        <v>27959.999999999996</v>
      </c>
      <c r="AJ73" s="106">
        <v>45.366053169734158</v>
      </c>
      <c r="AK73" s="106">
        <v>25368.696932515337</v>
      </c>
      <c r="AL73" s="106">
        <v>50.353243416827226</v>
      </c>
      <c r="AM73" s="106">
        <v>28157.533718689781</v>
      </c>
      <c r="AN73" s="106">
        <v>48</v>
      </c>
      <c r="AO73" s="106">
        <v>26841.599999999999</v>
      </c>
      <c r="AP73" s="106">
        <v>39</v>
      </c>
      <c r="AQ73" s="106">
        <v>21808.799999999996</v>
      </c>
      <c r="AR73" s="106">
        <v>56</v>
      </c>
      <c r="AS73" s="106">
        <v>31315.199999999997</v>
      </c>
      <c r="AT73" s="106">
        <v>45</v>
      </c>
      <c r="AU73" s="106">
        <v>25163.999999999996</v>
      </c>
      <c r="AV73" s="106">
        <v>50</v>
      </c>
      <c r="AW73" s="106">
        <v>27959.999999999996</v>
      </c>
      <c r="AX73" s="106">
        <v>63.156652360515018</v>
      </c>
      <c r="AY73" s="106">
        <v>35317.199999999997</v>
      </c>
      <c r="AZ73" s="106">
        <v>50.052576235541537</v>
      </c>
      <c r="BA73" s="106">
        <v>27989.400630914824</v>
      </c>
      <c r="BB73" s="106">
        <v>36</v>
      </c>
      <c r="BC73" s="106">
        <v>20131.199999999997</v>
      </c>
      <c r="BD73" s="106">
        <v>52.08250620347394</v>
      </c>
      <c r="BE73" s="106">
        <v>29124.537468982624</v>
      </c>
      <c r="BF73" s="106">
        <v>48.908296943231441</v>
      </c>
      <c r="BG73" s="106">
        <v>27349.51965065502</v>
      </c>
      <c r="BH73" s="106">
        <v>42.655059847660503</v>
      </c>
      <c r="BI73" s="106">
        <v>23852.70946681175</v>
      </c>
      <c r="BJ73" s="106">
        <v>51.201671891327059</v>
      </c>
      <c r="BK73" s="106">
        <v>28631.974921630088</v>
      </c>
      <c r="BL73" s="106">
        <v>43.333333333333336</v>
      </c>
      <c r="BM73" s="106">
        <v>24232</v>
      </c>
      <c r="BN73" s="106">
        <v>44.897959183673471</v>
      </c>
      <c r="BO73" s="106">
        <v>25106.938775510203</v>
      </c>
      <c r="BP73" s="106">
        <v>46.901172529313229</v>
      </c>
      <c r="BQ73" s="106">
        <v>26227.135678391955</v>
      </c>
      <c r="BR73" s="106">
        <v>43.925233644859816</v>
      </c>
      <c r="BS73" s="106">
        <v>24562.990654205605</v>
      </c>
      <c r="BT73" s="106">
        <v>52.621167161226509</v>
      </c>
      <c r="BU73" s="106">
        <v>29425.756676557859</v>
      </c>
      <c r="BV73" s="106">
        <v>50.532161036557149</v>
      </c>
      <c r="BW73" s="106">
        <v>28257.584451642753</v>
      </c>
      <c r="BX73" s="106">
        <v>55</v>
      </c>
      <c r="BY73" s="106">
        <v>30755.999999999996</v>
      </c>
      <c r="BZ73" s="106">
        <v>49.75247524752475</v>
      </c>
      <c r="CA73" s="106">
        <v>27821.584158415837</v>
      </c>
      <c r="CB73" s="106">
        <v>31</v>
      </c>
      <c r="CC73" s="106">
        <v>17335.199999999997</v>
      </c>
      <c r="CD73" s="106">
        <v>39</v>
      </c>
      <c r="CE73" s="106">
        <v>21808.799999999996</v>
      </c>
      <c r="CF73" s="106">
        <v>33</v>
      </c>
      <c r="CG73" s="106">
        <v>18453.599999999999</v>
      </c>
      <c r="CH73" s="106">
        <v>48</v>
      </c>
      <c r="CI73" s="106">
        <v>26841.599999999999</v>
      </c>
      <c r="CJ73" s="106">
        <v>45</v>
      </c>
      <c r="CK73" s="106">
        <v>25163.999999999996</v>
      </c>
      <c r="CL73" s="106">
        <v>50</v>
      </c>
      <c r="CM73" s="106">
        <v>27959.999999999996</v>
      </c>
      <c r="CN73" s="106">
        <v>76</v>
      </c>
      <c r="CO73" s="106">
        <v>42499.199999999997</v>
      </c>
      <c r="CP73" s="106">
        <v>42</v>
      </c>
      <c r="CQ73" s="106">
        <v>23486.399999999998</v>
      </c>
      <c r="CR73" s="106">
        <v>59</v>
      </c>
      <c r="CS73" s="106">
        <v>32992.799999999996</v>
      </c>
      <c r="CT73" s="106">
        <v>72.523318605792838</v>
      </c>
      <c r="CU73" s="106">
        <v>40555.039764359353</v>
      </c>
    </row>
    <row r="74" spans="2:99" x14ac:dyDescent="0.2">
      <c r="C74" s="105" t="s">
        <v>239</v>
      </c>
      <c r="D74" s="106">
        <v>51</v>
      </c>
      <c r="E74" s="106">
        <v>20563.2</v>
      </c>
      <c r="F74" s="106">
        <v>43</v>
      </c>
      <c r="G74" s="106">
        <v>17337.599999999999</v>
      </c>
      <c r="H74" s="106">
        <v>51</v>
      </c>
      <c r="I74" s="106">
        <v>20563.2</v>
      </c>
      <c r="J74" s="106">
        <v>64</v>
      </c>
      <c r="K74" s="106">
        <v>25804.799999999999</v>
      </c>
      <c r="L74" s="106">
        <v>57.016339869281047</v>
      </c>
      <c r="M74" s="106">
        <v>22988.988235294117</v>
      </c>
      <c r="N74" s="106">
        <v>51.817580964970261</v>
      </c>
      <c r="O74" s="106">
        <v>20892.84864507601</v>
      </c>
      <c r="P74" s="106">
        <v>53</v>
      </c>
      <c r="Q74" s="106">
        <v>21369.599999999999</v>
      </c>
      <c r="R74" s="106">
        <v>48.87485648679678</v>
      </c>
      <c r="S74" s="106">
        <v>19706.342135476461</v>
      </c>
      <c r="T74" s="106">
        <v>58.002270147559592</v>
      </c>
      <c r="U74" s="106">
        <v>23386.515323496027</v>
      </c>
      <c r="V74" s="106">
        <v>55.345211581291757</v>
      </c>
      <c r="W74" s="106">
        <v>22315.189309576836</v>
      </c>
      <c r="X74" s="106">
        <v>52.758055707263793</v>
      </c>
      <c r="Y74" s="106">
        <v>21272.04806116876</v>
      </c>
      <c r="Z74" s="106">
        <v>49.72677595628415</v>
      </c>
      <c r="AA74" s="106">
        <v>20049.836065573771</v>
      </c>
      <c r="AB74" s="106">
        <v>63.27683615819209</v>
      </c>
      <c r="AC74" s="106">
        <v>25513.22033898305</v>
      </c>
      <c r="AD74" s="106">
        <v>51.026694045174537</v>
      </c>
      <c r="AE74" s="106">
        <v>20573.963039014372</v>
      </c>
      <c r="AF74" s="106">
        <v>50.158061116965229</v>
      </c>
      <c r="AG74" s="106">
        <v>20223.73024236038</v>
      </c>
      <c r="AH74" s="106">
        <v>49</v>
      </c>
      <c r="AI74" s="106">
        <v>19756.8</v>
      </c>
      <c r="AJ74" s="106">
        <v>48.261758691206545</v>
      </c>
      <c r="AK74" s="106">
        <v>19459.141104294478</v>
      </c>
      <c r="AL74" s="106">
        <v>46.756583172768146</v>
      </c>
      <c r="AM74" s="106">
        <v>18852.254335260117</v>
      </c>
      <c r="AN74" s="106">
        <v>45</v>
      </c>
      <c r="AO74" s="106">
        <v>18144</v>
      </c>
      <c r="AP74" s="106">
        <v>40</v>
      </c>
      <c r="AQ74" s="106">
        <v>16128</v>
      </c>
      <c r="AR74" s="106">
        <v>59</v>
      </c>
      <c r="AS74" s="106">
        <v>23788.799999999999</v>
      </c>
      <c r="AT74" s="106">
        <v>46</v>
      </c>
      <c r="AU74" s="106">
        <v>18547.2</v>
      </c>
      <c r="AV74" s="106">
        <v>52</v>
      </c>
      <c r="AW74" s="106">
        <v>20966.399999999998</v>
      </c>
      <c r="AX74" s="106">
        <v>56.50858369098713</v>
      </c>
      <c r="AY74" s="106">
        <v>22784.260944206009</v>
      </c>
      <c r="AZ74" s="106">
        <v>50.052576235541537</v>
      </c>
      <c r="BA74" s="106">
        <v>20181.198738170347</v>
      </c>
      <c r="BB74" s="106">
        <v>42</v>
      </c>
      <c r="BC74" s="106">
        <v>16934.399999999998</v>
      </c>
      <c r="BD74" s="106">
        <v>48.551488833746902</v>
      </c>
      <c r="BE74" s="106">
        <v>19575.960297766749</v>
      </c>
      <c r="BF74" s="106">
        <v>45.414847161572048</v>
      </c>
      <c r="BG74" s="106">
        <v>18311.266375545849</v>
      </c>
      <c r="BH74" s="106">
        <v>44.940152339499456</v>
      </c>
      <c r="BI74" s="106">
        <v>18119.869423286182</v>
      </c>
      <c r="BJ74" s="106">
        <v>50.470219435736681</v>
      </c>
      <c r="BK74" s="106">
        <v>20349.59247648903</v>
      </c>
      <c r="BL74" s="106">
        <v>46.666666666666664</v>
      </c>
      <c r="BM74" s="106">
        <v>18816</v>
      </c>
      <c r="BN74" s="106">
        <v>55.510204081632651</v>
      </c>
      <c r="BO74" s="106">
        <v>22381.714285714283</v>
      </c>
      <c r="BP74" s="106">
        <v>46.119486320491347</v>
      </c>
      <c r="BQ74" s="106">
        <v>18595.376884422112</v>
      </c>
      <c r="BR74" s="106">
        <v>42.990654205607477</v>
      </c>
      <c r="BS74" s="106">
        <v>17333.831775700935</v>
      </c>
      <c r="BT74" s="106">
        <v>51.236399604352123</v>
      </c>
      <c r="BU74" s="106">
        <v>20658.516320474777</v>
      </c>
      <c r="BV74" s="106">
        <v>57.01064322073114</v>
      </c>
      <c r="BW74" s="106">
        <v>22986.691346598796</v>
      </c>
      <c r="BX74" s="106">
        <v>51</v>
      </c>
      <c r="BY74" s="106">
        <v>20563.2</v>
      </c>
      <c r="BZ74" s="106">
        <v>49.75247524752475</v>
      </c>
      <c r="CA74" s="106">
        <v>20060.198019801977</v>
      </c>
      <c r="CB74" s="106">
        <v>31</v>
      </c>
      <c r="CC74" s="106">
        <v>12499.199999999999</v>
      </c>
      <c r="CD74" s="106">
        <v>37</v>
      </c>
      <c r="CE74" s="106">
        <v>14918.4</v>
      </c>
      <c r="CF74" s="106">
        <v>38</v>
      </c>
      <c r="CG74" s="106">
        <v>15321.6</v>
      </c>
      <c r="CH74" s="106">
        <v>50</v>
      </c>
      <c r="CI74" s="106">
        <v>20160</v>
      </c>
      <c r="CJ74" s="106">
        <v>44</v>
      </c>
      <c r="CK74" s="106">
        <v>17740.8</v>
      </c>
      <c r="CL74" s="106">
        <v>49</v>
      </c>
      <c r="CM74" s="106">
        <v>19756.8</v>
      </c>
      <c r="CN74" s="106">
        <v>69</v>
      </c>
      <c r="CO74" s="106">
        <v>27820.799999999999</v>
      </c>
      <c r="CP74" s="106">
        <v>51</v>
      </c>
      <c r="CQ74" s="106">
        <v>20563.2</v>
      </c>
      <c r="CR74" s="106">
        <v>59</v>
      </c>
      <c r="CS74" s="106">
        <v>23788.799999999999</v>
      </c>
      <c r="CT74" s="106">
        <v>72.523318605792838</v>
      </c>
      <c r="CU74" s="106">
        <v>29241.402061855671</v>
      </c>
    </row>
    <row r="75" spans="2:99" x14ac:dyDescent="0.2">
      <c r="C75" s="105" t="s">
        <v>240</v>
      </c>
      <c r="D75" s="106">
        <v>46</v>
      </c>
      <c r="E75" s="106">
        <v>29587.199999999997</v>
      </c>
      <c r="F75" s="106">
        <v>38</v>
      </c>
      <c r="G75" s="106">
        <v>24441.599999999999</v>
      </c>
      <c r="H75" s="106">
        <v>43</v>
      </c>
      <c r="I75" s="106">
        <v>27657.599999999999</v>
      </c>
      <c r="J75" s="106">
        <v>58</v>
      </c>
      <c r="K75" s="106">
        <v>37305.599999999999</v>
      </c>
      <c r="L75" s="106">
        <v>48.424836601307192</v>
      </c>
      <c r="M75" s="106">
        <v>31146.854901960782</v>
      </c>
      <c r="N75" s="106">
        <v>48.1163251817581</v>
      </c>
      <c r="O75" s="106">
        <v>30948.420356906805</v>
      </c>
      <c r="P75" s="106">
        <v>53</v>
      </c>
      <c r="Q75" s="106">
        <v>34089.599999999999</v>
      </c>
      <c r="R75" s="106">
        <v>47.245694603903559</v>
      </c>
      <c r="S75" s="106">
        <v>30388.430769230767</v>
      </c>
      <c r="T75" s="106">
        <v>50.851305334846764</v>
      </c>
      <c r="U75" s="106">
        <v>32707.559591373436</v>
      </c>
      <c r="V75" s="106">
        <v>50.668151447661472</v>
      </c>
      <c r="W75" s="106">
        <v>32589.755011135854</v>
      </c>
      <c r="X75" s="106">
        <v>53.522665210267611</v>
      </c>
      <c r="Y75" s="106">
        <v>34425.778263244123</v>
      </c>
      <c r="Z75" s="106">
        <v>44.94535519125683</v>
      </c>
      <c r="AA75" s="106">
        <v>28908.852459016391</v>
      </c>
      <c r="AB75" s="106">
        <v>61.694915254237287</v>
      </c>
      <c r="AC75" s="106">
        <v>39682.169491525419</v>
      </c>
      <c r="AD75" s="106">
        <v>45.995893223819301</v>
      </c>
      <c r="AE75" s="106">
        <v>29584.558521560572</v>
      </c>
      <c r="AF75" s="106">
        <v>49.420442571127502</v>
      </c>
      <c r="AG75" s="106">
        <v>31787.228661749206</v>
      </c>
      <c r="AH75" s="106">
        <v>47</v>
      </c>
      <c r="AI75" s="106">
        <v>30230.399999999998</v>
      </c>
      <c r="AJ75" s="106">
        <v>46.331288343558285</v>
      </c>
      <c r="AK75" s="106">
        <v>29800.284662576687</v>
      </c>
      <c r="AL75" s="106">
        <v>49.454078355812463</v>
      </c>
      <c r="AM75" s="106">
        <v>31808.863198458574</v>
      </c>
      <c r="AN75" s="106">
        <v>45</v>
      </c>
      <c r="AO75" s="106">
        <v>28943.999999999996</v>
      </c>
      <c r="AP75" s="106">
        <v>42</v>
      </c>
      <c r="AQ75" s="106">
        <v>27014.399999999998</v>
      </c>
      <c r="AR75" s="106">
        <v>54</v>
      </c>
      <c r="AS75" s="106">
        <v>34732.799999999996</v>
      </c>
      <c r="AT75" s="106">
        <v>46</v>
      </c>
      <c r="AU75" s="106">
        <v>29587.199999999997</v>
      </c>
      <c r="AV75" s="106">
        <v>51</v>
      </c>
      <c r="AW75" s="106">
        <v>32803.199999999997</v>
      </c>
      <c r="AX75" s="106">
        <v>54.01555793991416</v>
      </c>
      <c r="AY75" s="106">
        <v>34742.806866952786</v>
      </c>
      <c r="AZ75" s="106">
        <v>50.788643533123036</v>
      </c>
      <c r="BA75" s="106">
        <v>32667.255520504732</v>
      </c>
      <c r="BB75" s="106">
        <v>42</v>
      </c>
      <c r="BC75" s="106">
        <v>27014.399999999998</v>
      </c>
      <c r="BD75" s="106">
        <v>45.903225806451609</v>
      </c>
      <c r="BE75" s="106">
        <v>29524.954838709673</v>
      </c>
      <c r="BF75" s="106">
        <v>42.79475982532751</v>
      </c>
      <c r="BG75" s="106">
        <v>27525.589519650654</v>
      </c>
      <c r="BH75" s="106">
        <v>43.416757344940152</v>
      </c>
      <c r="BI75" s="106">
        <v>27925.658324265503</v>
      </c>
      <c r="BJ75" s="106">
        <v>45.350052246603973</v>
      </c>
      <c r="BK75" s="106">
        <v>29169.153605015672</v>
      </c>
      <c r="BL75" s="106">
        <v>50.833333333333336</v>
      </c>
      <c r="BM75" s="106">
        <v>32695.999999999996</v>
      </c>
      <c r="BN75" s="106">
        <v>47.34693877551021</v>
      </c>
      <c r="BO75" s="106">
        <v>30453.551020408166</v>
      </c>
      <c r="BP75" s="106">
        <v>46.901172529313229</v>
      </c>
      <c r="BQ75" s="106">
        <v>30166.834170854265</v>
      </c>
      <c r="BR75" s="106">
        <v>42.056074766355138</v>
      </c>
      <c r="BS75" s="106">
        <v>27050.467289719621</v>
      </c>
      <c r="BT75" s="106">
        <v>51.236399604352123</v>
      </c>
      <c r="BU75" s="106">
        <v>32955.252225519282</v>
      </c>
      <c r="BV75" s="106">
        <v>53.12355391022674</v>
      </c>
      <c r="BW75" s="106">
        <v>34169.069875057838</v>
      </c>
      <c r="BX75" s="106">
        <v>55</v>
      </c>
      <c r="BY75" s="106">
        <v>35375.999999999993</v>
      </c>
      <c r="BZ75" s="106">
        <v>51.742574257425744</v>
      </c>
      <c r="CA75" s="106">
        <v>33280.823762376232</v>
      </c>
      <c r="CB75" s="106">
        <v>26</v>
      </c>
      <c r="CC75" s="106">
        <v>16723.199999999997</v>
      </c>
      <c r="CD75" s="106">
        <v>38</v>
      </c>
      <c r="CE75" s="106">
        <v>24441.599999999999</v>
      </c>
      <c r="CF75" s="106">
        <v>33</v>
      </c>
      <c r="CG75" s="106">
        <v>21225.599999999999</v>
      </c>
      <c r="CH75" s="106">
        <v>43</v>
      </c>
      <c r="CI75" s="106">
        <v>27657.599999999999</v>
      </c>
      <c r="CJ75" s="106">
        <v>42</v>
      </c>
      <c r="CK75" s="106">
        <v>27014.399999999998</v>
      </c>
      <c r="CL75" s="106">
        <v>42</v>
      </c>
      <c r="CM75" s="106">
        <v>27014.399999999998</v>
      </c>
      <c r="CN75" s="106">
        <v>69</v>
      </c>
      <c r="CO75" s="106">
        <v>44380.799999999996</v>
      </c>
      <c r="CP75" s="106">
        <v>46</v>
      </c>
      <c r="CQ75" s="106">
        <v>29587.199999999997</v>
      </c>
      <c r="CR75" s="106">
        <v>55</v>
      </c>
      <c r="CS75" s="106">
        <v>35375.999999999993</v>
      </c>
      <c r="CT75" s="106">
        <v>69.769268532155124</v>
      </c>
      <c r="CU75" s="106">
        <v>44875.593519882168</v>
      </c>
    </row>
    <row r="76" spans="2:99" x14ac:dyDescent="0.2">
      <c r="C76" s="105" t="s">
        <v>241</v>
      </c>
      <c r="D76" s="106">
        <v>44</v>
      </c>
      <c r="E76" s="106">
        <v>34267.199999999997</v>
      </c>
      <c r="F76" s="106">
        <v>36</v>
      </c>
      <c r="G76" s="106">
        <v>28036.799999999999</v>
      </c>
      <c r="H76" s="106">
        <v>47</v>
      </c>
      <c r="I76" s="106">
        <v>36603.599999999999</v>
      </c>
      <c r="J76" s="106">
        <v>59</v>
      </c>
      <c r="K76" s="106">
        <v>45949.2</v>
      </c>
      <c r="L76" s="106">
        <v>46.08169934640523</v>
      </c>
      <c r="M76" s="106">
        <v>35888.427450980394</v>
      </c>
      <c r="N76" s="106">
        <v>53.668208856576335</v>
      </c>
      <c r="O76" s="106">
        <v>41796.801057501645</v>
      </c>
      <c r="P76" s="106">
        <v>43</v>
      </c>
      <c r="Q76" s="106">
        <v>33488.400000000001</v>
      </c>
      <c r="R76" s="106">
        <v>45.61653272101033</v>
      </c>
      <c r="S76" s="106">
        <v>35526.155683122844</v>
      </c>
      <c r="T76" s="106">
        <v>46.878547105561857</v>
      </c>
      <c r="U76" s="106">
        <v>36509.012485811574</v>
      </c>
      <c r="V76" s="106">
        <v>53.006681514476618</v>
      </c>
      <c r="W76" s="106">
        <v>41281.603563474389</v>
      </c>
      <c r="X76" s="106">
        <v>50.464227198252317</v>
      </c>
      <c r="Y76" s="106">
        <v>39301.540141998899</v>
      </c>
      <c r="Z76" s="106">
        <v>42.076502732240435</v>
      </c>
      <c r="AA76" s="106">
        <v>32769.180327868846</v>
      </c>
      <c r="AB76" s="106">
        <v>50.621468926553675</v>
      </c>
      <c r="AC76" s="106">
        <v>39424</v>
      </c>
      <c r="AD76" s="106">
        <v>51.745379876796711</v>
      </c>
      <c r="AE76" s="106">
        <v>40299.301848049276</v>
      </c>
      <c r="AF76" s="106">
        <v>53.108535300316127</v>
      </c>
      <c r="AG76" s="106">
        <v>41360.927291886197</v>
      </c>
      <c r="AH76" s="106">
        <v>43</v>
      </c>
      <c r="AI76" s="106">
        <v>33488.400000000001</v>
      </c>
      <c r="AJ76" s="106">
        <v>38.609406952965237</v>
      </c>
      <c r="AK76" s="106">
        <v>30069.006134969324</v>
      </c>
      <c r="AL76" s="106">
        <v>45.857418111753368</v>
      </c>
      <c r="AM76" s="106">
        <v>35713.757225433525</v>
      </c>
      <c r="AN76" s="106">
        <v>45</v>
      </c>
      <c r="AO76" s="106">
        <v>35046</v>
      </c>
      <c r="AP76" s="106">
        <v>35</v>
      </c>
      <c r="AQ76" s="106">
        <v>27258</v>
      </c>
      <c r="AR76" s="106">
        <v>55</v>
      </c>
      <c r="AS76" s="106">
        <v>42834</v>
      </c>
      <c r="AT76" s="106">
        <v>39</v>
      </c>
      <c r="AU76" s="106">
        <v>30373.199999999997</v>
      </c>
      <c r="AV76" s="106">
        <v>41</v>
      </c>
      <c r="AW76" s="106">
        <v>31930.799999999999</v>
      </c>
      <c r="AX76" s="106">
        <v>52.353540772532192</v>
      </c>
      <c r="AY76" s="106">
        <v>40772.937553648066</v>
      </c>
      <c r="AZ76" s="106">
        <v>49.316508937960045</v>
      </c>
      <c r="BA76" s="106">
        <v>38407.697160883283</v>
      </c>
      <c r="BB76" s="106">
        <v>36</v>
      </c>
      <c r="BC76" s="106">
        <v>28036.799999999999</v>
      </c>
      <c r="BD76" s="106">
        <v>48.551488833746902</v>
      </c>
      <c r="BE76" s="106">
        <v>37811.899503722088</v>
      </c>
      <c r="BF76" s="106">
        <v>47.161572052401752</v>
      </c>
      <c r="BG76" s="106">
        <v>36729.432314410486</v>
      </c>
      <c r="BH76" s="106">
        <v>42.655059847660503</v>
      </c>
      <c r="BI76" s="106">
        <v>33219.760609357996</v>
      </c>
      <c r="BJ76" s="106">
        <v>45.350052246603973</v>
      </c>
      <c r="BK76" s="106">
        <v>35318.620689655174</v>
      </c>
      <c r="BL76" s="106">
        <v>44.166666666666664</v>
      </c>
      <c r="BM76" s="106">
        <v>34396.999999999993</v>
      </c>
      <c r="BN76" s="106">
        <v>46.530612244897959</v>
      </c>
      <c r="BO76" s="106">
        <v>36238.040816326531</v>
      </c>
      <c r="BP76" s="106">
        <v>39.865996649916248</v>
      </c>
      <c r="BQ76" s="106">
        <v>31047.638190954771</v>
      </c>
      <c r="BR76" s="106">
        <v>42.990654205607477</v>
      </c>
      <c r="BS76" s="106">
        <v>33481.121495327105</v>
      </c>
      <c r="BT76" s="106">
        <v>51.928783382789312</v>
      </c>
      <c r="BU76" s="106">
        <v>40442.136498516316</v>
      </c>
      <c r="BV76" s="106">
        <v>44.053678852383158</v>
      </c>
      <c r="BW76" s="106">
        <v>34309.005090236002</v>
      </c>
      <c r="BX76" s="106">
        <v>46</v>
      </c>
      <c r="BY76" s="106">
        <v>35824.799999999996</v>
      </c>
      <c r="BZ76" s="106">
        <v>49.75247524752475</v>
      </c>
      <c r="CA76" s="106">
        <v>38747.227722772273</v>
      </c>
      <c r="CB76" s="106">
        <v>28</v>
      </c>
      <c r="CC76" s="106">
        <v>21806.399999999998</v>
      </c>
      <c r="CD76" s="106">
        <v>33</v>
      </c>
      <c r="CE76" s="106">
        <v>25700.399999999998</v>
      </c>
      <c r="CF76" s="106">
        <v>30</v>
      </c>
      <c r="CG76" s="106">
        <v>23364</v>
      </c>
      <c r="CH76" s="106">
        <v>41</v>
      </c>
      <c r="CI76" s="106">
        <v>31930.799999999999</v>
      </c>
      <c r="CJ76" s="106">
        <v>37</v>
      </c>
      <c r="CK76" s="106">
        <v>28815.599999999999</v>
      </c>
      <c r="CL76" s="106">
        <v>43</v>
      </c>
      <c r="CM76" s="106">
        <v>33488.400000000001</v>
      </c>
      <c r="CN76" s="106">
        <v>71</v>
      </c>
      <c r="CO76" s="106">
        <v>55294.799999999996</v>
      </c>
      <c r="CP76" s="106">
        <v>48</v>
      </c>
      <c r="CQ76" s="106">
        <v>37382.399999999994</v>
      </c>
      <c r="CR76" s="106">
        <v>49</v>
      </c>
      <c r="CS76" s="106">
        <v>38161.199999999997</v>
      </c>
      <c r="CT76" s="106">
        <v>62.425135002454589</v>
      </c>
      <c r="CU76" s="106">
        <v>48616.69513991163</v>
      </c>
    </row>
    <row r="77" spans="2:99" x14ac:dyDescent="0.2">
      <c r="C77" s="105" t="s">
        <v>242</v>
      </c>
      <c r="D77" s="106">
        <v>54</v>
      </c>
      <c r="E77" s="106">
        <v>15033.599999999999</v>
      </c>
      <c r="F77" s="106">
        <v>42</v>
      </c>
      <c r="G77" s="106">
        <v>11692.8</v>
      </c>
      <c r="H77" s="106">
        <v>51</v>
      </c>
      <c r="I77" s="106">
        <v>14198.4</v>
      </c>
      <c r="J77" s="106">
        <v>63</v>
      </c>
      <c r="K77" s="106">
        <v>17539.199999999997</v>
      </c>
      <c r="L77" s="106">
        <v>52.330065359477118</v>
      </c>
      <c r="M77" s="106">
        <v>14568.690196078429</v>
      </c>
      <c r="N77" s="106">
        <v>58.294778585591544</v>
      </c>
      <c r="O77" s="106">
        <v>16229.266358228684</v>
      </c>
      <c r="P77" s="106">
        <v>52</v>
      </c>
      <c r="Q77" s="106">
        <v>14476.8</v>
      </c>
      <c r="R77" s="106">
        <v>45.61653272101033</v>
      </c>
      <c r="S77" s="106">
        <v>12699.642709529275</v>
      </c>
      <c r="T77" s="106">
        <v>54.029511918274686</v>
      </c>
      <c r="U77" s="106">
        <v>15041.816118047671</v>
      </c>
      <c r="V77" s="106">
        <v>57.683741648106903</v>
      </c>
      <c r="W77" s="106">
        <v>16059.15367483296</v>
      </c>
      <c r="X77" s="106">
        <v>57.345712725286724</v>
      </c>
      <c r="Y77" s="106">
        <v>15965.046422719823</v>
      </c>
      <c r="Z77" s="106">
        <v>47.814207650273225</v>
      </c>
      <c r="AA77" s="106">
        <v>13311.475409836065</v>
      </c>
      <c r="AB77" s="106">
        <v>60.903954802259882</v>
      </c>
      <c r="AC77" s="106">
        <v>16955.661016949151</v>
      </c>
      <c r="AD77" s="106">
        <v>49.589322381930181</v>
      </c>
      <c r="AE77" s="106">
        <v>13805.667351129361</v>
      </c>
      <c r="AF77" s="106">
        <v>50.158061116965229</v>
      </c>
      <c r="AG77" s="106">
        <v>13964.004214963119</v>
      </c>
      <c r="AH77" s="106">
        <v>55</v>
      </c>
      <c r="AI77" s="106">
        <v>15311.999999999998</v>
      </c>
      <c r="AJ77" s="106">
        <v>50.192229038854812</v>
      </c>
      <c r="AK77" s="106">
        <v>13973.516564417179</v>
      </c>
      <c r="AL77" s="106">
        <v>53.050738599871551</v>
      </c>
      <c r="AM77" s="106">
        <v>14769.325626204238</v>
      </c>
      <c r="AN77" s="106">
        <v>48</v>
      </c>
      <c r="AO77" s="106">
        <v>13363.199999999999</v>
      </c>
      <c r="AP77" s="106">
        <v>45</v>
      </c>
      <c r="AQ77" s="106">
        <v>12527.999999999998</v>
      </c>
      <c r="AR77" s="106">
        <v>59</v>
      </c>
      <c r="AS77" s="106">
        <v>16425.599999999999</v>
      </c>
      <c r="AT77" s="106">
        <v>47</v>
      </c>
      <c r="AU77" s="106">
        <v>13084.8</v>
      </c>
      <c r="AV77" s="106">
        <v>53</v>
      </c>
      <c r="AW77" s="106">
        <v>14755.199999999999</v>
      </c>
      <c r="AX77" s="106">
        <v>56.50858369098713</v>
      </c>
      <c r="AY77" s="106">
        <v>15731.989699570815</v>
      </c>
      <c r="AZ77" s="106">
        <v>52.260778128286013</v>
      </c>
      <c r="BA77" s="106">
        <v>14549.400630914824</v>
      </c>
      <c r="BB77" s="106">
        <v>45</v>
      </c>
      <c r="BC77" s="106">
        <v>12527.999999999998</v>
      </c>
      <c r="BD77" s="106">
        <v>51.199751861042181</v>
      </c>
      <c r="BE77" s="106">
        <v>14254.010918114142</v>
      </c>
      <c r="BF77" s="106">
        <v>48.908296943231441</v>
      </c>
      <c r="BG77" s="106">
        <v>13616.069868995632</v>
      </c>
      <c r="BH77" s="106">
        <v>48.748639825897719</v>
      </c>
      <c r="BI77" s="106">
        <v>13571.621327529923</v>
      </c>
      <c r="BJ77" s="106">
        <v>51.201671891327059</v>
      </c>
      <c r="BK77" s="106">
        <v>14254.545454545452</v>
      </c>
      <c r="BL77" s="106">
        <v>55</v>
      </c>
      <c r="BM77" s="106">
        <v>15311.999999999998</v>
      </c>
      <c r="BN77" s="106">
        <v>50.612244897959187</v>
      </c>
      <c r="BO77" s="106">
        <v>14090.448979591836</v>
      </c>
      <c r="BP77" s="106">
        <v>52.372975991066447</v>
      </c>
      <c r="BQ77" s="106">
        <v>14580.636515912898</v>
      </c>
      <c r="BR77" s="106">
        <v>46.728971962616818</v>
      </c>
      <c r="BS77" s="106">
        <v>13009.34579439252</v>
      </c>
      <c r="BT77" s="106">
        <v>53.313550939663699</v>
      </c>
      <c r="BU77" s="106">
        <v>14842.492581602373</v>
      </c>
      <c r="BV77" s="106">
        <v>53.12355391022674</v>
      </c>
      <c r="BW77" s="106">
        <v>14789.597408607124</v>
      </c>
      <c r="BX77" s="106">
        <v>56</v>
      </c>
      <c r="BY77" s="106">
        <v>15590.399999999998</v>
      </c>
      <c r="BZ77" s="106">
        <v>47.762376237623762</v>
      </c>
      <c r="CA77" s="106">
        <v>13297.045544554454</v>
      </c>
      <c r="CB77" s="106">
        <v>30</v>
      </c>
      <c r="CC77" s="106">
        <v>8352</v>
      </c>
      <c r="CD77" s="106">
        <v>38</v>
      </c>
      <c r="CE77" s="106">
        <v>10579.199999999999</v>
      </c>
      <c r="CF77" s="106">
        <v>39</v>
      </c>
      <c r="CG77" s="106">
        <v>10857.599999999999</v>
      </c>
      <c r="CH77" s="106">
        <v>50</v>
      </c>
      <c r="CI77" s="106">
        <v>13919.999999999998</v>
      </c>
      <c r="CJ77" s="106">
        <v>46</v>
      </c>
      <c r="CK77" s="106">
        <v>12806.4</v>
      </c>
      <c r="CL77" s="106">
        <v>45</v>
      </c>
      <c r="CM77" s="106">
        <v>12527.999999999998</v>
      </c>
      <c r="CN77" s="106">
        <v>80</v>
      </c>
      <c r="CO77" s="106">
        <v>22272</v>
      </c>
      <c r="CP77" s="106">
        <v>53</v>
      </c>
      <c r="CQ77" s="106">
        <v>14755.199999999999</v>
      </c>
      <c r="CR77" s="106">
        <v>59</v>
      </c>
      <c r="CS77" s="106">
        <v>16425.599999999999</v>
      </c>
      <c r="CT77" s="106">
        <v>82.62150220913108</v>
      </c>
      <c r="CU77" s="106">
        <v>23001.826215022091</v>
      </c>
    </row>
    <row r="78" spans="2:99" x14ac:dyDescent="0.2">
      <c r="C78" s="105" t="s">
        <v>243</v>
      </c>
      <c r="D78" s="106">
        <v>50</v>
      </c>
      <c r="E78" s="106">
        <v>27600</v>
      </c>
      <c r="F78" s="106">
        <v>46</v>
      </c>
      <c r="G78" s="106">
        <v>25392</v>
      </c>
      <c r="H78" s="106">
        <v>47</v>
      </c>
      <c r="I78" s="106">
        <v>25944</v>
      </c>
      <c r="J78" s="106">
        <v>61</v>
      </c>
      <c r="K78" s="106">
        <v>33672</v>
      </c>
      <c r="L78" s="106">
        <v>53.892156862745097</v>
      </c>
      <c r="M78" s="106">
        <v>29748.470588235294</v>
      </c>
      <c r="N78" s="106">
        <v>48.1163251817581</v>
      </c>
      <c r="O78" s="106">
        <v>26560.211500330472</v>
      </c>
      <c r="P78" s="106">
        <v>51</v>
      </c>
      <c r="Q78" s="106">
        <v>28152</v>
      </c>
      <c r="R78" s="106">
        <v>42.35820895522388</v>
      </c>
      <c r="S78" s="106">
        <v>23381.73134328358</v>
      </c>
      <c r="T78" s="106">
        <v>51.645856980703748</v>
      </c>
      <c r="U78" s="106">
        <v>28508.51305334847</v>
      </c>
      <c r="V78" s="106">
        <v>55.345211581291757</v>
      </c>
      <c r="W78" s="106">
        <v>30550.556792873049</v>
      </c>
      <c r="X78" s="106">
        <v>57.345712725286724</v>
      </c>
      <c r="Y78" s="106">
        <v>31654.833424358272</v>
      </c>
      <c r="Z78" s="106">
        <v>43.989071038251367</v>
      </c>
      <c r="AA78" s="106">
        <v>24281.967213114756</v>
      </c>
      <c r="AB78" s="106">
        <v>54.576271186440685</v>
      </c>
      <c r="AC78" s="106">
        <v>30126.101694915258</v>
      </c>
      <c r="AD78" s="106">
        <v>53.901437371663249</v>
      </c>
      <c r="AE78" s="106">
        <v>29753.593429158114</v>
      </c>
      <c r="AF78" s="106">
        <v>47.20758693361433</v>
      </c>
      <c r="AG78" s="106">
        <v>26058.587987355109</v>
      </c>
      <c r="AH78" s="106">
        <v>54</v>
      </c>
      <c r="AI78" s="106">
        <v>29808</v>
      </c>
      <c r="AJ78" s="106">
        <v>45.366053169734158</v>
      </c>
      <c r="AK78" s="106">
        <v>25042.061349693256</v>
      </c>
      <c r="AL78" s="106">
        <v>44.059087989723828</v>
      </c>
      <c r="AM78" s="106">
        <v>24320.616570327555</v>
      </c>
      <c r="AN78" s="106">
        <v>45</v>
      </c>
      <c r="AO78" s="106">
        <v>24840</v>
      </c>
      <c r="AP78" s="106">
        <v>43</v>
      </c>
      <c r="AQ78" s="106">
        <v>23736</v>
      </c>
      <c r="AR78" s="106">
        <v>55</v>
      </c>
      <c r="AS78" s="106">
        <v>30360</v>
      </c>
      <c r="AT78" s="106">
        <v>44</v>
      </c>
      <c r="AU78" s="106">
        <v>24288</v>
      </c>
      <c r="AV78" s="106">
        <v>49</v>
      </c>
      <c r="AW78" s="106">
        <v>27048</v>
      </c>
      <c r="AX78" s="106">
        <v>54.846566523605148</v>
      </c>
      <c r="AY78" s="106">
        <v>30275.304721030043</v>
      </c>
      <c r="AZ78" s="106">
        <v>53.732912723448997</v>
      </c>
      <c r="BA78" s="106">
        <v>29660.567823343845</v>
      </c>
      <c r="BB78" s="106">
        <v>40</v>
      </c>
      <c r="BC78" s="106">
        <v>22080</v>
      </c>
      <c r="BD78" s="106">
        <v>51.199751861042181</v>
      </c>
      <c r="BE78" s="106">
        <v>28262.263027295285</v>
      </c>
      <c r="BF78" s="106">
        <v>42.79475982532751</v>
      </c>
      <c r="BG78" s="106">
        <v>23622.707423580785</v>
      </c>
      <c r="BH78" s="106">
        <v>40.369967355821544</v>
      </c>
      <c r="BI78" s="106">
        <v>22284.221980413491</v>
      </c>
      <c r="BJ78" s="106">
        <v>50.470219435736681</v>
      </c>
      <c r="BK78" s="106">
        <v>27859.56112852665</v>
      </c>
      <c r="BL78" s="106">
        <v>49.166666666666664</v>
      </c>
      <c r="BM78" s="106">
        <v>27140</v>
      </c>
      <c r="BN78" s="106">
        <v>45.714285714285715</v>
      </c>
      <c r="BO78" s="106">
        <v>25234.285714285714</v>
      </c>
      <c r="BP78" s="106">
        <v>41.429369067560025</v>
      </c>
      <c r="BQ78" s="106">
        <v>22869.011725293134</v>
      </c>
      <c r="BR78" s="106">
        <v>42.990654205607477</v>
      </c>
      <c r="BS78" s="106">
        <v>23730.841121495327</v>
      </c>
      <c r="BT78" s="106">
        <v>47.082096933728984</v>
      </c>
      <c r="BU78" s="106">
        <v>25989.3175074184</v>
      </c>
      <c r="BV78" s="106">
        <v>51.18000925497455</v>
      </c>
      <c r="BW78" s="106">
        <v>28251.365108745951</v>
      </c>
      <c r="BX78" s="106">
        <v>53</v>
      </c>
      <c r="BY78" s="106">
        <v>29256</v>
      </c>
      <c r="BZ78" s="106">
        <v>53.732673267326732</v>
      </c>
      <c r="CA78" s="106">
        <v>29660.435643564357</v>
      </c>
      <c r="CB78" s="106">
        <v>28</v>
      </c>
      <c r="CC78" s="106">
        <v>15456</v>
      </c>
      <c r="CD78" s="106">
        <v>35</v>
      </c>
      <c r="CE78" s="106">
        <v>19320</v>
      </c>
      <c r="CF78" s="106">
        <v>31</v>
      </c>
      <c r="CG78" s="106">
        <v>17112</v>
      </c>
      <c r="CH78" s="106">
        <v>50</v>
      </c>
      <c r="CI78" s="106">
        <v>27600</v>
      </c>
      <c r="CJ78" s="106">
        <v>39</v>
      </c>
      <c r="CK78" s="106">
        <v>21528</v>
      </c>
      <c r="CL78" s="106">
        <v>43</v>
      </c>
      <c r="CM78" s="106">
        <v>23736</v>
      </c>
      <c r="CN78" s="106">
        <v>79</v>
      </c>
      <c r="CO78" s="106">
        <v>43608</v>
      </c>
      <c r="CP78" s="106">
        <v>45</v>
      </c>
      <c r="CQ78" s="106">
        <v>24840</v>
      </c>
      <c r="CR78" s="106">
        <v>57</v>
      </c>
      <c r="CS78" s="106">
        <v>31464</v>
      </c>
      <c r="CT78" s="106">
        <v>75.277368679430538</v>
      </c>
      <c r="CU78" s="106">
        <v>41553.107511045659</v>
      </c>
    </row>
    <row r="79" spans="2:99" x14ac:dyDescent="0.2">
      <c r="C79" s="105" t="s">
        <v>244</v>
      </c>
      <c r="D79" s="106">
        <v>45</v>
      </c>
      <c r="E79" s="106">
        <v>34074</v>
      </c>
      <c r="F79" s="106">
        <v>44</v>
      </c>
      <c r="G79" s="106">
        <v>33316.799999999996</v>
      </c>
      <c r="H79" s="106">
        <v>48</v>
      </c>
      <c r="I79" s="106">
        <v>36345.599999999999</v>
      </c>
      <c r="J79" s="106">
        <v>61</v>
      </c>
      <c r="K79" s="106">
        <v>46189.2</v>
      </c>
      <c r="L79" s="106">
        <v>46.86274509803922</v>
      </c>
      <c r="M79" s="106">
        <v>35484.470588235294</v>
      </c>
      <c r="N79" s="106">
        <v>52.742894910773302</v>
      </c>
      <c r="O79" s="106">
        <v>39936.920026437539</v>
      </c>
      <c r="P79" s="106">
        <v>49</v>
      </c>
      <c r="Q79" s="106">
        <v>37102.799999999996</v>
      </c>
      <c r="R79" s="106">
        <v>45.61653272101033</v>
      </c>
      <c r="S79" s="106">
        <v>34540.838576349022</v>
      </c>
      <c r="T79" s="106">
        <v>50.851305334846764</v>
      </c>
      <c r="U79" s="106">
        <v>38504.608399545963</v>
      </c>
      <c r="V79" s="106">
        <v>48.329621380846319</v>
      </c>
      <c r="W79" s="106">
        <v>36595.189309576832</v>
      </c>
      <c r="X79" s="106">
        <v>56.581103222282906</v>
      </c>
      <c r="Y79" s="106">
        <v>42843.21135991261</v>
      </c>
      <c r="Z79" s="106">
        <v>45.9016393442623</v>
      </c>
      <c r="AA79" s="106">
        <v>34756.721311475412</v>
      </c>
      <c r="AB79" s="106">
        <v>52.203389830508478</v>
      </c>
      <c r="AC79" s="106">
        <v>39528.406779661018</v>
      </c>
      <c r="AD79" s="106">
        <v>47.433264887063658</v>
      </c>
      <c r="AE79" s="106">
        <v>35916.468172484601</v>
      </c>
      <c r="AF79" s="106">
        <v>50.895679662802948</v>
      </c>
      <c r="AG79" s="106">
        <v>38538.208640674391</v>
      </c>
      <c r="AH79" s="106">
        <v>52</v>
      </c>
      <c r="AI79" s="106">
        <v>39374.399999999994</v>
      </c>
      <c r="AJ79" s="106">
        <v>39.574642126789364</v>
      </c>
      <c r="AK79" s="106">
        <v>29965.919018404904</v>
      </c>
      <c r="AL79" s="106">
        <v>40.462427745664741</v>
      </c>
      <c r="AM79" s="106">
        <v>30638.15028901734</v>
      </c>
      <c r="AN79" s="106">
        <v>45</v>
      </c>
      <c r="AO79" s="106">
        <v>34074</v>
      </c>
      <c r="AP79" s="106">
        <v>42</v>
      </c>
      <c r="AQ79" s="106">
        <v>31802.399999999998</v>
      </c>
      <c r="AR79" s="106">
        <v>47</v>
      </c>
      <c r="AS79" s="106">
        <v>35588.399999999994</v>
      </c>
      <c r="AT79" s="106">
        <v>43</v>
      </c>
      <c r="AU79" s="106">
        <v>32559.599999999999</v>
      </c>
      <c r="AV79" s="106">
        <v>44</v>
      </c>
      <c r="AW79" s="106">
        <v>33316.799999999996</v>
      </c>
      <c r="AX79" s="106">
        <v>52.353540772532192</v>
      </c>
      <c r="AY79" s="106">
        <v>39642.10107296137</v>
      </c>
      <c r="AZ79" s="106">
        <v>55.205047318611982</v>
      </c>
      <c r="BA79" s="106">
        <v>41801.261829652991</v>
      </c>
      <c r="BB79" s="106">
        <v>36</v>
      </c>
      <c r="BC79" s="106">
        <v>27259.199999999997</v>
      </c>
      <c r="BD79" s="106">
        <v>52.08250620347394</v>
      </c>
      <c r="BE79" s="106">
        <v>39436.873697270465</v>
      </c>
      <c r="BF79" s="106">
        <v>44.541484716157207</v>
      </c>
      <c r="BG79" s="106">
        <v>33726.812227074231</v>
      </c>
      <c r="BH79" s="106">
        <v>43.416757344940152</v>
      </c>
      <c r="BI79" s="106">
        <v>32875.168661588679</v>
      </c>
      <c r="BJ79" s="106">
        <v>46.081504702194358</v>
      </c>
      <c r="BK79" s="106">
        <v>34892.915360501567</v>
      </c>
      <c r="BL79" s="106">
        <v>47.499999999999993</v>
      </c>
      <c r="BM79" s="106">
        <v>35966.999999999993</v>
      </c>
      <c r="BN79" s="106">
        <v>48.979591836734699</v>
      </c>
      <c r="BO79" s="106">
        <v>37087.34693877551</v>
      </c>
      <c r="BP79" s="106">
        <v>46.119486320491347</v>
      </c>
      <c r="BQ79" s="106">
        <v>34921.675041876042</v>
      </c>
      <c r="BR79" s="106">
        <v>38.31775700934579</v>
      </c>
      <c r="BS79" s="106">
        <v>29014.20560747663</v>
      </c>
      <c r="BT79" s="106">
        <v>46.389713155291794</v>
      </c>
      <c r="BU79" s="106">
        <v>35126.290801186944</v>
      </c>
      <c r="BV79" s="106">
        <v>44.053678852383158</v>
      </c>
      <c r="BW79" s="106">
        <v>33357.445627024521</v>
      </c>
      <c r="BX79" s="106">
        <v>55</v>
      </c>
      <c r="BY79" s="106">
        <v>41645.999999999993</v>
      </c>
      <c r="BZ79" s="106">
        <v>46.767326732673268</v>
      </c>
      <c r="CA79" s="106">
        <v>35412.219801980194</v>
      </c>
      <c r="CB79" s="106">
        <v>27</v>
      </c>
      <c r="CC79" s="106">
        <v>20444.399999999998</v>
      </c>
      <c r="CD79" s="106">
        <v>38</v>
      </c>
      <c r="CE79" s="106">
        <v>28773.599999999999</v>
      </c>
      <c r="CF79" s="106">
        <v>33</v>
      </c>
      <c r="CG79" s="106">
        <v>24987.599999999999</v>
      </c>
      <c r="CH79" s="106">
        <v>46</v>
      </c>
      <c r="CI79" s="106">
        <v>34831.199999999997</v>
      </c>
      <c r="CJ79" s="106">
        <v>45</v>
      </c>
      <c r="CK79" s="106">
        <v>34074</v>
      </c>
      <c r="CL79" s="106">
        <v>43</v>
      </c>
      <c r="CM79" s="106">
        <v>32559.599999999999</v>
      </c>
      <c r="CN79" s="106">
        <v>74</v>
      </c>
      <c r="CO79" s="106">
        <v>56032.799999999996</v>
      </c>
      <c r="CP79" s="106">
        <v>46</v>
      </c>
      <c r="CQ79" s="106">
        <v>34831.199999999997</v>
      </c>
      <c r="CR79" s="106">
        <v>55</v>
      </c>
      <c r="CS79" s="106">
        <v>41645.999999999993</v>
      </c>
      <c r="CT79" s="106">
        <v>66.097201767304853</v>
      </c>
      <c r="CU79" s="106">
        <v>50048.801178203226</v>
      </c>
    </row>
    <row r="80" spans="2:99" x14ac:dyDescent="0.2">
      <c r="C80" s="105" t="s">
        <v>245</v>
      </c>
      <c r="D80" s="106">
        <v>43</v>
      </c>
      <c r="E80" s="106">
        <v>34623.599999999999</v>
      </c>
      <c r="F80" s="106">
        <v>40</v>
      </c>
      <c r="G80" s="106">
        <v>32207.999999999996</v>
      </c>
      <c r="H80" s="106">
        <v>46</v>
      </c>
      <c r="I80" s="106">
        <v>37039.199999999997</v>
      </c>
      <c r="J80" s="106">
        <v>61</v>
      </c>
      <c r="K80" s="106">
        <v>49117.2</v>
      </c>
      <c r="L80" s="106">
        <v>47.643790849673209</v>
      </c>
      <c r="M80" s="106">
        <v>38362.780392156863</v>
      </c>
      <c r="N80" s="106">
        <v>49.966953073364181</v>
      </c>
      <c r="O80" s="106">
        <v>40233.390614672833</v>
      </c>
      <c r="P80" s="106">
        <v>46</v>
      </c>
      <c r="Q80" s="106">
        <v>37039.199999999997</v>
      </c>
      <c r="R80" s="106">
        <v>45.61653272101033</v>
      </c>
      <c r="S80" s="106">
        <v>36730.432146957515</v>
      </c>
      <c r="T80" s="106">
        <v>46.878547105561857</v>
      </c>
      <c r="U80" s="106">
        <v>37746.606129398402</v>
      </c>
      <c r="V80" s="106">
        <v>47.550111358574611</v>
      </c>
      <c r="W80" s="106">
        <v>38287.349665924274</v>
      </c>
      <c r="X80" s="106">
        <v>46.641179683233204</v>
      </c>
      <c r="Y80" s="106">
        <v>37555.477880939376</v>
      </c>
      <c r="Z80" s="106">
        <v>43.032786885245898</v>
      </c>
      <c r="AA80" s="106">
        <v>34649.999999999993</v>
      </c>
      <c r="AB80" s="106">
        <v>55.367231638418083</v>
      </c>
      <c r="AC80" s="106">
        <v>44581.694915254237</v>
      </c>
      <c r="AD80" s="106">
        <v>46.714579055441483</v>
      </c>
      <c r="AE80" s="106">
        <v>37614.579055441478</v>
      </c>
      <c r="AF80" s="106">
        <v>53.108535300316127</v>
      </c>
      <c r="AG80" s="106">
        <v>42762.992623814542</v>
      </c>
      <c r="AH80" s="106">
        <v>47</v>
      </c>
      <c r="AI80" s="106">
        <v>37844.399999999994</v>
      </c>
      <c r="AJ80" s="106">
        <v>40.539877300613497</v>
      </c>
      <c r="AK80" s="106">
        <v>32642.709202453985</v>
      </c>
      <c r="AL80" s="106">
        <v>45.857418111753368</v>
      </c>
      <c r="AM80" s="106">
        <v>36924.393063583811</v>
      </c>
      <c r="AN80" s="106">
        <v>41</v>
      </c>
      <c r="AO80" s="106">
        <v>33013.199999999997</v>
      </c>
      <c r="AP80" s="106">
        <v>41</v>
      </c>
      <c r="AQ80" s="106">
        <v>33013.199999999997</v>
      </c>
      <c r="AR80" s="106">
        <v>48</v>
      </c>
      <c r="AS80" s="106">
        <v>38649.599999999999</v>
      </c>
      <c r="AT80" s="106">
        <v>40</v>
      </c>
      <c r="AU80" s="106">
        <v>32207.999999999996</v>
      </c>
      <c r="AV80" s="106">
        <v>42</v>
      </c>
      <c r="AW80" s="106">
        <v>33818.399999999994</v>
      </c>
      <c r="AX80" s="106">
        <v>52.353540772532192</v>
      </c>
      <c r="AY80" s="106">
        <v>42155.07103004292</v>
      </c>
      <c r="AZ80" s="106">
        <v>46.372239747634076</v>
      </c>
      <c r="BA80" s="106">
        <v>37338.927444794957</v>
      </c>
      <c r="BB80" s="106">
        <v>34</v>
      </c>
      <c r="BC80" s="106">
        <v>27376.799999999999</v>
      </c>
      <c r="BD80" s="106">
        <v>45.020471464019849</v>
      </c>
      <c r="BE80" s="106">
        <v>36250.483622828782</v>
      </c>
      <c r="BF80" s="106">
        <v>47.161572052401752</v>
      </c>
      <c r="BG80" s="106">
        <v>37974.497816593888</v>
      </c>
      <c r="BH80" s="106">
        <v>43.416757344940152</v>
      </c>
      <c r="BI80" s="106">
        <v>34959.17301414581</v>
      </c>
      <c r="BJ80" s="106">
        <v>51.201671891327059</v>
      </c>
      <c r="BK80" s="106">
        <v>41227.586206896543</v>
      </c>
      <c r="BL80" s="106">
        <v>41.666666666666664</v>
      </c>
      <c r="BM80" s="106">
        <v>33549.999999999993</v>
      </c>
      <c r="BN80" s="106">
        <v>46.530612244897959</v>
      </c>
      <c r="BO80" s="106">
        <v>37466.448979591834</v>
      </c>
      <c r="BP80" s="106">
        <v>46.119486320491347</v>
      </c>
      <c r="BQ80" s="106">
        <v>37135.410385259631</v>
      </c>
      <c r="BR80" s="106">
        <v>37.383177570093459</v>
      </c>
      <c r="BS80" s="106">
        <v>30100.93457943925</v>
      </c>
      <c r="BT80" s="106">
        <v>43.620178041543028</v>
      </c>
      <c r="BU80" s="106">
        <v>35122.967359050446</v>
      </c>
      <c r="BV80" s="106">
        <v>47.940768162887558</v>
      </c>
      <c r="BW80" s="106">
        <v>38601.906524757062</v>
      </c>
      <c r="BX80" s="106">
        <v>47</v>
      </c>
      <c r="BY80" s="106">
        <v>37844.399999999994</v>
      </c>
      <c r="BZ80" s="106">
        <v>45.772277227722768</v>
      </c>
      <c r="CA80" s="106">
        <v>36855.837623762367</v>
      </c>
      <c r="CB80" s="106">
        <v>29</v>
      </c>
      <c r="CC80" s="106">
        <v>23350.799999999999</v>
      </c>
      <c r="CD80" s="106">
        <v>33</v>
      </c>
      <c r="CE80" s="106">
        <v>26571.599999999999</v>
      </c>
      <c r="CF80" s="106">
        <v>30</v>
      </c>
      <c r="CG80" s="106">
        <v>24155.999999999996</v>
      </c>
      <c r="CH80" s="106">
        <v>41</v>
      </c>
      <c r="CI80" s="106">
        <v>33013.199999999997</v>
      </c>
      <c r="CJ80" s="106">
        <v>42</v>
      </c>
      <c r="CK80" s="106">
        <v>33818.399999999994</v>
      </c>
      <c r="CL80" s="106">
        <v>46</v>
      </c>
      <c r="CM80" s="106">
        <v>37039.199999999997</v>
      </c>
      <c r="CN80" s="106">
        <v>76</v>
      </c>
      <c r="CO80" s="106">
        <v>61195.199999999997</v>
      </c>
      <c r="CP80" s="106">
        <v>44</v>
      </c>
      <c r="CQ80" s="106">
        <v>35428.799999999996</v>
      </c>
      <c r="CR80" s="106">
        <v>48</v>
      </c>
      <c r="CS80" s="106">
        <v>38649.599999999999</v>
      </c>
      <c r="CT80" s="106">
        <v>73.441335297005395</v>
      </c>
      <c r="CU80" s="106">
        <v>59134.963181148742</v>
      </c>
    </row>
    <row r="81" spans="2:99" x14ac:dyDescent="0.2">
      <c r="C81" s="105" t="s">
        <v>246</v>
      </c>
      <c r="D81" s="106">
        <v>45</v>
      </c>
      <c r="E81" s="106">
        <v>33912</v>
      </c>
      <c r="F81" s="106">
        <v>39</v>
      </c>
      <c r="G81" s="106">
        <v>29390.400000000001</v>
      </c>
      <c r="H81" s="106">
        <v>45</v>
      </c>
      <c r="I81" s="106">
        <v>33912</v>
      </c>
      <c r="J81" s="106">
        <v>58</v>
      </c>
      <c r="K81" s="106">
        <v>43708.800000000003</v>
      </c>
      <c r="L81" s="106">
        <v>51.549019607843135</v>
      </c>
      <c r="M81" s="106">
        <v>38847.341176470589</v>
      </c>
      <c r="N81" s="106">
        <v>46.265697290152019</v>
      </c>
      <c r="O81" s="106">
        <v>34865.829477858562</v>
      </c>
      <c r="P81" s="106">
        <v>49</v>
      </c>
      <c r="Q81" s="106">
        <v>36926.400000000001</v>
      </c>
      <c r="R81" s="106">
        <v>39.09988518943743</v>
      </c>
      <c r="S81" s="106">
        <v>29465.673478760047</v>
      </c>
      <c r="T81" s="106">
        <v>53.234960272417709</v>
      </c>
      <c r="U81" s="106">
        <v>40117.866061293986</v>
      </c>
      <c r="V81" s="106">
        <v>46.770601336302903</v>
      </c>
      <c r="W81" s="106">
        <v>35246.325167037867</v>
      </c>
      <c r="X81" s="106">
        <v>51.993446204259968</v>
      </c>
      <c r="Y81" s="106">
        <v>39182.261059530312</v>
      </c>
      <c r="Z81" s="106">
        <v>39.207650273224047</v>
      </c>
      <c r="AA81" s="106">
        <v>29546.885245901642</v>
      </c>
      <c r="AB81" s="106">
        <v>54.576271186440685</v>
      </c>
      <c r="AC81" s="106">
        <v>41128.677966101699</v>
      </c>
      <c r="AD81" s="106">
        <v>49.589322381930181</v>
      </c>
      <c r="AE81" s="106">
        <v>37370.513347022585</v>
      </c>
      <c r="AF81" s="106">
        <v>50.895679662802948</v>
      </c>
      <c r="AG81" s="106">
        <v>38354.984193888304</v>
      </c>
      <c r="AH81" s="106">
        <v>46</v>
      </c>
      <c r="AI81" s="106">
        <v>34665.599999999999</v>
      </c>
      <c r="AJ81" s="106">
        <v>38.609406952965237</v>
      </c>
      <c r="AK81" s="106">
        <v>29096.049079754604</v>
      </c>
      <c r="AL81" s="106">
        <v>43.159922928709058</v>
      </c>
      <c r="AM81" s="106">
        <v>32525.317919075147</v>
      </c>
      <c r="AN81" s="106">
        <v>39</v>
      </c>
      <c r="AO81" s="106">
        <v>29390.400000000001</v>
      </c>
      <c r="AP81" s="106">
        <v>41</v>
      </c>
      <c r="AQ81" s="106">
        <v>30897.600000000002</v>
      </c>
      <c r="AR81" s="106">
        <v>53</v>
      </c>
      <c r="AS81" s="106">
        <v>39940.800000000003</v>
      </c>
      <c r="AT81" s="106">
        <v>40</v>
      </c>
      <c r="AU81" s="106">
        <v>30144</v>
      </c>
      <c r="AV81" s="106">
        <v>46</v>
      </c>
      <c r="AW81" s="106">
        <v>34665.599999999999</v>
      </c>
      <c r="AX81" s="106">
        <v>50.691523605150216</v>
      </c>
      <c r="AY81" s="106">
        <v>38201.132188841206</v>
      </c>
      <c r="AZ81" s="106">
        <v>52.996845425867505</v>
      </c>
      <c r="BA81" s="106">
        <v>39938.422712933752</v>
      </c>
      <c r="BB81" s="106">
        <v>34</v>
      </c>
      <c r="BC81" s="106">
        <v>25622.400000000001</v>
      </c>
      <c r="BD81" s="106">
        <v>52.9652605459057</v>
      </c>
      <c r="BE81" s="106">
        <v>39914.620347394535</v>
      </c>
      <c r="BF81" s="106">
        <v>48.034934497816593</v>
      </c>
      <c r="BG81" s="106">
        <v>36199.126637554589</v>
      </c>
      <c r="BH81" s="106">
        <v>41.131664853101199</v>
      </c>
      <c r="BI81" s="106">
        <v>30996.822633297066</v>
      </c>
      <c r="BJ81" s="106">
        <v>50.470219435736681</v>
      </c>
      <c r="BK81" s="106">
        <v>38034.357366771161</v>
      </c>
      <c r="BL81" s="106">
        <v>46.666666666666664</v>
      </c>
      <c r="BM81" s="106">
        <v>35168</v>
      </c>
      <c r="BN81" s="106">
        <v>48.163265306122447</v>
      </c>
      <c r="BO81" s="106">
        <v>36295.836734693876</v>
      </c>
      <c r="BP81" s="106">
        <v>42.992741485203794</v>
      </c>
      <c r="BQ81" s="106">
        <v>32399.32998324958</v>
      </c>
      <c r="BR81" s="106">
        <v>43.925233644859816</v>
      </c>
      <c r="BS81" s="106">
        <v>33102.056074766355</v>
      </c>
      <c r="BT81" s="106">
        <v>47.082096933728984</v>
      </c>
      <c r="BU81" s="106">
        <v>35481.068249258162</v>
      </c>
      <c r="BV81" s="106">
        <v>47.940768162887558</v>
      </c>
      <c r="BW81" s="106">
        <v>36128.162887552062</v>
      </c>
      <c r="BX81" s="106">
        <v>55</v>
      </c>
      <c r="BY81" s="106">
        <v>41448</v>
      </c>
      <c r="BZ81" s="106">
        <v>46.767326732673268</v>
      </c>
      <c r="CA81" s="106">
        <v>35243.857425742579</v>
      </c>
      <c r="CB81" s="106">
        <v>29</v>
      </c>
      <c r="CC81" s="106">
        <v>21854.400000000001</v>
      </c>
      <c r="CD81" s="106">
        <v>33</v>
      </c>
      <c r="CE81" s="106">
        <v>24868.799999999999</v>
      </c>
      <c r="CF81" s="106">
        <v>36</v>
      </c>
      <c r="CG81" s="106">
        <v>27129.600000000002</v>
      </c>
      <c r="CH81" s="106">
        <v>48</v>
      </c>
      <c r="CI81" s="106">
        <v>36172.800000000003</v>
      </c>
      <c r="CJ81" s="106">
        <v>41</v>
      </c>
      <c r="CK81" s="106">
        <v>30897.600000000002</v>
      </c>
      <c r="CL81" s="106">
        <v>46</v>
      </c>
      <c r="CM81" s="106">
        <v>34665.599999999999</v>
      </c>
      <c r="CN81" s="106">
        <v>75</v>
      </c>
      <c r="CO81" s="106">
        <v>56520</v>
      </c>
      <c r="CP81" s="106">
        <v>41</v>
      </c>
      <c r="CQ81" s="106">
        <v>30897.600000000002</v>
      </c>
      <c r="CR81" s="106">
        <v>53</v>
      </c>
      <c r="CS81" s="106">
        <v>39940.800000000003</v>
      </c>
      <c r="CT81" s="106">
        <v>65.179185076092296</v>
      </c>
      <c r="CU81" s="106">
        <v>49119.033873343156</v>
      </c>
    </row>
    <row r="82" spans="2:99" x14ac:dyDescent="0.2">
      <c r="C82" s="105" t="s">
        <v>247</v>
      </c>
      <c r="D82" s="106">
        <v>50</v>
      </c>
      <c r="E82" s="106">
        <v>25439.999999999996</v>
      </c>
      <c r="F82" s="106">
        <v>42</v>
      </c>
      <c r="G82" s="106">
        <v>21369.599999999995</v>
      </c>
      <c r="H82" s="106">
        <v>51</v>
      </c>
      <c r="I82" s="106">
        <v>25948.799999999996</v>
      </c>
      <c r="J82" s="106">
        <v>58</v>
      </c>
      <c r="K82" s="106">
        <v>29510.399999999994</v>
      </c>
      <c r="L82" s="106">
        <v>53.892156862745097</v>
      </c>
      <c r="M82" s="106">
        <v>27420.329411764698</v>
      </c>
      <c r="N82" s="106">
        <v>50.892267019167214</v>
      </c>
      <c r="O82" s="106">
        <v>25893.985459352272</v>
      </c>
      <c r="P82" s="106">
        <v>50</v>
      </c>
      <c r="Q82" s="106">
        <v>25439.999999999996</v>
      </c>
      <c r="R82" s="106">
        <v>41.543628013777266</v>
      </c>
      <c r="S82" s="106">
        <v>21137.397933409869</v>
      </c>
      <c r="T82" s="106">
        <v>50.851305334846764</v>
      </c>
      <c r="U82" s="106">
        <v>25873.144154370028</v>
      </c>
      <c r="V82" s="106">
        <v>53.786191536748326</v>
      </c>
      <c r="W82" s="106">
        <v>27366.414253897543</v>
      </c>
      <c r="X82" s="106">
        <v>55.051884216275255</v>
      </c>
      <c r="Y82" s="106">
        <v>28010.398689240843</v>
      </c>
      <c r="Z82" s="106">
        <v>46.857923497267763</v>
      </c>
      <c r="AA82" s="106">
        <v>23841.311475409831</v>
      </c>
      <c r="AB82" s="106">
        <v>56.158192090395474</v>
      </c>
      <c r="AC82" s="106">
        <v>28573.288135593211</v>
      </c>
      <c r="AD82" s="106">
        <v>49.589322381930181</v>
      </c>
      <c r="AE82" s="106">
        <v>25231.047227926072</v>
      </c>
      <c r="AF82" s="106">
        <v>50.158061116965229</v>
      </c>
      <c r="AG82" s="106">
        <v>25520.421496311905</v>
      </c>
      <c r="AH82" s="106">
        <v>53</v>
      </c>
      <c r="AI82" s="106">
        <v>26966.399999999994</v>
      </c>
      <c r="AJ82" s="106">
        <v>46.331288343558285</v>
      </c>
      <c r="AK82" s="106">
        <v>23573.359509202452</v>
      </c>
      <c r="AL82" s="106">
        <v>50.353243416827226</v>
      </c>
      <c r="AM82" s="106">
        <v>25619.730250481687</v>
      </c>
      <c r="AN82" s="106">
        <v>47</v>
      </c>
      <c r="AO82" s="106">
        <v>23913.599999999995</v>
      </c>
      <c r="AP82" s="106">
        <v>39</v>
      </c>
      <c r="AQ82" s="106">
        <v>19843.199999999997</v>
      </c>
      <c r="AR82" s="106">
        <v>58</v>
      </c>
      <c r="AS82" s="106">
        <v>29510.399999999994</v>
      </c>
      <c r="AT82" s="106">
        <v>41</v>
      </c>
      <c r="AU82" s="106">
        <v>20860.799999999996</v>
      </c>
      <c r="AV82" s="106">
        <v>45</v>
      </c>
      <c r="AW82" s="106">
        <v>22895.999999999996</v>
      </c>
      <c r="AX82" s="106">
        <v>55.677575107296136</v>
      </c>
      <c r="AY82" s="106">
        <v>28328.750214592266</v>
      </c>
      <c r="AZ82" s="106">
        <v>51.524710830704521</v>
      </c>
      <c r="BA82" s="106">
        <v>26215.772870662455</v>
      </c>
      <c r="BB82" s="106">
        <v>44</v>
      </c>
      <c r="BC82" s="106">
        <v>22387.199999999997</v>
      </c>
      <c r="BD82" s="106">
        <v>52.9652605459057</v>
      </c>
      <c r="BE82" s="106">
        <v>26948.724565756816</v>
      </c>
      <c r="BF82" s="106">
        <v>42.79475982532751</v>
      </c>
      <c r="BG82" s="106">
        <v>21773.973799126634</v>
      </c>
      <c r="BH82" s="106">
        <v>39.608269858541895</v>
      </c>
      <c r="BI82" s="106">
        <v>20152.687704026113</v>
      </c>
      <c r="BJ82" s="106">
        <v>46.081504702194358</v>
      </c>
      <c r="BK82" s="106">
        <v>23446.269592476485</v>
      </c>
      <c r="BL82" s="106">
        <v>48.333333333333336</v>
      </c>
      <c r="BM82" s="106">
        <v>24591.999999999996</v>
      </c>
      <c r="BN82" s="106">
        <v>46.530612244897959</v>
      </c>
      <c r="BO82" s="106">
        <v>23674.775510204076</v>
      </c>
      <c r="BP82" s="106">
        <v>42.211055276381906</v>
      </c>
      <c r="BQ82" s="106">
        <v>21476.98492462311</v>
      </c>
      <c r="BR82" s="106">
        <v>46.728971962616818</v>
      </c>
      <c r="BS82" s="106">
        <v>23775.700934579432</v>
      </c>
      <c r="BT82" s="106">
        <v>48.466864490603356</v>
      </c>
      <c r="BU82" s="106">
        <v>24659.940652818983</v>
      </c>
      <c r="BV82" s="106">
        <v>51.827857473391944</v>
      </c>
      <c r="BW82" s="106">
        <v>26370.013882461815</v>
      </c>
      <c r="BX82" s="106">
        <v>54</v>
      </c>
      <c r="BY82" s="106">
        <v>27475.199999999993</v>
      </c>
      <c r="BZ82" s="106">
        <v>45.772277227722768</v>
      </c>
      <c r="CA82" s="106">
        <v>23288.934653465338</v>
      </c>
      <c r="CB82" s="106">
        <v>30</v>
      </c>
      <c r="CC82" s="106">
        <v>15263.999999999996</v>
      </c>
      <c r="CD82" s="106">
        <v>39</v>
      </c>
      <c r="CE82" s="106">
        <v>19843.199999999997</v>
      </c>
      <c r="CF82" s="106">
        <v>36</v>
      </c>
      <c r="CG82" s="106">
        <v>18316.799999999996</v>
      </c>
      <c r="CH82" s="106">
        <v>48</v>
      </c>
      <c r="CI82" s="106">
        <v>24422.399999999994</v>
      </c>
      <c r="CJ82" s="106">
        <v>39</v>
      </c>
      <c r="CK82" s="106">
        <v>19843.199999999997</v>
      </c>
      <c r="CL82" s="106">
        <v>41</v>
      </c>
      <c r="CM82" s="106">
        <v>20860.799999999996</v>
      </c>
      <c r="CN82" s="106">
        <v>74</v>
      </c>
      <c r="CO82" s="106">
        <v>37651.19999999999</v>
      </c>
      <c r="CP82" s="106">
        <v>46</v>
      </c>
      <c r="CQ82" s="106">
        <v>23404.799999999996</v>
      </c>
      <c r="CR82" s="106">
        <v>54</v>
      </c>
      <c r="CS82" s="106">
        <v>27475.199999999993</v>
      </c>
      <c r="CT82" s="106">
        <v>67.015218458517424</v>
      </c>
      <c r="CU82" s="106">
        <v>34097.343151693662</v>
      </c>
    </row>
    <row r="83" spans="2:99" x14ac:dyDescent="0.2">
      <c r="C83" s="105" t="s">
        <v>248</v>
      </c>
      <c r="D83" s="106">
        <v>49</v>
      </c>
      <c r="E83" s="106">
        <v>42159.6</v>
      </c>
      <c r="F83" s="106">
        <v>42</v>
      </c>
      <c r="G83" s="106">
        <v>36136.799999999996</v>
      </c>
      <c r="H83" s="106">
        <v>43</v>
      </c>
      <c r="I83" s="106">
        <v>36997.199999999997</v>
      </c>
      <c r="J83" s="106">
        <v>54</v>
      </c>
      <c r="K83" s="106">
        <v>46461.599999999999</v>
      </c>
      <c r="L83" s="106">
        <v>45.300653594771241</v>
      </c>
      <c r="M83" s="106">
        <v>38976.682352941178</v>
      </c>
      <c r="N83" s="106">
        <v>49.041639127561133</v>
      </c>
      <c r="O83" s="106">
        <v>42195.426305353598</v>
      </c>
      <c r="P83" s="106">
        <v>46</v>
      </c>
      <c r="Q83" s="106">
        <v>39578.400000000001</v>
      </c>
      <c r="R83" s="106">
        <v>44.801951779563716</v>
      </c>
      <c r="S83" s="106">
        <v>38547.599311136619</v>
      </c>
      <c r="T83" s="106">
        <v>50.05675368898978</v>
      </c>
      <c r="U83" s="106">
        <v>43068.830874006802</v>
      </c>
      <c r="V83" s="106">
        <v>45.991091314031181</v>
      </c>
      <c r="W83" s="106">
        <v>39570.734966592427</v>
      </c>
      <c r="X83" s="106">
        <v>53.522665210267611</v>
      </c>
      <c r="Y83" s="106">
        <v>46050.90114691425</v>
      </c>
      <c r="Z83" s="106">
        <v>43.989071038251367</v>
      </c>
      <c r="AA83" s="106">
        <v>37848.196721311477</v>
      </c>
      <c r="AB83" s="106">
        <v>49.83050847457627</v>
      </c>
      <c r="AC83" s="106">
        <v>42874.169491525419</v>
      </c>
      <c r="AD83" s="106">
        <v>49.589322381930181</v>
      </c>
      <c r="AE83" s="106">
        <v>42666.652977412727</v>
      </c>
      <c r="AF83" s="106">
        <v>50.158061116965229</v>
      </c>
      <c r="AG83" s="106">
        <v>43155.995785036881</v>
      </c>
      <c r="AH83" s="106">
        <v>43</v>
      </c>
      <c r="AI83" s="106">
        <v>36997.199999999997</v>
      </c>
      <c r="AJ83" s="106">
        <v>44.400817995910025</v>
      </c>
      <c r="AK83" s="106">
        <v>38202.463803680985</v>
      </c>
      <c r="AL83" s="106">
        <v>43.159922928709058</v>
      </c>
      <c r="AM83" s="106">
        <v>37134.797687861275</v>
      </c>
      <c r="AN83" s="106">
        <v>45</v>
      </c>
      <c r="AO83" s="106">
        <v>38718</v>
      </c>
      <c r="AP83" s="106">
        <v>34</v>
      </c>
      <c r="AQ83" s="106">
        <v>29253.599999999999</v>
      </c>
      <c r="AR83" s="106">
        <v>53</v>
      </c>
      <c r="AS83" s="106">
        <v>45601.2</v>
      </c>
      <c r="AT83" s="106">
        <v>40</v>
      </c>
      <c r="AU83" s="106">
        <v>34416</v>
      </c>
      <c r="AV83" s="106">
        <v>46</v>
      </c>
      <c r="AW83" s="106">
        <v>39578.400000000001</v>
      </c>
      <c r="AX83" s="106">
        <v>49.029506437768241</v>
      </c>
      <c r="AY83" s="106">
        <v>42184.987339055791</v>
      </c>
      <c r="AZ83" s="106">
        <v>49.316508937960045</v>
      </c>
      <c r="BA83" s="106">
        <v>42431.924290220821</v>
      </c>
      <c r="BB83" s="106">
        <v>40</v>
      </c>
      <c r="BC83" s="106">
        <v>34416</v>
      </c>
      <c r="BD83" s="106">
        <v>45.020471464019849</v>
      </c>
      <c r="BE83" s="106">
        <v>38735.613647642676</v>
      </c>
      <c r="BF83" s="106">
        <v>47.161572052401752</v>
      </c>
      <c r="BG83" s="106">
        <v>40577.816593886469</v>
      </c>
      <c r="BH83" s="106">
        <v>41.893362350380848</v>
      </c>
      <c r="BI83" s="106">
        <v>36045.048966267677</v>
      </c>
      <c r="BJ83" s="106">
        <v>47.54440961337513</v>
      </c>
      <c r="BK83" s="106">
        <v>40907.21003134796</v>
      </c>
      <c r="BL83" s="106">
        <v>48.333333333333336</v>
      </c>
      <c r="BM83" s="106">
        <v>41586</v>
      </c>
      <c r="BN83" s="106">
        <v>42.448979591836739</v>
      </c>
      <c r="BO83" s="106">
        <v>36523.102040816331</v>
      </c>
      <c r="BP83" s="106">
        <v>39.865996649916248</v>
      </c>
      <c r="BQ83" s="106">
        <v>34300.703517587935</v>
      </c>
      <c r="BR83" s="106">
        <v>38.31775700934579</v>
      </c>
      <c r="BS83" s="106">
        <v>32968.598130841114</v>
      </c>
      <c r="BT83" s="106">
        <v>52.621167161226509</v>
      </c>
      <c r="BU83" s="106">
        <v>45275.252225519289</v>
      </c>
      <c r="BV83" s="106">
        <v>48.588616381304952</v>
      </c>
      <c r="BW83" s="106">
        <v>41805.645534474781</v>
      </c>
      <c r="BX83" s="106">
        <v>48</v>
      </c>
      <c r="BY83" s="106">
        <v>41299.199999999997</v>
      </c>
      <c r="BZ83" s="106">
        <v>49.75247524752475</v>
      </c>
      <c r="CA83" s="106">
        <v>42807.029702970292</v>
      </c>
      <c r="CB83" s="106">
        <v>29</v>
      </c>
      <c r="CC83" s="106">
        <v>24951.599999999999</v>
      </c>
      <c r="CD83" s="106">
        <v>36</v>
      </c>
      <c r="CE83" s="106">
        <v>30974.399999999998</v>
      </c>
      <c r="CF83" s="106">
        <v>31</v>
      </c>
      <c r="CG83" s="106">
        <v>26672.399999999998</v>
      </c>
      <c r="CH83" s="106">
        <v>47</v>
      </c>
      <c r="CI83" s="106">
        <v>40438.799999999996</v>
      </c>
      <c r="CJ83" s="106">
        <v>40</v>
      </c>
      <c r="CK83" s="106">
        <v>34416</v>
      </c>
      <c r="CL83" s="106">
        <v>40</v>
      </c>
      <c r="CM83" s="106">
        <v>34416</v>
      </c>
      <c r="CN83" s="106">
        <v>71</v>
      </c>
      <c r="CO83" s="106">
        <v>61088.4</v>
      </c>
      <c r="CP83" s="106">
        <v>39</v>
      </c>
      <c r="CQ83" s="106">
        <v>33555.599999999999</v>
      </c>
      <c r="CR83" s="106">
        <v>54</v>
      </c>
      <c r="CS83" s="106">
        <v>46461.599999999999</v>
      </c>
      <c r="CT83" s="106">
        <v>69.769268532155124</v>
      </c>
      <c r="CU83" s="106">
        <v>60029.478645066265</v>
      </c>
    </row>
    <row r="84" spans="2:99" x14ac:dyDescent="0.2">
      <c r="C84" s="105" t="s">
        <v>249</v>
      </c>
      <c r="D84" s="106">
        <v>46</v>
      </c>
      <c r="E84" s="106">
        <v>35935.199999999997</v>
      </c>
      <c r="F84" s="106">
        <v>36</v>
      </c>
      <c r="G84" s="106">
        <v>28123.199999999997</v>
      </c>
      <c r="H84" s="106">
        <v>40</v>
      </c>
      <c r="I84" s="106">
        <v>31247.999999999996</v>
      </c>
      <c r="J84" s="106">
        <v>61</v>
      </c>
      <c r="K84" s="106">
        <v>47653.2</v>
      </c>
      <c r="L84" s="106">
        <v>49.986928104575171</v>
      </c>
      <c r="M84" s="106">
        <v>39049.788235294123</v>
      </c>
      <c r="N84" s="106">
        <v>49.041639127561133</v>
      </c>
      <c r="O84" s="106">
        <v>38311.328486450751</v>
      </c>
      <c r="P84" s="106">
        <v>48</v>
      </c>
      <c r="Q84" s="106">
        <v>37497.599999999999</v>
      </c>
      <c r="R84" s="106">
        <v>38.285304247990815</v>
      </c>
      <c r="S84" s="106">
        <v>29908.479678530421</v>
      </c>
      <c r="T84" s="106">
        <v>50.05675368898978</v>
      </c>
      <c r="U84" s="106">
        <v>39104.335981838813</v>
      </c>
      <c r="V84" s="106">
        <v>45.211581291759465</v>
      </c>
      <c r="W84" s="106">
        <v>35319.287305122489</v>
      </c>
      <c r="X84" s="106">
        <v>52.758055707263793</v>
      </c>
      <c r="Y84" s="106">
        <v>41214.593118514473</v>
      </c>
      <c r="Z84" s="106">
        <v>43.989071038251367</v>
      </c>
      <c r="AA84" s="106">
        <v>34364.262295081964</v>
      </c>
      <c r="AB84" s="106">
        <v>52.203389830508478</v>
      </c>
      <c r="AC84" s="106">
        <v>40781.288135593219</v>
      </c>
      <c r="AD84" s="106">
        <v>43.121149897330596</v>
      </c>
      <c r="AE84" s="106">
        <v>33686.242299794656</v>
      </c>
      <c r="AF84" s="106">
        <v>48.682824025289776</v>
      </c>
      <c r="AG84" s="106">
        <v>38031.022128556368</v>
      </c>
      <c r="AH84" s="106">
        <v>49</v>
      </c>
      <c r="AI84" s="106">
        <v>38278.799999999996</v>
      </c>
      <c r="AJ84" s="106">
        <v>40.539877300613497</v>
      </c>
      <c r="AK84" s="106">
        <v>31669.752147239262</v>
      </c>
      <c r="AL84" s="106">
        <v>43.159922928709058</v>
      </c>
      <c r="AM84" s="106">
        <v>33716.53179190751</v>
      </c>
      <c r="AN84" s="106">
        <v>44</v>
      </c>
      <c r="AO84" s="106">
        <v>34372.799999999996</v>
      </c>
      <c r="AP84" s="106">
        <v>38</v>
      </c>
      <c r="AQ84" s="106">
        <v>29685.599999999999</v>
      </c>
      <c r="AR84" s="106">
        <v>53</v>
      </c>
      <c r="AS84" s="106">
        <v>41403.599999999999</v>
      </c>
      <c r="AT84" s="106">
        <v>41</v>
      </c>
      <c r="AU84" s="106">
        <v>32029.199999999997</v>
      </c>
      <c r="AV84" s="106">
        <v>42</v>
      </c>
      <c r="AW84" s="106">
        <v>32810.399999999994</v>
      </c>
      <c r="AX84" s="106">
        <v>56.50858369098713</v>
      </c>
      <c r="AY84" s="106">
        <v>44144.505579399141</v>
      </c>
      <c r="AZ84" s="106">
        <v>52.996845425867505</v>
      </c>
      <c r="BA84" s="106">
        <v>41401.13564668769</v>
      </c>
      <c r="BB84" s="106">
        <v>40</v>
      </c>
      <c r="BC84" s="106">
        <v>31247.999999999996</v>
      </c>
      <c r="BD84" s="106">
        <v>51.199751861042181</v>
      </c>
      <c r="BE84" s="106">
        <v>39997.24615384615</v>
      </c>
      <c r="BF84" s="106">
        <v>44.541484716157207</v>
      </c>
      <c r="BG84" s="106">
        <v>34795.807860262008</v>
      </c>
      <c r="BH84" s="106">
        <v>36.561479869423287</v>
      </c>
      <c r="BI84" s="106">
        <v>28561.828073993471</v>
      </c>
      <c r="BJ84" s="106">
        <v>45.350052246603973</v>
      </c>
      <c r="BK84" s="106">
        <v>35427.460815047023</v>
      </c>
      <c r="BL84" s="106">
        <v>41.666666666666664</v>
      </c>
      <c r="BM84" s="106">
        <v>32549.999999999996</v>
      </c>
      <c r="BN84" s="106">
        <v>44.897959183673471</v>
      </c>
      <c r="BO84" s="106">
        <v>35074.28571428571</v>
      </c>
      <c r="BP84" s="106">
        <v>39.865996649916248</v>
      </c>
      <c r="BQ84" s="106">
        <v>31143.316582914569</v>
      </c>
      <c r="BR84" s="106">
        <v>42.056074766355138</v>
      </c>
      <c r="BS84" s="106">
        <v>32854.20560747663</v>
      </c>
      <c r="BT84" s="106">
        <v>53.313550939663699</v>
      </c>
      <c r="BU84" s="106">
        <v>41648.54599406528</v>
      </c>
      <c r="BV84" s="106">
        <v>51.18000925497455</v>
      </c>
      <c r="BW84" s="106">
        <v>39981.823229986112</v>
      </c>
      <c r="BX84" s="106">
        <v>55</v>
      </c>
      <c r="BY84" s="106">
        <v>42965.999999999993</v>
      </c>
      <c r="BZ84" s="106">
        <v>42.787128712871286</v>
      </c>
      <c r="CA84" s="106">
        <v>33425.304950495047</v>
      </c>
      <c r="CB84" s="106">
        <v>25</v>
      </c>
      <c r="CC84" s="106">
        <v>19530</v>
      </c>
      <c r="CD84" s="106">
        <v>32</v>
      </c>
      <c r="CE84" s="106">
        <v>24998.399999999998</v>
      </c>
      <c r="CF84" s="106">
        <v>34</v>
      </c>
      <c r="CG84" s="106">
        <v>26560.799999999999</v>
      </c>
      <c r="CH84" s="106">
        <v>45</v>
      </c>
      <c r="CI84" s="106">
        <v>35154</v>
      </c>
      <c r="CJ84" s="106">
        <v>44</v>
      </c>
      <c r="CK84" s="106">
        <v>34372.799999999996</v>
      </c>
      <c r="CL84" s="106">
        <v>42</v>
      </c>
      <c r="CM84" s="106">
        <v>32810.399999999994</v>
      </c>
      <c r="CN84" s="106">
        <v>65</v>
      </c>
      <c r="CO84" s="106">
        <v>50777.999999999993</v>
      </c>
      <c r="CP84" s="106">
        <v>43</v>
      </c>
      <c r="CQ84" s="106">
        <v>33591.599999999999</v>
      </c>
      <c r="CR84" s="106">
        <v>57</v>
      </c>
      <c r="CS84" s="106">
        <v>44528.399999999994</v>
      </c>
      <c r="CT84" s="106">
        <v>62.425135002454589</v>
      </c>
      <c r="CU84" s="106">
        <v>48766.515463917523</v>
      </c>
    </row>
    <row r="85" spans="2:99" x14ac:dyDescent="0.2">
      <c r="C85" s="105" t="s">
        <v>250</v>
      </c>
      <c r="D85" s="106">
        <v>55</v>
      </c>
      <c r="E85" s="106">
        <v>8250</v>
      </c>
      <c r="F85" s="106">
        <v>49</v>
      </c>
      <c r="G85" s="106">
        <v>7350</v>
      </c>
      <c r="H85" s="106">
        <v>50</v>
      </c>
      <c r="I85" s="106">
        <v>7500</v>
      </c>
      <c r="J85" s="106">
        <v>64</v>
      </c>
      <c r="K85" s="106">
        <v>9600</v>
      </c>
      <c r="L85" s="106">
        <v>61.70261437908497</v>
      </c>
      <c r="M85" s="106">
        <v>9255.3921568627447</v>
      </c>
      <c r="N85" s="106">
        <v>58.294778585591544</v>
      </c>
      <c r="O85" s="106">
        <v>8744.2167878387318</v>
      </c>
      <c r="P85" s="106">
        <v>50</v>
      </c>
      <c r="Q85" s="106">
        <v>7500</v>
      </c>
      <c r="R85" s="106">
        <v>45.61653272101033</v>
      </c>
      <c r="S85" s="106">
        <v>6842.4799081515494</v>
      </c>
      <c r="T85" s="106">
        <v>59.591373439273553</v>
      </c>
      <c r="U85" s="106">
        <v>8938.7060158910335</v>
      </c>
      <c r="V85" s="106">
        <v>61.581291759465479</v>
      </c>
      <c r="W85" s="106">
        <v>9237.1937639198222</v>
      </c>
      <c r="X85" s="106">
        <v>59.6395412342982</v>
      </c>
      <c r="Y85" s="106">
        <v>8945.9311851447292</v>
      </c>
      <c r="Z85" s="106">
        <v>48.770491803278688</v>
      </c>
      <c r="AA85" s="106">
        <v>7315.5737704918029</v>
      </c>
      <c r="AB85" s="106">
        <v>57.740112994350277</v>
      </c>
      <c r="AC85" s="106">
        <v>8661.0169491525412</v>
      </c>
      <c r="AD85" s="106">
        <v>56.776180698151947</v>
      </c>
      <c r="AE85" s="106">
        <v>8516.4271047227921</v>
      </c>
      <c r="AF85" s="106">
        <v>58.271865121180184</v>
      </c>
      <c r="AG85" s="106">
        <v>8740.779768177028</v>
      </c>
      <c r="AH85" s="106">
        <v>58</v>
      </c>
      <c r="AI85" s="106">
        <v>8700</v>
      </c>
      <c r="AJ85" s="106">
        <v>53.087934560327199</v>
      </c>
      <c r="AK85" s="106">
        <v>7963.19018404908</v>
      </c>
      <c r="AL85" s="106">
        <v>51.252408477842003</v>
      </c>
      <c r="AM85" s="106">
        <v>7687.8612716763009</v>
      </c>
      <c r="AN85" s="106">
        <v>51</v>
      </c>
      <c r="AO85" s="106">
        <v>7650</v>
      </c>
      <c r="AP85" s="106">
        <v>43</v>
      </c>
      <c r="AQ85" s="106">
        <v>6450</v>
      </c>
      <c r="AR85" s="106">
        <v>63</v>
      </c>
      <c r="AS85" s="106">
        <v>9450</v>
      </c>
      <c r="AT85" s="106">
        <v>52</v>
      </c>
      <c r="AU85" s="106">
        <v>7800</v>
      </c>
      <c r="AV85" s="106">
        <v>57</v>
      </c>
      <c r="AW85" s="106">
        <v>8550</v>
      </c>
      <c r="AX85" s="106">
        <v>58.170600858369106</v>
      </c>
      <c r="AY85" s="106">
        <v>8725.5901287553661</v>
      </c>
      <c r="AZ85" s="106">
        <v>58.149316508937957</v>
      </c>
      <c r="BA85" s="106">
        <v>8722.3974763406932</v>
      </c>
      <c r="BB85" s="106">
        <v>44</v>
      </c>
      <c r="BC85" s="106">
        <v>6600</v>
      </c>
      <c r="BD85" s="106">
        <v>58.261786600496272</v>
      </c>
      <c r="BE85" s="106">
        <v>8739.2679900744406</v>
      </c>
      <c r="BF85" s="106">
        <v>53.275109170305676</v>
      </c>
      <c r="BG85" s="106">
        <v>7991.2663755458516</v>
      </c>
      <c r="BH85" s="106">
        <v>49.510337323177367</v>
      </c>
      <c r="BI85" s="106">
        <v>7426.550598476605</v>
      </c>
      <c r="BJ85" s="106">
        <v>58.516196447230932</v>
      </c>
      <c r="BK85" s="106">
        <v>8777.4294670846393</v>
      </c>
      <c r="BL85" s="106">
        <v>55.833333333333329</v>
      </c>
      <c r="BM85" s="106">
        <v>8375</v>
      </c>
      <c r="BN85" s="106">
        <v>55.510204081632651</v>
      </c>
      <c r="BO85" s="106">
        <v>8326.5306122448983</v>
      </c>
      <c r="BP85" s="106">
        <v>53.154662199888328</v>
      </c>
      <c r="BQ85" s="106">
        <v>7973.1993299832493</v>
      </c>
      <c r="BR85" s="106">
        <v>46.728971962616818</v>
      </c>
      <c r="BS85" s="106">
        <v>7009.3457943925223</v>
      </c>
      <c r="BT85" s="106">
        <v>51.928783382789312</v>
      </c>
      <c r="BU85" s="106">
        <v>7789.3175074183964</v>
      </c>
      <c r="BV85" s="106">
        <v>52.475705691809353</v>
      </c>
      <c r="BW85" s="106">
        <v>7871.3558537714025</v>
      </c>
      <c r="BX85" s="106">
        <v>52</v>
      </c>
      <c r="BY85" s="106">
        <v>7800</v>
      </c>
      <c r="BZ85" s="106">
        <v>55.722772277227726</v>
      </c>
      <c r="CA85" s="106">
        <v>8358.4158415841594</v>
      </c>
      <c r="CB85" s="106">
        <v>30</v>
      </c>
      <c r="CC85" s="106">
        <v>4500</v>
      </c>
      <c r="CD85" s="106">
        <v>41</v>
      </c>
      <c r="CE85" s="106">
        <v>6150</v>
      </c>
      <c r="CF85" s="106">
        <v>39</v>
      </c>
      <c r="CG85" s="106">
        <v>5850</v>
      </c>
      <c r="CH85" s="106">
        <v>50</v>
      </c>
      <c r="CI85" s="106">
        <v>7500</v>
      </c>
      <c r="CJ85" s="106">
        <v>48</v>
      </c>
      <c r="CK85" s="106">
        <v>7200</v>
      </c>
      <c r="CL85" s="106">
        <v>45</v>
      </c>
      <c r="CM85" s="106">
        <v>6750</v>
      </c>
      <c r="CN85" s="106">
        <v>76</v>
      </c>
      <c r="CO85" s="106">
        <v>11400</v>
      </c>
      <c r="CP85" s="106">
        <v>52</v>
      </c>
      <c r="CQ85" s="106">
        <v>7800</v>
      </c>
      <c r="CR85" s="106">
        <v>56</v>
      </c>
      <c r="CS85" s="106">
        <v>8400</v>
      </c>
      <c r="CT85" s="106">
        <v>78.949435444280809</v>
      </c>
      <c r="CU85" s="106">
        <v>11842.415316642122</v>
      </c>
    </row>
    <row r="86" spans="2:99" x14ac:dyDescent="0.2">
      <c r="C86" s="105" t="s">
        <v>251</v>
      </c>
      <c r="D86" s="106">
        <v>47</v>
      </c>
      <c r="E86" s="106">
        <v>25380</v>
      </c>
      <c r="F86" s="106">
        <v>45</v>
      </c>
      <c r="G86" s="106">
        <v>24300</v>
      </c>
      <c r="H86" s="106">
        <v>44</v>
      </c>
      <c r="I86" s="106">
        <v>23760</v>
      </c>
      <c r="J86" s="106">
        <v>57</v>
      </c>
      <c r="K86" s="106">
        <v>30780</v>
      </c>
      <c r="L86" s="106">
        <v>49.986928104575171</v>
      </c>
      <c r="M86" s="106">
        <v>26992.941176470591</v>
      </c>
      <c r="N86" s="106">
        <v>54.593522802379383</v>
      </c>
      <c r="O86" s="106">
        <v>29480.502313284866</v>
      </c>
      <c r="P86" s="106">
        <v>52</v>
      </c>
      <c r="Q86" s="106">
        <v>28080</v>
      </c>
      <c r="R86" s="106">
        <v>41.543628013777266</v>
      </c>
      <c r="S86" s="106">
        <v>22433.559127439723</v>
      </c>
      <c r="T86" s="106">
        <v>52.440408626560725</v>
      </c>
      <c r="U86" s="106">
        <v>28317.820658342793</v>
      </c>
      <c r="V86" s="106">
        <v>48.329621380846319</v>
      </c>
      <c r="W86" s="106">
        <v>26097.995545657013</v>
      </c>
      <c r="X86" s="106">
        <v>59.6395412342982</v>
      </c>
      <c r="Y86" s="106">
        <v>32205.352266521029</v>
      </c>
      <c r="Z86" s="106">
        <v>43.989071038251367</v>
      </c>
      <c r="AA86" s="106">
        <v>23754.098360655738</v>
      </c>
      <c r="AB86" s="106">
        <v>60.903954802259882</v>
      </c>
      <c r="AC86" s="106">
        <v>32888.135593220337</v>
      </c>
      <c r="AD86" s="106">
        <v>53.901437371663249</v>
      </c>
      <c r="AE86" s="106">
        <v>29106.776180698154</v>
      </c>
      <c r="AF86" s="106">
        <v>48.682824025289776</v>
      </c>
      <c r="AG86" s="106">
        <v>26288.724973656477</v>
      </c>
      <c r="AH86" s="106">
        <v>46</v>
      </c>
      <c r="AI86" s="106">
        <v>24840</v>
      </c>
      <c r="AJ86" s="106">
        <v>43.435582822085891</v>
      </c>
      <c r="AK86" s="106">
        <v>23455.21472392638</v>
      </c>
      <c r="AL86" s="106">
        <v>41.361592806679511</v>
      </c>
      <c r="AM86" s="106">
        <v>22335.260115606936</v>
      </c>
      <c r="AN86" s="106">
        <v>42</v>
      </c>
      <c r="AO86" s="106">
        <v>22680</v>
      </c>
      <c r="AP86" s="106">
        <v>37</v>
      </c>
      <c r="AQ86" s="106">
        <v>19980</v>
      </c>
      <c r="AR86" s="106">
        <v>53</v>
      </c>
      <c r="AS86" s="106">
        <v>28620</v>
      </c>
      <c r="AT86" s="106">
        <v>47</v>
      </c>
      <c r="AU86" s="106">
        <v>25380</v>
      </c>
      <c r="AV86" s="106">
        <v>48</v>
      </c>
      <c r="AW86" s="106">
        <v>25920</v>
      </c>
      <c r="AX86" s="106">
        <v>54.846566523605148</v>
      </c>
      <c r="AY86" s="106">
        <v>29617.145922746779</v>
      </c>
      <c r="AZ86" s="106">
        <v>57.413249211356472</v>
      </c>
      <c r="BA86" s="106">
        <v>31003.154574132495</v>
      </c>
      <c r="BB86" s="106">
        <v>37</v>
      </c>
      <c r="BC86" s="106">
        <v>19980</v>
      </c>
      <c r="BD86" s="106">
        <v>55.613523573200993</v>
      </c>
      <c r="BE86" s="106">
        <v>30031.302729528536</v>
      </c>
      <c r="BF86" s="106">
        <v>44.541484716157207</v>
      </c>
      <c r="BG86" s="106">
        <v>24052.401746724892</v>
      </c>
      <c r="BH86" s="106">
        <v>45.701849836779111</v>
      </c>
      <c r="BI86" s="106">
        <v>24678.998911860719</v>
      </c>
      <c r="BJ86" s="106">
        <v>53.396029258098224</v>
      </c>
      <c r="BK86" s="106">
        <v>28833.855799373043</v>
      </c>
      <c r="BL86" s="106">
        <v>44.166666666666664</v>
      </c>
      <c r="BM86" s="106">
        <v>23850</v>
      </c>
      <c r="BN86" s="106">
        <v>45.714285714285715</v>
      </c>
      <c r="BO86" s="106">
        <v>24685.714285714286</v>
      </c>
      <c r="BP86" s="106">
        <v>47.682858738135117</v>
      </c>
      <c r="BQ86" s="106">
        <v>25748.743718592963</v>
      </c>
      <c r="BR86" s="106">
        <v>41.121495327102799</v>
      </c>
      <c r="BS86" s="106">
        <v>22205.607476635512</v>
      </c>
      <c r="BT86" s="106">
        <v>55.390702274975268</v>
      </c>
      <c r="BU86" s="106">
        <v>29910.979228486645</v>
      </c>
      <c r="BV86" s="106">
        <v>48.588616381304952</v>
      </c>
      <c r="BW86" s="106">
        <v>26237.852845904676</v>
      </c>
      <c r="BX86" s="106">
        <v>51</v>
      </c>
      <c r="BY86" s="106">
        <v>27540</v>
      </c>
      <c r="BZ86" s="106">
        <v>52.737623762376231</v>
      </c>
      <c r="CA86" s="106">
        <v>28478.316831683165</v>
      </c>
      <c r="CB86" s="106">
        <v>27</v>
      </c>
      <c r="CC86" s="106">
        <v>14580</v>
      </c>
      <c r="CD86" s="106">
        <v>33</v>
      </c>
      <c r="CE86" s="106">
        <v>17820</v>
      </c>
      <c r="CF86" s="106">
        <v>34</v>
      </c>
      <c r="CG86" s="106">
        <v>18360</v>
      </c>
      <c r="CH86" s="106">
        <v>49</v>
      </c>
      <c r="CI86" s="106">
        <v>26460</v>
      </c>
      <c r="CJ86" s="106">
        <v>40</v>
      </c>
      <c r="CK86" s="106">
        <v>21600</v>
      </c>
      <c r="CL86" s="106">
        <v>47</v>
      </c>
      <c r="CM86" s="106">
        <v>25380</v>
      </c>
      <c r="CN86" s="106">
        <v>68</v>
      </c>
      <c r="CO86" s="106">
        <v>36720</v>
      </c>
      <c r="CP86" s="106">
        <v>46</v>
      </c>
      <c r="CQ86" s="106">
        <v>24840</v>
      </c>
      <c r="CR86" s="106">
        <v>50</v>
      </c>
      <c r="CS86" s="106">
        <v>27000</v>
      </c>
      <c r="CT86" s="106">
        <v>70.687285223367695</v>
      </c>
      <c r="CU86" s="106">
        <v>38171.134020618556</v>
      </c>
    </row>
    <row r="87" spans="2:99" x14ac:dyDescent="0.2">
      <c r="B87" s="105" t="s">
        <v>131</v>
      </c>
      <c r="C87" s="105" t="s">
        <v>252</v>
      </c>
      <c r="D87" s="106">
        <v>28</v>
      </c>
      <c r="E87" s="106">
        <v>54734.400000000001</v>
      </c>
      <c r="F87" s="106">
        <v>32</v>
      </c>
      <c r="G87" s="106">
        <v>62553.599999999999</v>
      </c>
      <c r="H87" s="106">
        <v>25</v>
      </c>
      <c r="I87" s="106">
        <v>48870</v>
      </c>
      <c r="J87" s="106">
        <v>39</v>
      </c>
      <c r="K87" s="106">
        <v>76237.2</v>
      </c>
      <c r="L87" s="106">
        <v>31.24183006535948</v>
      </c>
      <c r="M87" s="106">
        <v>61071.529411764706</v>
      </c>
      <c r="N87" s="106">
        <v>29.610046265697289</v>
      </c>
      <c r="O87" s="106">
        <v>57881.718440185061</v>
      </c>
      <c r="P87" s="106">
        <v>33</v>
      </c>
      <c r="Q87" s="106">
        <v>64508.4</v>
      </c>
      <c r="R87" s="106">
        <v>37.470723306544201</v>
      </c>
      <c r="S87" s="106">
        <v>73247.769919632599</v>
      </c>
      <c r="T87" s="106">
        <v>24.631101021566401</v>
      </c>
      <c r="U87" s="106">
        <v>48148.876276957999</v>
      </c>
      <c r="V87" s="106">
        <v>19.487750556792875</v>
      </c>
      <c r="W87" s="106">
        <v>38094.654788418709</v>
      </c>
      <c r="X87" s="106">
        <v>20.644456581103224</v>
      </c>
      <c r="Y87" s="106">
        <v>40355.783724740584</v>
      </c>
      <c r="Z87" s="106">
        <v>33.469945355191257</v>
      </c>
      <c r="AA87" s="106">
        <v>65427.049180327871</v>
      </c>
      <c r="AB87" s="106">
        <v>26.101694915254239</v>
      </c>
      <c r="AC87" s="106">
        <v>51023.593220338982</v>
      </c>
      <c r="AD87" s="106">
        <v>31.622176591375773</v>
      </c>
      <c r="AE87" s="106">
        <v>61815.030800821361</v>
      </c>
      <c r="AF87" s="106">
        <v>29.504741833508955</v>
      </c>
      <c r="AG87" s="106">
        <v>57675.869336143303</v>
      </c>
      <c r="AH87" s="106">
        <v>26</v>
      </c>
      <c r="AI87" s="106">
        <v>50824.799999999996</v>
      </c>
      <c r="AJ87" s="106">
        <v>50.192229038854812</v>
      </c>
      <c r="AK87" s="106">
        <v>98115.769325153378</v>
      </c>
      <c r="AL87" s="106">
        <v>38.664097623635193</v>
      </c>
      <c r="AM87" s="106">
        <v>75580.578034682068</v>
      </c>
      <c r="AN87" s="106">
        <v>28</v>
      </c>
      <c r="AO87" s="106">
        <v>54734.400000000001</v>
      </c>
      <c r="AP87" s="106">
        <v>48</v>
      </c>
      <c r="AQ87" s="106">
        <v>93830.399999999994</v>
      </c>
      <c r="AR87" s="106">
        <v>34</v>
      </c>
      <c r="AS87" s="106">
        <v>66463.199999999997</v>
      </c>
      <c r="AT87" s="106">
        <v>40</v>
      </c>
      <c r="AU87" s="106">
        <v>78192</v>
      </c>
      <c r="AV87" s="106">
        <v>32</v>
      </c>
      <c r="AW87" s="106">
        <v>62553.599999999999</v>
      </c>
      <c r="AX87" s="106">
        <v>36.564377682403439</v>
      </c>
      <c r="AY87" s="106">
        <v>71476.04549356224</v>
      </c>
      <c r="AZ87" s="106">
        <v>34.59516298633018</v>
      </c>
      <c r="BA87" s="106">
        <v>67626.62460567824</v>
      </c>
      <c r="BB87" s="106">
        <v>28</v>
      </c>
      <c r="BC87" s="106">
        <v>54734.400000000001</v>
      </c>
      <c r="BD87" s="106">
        <v>32.661910669975185</v>
      </c>
      <c r="BE87" s="106">
        <v>63847.502977667493</v>
      </c>
      <c r="BF87" s="106">
        <v>29.694323144104803</v>
      </c>
      <c r="BG87" s="106">
        <v>58046.462882096072</v>
      </c>
      <c r="BH87" s="106">
        <v>42.655059847660503</v>
      </c>
      <c r="BI87" s="106">
        <v>83382.110990206755</v>
      </c>
      <c r="BJ87" s="106">
        <v>29.989550679205848</v>
      </c>
      <c r="BK87" s="106">
        <v>58623.573667711593</v>
      </c>
      <c r="BL87" s="106">
        <v>33.333333333333329</v>
      </c>
      <c r="BM87" s="106">
        <v>65159.999999999993</v>
      </c>
      <c r="BN87" s="106">
        <v>20.408163265306122</v>
      </c>
      <c r="BO87" s="106">
        <v>39893.877551020407</v>
      </c>
      <c r="BP87" s="106">
        <v>34.394193188163037</v>
      </c>
      <c r="BQ87" s="106">
        <v>67233.768844221107</v>
      </c>
      <c r="BR87" s="106">
        <v>37.383177570093459</v>
      </c>
      <c r="BS87" s="106">
        <v>73076.635514018693</v>
      </c>
      <c r="BT87" s="106">
        <v>24.233432245301678</v>
      </c>
      <c r="BU87" s="106">
        <v>47371.513353115719</v>
      </c>
      <c r="BV87" s="106">
        <v>30.44886626561777</v>
      </c>
      <c r="BW87" s="106">
        <v>59521.443776029613</v>
      </c>
      <c r="BX87" s="106">
        <v>18</v>
      </c>
      <c r="BY87" s="106">
        <v>35186.400000000001</v>
      </c>
      <c r="BZ87" s="106">
        <v>35.821782178217823</v>
      </c>
      <c r="CA87" s="106">
        <v>70024.419801980199</v>
      </c>
      <c r="CB87" s="106">
        <v>24</v>
      </c>
      <c r="CC87" s="106">
        <v>46915.199999999997</v>
      </c>
      <c r="CD87" s="106">
        <v>33</v>
      </c>
      <c r="CE87" s="106">
        <v>64508.4</v>
      </c>
      <c r="CF87" s="106">
        <v>21</v>
      </c>
      <c r="CG87" s="106">
        <v>41050.799999999996</v>
      </c>
      <c r="CH87" s="106">
        <v>29</v>
      </c>
      <c r="CI87" s="106">
        <v>56689.2</v>
      </c>
      <c r="CJ87" s="106">
        <v>29</v>
      </c>
      <c r="CK87" s="106">
        <v>56689.2</v>
      </c>
      <c r="CL87" s="106">
        <v>34</v>
      </c>
      <c r="CM87" s="106">
        <v>66463.199999999997</v>
      </c>
      <c r="CN87" s="106">
        <v>35</v>
      </c>
      <c r="CO87" s="106">
        <v>68418</v>
      </c>
      <c r="CP87" s="106">
        <v>49</v>
      </c>
      <c r="CQ87" s="106">
        <v>95785.2</v>
      </c>
      <c r="CR87" s="106">
        <v>46</v>
      </c>
      <c r="CS87" s="106">
        <v>89920.8</v>
      </c>
      <c r="CT87" s="106">
        <v>35.802650957290133</v>
      </c>
      <c r="CU87" s="106">
        <v>69987.022091310748</v>
      </c>
    </row>
    <row r="88" spans="2:99" x14ac:dyDescent="0.2">
      <c r="C88" s="105" t="s">
        <v>253</v>
      </c>
      <c r="D88" s="106">
        <v>30</v>
      </c>
      <c r="E88" s="106">
        <v>56771.999999999993</v>
      </c>
      <c r="F88" s="106">
        <v>27</v>
      </c>
      <c r="G88" s="106">
        <v>51094.799999999996</v>
      </c>
      <c r="H88" s="106">
        <v>28</v>
      </c>
      <c r="I88" s="106">
        <v>52987.199999999997</v>
      </c>
      <c r="J88" s="106">
        <v>38</v>
      </c>
      <c r="K88" s="106">
        <v>71911.199999999997</v>
      </c>
      <c r="L88" s="106">
        <v>30.46078431372549</v>
      </c>
      <c r="M88" s="106">
        <v>57643.988235294113</v>
      </c>
      <c r="N88" s="106">
        <v>32.385988103106413</v>
      </c>
      <c r="O88" s="106">
        <v>61287.243886318574</v>
      </c>
      <c r="P88" s="106">
        <v>30</v>
      </c>
      <c r="Q88" s="106">
        <v>56771.999999999993</v>
      </c>
      <c r="R88" s="106">
        <v>39.09988518943743</v>
      </c>
      <c r="S88" s="106">
        <v>73992.622732491393</v>
      </c>
      <c r="T88" s="106">
        <v>24.631101021566401</v>
      </c>
      <c r="U88" s="106">
        <v>46611.895573212256</v>
      </c>
      <c r="V88" s="106">
        <v>21.046770601336302</v>
      </c>
      <c r="W88" s="106">
        <v>39828.908685968818</v>
      </c>
      <c r="X88" s="106">
        <v>21.409066084107046</v>
      </c>
      <c r="Y88" s="106">
        <v>40514.516657564171</v>
      </c>
      <c r="Z88" s="106">
        <v>36.338797814207652</v>
      </c>
      <c r="AA88" s="106">
        <v>68767.540983606552</v>
      </c>
      <c r="AB88" s="106">
        <v>26.101694915254239</v>
      </c>
      <c r="AC88" s="106">
        <v>49394.847457627118</v>
      </c>
      <c r="AD88" s="106">
        <v>35.215605749486656</v>
      </c>
      <c r="AE88" s="106">
        <v>66642.012320328548</v>
      </c>
      <c r="AF88" s="106">
        <v>28.029504741833506</v>
      </c>
      <c r="AG88" s="106">
        <v>53043.034773445725</v>
      </c>
      <c r="AH88" s="106">
        <v>31</v>
      </c>
      <c r="AI88" s="106">
        <v>58664.399999999994</v>
      </c>
      <c r="AJ88" s="106">
        <v>49.226993865030678</v>
      </c>
      <c r="AK88" s="106">
        <v>93157.163190184045</v>
      </c>
      <c r="AL88" s="106">
        <v>44.059087989723828</v>
      </c>
      <c r="AM88" s="106">
        <v>83377.418111753374</v>
      </c>
      <c r="AN88" s="106">
        <v>30</v>
      </c>
      <c r="AO88" s="106">
        <v>56771.999999999993</v>
      </c>
      <c r="AP88" s="106">
        <v>42</v>
      </c>
      <c r="AQ88" s="106">
        <v>79480.799999999988</v>
      </c>
      <c r="AR88" s="106">
        <v>40</v>
      </c>
      <c r="AS88" s="106">
        <v>75696</v>
      </c>
      <c r="AT88" s="106">
        <v>40</v>
      </c>
      <c r="AU88" s="106">
        <v>75696</v>
      </c>
      <c r="AV88" s="106">
        <v>37</v>
      </c>
      <c r="AW88" s="106">
        <v>70018.799999999988</v>
      </c>
      <c r="AX88" s="106">
        <v>36.564377682403439</v>
      </c>
      <c r="AY88" s="106">
        <v>69194.428326180263</v>
      </c>
      <c r="AZ88" s="106">
        <v>35.331230283911673</v>
      </c>
      <c r="BA88" s="106">
        <v>66860.82018927444</v>
      </c>
      <c r="BB88" s="106">
        <v>27</v>
      </c>
      <c r="BC88" s="106">
        <v>51094.799999999996</v>
      </c>
      <c r="BD88" s="106">
        <v>36.192928039702231</v>
      </c>
      <c r="BE88" s="106">
        <v>68491.497022332493</v>
      </c>
      <c r="BF88" s="106">
        <v>30.567685589519648</v>
      </c>
      <c r="BG88" s="106">
        <v>57846.288209606981</v>
      </c>
      <c r="BH88" s="106">
        <v>41.131664853101199</v>
      </c>
      <c r="BI88" s="106">
        <v>77837.562568008711</v>
      </c>
      <c r="BJ88" s="106">
        <v>28.526645768025077</v>
      </c>
      <c r="BK88" s="106">
        <v>53983.824451410648</v>
      </c>
      <c r="BL88" s="106">
        <v>30</v>
      </c>
      <c r="BM88" s="106">
        <v>56771.999999999993</v>
      </c>
      <c r="BN88" s="106">
        <v>24.489795918367349</v>
      </c>
      <c r="BO88" s="106">
        <v>46344.489795918365</v>
      </c>
      <c r="BP88" s="106">
        <v>41.429369067560025</v>
      </c>
      <c r="BQ88" s="106">
        <v>78400.938023450581</v>
      </c>
      <c r="BR88" s="106">
        <v>35.514018691588781</v>
      </c>
      <c r="BS88" s="106">
        <v>67206.728971962599</v>
      </c>
      <c r="BT88" s="106">
        <v>26.310583580613255</v>
      </c>
      <c r="BU88" s="106">
        <v>49790.148367952519</v>
      </c>
      <c r="BV88" s="106">
        <v>29.801018047200373</v>
      </c>
      <c r="BW88" s="106">
        <v>56395.446552521978</v>
      </c>
      <c r="BX88" s="106">
        <v>20</v>
      </c>
      <c r="BY88" s="106">
        <v>37848</v>
      </c>
      <c r="BZ88" s="106">
        <v>32.836633663366335</v>
      </c>
      <c r="CA88" s="106">
        <v>62140.04554455445</v>
      </c>
      <c r="CB88" s="106">
        <v>24</v>
      </c>
      <c r="CC88" s="106">
        <v>45417.599999999999</v>
      </c>
      <c r="CD88" s="106">
        <v>33</v>
      </c>
      <c r="CE88" s="106">
        <v>62449.2</v>
      </c>
      <c r="CF88" s="106">
        <v>21</v>
      </c>
      <c r="CG88" s="106">
        <v>39740.399999999994</v>
      </c>
      <c r="CH88" s="106">
        <v>28</v>
      </c>
      <c r="CI88" s="106">
        <v>52987.199999999997</v>
      </c>
      <c r="CJ88" s="106">
        <v>27</v>
      </c>
      <c r="CK88" s="106">
        <v>51094.799999999996</v>
      </c>
      <c r="CL88" s="106">
        <v>37</v>
      </c>
      <c r="CM88" s="106">
        <v>70018.799999999988</v>
      </c>
      <c r="CN88" s="106">
        <v>41</v>
      </c>
      <c r="CO88" s="106">
        <v>77588.399999999994</v>
      </c>
      <c r="CP88" s="106">
        <v>53</v>
      </c>
      <c r="CQ88" s="106">
        <v>100297.2</v>
      </c>
      <c r="CR88" s="106">
        <v>47</v>
      </c>
      <c r="CS88" s="106">
        <v>88942.799999999988</v>
      </c>
      <c r="CT88" s="106">
        <v>33.966617574864998</v>
      </c>
      <c r="CU88" s="106">
        <v>64278.427098674518</v>
      </c>
    </row>
    <row r="89" spans="2:99" x14ac:dyDescent="0.2">
      <c r="C89" s="105" t="s">
        <v>254</v>
      </c>
      <c r="D89" s="106">
        <v>29</v>
      </c>
      <c r="E89" s="106">
        <v>69530.399999999994</v>
      </c>
      <c r="F89" s="106">
        <v>29</v>
      </c>
      <c r="G89" s="106">
        <v>69530.399999999994</v>
      </c>
      <c r="H89" s="106">
        <v>22</v>
      </c>
      <c r="I89" s="106">
        <v>52747.199999999997</v>
      </c>
      <c r="J89" s="106">
        <v>35</v>
      </c>
      <c r="K89" s="106">
        <v>83916</v>
      </c>
      <c r="L89" s="106">
        <v>27.336601307189543</v>
      </c>
      <c r="M89" s="106">
        <v>65542.23529411765</v>
      </c>
      <c r="N89" s="106">
        <v>28.684732319894248</v>
      </c>
      <c r="O89" s="106">
        <v>68774.514210178444</v>
      </c>
      <c r="P89" s="106">
        <v>27</v>
      </c>
      <c r="Q89" s="106">
        <v>64735.199999999997</v>
      </c>
      <c r="R89" s="106">
        <v>33.397818599311137</v>
      </c>
      <c r="S89" s="106">
        <v>80074.609873708381</v>
      </c>
      <c r="T89" s="106">
        <v>23.04199772985244</v>
      </c>
      <c r="U89" s="106">
        <v>55245.493757094206</v>
      </c>
      <c r="V89" s="106">
        <v>18.70824053452116</v>
      </c>
      <c r="W89" s="106">
        <v>44854.877505567929</v>
      </c>
      <c r="X89" s="106">
        <v>20.644456581103224</v>
      </c>
      <c r="Y89" s="106">
        <v>49497.149098853086</v>
      </c>
      <c r="Z89" s="106">
        <v>32.513661202185794</v>
      </c>
      <c r="AA89" s="106">
        <v>77954.75409836066</v>
      </c>
      <c r="AB89" s="106">
        <v>22.146892655367232</v>
      </c>
      <c r="AC89" s="106">
        <v>53099.389830508473</v>
      </c>
      <c r="AD89" s="106">
        <v>30.184804928131417</v>
      </c>
      <c r="AE89" s="106">
        <v>72371.088295687878</v>
      </c>
      <c r="AF89" s="106">
        <v>27.291886195995787</v>
      </c>
      <c r="AG89" s="106">
        <v>65435.026343519494</v>
      </c>
      <c r="AH89" s="106">
        <v>25</v>
      </c>
      <c r="AI89" s="106">
        <v>59940</v>
      </c>
      <c r="AJ89" s="106">
        <v>43.435582822085891</v>
      </c>
      <c r="AK89" s="106">
        <v>104141.15337423312</v>
      </c>
      <c r="AL89" s="106">
        <v>35.067437379576106</v>
      </c>
      <c r="AM89" s="106">
        <v>84077.687861271668</v>
      </c>
      <c r="AN89" s="106">
        <v>27</v>
      </c>
      <c r="AO89" s="106">
        <v>64735.199999999997</v>
      </c>
      <c r="AP89" s="106">
        <v>42</v>
      </c>
      <c r="AQ89" s="106">
        <v>100699.2</v>
      </c>
      <c r="AR89" s="106">
        <v>34</v>
      </c>
      <c r="AS89" s="106">
        <v>81518.399999999994</v>
      </c>
      <c r="AT89" s="106">
        <v>40</v>
      </c>
      <c r="AU89" s="106">
        <v>95904</v>
      </c>
      <c r="AV89" s="106">
        <v>32</v>
      </c>
      <c r="AW89" s="106">
        <v>76723.199999999997</v>
      </c>
      <c r="AX89" s="106">
        <v>33.240343347639488</v>
      </c>
      <c r="AY89" s="106">
        <v>79697.047210300429</v>
      </c>
      <c r="AZ89" s="106">
        <v>33.123028391167189</v>
      </c>
      <c r="BA89" s="106">
        <v>79415.772870662448</v>
      </c>
      <c r="BB89" s="106">
        <v>29</v>
      </c>
      <c r="BC89" s="106">
        <v>69530.399999999994</v>
      </c>
      <c r="BD89" s="106">
        <v>30.896401985111662</v>
      </c>
      <c r="BE89" s="106">
        <v>74077.213399503715</v>
      </c>
      <c r="BF89" s="106">
        <v>32.314410480349345</v>
      </c>
      <c r="BG89" s="106">
        <v>77477.030567685593</v>
      </c>
      <c r="BH89" s="106">
        <v>40.369967355821544</v>
      </c>
      <c r="BI89" s="106">
        <v>96791.033732317723</v>
      </c>
      <c r="BJ89" s="106">
        <v>27.063740856844305</v>
      </c>
      <c r="BK89" s="106">
        <v>64888.025078369901</v>
      </c>
      <c r="BL89" s="106">
        <v>29.166666666666664</v>
      </c>
      <c r="BM89" s="106">
        <v>69929.999999999985</v>
      </c>
      <c r="BN89" s="106">
        <v>22.04081632653061</v>
      </c>
      <c r="BO89" s="106">
        <v>52845.061224489786</v>
      </c>
      <c r="BP89" s="106">
        <v>32.049134561697379</v>
      </c>
      <c r="BQ89" s="106">
        <v>76841.005025125633</v>
      </c>
      <c r="BR89" s="106">
        <v>34.579439252336449</v>
      </c>
      <c r="BS89" s="106">
        <v>82907.663551401871</v>
      </c>
      <c r="BT89" s="106">
        <v>22.848664688427302</v>
      </c>
      <c r="BU89" s="106">
        <v>54781.958456973298</v>
      </c>
      <c r="BV89" s="106">
        <v>28.50532161036557</v>
      </c>
      <c r="BW89" s="106">
        <v>68344.359093012492</v>
      </c>
      <c r="BX89" s="106">
        <v>19</v>
      </c>
      <c r="BY89" s="106">
        <v>45554.400000000001</v>
      </c>
      <c r="BZ89" s="106">
        <v>33.831683168316836</v>
      </c>
      <c r="CA89" s="106">
        <v>81114.843564356444</v>
      </c>
      <c r="CB89" s="106">
        <v>22</v>
      </c>
      <c r="CC89" s="106">
        <v>52747.199999999997</v>
      </c>
      <c r="CD89" s="106">
        <v>33</v>
      </c>
      <c r="CE89" s="106">
        <v>79120.800000000003</v>
      </c>
      <c r="CF89" s="106">
        <v>22</v>
      </c>
      <c r="CG89" s="106">
        <v>52747.199999999997</v>
      </c>
      <c r="CH89" s="106">
        <v>28</v>
      </c>
      <c r="CI89" s="106">
        <v>67132.800000000003</v>
      </c>
      <c r="CJ89" s="106">
        <v>28</v>
      </c>
      <c r="CK89" s="106">
        <v>67132.800000000003</v>
      </c>
      <c r="CL89" s="106">
        <v>35</v>
      </c>
      <c r="CM89" s="106">
        <v>83916</v>
      </c>
      <c r="CN89" s="106">
        <v>34</v>
      </c>
      <c r="CO89" s="106">
        <v>81518.399999999994</v>
      </c>
      <c r="CP89" s="106">
        <v>50</v>
      </c>
      <c r="CQ89" s="106">
        <v>119880</v>
      </c>
      <c r="CR89" s="106">
        <v>42</v>
      </c>
      <c r="CS89" s="106">
        <v>100699.2</v>
      </c>
      <c r="CT89" s="106">
        <v>30.29455081001473</v>
      </c>
      <c r="CU89" s="106">
        <v>72634.215022091317</v>
      </c>
    </row>
    <row r="90" spans="2:99" x14ac:dyDescent="0.2">
      <c r="C90" s="105" t="s">
        <v>255</v>
      </c>
      <c r="D90" s="106">
        <v>28</v>
      </c>
      <c r="E90" s="106">
        <v>61521.599999999991</v>
      </c>
      <c r="F90" s="106">
        <v>27</v>
      </c>
      <c r="G90" s="106">
        <v>59324.399999999994</v>
      </c>
      <c r="H90" s="106">
        <v>24</v>
      </c>
      <c r="I90" s="106">
        <v>52732.799999999996</v>
      </c>
      <c r="J90" s="106">
        <v>38</v>
      </c>
      <c r="K90" s="106">
        <v>83493.599999999991</v>
      </c>
      <c r="L90" s="106">
        <v>28.898692810457515</v>
      </c>
      <c r="M90" s="106">
        <v>63496.20784313725</v>
      </c>
      <c r="N90" s="106">
        <v>26.834104428288168</v>
      </c>
      <c r="O90" s="106">
        <v>58959.894249834753</v>
      </c>
      <c r="P90" s="106">
        <v>32</v>
      </c>
      <c r="Q90" s="106">
        <v>70310.399999999994</v>
      </c>
      <c r="R90" s="106">
        <v>36.656142365097594</v>
      </c>
      <c r="S90" s="106">
        <v>80540.876004592428</v>
      </c>
      <c r="T90" s="106">
        <v>26.220204313280362</v>
      </c>
      <c r="U90" s="106">
        <v>57611.032917139608</v>
      </c>
      <c r="V90" s="106">
        <v>21.826280623608017</v>
      </c>
      <c r="W90" s="106">
        <v>47956.703786191531</v>
      </c>
      <c r="X90" s="106">
        <v>20.644456581103224</v>
      </c>
      <c r="Y90" s="106">
        <v>45360</v>
      </c>
      <c r="Z90" s="106">
        <v>32.513661202185794</v>
      </c>
      <c r="AA90" s="106">
        <v>71439.016393442624</v>
      </c>
      <c r="AB90" s="106">
        <v>26.89265536723164</v>
      </c>
      <c r="AC90" s="106">
        <v>59088.542372881355</v>
      </c>
      <c r="AD90" s="106">
        <v>34.496919917864474</v>
      </c>
      <c r="AE90" s="106">
        <v>75796.632443531824</v>
      </c>
      <c r="AF90" s="106">
        <v>29.504741833508955</v>
      </c>
      <c r="AG90" s="106">
        <v>64827.818756585868</v>
      </c>
      <c r="AH90" s="106">
        <v>27</v>
      </c>
      <c r="AI90" s="106">
        <v>59324.399999999994</v>
      </c>
      <c r="AJ90" s="106">
        <v>49.226993865030678</v>
      </c>
      <c r="AK90" s="106">
        <v>108161.5509202454</v>
      </c>
      <c r="AL90" s="106">
        <v>39.56326268464997</v>
      </c>
      <c r="AM90" s="106">
        <v>86928.400770712906</v>
      </c>
      <c r="AN90" s="106">
        <v>25</v>
      </c>
      <c r="AO90" s="106">
        <v>54929.999999999993</v>
      </c>
      <c r="AP90" s="106">
        <v>40</v>
      </c>
      <c r="AQ90" s="106">
        <v>87888</v>
      </c>
      <c r="AR90" s="106">
        <v>32</v>
      </c>
      <c r="AS90" s="106">
        <v>70310.399999999994</v>
      </c>
      <c r="AT90" s="106">
        <v>35</v>
      </c>
      <c r="AU90" s="106">
        <v>76902</v>
      </c>
      <c r="AV90" s="106">
        <v>32</v>
      </c>
      <c r="AW90" s="106">
        <v>70310.399999999994</v>
      </c>
      <c r="AX90" s="106">
        <v>34.902360515021464</v>
      </c>
      <c r="AY90" s="106">
        <v>76687.466523605151</v>
      </c>
      <c r="AZ90" s="106">
        <v>33.859095688748681</v>
      </c>
      <c r="BA90" s="106">
        <v>74395.205047318595</v>
      </c>
      <c r="BB90" s="106">
        <v>26</v>
      </c>
      <c r="BC90" s="106">
        <v>57127.199999999997</v>
      </c>
      <c r="BD90" s="106">
        <v>30.896401985111662</v>
      </c>
      <c r="BE90" s="106">
        <v>67885.574441687335</v>
      </c>
      <c r="BF90" s="106">
        <v>32.314410480349345</v>
      </c>
      <c r="BG90" s="106">
        <v>71001.222707423571</v>
      </c>
      <c r="BH90" s="106">
        <v>35.799782372143632</v>
      </c>
      <c r="BI90" s="106">
        <v>78659.281828073988</v>
      </c>
      <c r="BJ90" s="106">
        <v>27.063740856844305</v>
      </c>
      <c r="BK90" s="106">
        <v>59464.451410658301</v>
      </c>
      <c r="BL90" s="106">
        <v>30</v>
      </c>
      <c r="BM90" s="106">
        <v>65916</v>
      </c>
      <c r="BN90" s="106">
        <v>20.408163265306122</v>
      </c>
      <c r="BO90" s="106">
        <v>44840.816326530607</v>
      </c>
      <c r="BP90" s="106">
        <v>33.612506979341148</v>
      </c>
      <c r="BQ90" s="106">
        <v>73853.400335008366</v>
      </c>
      <c r="BR90" s="106">
        <v>33.644859813084111</v>
      </c>
      <c r="BS90" s="106">
        <v>73924.485981308404</v>
      </c>
      <c r="BT90" s="106">
        <v>24.233432245301678</v>
      </c>
      <c r="BU90" s="106">
        <v>53245.697329376846</v>
      </c>
      <c r="BV90" s="106">
        <v>25.913928736695972</v>
      </c>
      <c r="BW90" s="106">
        <v>56938.084220268385</v>
      </c>
      <c r="BX90" s="106">
        <v>17</v>
      </c>
      <c r="BY90" s="106">
        <v>37352.399999999994</v>
      </c>
      <c r="BZ90" s="106">
        <v>34.82673267326733</v>
      </c>
      <c r="CA90" s="106">
        <v>76521.297029702968</v>
      </c>
      <c r="CB90" s="106">
        <v>26</v>
      </c>
      <c r="CC90" s="106">
        <v>57127.199999999997</v>
      </c>
      <c r="CD90" s="106">
        <v>36</v>
      </c>
      <c r="CE90" s="106">
        <v>79099.199999999997</v>
      </c>
      <c r="CF90" s="106">
        <v>23</v>
      </c>
      <c r="CG90" s="106">
        <v>50535.6</v>
      </c>
      <c r="CH90" s="106">
        <v>28</v>
      </c>
      <c r="CI90" s="106">
        <v>61521.599999999991</v>
      </c>
      <c r="CJ90" s="106">
        <v>24</v>
      </c>
      <c r="CK90" s="106">
        <v>52732.799999999996</v>
      </c>
      <c r="CL90" s="106">
        <v>32</v>
      </c>
      <c r="CM90" s="106">
        <v>70310.399999999994</v>
      </c>
      <c r="CN90" s="106">
        <v>37</v>
      </c>
      <c r="CO90" s="106">
        <v>81296.399999999994</v>
      </c>
      <c r="CP90" s="106">
        <v>47</v>
      </c>
      <c r="CQ90" s="106">
        <v>103268.4</v>
      </c>
      <c r="CR90" s="106">
        <v>40</v>
      </c>
      <c r="CS90" s="106">
        <v>87888</v>
      </c>
      <c r="CT90" s="106">
        <v>33.048600883652426</v>
      </c>
      <c r="CU90" s="106">
        <v>72614.38586156111</v>
      </c>
    </row>
    <row r="91" spans="2:99" x14ac:dyDescent="0.2">
      <c r="C91" s="105" t="s">
        <v>256</v>
      </c>
      <c r="D91" s="106">
        <v>28</v>
      </c>
      <c r="E91" s="106">
        <v>64310.399999999994</v>
      </c>
      <c r="F91" s="106">
        <v>30</v>
      </c>
      <c r="G91" s="106">
        <v>68903.999999999985</v>
      </c>
      <c r="H91" s="106">
        <v>24</v>
      </c>
      <c r="I91" s="106">
        <v>55123.199999999997</v>
      </c>
      <c r="J91" s="106">
        <v>34</v>
      </c>
      <c r="K91" s="106">
        <v>78091.199999999997</v>
      </c>
      <c r="L91" s="106">
        <v>32.022875816993469</v>
      </c>
      <c r="M91" s="106">
        <v>73550.141176470584</v>
      </c>
      <c r="N91" s="106">
        <v>32.385988103106413</v>
      </c>
      <c r="O91" s="106">
        <v>74384.137475214797</v>
      </c>
      <c r="P91" s="106">
        <v>30</v>
      </c>
      <c r="Q91" s="106">
        <v>68903.999999999985</v>
      </c>
      <c r="R91" s="106">
        <v>38.285304247990815</v>
      </c>
      <c r="S91" s="106">
        <v>87933.686796785289</v>
      </c>
      <c r="T91" s="106">
        <v>26.220204313280362</v>
      </c>
      <c r="U91" s="106">
        <v>60222.565266742327</v>
      </c>
      <c r="V91" s="106">
        <v>21.046770601336302</v>
      </c>
      <c r="W91" s="106">
        <v>48340.222717149212</v>
      </c>
      <c r="X91" s="106">
        <v>18.350628072091752</v>
      </c>
      <c r="Y91" s="106">
        <v>42147.722555980334</v>
      </c>
      <c r="Z91" s="106">
        <v>30.601092896174862</v>
      </c>
      <c r="AA91" s="106">
        <v>70284.590163934408</v>
      </c>
      <c r="AB91" s="106">
        <v>26.101694915254239</v>
      </c>
      <c r="AC91" s="106">
        <v>59950.372881355928</v>
      </c>
      <c r="AD91" s="106">
        <v>33.7782340862423</v>
      </c>
      <c r="AE91" s="106">
        <v>77581.848049281311</v>
      </c>
      <c r="AF91" s="106">
        <v>27.291886195995787</v>
      </c>
      <c r="AG91" s="106">
        <v>62684.004214963112</v>
      </c>
      <c r="AH91" s="106">
        <v>29</v>
      </c>
      <c r="AI91" s="106">
        <v>66607.199999999997</v>
      </c>
      <c r="AJ91" s="106">
        <v>42.470347648261757</v>
      </c>
      <c r="AK91" s="106">
        <v>97545.894478527596</v>
      </c>
      <c r="AL91" s="106">
        <v>41.361592806679511</v>
      </c>
      <c r="AM91" s="106">
        <v>94999.306358381495</v>
      </c>
      <c r="AN91" s="106">
        <v>30</v>
      </c>
      <c r="AO91" s="106">
        <v>68903.999999999985</v>
      </c>
      <c r="AP91" s="106">
        <v>40</v>
      </c>
      <c r="AQ91" s="106">
        <v>91871.999999999985</v>
      </c>
      <c r="AR91" s="106">
        <v>38</v>
      </c>
      <c r="AS91" s="106">
        <v>87278.399999999994</v>
      </c>
      <c r="AT91" s="106">
        <v>37</v>
      </c>
      <c r="AU91" s="106">
        <v>84981.599999999991</v>
      </c>
      <c r="AV91" s="106">
        <v>29</v>
      </c>
      <c r="AW91" s="106">
        <v>66607.199999999997</v>
      </c>
      <c r="AX91" s="106">
        <v>34.902360515021464</v>
      </c>
      <c r="AY91" s="106">
        <v>80163.741630901292</v>
      </c>
      <c r="AZ91" s="106">
        <v>36.803364879074657</v>
      </c>
      <c r="BA91" s="106">
        <v>84529.968454258662</v>
      </c>
      <c r="BB91" s="106">
        <v>27</v>
      </c>
      <c r="BC91" s="106">
        <v>62013.599999999991</v>
      </c>
      <c r="BD91" s="106">
        <v>30.896401985111662</v>
      </c>
      <c r="BE91" s="106">
        <v>70962.856079404461</v>
      </c>
      <c r="BF91" s="106">
        <v>28.820960698689955</v>
      </c>
      <c r="BG91" s="106">
        <v>66195.982532751077</v>
      </c>
      <c r="BH91" s="106">
        <v>34.276387377584328</v>
      </c>
      <c r="BI91" s="106">
        <v>78726.006528835671</v>
      </c>
      <c r="BJ91" s="106">
        <v>29.258098223615466</v>
      </c>
      <c r="BK91" s="106">
        <v>67200</v>
      </c>
      <c r="BL91" s="106">
        <v>29.166666666666664</v>
      </c>
      <c r="BM91" s="106">
        <v>66989.999999999985</v>
      </c>
      <c r="BN91" s="106">
        <v>19.591836734693878</v>
      </c>
      <c r="BO91" s="106">
        <v>44998.530612244896</v>
      </c>
      <c r="BP91" s="106">
        <v>32.049134561697379</v>
      </c>
      <c r="BQ91" s="106">
        <v>73610.452261306535</v>
      </c>
      <c r="BR91" s="106">
        <v>32.710280373831772</v>
      </c>
      <c r="BS91" s="106">
        <v>75128.971962616808</v>
      </c>
      <c r="BT91" s="106">
        <v>24.233432245301678</v>
      </c>
      <c r="BU91" s="106">
        <v>55659.347181008889</v>
      </c>
      <c r="BV91" s="106">
        <v>26.56177695511337</v>
      </c>
      <c r="BW91" s="106">
        <v>61007.08931050438</v>
      </c>
      <c r="BX91" s="106">
        <v>17</v>
      </c>
      <c r="BY91" s="106">
        <v>39045.599999999999</v>
      </c>
      <c r="BZ91" s="106">
        <v>31.841584158415841</v>
      </c>
      <c r="CA91" s="106">
        <v>73133.750495049491</v>
      </c>
      <c r="CB91" s="106">
        <v>26</v>
      </c>
      <c r="CC91" s="106">
        <v>59716.799999999996</v>
      </c>
      <c r="CD91" s="106">
        <v>30</v>
      </c>
      <c r="CE91" s="106">
        <v>68903.999999999985</v>
      </c>
      <c r="CF91" s="106">
        <v>20</v>
      </c>
      <c r="CG91" s="106">
        <v>45935.999999999993</v>
      </c>
      <c r="CH91" s="106">
        <v>27</v>
      </c>
      <c r="CI91" s="106">
        <v>62013.599999999991</v>
      </c>
      <c r="CJ91" s="106">
        <v>27</v>
      </c>
      <c r="CK91" s="106">
        <v>62013.599999999991</v>
      </c>
      <c r="CL91" s="106">
        <v>31</v>
      </c>
      <c r="CM91" s="106">
        <v>71200.799999999988</v>
      </c>
      <c r="CN91" s="106">
        <v>40</v>
      </c>
      <c r="CO91" s="106">
        <v>91871.999999999985</v>
      </c>
      <c r="CP91" s="106">
        <v>53</v>
      </c>
      <c r="CQ91" s="106">
        <v>121730.39999999998</v>
      </c>
      <c r="CR91" s="106">
        <v>40</v>
      </c>
      <c r="CS91" s="106">
        <v>91871.999999999985</v>
      </c>
      <c r="CT91" s="106">
        <v>32.130584192439862</v>
      </c>
      <c r="CU91" s="106">
        <v>73797.52577319587</v>
      </c>
    </row>
    <row r="92" spans="2:99" x14ac:dyDescent="0.2">
      <c r="C92" s="105" t="s">
        <v>257</v>
      </c>
      <c r="D92" s="106">
        <v>35</v>
      </c>
      <c r="E92" s="106">
        <v>49728</v>
      </c>
      <c r="F92" s="106">
        <v>35</v>
      </c>
      <c r="G92" s="106">
        <v>49728</v>
      </c>
      <c r="H92" s="106">
        <v>29</v>
      </c>
      <c r="I92" s="106">
        <v>41203.199999999997</v>
      </c>
      <c r="J92" s="106">
        <v>47</v>
      </c>
      <c r="K92" s="106">
        <v>66777.599999999991</v>
      </c>
      <c r="L92" s="106">
        <v>36.709150326797385</v>
      </c>
      <c r="M92" s="106">
        <v>52156.360784313722</v>
      </c>
      <c r="N92" s="106">
        <v>33.311302048909454</v>
      </c>
      <c r="O92" s="106">
        <v>47328.697951090551</v>
      </c>
      <c r="P92" s="106">
        <v>38</v>
      </c>
      <c r="Q92" s="106">
        <v>53990.400000000001</v>
      </c>
      <c r="R92" s="106">
        <v>40.729047072330658</v>
      </c>
      <c r="S92" s="106">
        <v>57867.830080367399</v>
      </c>
      <c r="T92" s="106">
        <v>30.987514188422246</v>
      </c>
      <c r="U92" s="106">
        <v>44027.060158910324</v>
      </c>
      <c r="V92" s="106">
        <v>24.944320712694875</v>
      </c>
      <c r="W92" s="106">
        <v>35440.890868596878</v>
      </c>
      <c r="X92" s="106">
        <v>19.879847078099399</v>
      </c>
      <c r="Y92" s="106">
        <v>28245.286728563624</v>
      </c>
      <c r="Z92" s="106">
        <v>35.382513661202189</v>
      </c>
      <c r="AA92" s="106">
        <v>50271.475409836072</v>
      </c>
      <c r="AB92" s="106">
        <v>26.89265536723164</v>
      </c>
      <c r="AC92" s="106">
        <v>38209.08474576271</v>
      </c>
      <c r="AD92" s="106">
        <v>38.809034907597535</v>
      </c>
      <c r="AE92" s="106">
        <v>55139.876796714576</v>
      </c>
      <c r="AF92" s="106">
        <v>33.192834562697577</v>
      </c>
      <c r="AG92" s="106">
        <v>47160.379346680718</v>
      </c>
      <c r="AH92" s="106">
        <v>32</v>
      </c>
      <c r="AI92" s="106">
        <v>45465.599999999999</v>
      </c>
      <c r="AJ92" s="106">
        <v>55.018404907975466</v>
      </c>
      <c r="AK92" s="106">
        <v>78170.149693251544</v>
      </c>
      <c r="AL92" s="106">
        <v>42.260757867694281</v>
      </c>
      <c r="AM92" s="106">
        <v>60044.08477842003</v>
      </c>
      <c r="AN92" s="106">
        <v>31</v>
      </c>
      <c r="AO92" s="106">
        <v>44044.799999999996</v>
      </c>
      <c r="AP92" s="106">
        <v>50</v>
      </c>
      <c r="AQ92" s="106">
        <v>71040</v>
      </c>
      <c r="AR92" s="106">
        <v>43</v>
      </c>
      <c r="AS92" s="106">
        <v>61094.400000000001</v>
      </c>
      <c r="AT92" s="106">
        <v>44</v>
      </c>
      <c r="AU92" s="106">
        <v>62515.199999999997</v>
      </c>
      <c r="AV92" s="106">
        <v>35</v>
      </c>
      <c r="AW92" s="106">
        <v>49728</v>
      </c>
      <c r="AX92" s="106">
        <v>38.226394849785407</v>
      </c>
      <c r="AY92" s="106">
        <v>54312.061802575103</v>
      </c>
      <c r="AZ92" s="106">
        <v>40.483701366982125</v>
      </c>
      <c r="BA92" s="106">
        <v>57519.2429022082</v>
      </c>
      <c r="BB92" s="106">
        <v>30</v>
      </c>
      <c r="BC92" s="106">
        <v>42624</v>
      </c>
      <c r="BD92" s="106">
        <v>39.723945409429277</v>
      </c>
      <c r="BE92" s="106">
        <v>56439.781637717111</v>
      </c>
      <c r="BF92" s="106">
        <v>37.554585152838428</v>
      </c>
      <c r="BG92" s="106">
        <v>53357.554585152837</v>
      </c>
      <c r="BH92" s="106">
        <v>45.701849836779111</v>
      </c>
      <c r="BI92" s="106">
        <v>64933.188248095757</v>
      </c>
      <c r="BJ92" s="106">
        <v>31.452455590386627</v>
      </c>
      <c r="BK92" s="106">
        <v>44687.648902821318</v>
      </c>
      <c r="BL92" s="106">
        <v>31.666666666666664</v>
      </c>
      <c r="BM92" s="106">
        <v>44991.999999999993</v>
      </c>
      <c r="BN92" s="106">
        <v>22.04081632653061</v>
      </c>
      <c r="BO92" s="106">
        <v>31315.591836734689</v>
      </c>
      <c r="BP92" s="106">
        <v>39.08431044109436</v>
      </c>
      <c r="BQ92" s="106">
        <v>55530.988274706862</v>
      </c>
      <c r="BR92" s="106">
        <v>40.186915887850468</v>
      </c>
      <c r="BS92" s="106">
        <v>57097.570093457944</v>
      </c>
      <c r="BT92" s="106">
        <v>29.772502472799211</v>
      </c>
      <c r="BU92" s="106">
        <v>42300.771513353116</v>
      </c>
      <c r="BV92" s="106">
        <v>29.801018047200373</v>
      </c>
      <c r="BW92" s="106">
        <v>42341.286441462289</v>
      </c>
      <c r="BX92" s="106">
        <v>22</v>
      </c>
      <c r="BY92" s="106">
        <v>31257.599999999999</v>
      </c>
      <c r="BZ92" s="106">
        <v>40.797029702970292</v>
      </c>
      <c r="CA92" s="106">
        <v>57964.419801980192</v>
      </c>
      <c r="CB92" s="106">
        <v>25</v>
      </c>
      <c r="CC92" s="106">
        <v>35520</v>
      </c>
      <c r="CD92" s="106">
        <v>36</v>
      </c>
      <c r="CE92" s="106">
        <v>51148.799999999996</v>
      </c>
      <c r="CF92" s="106">
        <v>24</v>
      </c>
      <c r="CG92" s="106">
        <v>34099.199999999997</v>
      </c>
      <c r="CH92" s="106">
        <v>27</v>
      </c>
      <c r="CI92" s="106">
        <v>38361.599999999999</v>
      </c>
      <c r="CJ92" s="106">
        <v>26</v>
      </c>
      <c r="CK92" s="106">
        <v>36940.799999999996</v>
      </c>
      <c r="CL92" s="106">
        <v>40</v>
      </c>
      <c r="CM92" s="106">
        <v>56832</v>
      </c>
      <c r="CN92" s="106">
        <v>42</v>
      </c>
      <c r="CO92" s="106">
        <v>59673.599999999999</v>
      </c>
      <c r="CP92" s="106">
        <v>61</v>
      </c>
      <c r="CQ92" s="106">
        <v>86668.800000000003</v>
      </c>
      <c r="CR92" s="106">
        <v>52</v>
      </c>
      <c r="CS92" s="106">
        <v>73881.599999999991</v>
      </c>
      <c r="CT92" s="106">
        <v>33.966617574864998</v>
      </c>
      <c r="CU92" s="106">
        <v>48259.770250368187</v>
      </c>
    </row>
    <row r="93" spans="2:99" x14ac:dyDescent="0.2">
      <c r="C93" s="105" t="s">
        <v>258</v>
      </c>
      <c r="D93" s="106">
        <v>29</v>
      </c>
      <c r="E93" s="106">
        <v>51399.6</v>
      </c>
      <c r="F93" s="106">
        <v>32</v>
      </c>
      <c r="G93" s="106">
        <v>56716.799999999996</v>
      </c>
      <c r="H93" s="106">
        <v>24</v>
      </c>
      <c r="I93" s="106">
        <v>42537.599999999999</v>
      </c>
      <c r="J93" s="106">
        <v>42</v>
      </c>
      <c r="K93" s="106">
        <v>74440.799999999988</v>
      </c>
      <c r="L93" s="106">
        <v>34.366013071895424</v>
      </c>
      <c r="M93" s="106">
        <v>60910.321568627442</v>
      </c>
      <c r="N93" s="106">
        <v>29.610046265697289</v>
      </c>
      <c r="O93" s="106">
        <v>52480.846001321872</v>
      </c>
      <c r="P93" s="106">
        <v>32</v>
      </c>
      <c r="Q93" s="106">
        <v>56716.799999999996</v>
      </c>
      <c r="R93" s="106">
        <v>38.285304247990815</v>
      </c>
      <c r="S93" s="106">
        <v>67856.873249138909</v>
      </c>
      <c r="T93" s="106">
        <v>27.014755959137343</v>
      </c>
      <c r="U93" s="106">
        <v>47880.953461975027</v>
      </c>
      <c r="V93" s="106">
        <v>24.16481069042316</v>
      </c>
      <c r="W93" s="106">
        <v>42829.710467706005</v>
      </c>
      <c r="X93" s="106">
        <v>21.409066084107046</v>
      </c>
      <c r="Y93" s="106">
        <v>37945.428727471328</v>
      </c>
      <c r="Z93" s="106">
        <v>37.295081967213115</v>
      </c>
      <c r="AA93" s="106">
        <v>66101.803278688516</v>
      </c>
      <c r="AB93" s="106">
        <v>26.101694915254239</v>
      </c>
      <c r="AC93" s="106">
        <v>46262.644067796609</v>
      </c>
      <c r="AD93" s="106">
        <v>32.340862422997944</v>
      </c>
      <c r="AE93" s="106">
        <v>57320.944558521551</v>
      </c>
      <c r="AF93" s="106">
        <v>27.291886195995787</v>
      </c>
      <c r="AG93" s="106">
        <v>48372.139093782927</v>
      </c>
      <c r="AH93" s="106">
        <v>30</v>
      </c>
      <c r="AI93" s="106">
        <v>53171.999999999993</v>
      </c>
      <c r="AJ93" s="106">
        <v>47.296523517382418</v>
      </c>
      <c r="AK93" s="106">
        <v>83828.358282208588</v>
      </c>
      <c r="AL93" s="106">
        <v>41.361592806679511</v>
      </c>
      <c r="AM93" s="106">
        <v>73309.287090558762</v>
      </c>
      <c r="AN93" s="106">
        <v>29</v>
      </c>
      <c r="AO93" s="106">
        <v>51399.6</v>
      </c>
      <c r="AP93" s="106">
        <v>46</v>
      </c>
      <c r="AQ93" s="106">
        <v>81530.399999999994</v>
      </c>
      <c r="AR93" s="106">
        <v>40</v>
      </c>
      <c r="AS93" s="106">
        <v>70896</v>
      </c>
      <c r="AT93" s="106">
        <v>41</v>
      </c>
      <c r="AU93" s="106">
        <v>72668.399999999994</v>
      </c>
      <c r="AV93" s="106">
        <v>36</v>
      </c>
      <c r="AW93" s="106">
        <v>63806.399999999994</v>
      </c>
      <c r="AX93" s="106">
        <v>37.39538626609442</v>
      </c>
      <c r="AY93" s="106">
        <v>66279.582618025743</v>
      </c>
      <c r="AZ93" s="106">
        <v>37.539432176656149</v>
      </c>
      <c r="BA93" s="106">
        <v>66534.88958990536</v>
      </c>
      <c r="BB93" s="106">
        <v>27</v>
      </c>
      <c r="BC93" s="106">
        <v>47854.799999999996</v>
      </c>
      <c r="BD93" s="106">
        <v>34.427419354838712</v>
      </c>
      <c r="BE93" s="106">
        <v>61019.15806451613</v>
      </c>
      <c r="BF93" s="106">
        <v>35.807860262008731</v>
      </c>
      <c r="BG93" s="106">
        <v>63465.851528384272</v>
      </c>
      <c r="BH93" s="106">
        <v>44.940152339499456</v>
      </c>
      <c r="BI93" s="106">
        <v>79651.926006528825</v>
      </c>
      <c r="BJ93" s="106">
        <v>28.526645768025077</v>
      </c>
      <c r="BK93" s="106">
        <v>50560.626959247646</v>
      </c>
      <c r="BL93" s="106">
        <v>32.5</v>
      </c>
      <c r="BM93" s="106">
        <v>57602.999999999993</v>
      </c>
      <c r="BN93" s="106">
        <v>22.04081632653061</v>
      </c>
      <c r="BO93" s="106">
        <v>39065.142857142848</v>
      </c>
      <c r="BP93" s="106">
        <v>39.865996649916248</v>
      </c>
      <c r="BQ93" s="106">
        <v>70658.492462311551</v>
      </c>
      <c r="BR93" s="106">
        <v>39.252336448598129</v>
      </c>
      <c r="BS93" s="106">
        <v>69570.841121495323</v>
      </c>
      <c r="BT93" s="106">
        <v>24.233432245301678</v>
      </c>
      <c r="BU93" s="106">
        <v>42951.335311572693</v>
      </c>
      <c r="BV93" s="106">
        <v>26.56177695511337</v>
      </c>
      <c r="BW93" s="106">
        <v>47078.093475242931</v>
      </c>
      <c r="BX93" s="106">
        <v>20</v>
      </c>
      <c r="BY93" s="106">
        <v>35448</v>
      </c>
      <c r="BZ93" s="106">
        <v>35.821782178217823</v>
      </c>
      <c r="CA93" s="106">
        <v>63490.526732673265</v>
      </c>
      <c r="CB93" s="106">
        <v>25</v>
      </c>
      <c r="CC93" s="106">
        <v>44310</v>
      </c>
      <c r="CD93" s="106">
        <v>32</v>
      </c>
      <c r="CE93" s="106">
        <v>56716.799999999996</v>
      </c>
      <c r="CF93" s="106">
        <v>23</v>
      </c>
      <c r="CG93" s="106">
        <v>40765.199999999997</v>
      </c>
      <c r="CH93" s="106">
        <v>29</v>
      </c>
      <c r="CI93" s="106">
        <v>51399.6</v>
      </c>
      <c r="CJ93" s="106">
        <v>27</v>
      </c>
      <c r="CK93" s="106">
        <v>47854.799999999996</v>
      </c>
      <c r="CL93" s="106">
        <v>33</v>
      </c>
      <c r="CM93" s="106">
        <v>58489.2</v>
      </c>
      <c r="CN93" s="106">
        <v>36</v>
      </c>
      <c r="CO93" s="106">
        <v>63806.399999999994</v>
      </c>
      <c r="CP93" s="106">
        <v>55</v>
      </c>
      <c r="CQ93" s="106">
        <v>97481.999999999985</v>
      </c>
      <c r="CR93" s="106">
        <v>42</v>
      </c>
      <c r="CS93" s="106">
        <v>74440.799999999988</v>
      </c>
      <c r="CT93" s="106">
        <v>33.966617574864998</v>
      </c>
      <c r="CU93" s="106">
        <v>60202.432989690715</v>
      </c>
    </row>
    <row r="94" spans="2:99" x14ac:dyDescent="0.2">
      <c r="C94" s="105" t="s">
        <v>259</v>
      </c>
      <c r="D94" s="106">
        <v>28</v>
      </c>
      <c r="E94" s="106">
        <v>67065.599999999991</v>
      </c>
      <c r="F94" s="106">
        <v>27</v>
      </c>
      <c r="G94" s="106">
        <v>64670.399999999994</v>
      </c>
      <c r="H94" s="106">
        <v>22</v>
      </c>
      <c r="I94" s="106">
        <v>52694.399999999994</v>
      </c>
      <c r="J94" s="106">
        <v>33</v>
      </c>
      <c r="K94" s="106">
        <v>79041.599999999991</v>
      </c>
      <c r="L94" s="106">
        <v>28.117647058823529</v>
      </c>
      <c r="M94" s="106">
        <v>67347.388235294115</v>
      </c>
      <c r="N94" s="106">
        <v>30.535360211500329</v>
      </c>
      <c r="O94" s="106">
        <v>73138.294778585579</v>
      </c>
      <c r="P94" s="106">
        <v>28</v>
      </c>
      <c r="Q94" s="106">
        <v>67065.599999999991</v>
      </c>
      <c r="R94" s="106">
        <v>35.841561423650973</v>
      </c>
      <c r="S94" s="106">
        <v>85847.707921928799</v>
      </c>
      <c r="T94" s="106">
        <v>23.836549375709421</v>
      </c>
      <c r="U94" s="106">
        <v>57093.303064699197</v>
      </c>
      <c r="V94" s="106">
        <v>21.046770601336302</v>
      </c>
      <c r="W94" s="106">
        <v>50411.224944320704</v>
      </c>
      <c r="X94" s="106">
        <v>20.644456581103224</v>
      </c>
      <c r="Y94" s="106">
        <v>49447.602403058438</v>
      </c>
      <c r="Z94" s="106">
        <v>31.557377049180328</v>
      </c>
      <c r="AA94" s="106">
        <v>75586.229508196717</v>
      </c>
      <c r="AB94" s="106">
        <v>23.728813559322035</v>
      </c>
      <c r="AC94" s="106">
        <v>56835.254237288136</v>
      </c>
      <c r="AD94" s="106">
        <v>29.466119096509239</v>
      </c>
      <c r="AE94" s="106">
        <v>70577.248459958922</v>
      </c>
      <c r="AF94" s="106">
        <v>24.341412012644888</v>
      </c>
      <c r="AG94" s="106">
        <v>58302.550052687031</v>
      </c>
      <c r="AH94" s="106">
        <v>26</v>
      </c>
      <c r="AI94" s="106">
        <v>62275.199999999997</v>
      </c>
      <c r="AJ94" s="106">
        <v>46.331288343558285</v>
      </c>
      <c r="AK94" s="106">
        <v>110972.7018404908</v>
      </c>
      <c r="AL94" s="106">
        <v>41.361592806679511</v>
      </c>
      <c r="AM94" s="106">
        <v>99069.287090558762</v>
      </c>
      <c r="AN94" s="106">
        <v>26</v>
      </c>
      <c r="AO94" s="106">
        <v>62275.199999999997</v>
      </c>
      <c r="AP94" s="106">
        <v>39</v>
      </c>
      <c r="AQ94" s="106">
        <v>93412.799999999988</v>
      </c>
      <c r="AR94" s="106">
        <v>32</v>
      </c>
      <c r="AS94" s="106">
        <v>76646.399999999994</v>
      </c>
      <c r="AT94" s="106">
        <v>34</v>
      </c>
      <c r="AU94" s="106">
        <v>81436.799999999988</v>
      </c>
      <c r="AV94" s="106">
        <v>32</v>
      </c>
      <c r="AW94" s="106">
        <v>76646.399999999994</v>
      </c>
      <c r="AX94" s="106">
        <v>31.578326180257509</v>
      </c>
      <c r="AY94" s="106">
        <v>75636.406866952777</v>
      </c>
      <c r="AZ94" s="106">
        <v>32.386961093585697</v>
      </c>
      <c r="BA94" s="106">
        <v>77573.249211356451</v>
      </c>
      <c r="BB94" s="106">
        <v>25</v>
      </c>
      <c r="BC94" s="106">
        <v>59879.999999999993</v>
      </c>
      <c r="BD94" s="106">
        <v>30.013647642679903</v>
      </c>
      <c r="BE94" s="106">
        <v>71888.688833746899</v>
      </c>
      <c r="BF94" s="106">
        <v>27.94759825327511</v>
      </c>
      <c r="BG94" s="106">
        <v>66940.087336244542</v>
      </c>
      <c r="BH94" s="106">
        <v>35.799782372143632</v>
      </c>
      <c r="BI94" s="106">
        <v>85747.638737758418</v>
      </c>
      <c r="BJ94" s="106">
        <v>28.526645768025077</v>
      </c>
      <c r="BK94" s="106">
        <v>68327.021943573665</v>
      </c>
      <c r="BL94" s="106">
        <v>31.666666666666664</v>
      </c>
      <c r="BM94" s="106">
        <v>75847.999999999985</v>
      </c>
      <c r="BN94" s="106">
        <v>20.408163265306122</v>
      </c>
      <c r="BO94" s="106">
        <v>48881.63265306122</v>
      </c>
      <c r="BP94" s="106">
        <v>38.302624232272478</v>
      </c>
      <c r="BQ94" s="106">
        <v>91742.445561139029</v>
      </c>
      <c r="BR94" s="106">
        <v>35.514018691588781</v>
      </c>
      <c r="BS94" s="106">
        <v>85063.177570093438</v>
      </c>
      <c r="BT94" s="106">
        <v>22.156280909990109</v>
      </c>
      <c r="BU94" s="106">
        <v>53068.724035608306</v>
      </c>
      <c r="BV94" s="106">
        <v>24.618232299861177</v>
      </c>
      <c r="BW94" s="106">
        <v>58965.590004627484</v>
      </c>
      <c r="BX94" s="106">
        <v>19</v>
      </c>
      <c r="BY94" s="106">
        <v>45508.799999999996</v>
      </c>
      <c r="BZ94" s="106">
        <v>33.831683168316836</v>
      </c>
      <c r="CA94" s="106">
        <v>81033.64752475248</v>
      </c>
      <c r="CB94" s="106">
        <v>24</v>
      </c>
      <c r="CC94" s="106">
        <v>57484.799999999996</v>
      </c>
      <c r="CD94" s="106">
        <v>30</v>
      </c>
      <c r="CE94" s="106">
        <v>71856</v>
      </c>
      <c r="CF94" s="106">
        <v>20</v>
      </c>
      <c r="CG94" s="106">
        <v>47904</v>
      </c>
      <c r="CH94" s="106">
        <v>28</v>
      </c>
      <c r="CI94" s="106">
        <v>67065.599999999991</v>
      </c>
      <c r="CJ94" s="106">
        <v>28</v>
      </c>
      <c r="CK94" s="106">
        <v>67065.599999999991</v>
      </c>
      <c r="CL94" s="106">
        <v>35</v>
      </c>
      <c r="CM94" s="106">
        <v>83832</v>
      </c>
      <c r="CN94" s="106">
        <v>37</v>
      </c>
      <c r="CO94" s="106">
        <v>88622.399999999994</v>
      </c>
      <c r="CP94" s="106">
        <v>44</v>
      </c>
      <c r="CQ94" s="106">
        <v>105388.79999999999</v>
      </c>
      <c r="CR94" s="106">
        <v>41</v>
      </c>
      <c r="CS94" s="106">
        <v>98203.199999999997</v>
      </c>
      <c r="CT94" s="106">
        <v>33.966617574864998</v>
      </c>
      <c r="CU94" s="106">
        <v>81356.842415316642</v>
      </c>
    </row>
    <row r="95" spans="2:99" x14ac:dyDescent="0.2">
      <c r="B95" s="105" t="s">
        <v>132</v>
      </c>
      <c r="C95" s="105" t="s">
        <v>260</v>
      </c>
      <c r="D95" s="106">
        <v>21</v>
      </c>
      <c r="E95" s="106">
        <v>36388.799999999996</v>
      </c>
      <c r="F95" s="106">
        <v>30</v>
      </c>
      <c r="G95" s="106">
        <v>51984</v>
      </c>
      <c r="H95" s="106">
        <v>19</v>
      </c>
      <c r="I95" s="106">
        <v>32923.199999999997</v>
      </c>
      <c r="J95" s="106">
        <v>24</v>
      </c>
      <c r="K95" s="106">
        <v>41587.199999999997</v>
      </c>
      <c r="L95" s="106">
        <v>24.212418300653596</v>
      </c>
      <c r="M95" s="106">
        <v>41955.27843137255</v>
      </c>
      <c r="N95" s="106">
        <v>15.730337078651685</v>
      </c>
      <c r="O95" s="106">
        <v>27257.528089887637</v>
      </c>
      <c r="P95" s="106">
        <v>19</v>
      </c>
      <c r="Q95" s="106">
        <v>32923.199999999997</v>
      </c>
      <c r="R95" s="106">
        <v>22.808266360505165</v>
      </c>
      <c r="S95" s="106">
        <v>39522.163949483351</v>
      </c>
      <c r="T95" s="106">
        <v>27.014755959137343</v>
      </c>
      <c r="U95" s="106">
        <v>46811.169125993183</v>
      </c>
      <c r="V95" s="106">
        <v>26.503340757238309</v>
      </c>
      <c r="W95" s="106">
        <v>45924.988864142542</v>
      </c>
      <c r="X95" s="106">
        <v>25.996723102129984</v>
      </c>
      <c r="Y95" s="106">
        <v>45047.121791370831</v>
      </c>
      <c r="Z95" s="106">
        <v>30.601092896174862</v>
      </c>
      <c r="AA95" s="106">
        <v>53025.573770491799</v>
      </c>
      <c r="AB95" s="106">
        <v>16.610169491525426</v>
      </c>
      <c r="AC95" s="106">
        <v>28782.101694915258</v>
      </c>
      <c r="AD95" s="106">
        <v>26.591375770020534</v>
      </c>
      <c r="AE95" s="106">
        <v>46077.535934291576</v>
      </c>
      <c r="AF95" s="106">
        <v>21.390937829293996</v>
      </c>
      <c r="AG95" s="106">
        <v>37066.217070600636</v>
      </c>
      <c r="AH95" s="106">
        <v>22</v>
      </c>
      <c r="AI95" s="106">
        <v>38121.599999999999</v>
      </c>
      <c r="AJ95" s="106">
        <v>25.096114519427406</v>
      </c>
      <c r="AK95" s="106">
        <v>43486.547239263811</v>
      </c>
      <c r="AL95" s="106">
        <v>19.781631342324985</v>
      </c>
      <c r="AM95" s="106">
        <v>34277.610789980732</v>
      </c>
      <c r="AN95" s="106">
        <v>23</v>
      </c>
      <c r="AO95" s="106">
        <v>39854.400000000001</v>
      </c>
      <c r="AP95" s="106">
        <v>22</v>
      </c>
      <c r="AQ95" s="106">
        <v>38121.599999999999</v>
      </c>
      <c r="AR95" s="106">
        <v>19</v>
      </c>
      <c r="AS95" s="106">
        <v>32923.199999999997</v>
      </c>
      <c r="AT95" s="106">
        <v>18</v>
      </c>
      <c r="AU95" s="106">
        <v>31190.399999999998</v>
      </c>
      <c r="AV95" s="106">
        <v>24</v>
      </c>
      <c r="AW95" s="106">
        <v>41587.199999999997</v>
      </c>
      <c r="AX95" s="106">
        <v>21.606223175965667</v>
      </c>
      <c r="AY95" s="106">
        <v>37439.26351931331</v>
      </c>
      <c r="AZ95" s="106">
        <v>15.457413249211358</v>
      </c>
      <c r="BA95" s="106">
        <v>26784.605678233442</v>
      </c>
      <c r="BB95" s="106">
        <v>36</v>
      </c>
      <c r="BC95" s="106">
        <v>62380.799999999996</v>
      </c>
      <c r="BD95" s="106">
        <v>22.068858560794045</v>
      </c>
      <c r="BE95" s="106">
        <v>38240.918114143919</v>
      </c>
      <c r="BF95" s="106">
        <v>22.707423580786024</v>
      </c>
      <c r="BG95" s="106">
        <v>39347.423580786024</v>
      </c>
      <c r="BH95" s="106">
        <v>26.659412404787815</v>
      </c>
      <c r="BI95" s="106">
        <v>46195.429815016323</v>
      </c>
      <c r="BJ95" s="106">
        <v>23.406478578892376</v>
      </c>
      <c r="BK95" s="106">
        <v>40558.746081504709</v>
      </c>
      <c r="BL95" s="106">
        <v>30</v>
      </c>
      <c r="BM95" s="106">
        <v>51984</v>
      </c>
      <c r="BN95" s="106">
        <v>29.387755102040817</v>
      </c>
      <c r="BO95" s="106">
        <v>50923.102040816324</v>
      </c>
      <c r="BP95" s="106">
        <v>23.450586264656614</v>
      </c>
      <c r="BQ95" s="106">
        <v>40635.175879396978</v>
      </c>
      <c r="BR95" s="106">
        <v>30.841121495327105</v>
      </c>
      <c r="BS95" s="106">
        <v>53441.495327102806</v>
      </c>
      <c r="BT95" s="106">
        <v>26.310583580613255</v>
      </c>
      <c r="BU95" s="106">
        <v>45590.979228486649</v>
      </c>
      <c r="BV95" s="106">
        <v>23.322535863026374</v>
      </c>
      <c r="BW95" s="106">
        <v>40413.290143452097</v>
      </c>
      <c r="BX95" s="106">
        <v>25</v>
      </c>
      <c r="BY95" s="106">
        <v>43320</v>
      </c>
      <c r="BZ95" s="106">
        <v>21.89108910891089</v>
      </c>
      <c r="CA95" s="106">
        <v>37932.879207920792</v>
      </c>
      <c r="CB95" s="106">
        <v>19</v>
      </c>
      <c r="CC95" s="106">
        <v>32923.199999999997</v>
      </c>
      <c r="CD95" s="106">
        <v>18</v>
      </c>
      <c r="CE95" s="106">
        <v>31190.399999999998</v>
      </c>
      <c r="CF95" s="106">
        <v>17</v>
      </c>
      <c r="CG95" s="106">
        <v>29457.599999999999</v>
      </c>
      <c r="CH95" s="106">
        <v>18</v>
      </c>
      <c r="CI95" s="106">
        <v>31190.399999999998</v>
      </c>
      <c r="CJ95" s="106">
        <v>19</v>
      </c>
      <c r="CK95" s="106">
        <v>32923.199999999997</v>
      </c>
      <c r="CL95" s="106">
        <v>22</v>
      </c>
      <c r="CM95" s="106">
        <v>38121.599999999999</v>
      </c>
      <c r="CN95" s="106">
        <v>29</v>
      </c>
      <c r="CO95" s="106">
        <v>50251.199999999997</v>
      </c>
      <c r="CP95" s="106">
        <v>27</v>
      </c>
      <c r="CQ95" s="106">
        <v>46785.599999999999</v>
      </c>
      <c r="CR95" s="106">
        <v>32</v>
      </c>
      <c r="CS95" s="106">
        <v>55449.599999999999</v>
      </c>
      <c r="CT95" s="106">
        <v>32.130584192439862</v>
      </c>
      <c r="CU95" s="106">
        <v>55675.876288659791</v>
      </c>
    </row>
    <row r="96" spans="2:99" x14ac:dyDescent="0.2">
      <c r="C96" s="105" t="s">
        <v>261</v>
      </c>
      <c r="D96" s="106">
        <v>23</v>
      </c>
      <c r="E96" s="106">
        <v>18933.599999999999</v>
      </c>
      <c r="F96" s="106">
        <v>36</v>
      </c>
      <c r="G96" s="106">
        <v>29635.199999999997</v>
      </c>
      <c r="H96" s="106">
        <v>25</v>
      </c>
      <c r="I96" s="106">
        <v>20580</v>
      </c>
      <c r="J96" s="106">
        <v>25</v>
      </c>
      <c r="K96" s="106">
        <v>20580</v>
      </c>
      <c r="L96" s="106">
        <v>28.117647058823529</v>
      </c>
      <c r="M96" s="106">
        <v>23146.447058823527</v>
      </c>
      <c r="N96" s="106">
        <v>20.356906807666888</v>
      </c>
      <c r="O96" s="106">
        <v>16757.80568407138</v>
      </c>
      <c r="P96" s="106">
        <v>19</v>
      </c>
      <c r="Q96" s="106">
        <v>15640.8</v>
      </c>
      <c r="R96" s="106">
        <v>30.139494833524683</v>
      </c>
      <c r="S96" s="106">
        <v>24810.832146957517</v>
      </c>
      <c r="T96" s="106">
        <v>30.987514188422246</v>
      </c>
      <c r="U96" s="106">
        <v>25508.921679909192</v>
      </c>
      <c r="V96" s="106">
        <v>28.841870824053451</v>
      </c>
      <c r="W96" s="106">
        <v>23742.6280623608</v>
      </c>
      <c r="X96" s="106">
        <v>30.584380120152922</v>
      </c>
      <c r="Y96" s="106">
        <v>25177.061714909883</v>
      </c>
      <c r="Z96" s="106">
        <v>34.42622950819672</v>
      </c>
      <c r="AA96" s="106">
        <v>28339.672131147538</v>
      </c>
      <c r="AB96" s="106">
        <v>18.983050847457626</v>
      </c>
      <c r="AC96" s="106">
        <v>15626.847457627116</v>
      </c>
      <c r="AD96" s="106">
        <v>25.154004106776181</v>
      </c>
      <c r="AE96" s="106">
        <v>20706.776180698151</v>
      </c>
      <c r="AF96" s="106">
        <v>25.079030558482614</v>
      </c>
      <c r="AG96" s="106">
        <v>20645.057955742886</v>
      </c>
      <c r="AH96" s="106">
        <v>23</v>
      </c>
      <c r="AI96" s="106">
        <v>18933.599999999999</v>
      </c>
      <c r="AJ96" s="106">
        <v>26.061349693251536</v>
      </c>
      <c r="AK96" s="106">
        <v>21453.703067484661</v>
      </c>
      <c r="AL96" s="106">
        <v>20.680796403339755</v>
      </c>
      <c r="AM96" s="106">
        <v>17024.431599229287</v>
      </c>
      <c r="AN96" s="106">
        <v>23</v>
      </c>
      <c r="AO96" s="106">
        <v>18933.599999999999</v>
      </c>
      <c r="AP96" s="106">
        <v>26</v>
      </c>
      <c r="AQ96" s="106">
        <v>21403.199999999997</v>
      </c>
      <c r="AR96" s="106">
        <v>25</v>
      </c>
      <c r="AS96" s="106">
        <v>20580</v>
      </c>
      <c r="AT96" s="106">
        <v>23</v>
      </c>
      <c r="AU96" s="106">
        <v>18933.599999999999</v>
      </c>
      <c r="AV96" s="106">
        <v>26</v>
      </c>
      <c r="AW96" s="106">
        <v>21403.199999999997</v>
      </c>
      <c r="AX96" s="106">
        <v>25.761266094420598</v>
      </c>
      <c r="AY96" s="106">
        <v>21206.674248927036</v>
      </c>
      <c r="AZ96" s="106">
        <v>16.193480546792848</v>
      </c>
      <c r="BA96" s="106">
        <v>13330.473186119872</v>
      </c>
      <c r="BB96" s="106">
        <v>39</v>
      </c>
      <c r="BC96" s="106">
        <v>32104.799999999996</v>
      </c>
      <c r="BD96" s="106">
        <v>22.951612903225804</v>
      </c>
      <c r="BE96" s="106">
        <v>18893.76774193548</v>
      </c>
      <c r="BF96" s="106">
        <v>26.200873362445414</v>
      </c>
      <c r="BG96" s="106">
        <v>21568.558951965064</v>
      </c>
      <c r="BH96" s="106">
        <v>29.70620239390642</v>
      </c>
      <c r="BI96" s="106">
        <v>24454.145810663762</v>
      </c>
      <c r="BJ96" s="106">
        <v>25.60083594566353</v>
      </c>
      <c r="BK96" s="106">
        <v>21074.608150470216</v>
      </c>
      <c r="BL96" s="106">
        <v>33.333333333333329</v>
      </c>
      <c r="BM96" s="106">
        <v>27439.999999999993</v>
      </c>
      <c r="BN96" s="106">
        <v>35.102040816326529</v>
      </c>
      <c r="BO96" s="106">
        <v>28895.999999999996</v>
      </c>
      <c r="BP96" s="106">
        <v>25.013958682300391</v>
      </c>
      <c r="BQ96" s="106">
        <v>20591.490787269679</v>
      </c>
      <c r="BR96" s="106">
        <v>31.77570093457944</v>
      </c>
      <c r="BS96" s="106">
        <v>26157.757009345794</v>
      </c>
      <c r="BT96" s="106">
        <v>28.387734915924828</v>
      </c>
      <c r="BU96" s="106">
        <v>23368.783382789316</v>
      </c>
      <c r="BV96" s="106">
        <v>28.50532161036557</v>
      </c>
      <c r="BW96" s="106">
        <v>23465.580749652934</v>
      </c>
      <c r="BX96" s="106">
        <v>31</v>
      </c>
      <c r="BY96" s="106">
        <v>25519.199999999997</v>
      </c>
      <c r="BZ96" s="106">
        <v>22.886138613861384</v>
      </c>
      <c r="CA96" s="106">
        <v>18839.86930693069</v>
      </c>
      <c r="CB96" s="106">
        <v>21</v>
      </c>
      <c r="CC96" s="106">
        <v>17287.199999999997</v>
      </c>
      <c r="CD96" s="106">
        <v>19</v>
      </c>
      <c r="CE96" s="106">
        <v>15640.8</v>
      </c>
      <c r="CF96" s="106">
        <v>18</v>
      </c>
      <c r="CG96" s="106">
        <v>14817.599999999999</v>
      </c>
      <c r="CH96" s="106">
        <v>21</v>
      </c>
      <c r="CI96" s="106">
        <v>17287.199999999997</v>
      </c>
      <c r="CJ96" s="106">
        <v>22</v>
      </c>
      <c r="CK96" s="106">
        <v>18110.399999999998</v>
      </c>
      <c r="CL96" s="106">
        <v>26</v>
      </c>
      <c r="CM96" s="106">
        <v>21403.199999999997</v>
      </c>
      <c r="CN96" s="106">
        <v>33</v>
      </c>
      <c r="CO96" s="106">
        <v>27165.599999999999</v>
      </c>
      <c r="CP96" s="106">
        <v>27</v>
      </c>
      <c r="CQ96" s="106">
        <v>22226.399999999998</v>
      </c>
      <c r="CR96" s="106">
        <v>37</v>
      </c>
      <c r="CS96" s="106">
        <v>30458.399999999998</v>
      </c>
      <c r="CT96" s="106">
        <v>38.556701030927833</v>
      </c>
      <c r="CU96" s="106">
        <v>31739.876288659791</v>
      </c>
    </row>
    <row r="97" spans="2:99" x14ac:dyDescent="0.2">
      <c r="C97" s="105" t="s">
        <v>262</v>
      </c>
      <c r="D97" s="106">
        <v>19</v>
      </c>
      <c r="E97" s="106">
        <v>34747.199999999997</v>
      </c>
      <c r="F97" s="106">
        <v>26</v>
      </c>
      <c r="G97" s="106">
        <v>47548.799999999996</v>
      </c>
      <c r="H97" s="106">
        <v>19</v>
      </c>
      <c r="I97" s="106">
        <v>34747.199999999997</v>
      </c>
      <c r="J97" s="106">
        <v>25</v>
      </c>
      <c r="K97" s="106">
        <v>45720</v>
      </c>
      <c r="L97" s="106">
        <v>25.774509803921568</v>
      </c>
      <c r="M97" s="106">
        <v>47136.423529411761</v>
      </c>
      <c r="N97" s="106">
        <v>15.730337078651685</v>
      </c>
      <c r="O97" s="106">
        <v>28767.6404494382</v>
      </c>
      <c r="P97" s="106">
        <v>17</v>
      </c>
      <c r="Q97" s="106">
        <v>31089.599999999999</v>
      </c>
      <c r="R97" s="106">
        <v>25.252009184845008</v>
      </c>
      <c r="S97" s="106">
        <v>46180.874397244552</v>
      </c>
      <c r="T97" s="106">
        <v>24.631101021566401</v>
      </c>
      <c r="U97" s="106">
        <v>45045.35754824063</v>
      </c>
      <c r="V97" s="106">
        <v>24.16481069042316</v>
      </c>
      <c r="W97" s="106">
        <v>44192.605790645874</v>
      </c>
      <c r="X97" s="106">
        <v>25.232113599126158</v>
      </c>
      <c r="Y97" s="106">
        <v>46144.489350081916</v>
      </c>
      <c r="Z97" s="106">
        <v>28.688524590163933</v>
      </c>
      <c r="AA97" s="106">
        <v>52465.573770491799</v>
      </c>
      <c r="AB97" s="106">
        <v>15.819209039548022</v>
      </c>
      <c r="AC97" s="106">
        <v>28930.169491525423</v>
      </c>
      <c r="AD97" s="106">
        <v>25.872689938398356</v>
      </c>
      <c r="AE97" s="106">
        <v>47315.975359342912</v>
      </c>
      <c r="AF97" s="106">
        <v>22.866174920969438</v>
      </c>
      <c r="AG97" s="106">
        <v>41817.660695468905</v>
      </c>
      <c r="AH97" s="106">
        <v>20</v>
      </c>
      <c r="AI97" s="106">
        <v>36576</v>
      </c>
      <c r="AJ97" s="106">
        <v>23.165644171779142</v>
      </c>
      <c r="AK97" s="106">
        <v>42365.330061349698</v>
      </c>
      <c r="AL97" s="106">
        <v>18.882466281310212</v>
      </c>
      <c r="AM97" s="106">
        <v>34532.254335260113</v>
      </c>
      <c r="AN97" s="106">
        <v>23</v>
      </c>
      <c r="AO97" s="106">
        <v>42062.400000000001</v>
      </c>
      <c r="AP97" s="106">
        <v>22</v>
      </c>
      <c r="AQ97" s="106">
        <v>40233.599999999999</v>
      </c>
      <c r="AR97" s="106">
        <v>22</v>
      </c>
      <c r="AS97" s="106">
        <v>40233.599999999999</v>
      </c>
      <c r="AT97" s="106">
        <v>19</v>
      </c>
      <c r="AU97" s="106">
        <v>34747.199999999997</v>
      </c>
      <c r="AV97" s="106">
        <v>26</v>
      </c>
      <c r="AW97" s="106">
        <v>47548.799999999996</v>
      </c>
      <c r="AX97" s="106">
        <v>20.775214592274679</v>
      </c>
      <c r="AY97" s="106">
        <v>37993.712446351936</v>
      </c>
      <c r="AZ97" s="106">
        <v>16.193480546792848</v>
      </c>
      <c r="BA97" s="106">
        <v>29614.637223974762</v>
      </c>
      <c r="BB97" s="106">
        <v>35</v>
      </c>
      <c r="BC97" s="106">
        <v>64008</v>
      </c>
      <c r="BD97" s="106">
        <v>18.537841191066999</v>
      </c>
      <c r="BE97" s="106">
        <v>33902.003970223326</v>
      </c>
      <c r="BF97" s="106">
        <v>24.454148471615721</v>
      </c>
      <c r="BG97" s="106">
        <v>44721.746724890829</v>
      </c>
      <c r="BH97" s="106">
        <v>22.850924918389556</v>
      </c>
      <c r="BI97" s="106">
        <v>41789.77149075082</v>
      </c>
      <c r="BJ97" s="106">
        <v>21.212121212121211</v>
      </c>
      <c r="BK97" s="106">
        <v>38792.727272727272</v>
      </c>
      <c r="BL97" s="106">
        <v>29.166666666666664</v>
      </c>
      <c r="BM97" s="106">
        <v>53339.999999999993</v>
      </c>
      <c r="BN97" s="106">
        <v>31.020408163265309</v>
      </c>
      <c r="BO97" s="106">
        <v>56730.122448979593</v>
      </c>
      <c r="BP97" s="106">
        <v>20.323841429369068</v>
      </c>
      <c r="BQ97" s="106">
        <v>37168.24120603015</v>
      </c>
      <c r="BR97" s="106">
        <v>28.971962616822427</v>
      </c>
      <c r="BS97" s="106">
        <v>52983.925233644855</v>
      </c>
      <c r="BT97" s="106">
        <v>24.925816023738875</v>
      </c>
      <c r="BU97" s="106">
        <v>45584.332344213653</v>
      </c>
      <c r="BV97" s="106">
        <v>21.378991207774177</v>
      </c>
      <c r="BW97" s="106">
        <v>39097.899120777416</v>
      </c>
      <c r="BX97" s="106">
        <v>26</v>
      </c>
      <c r="BY97" s="106">
        <v>47548.799999999996</v>
      </c>
      <c r="BZ97" s="106">
        <v>19.900990099009899</v>
      </c>
      <c r="CA97" s="106">
        <v>36394.930693069306</v>
      </c>
      <c r="CB97" s="106">
        <v>19</v>
      </c>
      <c r="CC97" s="106">
        <v>34747.199999999997</v>
      </c>
      <c r="CD97" s="106">
        <v>17</v>
      </c>
      <c r="CE97" s="106">
        <v>31089.599999999999</v>
      </c>
      <c r="CF97" s="106">
        <v>18</v>
      </c>
      <c r="CG97" s="106">
        <v>32918.400000000001</v>
      </c>
      <c r="CH97" s="106">
        <v>19</v>
      </c>
      <c r="CI97" s="106">
        <v>34747.199999999997</v>
      </c>
      <c r="CJ97" s="106">
        <v>18</v>
      </c>
      <c r="CK97" s="106">
        <v>32918.400000000001</v>
      </c>
      <c r="CL97" s="106">
        <v>23</v>
      </c>
      <c r="CM97" s="106">
        <v>42062.400000000001</v>
      </c>
      <c r="CN97" s="106">
        <v>31</v>
      </c>
      <c r="CO97" s="106">
        <v>56692.799999999996</v>
      </c>
      <c r="CP97" s="106">
        <v>26</v>
      </c>
      <c r="CQ97" s="106">
        <v>47548.799999999996</v>
      </c>
      <c r="CR97" s="106">
        <v>35</v>
      </c>
      <c r="CS97" s="106">
        <v>64008</v>
      </c>
      <c r="CT97" s="106">
        <v>27.540500736377023</v>
      </c>
      <c r="CU97" s="106">
        <v>50366.067746686298</v>
      </c>
    </row>
    <row r="98" spans="2:99" x14ac:dyDescent="0.2">
      <c r="C98" s="105" t="s">
        <v>263</v>
      </c>
      <c r="D98" s="106">
        <v>20</v>
      </c>
      <c r="E98" s="106">
        <v>25272</v>
      </c>
      <c r="F98" s="106">
        <v>33</v>
      </c>
      <c r="G98" s="106">
        <v>41698.799999999996</v>
      </c>
      <c r="H98" s="106">
        <v>22</v>
      </c>
      <c r="I98" s="106">
        <v>27799.199999999997</v>
      </c>
      <c r="J98" s="106">
        <v>28</v>
      </c>
      <c r="K98" s="106">
        <v>35380.799999999996</v>
      </c>
      <c r="L98" s="106">
        <v>24.212418300653596</v>
      </c>
      <c r="M98" s="106">
        <v>30594.811764705883</v>
      </c>
      <c r="N98" s="106">
        <v>20.356906807666888</v>
      </c>
      <c r="O98" s="106">
        <v>25722.98744216788</v>
      </c>
      <c r="P98" s="106">
        <v>19</v>
      </c>
      <c r="Q98" s="106">
        <v>24008.399999999998</v>
      </c>
      <c r="R98" s="106">
        <v>25.252009184845008</v>
      </c>
      <c r="S98" s="106">
        <v>31908.438805970149</v>
      </c>
      <c r="T98" s="106">
        <v>26.220204313280362</v>
      </c>
      <c r="U98" s="106">
        <v>33131.850170261067</v>
      </c>
      <c r="V98" s="106">
        <v>30.400890868596882</v>
      </c>
      <c r="W98" s="106">
        <v>38414.565701559019</v>
      </c>
      <c r="X98" s="106">
        <v>25.996723102129984</v>
      </c>
      <c r="Y98" s="106">
        <v>32849.459311851446</v>
      </c>
      <c r="Z98" s="106">
        <v>28.688524590163933</v>
      </c>
      <c r="AA98" s="106">
        <v>36250.81967213114</v>
      </c>
      <c r="AB98" s="106">
        <v>16.610169491525426</v>
      </c>
      <c r="AC98" s="106">
        <v>20988.610169491527</v>
      </c>
      <c r="AD98" s="106">
        <v>24.435318275154003</v>
      </c>
      <c r="AE98" s="106">
        <v>30876.468172484598</v>
      </c>
      <c r="AF98" s="106">
        <v>22.866174920969438</v>
      </c>
      <c r="AG98" s="106">
        <v>28893.69863013698</v>
      </c>
      <c r="AH98" s="106">
        <v>21</v>
      </c>
      <c r="AI98" s="106">
        <v>26535.599999999999</v>
      </c>
      <c r="AJ98" s="106">
        <v>27.026584867075666</v>
      </c>
      <c r="AK98" s="106">
        <v>34150.792638036808</v>
      </c>
      <c r="AL98" s="106">
        <v>19.781631342324985</v>
      </c>
      <c r="AM98" s="106">
        <v>24996.069364161849</v>
      </c>
      <c r="AN98" s="106">
        <v>23</v>
      </c>
      <c r="AO98" s="106">
        <v>29062.799999999999</v>
      </c>
      <c r="AP98" s="106">
        <v>26</v>
      </c>
      <c r="AQ98" s="106">
        <v>32853.599999999999</v>
      </c>
      <c r="AR98" s="106">
        <v>22</v>
      </c>
      <c r="AS98" s="106">
        <v>27799.199999999997</v>
      </c>
      <c r="AT98" s="106">
        <v>22</v>
      </c>
      <c r="AU98" s="106">
        <v>27799.199999999997</v>
      </c>
      <c r="AV98" s="106">
        <v>23</v>
      </c>
      <c r="AW98" s="106">
        <v>29062.799999999999</v>
      </c>
      <c r="AX98" s="106">
        <v>23.268240343347639</v>
      </c>
      <c r="AY98" s="106">
        <v>29401.748497854074</v>
      </c>
      <c r="AZ98" s="106">
        <v>15.457413249211358</v>
      </c>
      <c r="BA98" s="106">
        <v>19531.987381703471</v>
      </c>
      <c r="BB98" s="106">
        <v>32</v>
      </c>
      <c r="BC98" s="106">
        <v>40435.199999999997</v>
      </c>
      <c r="BD98" s="106">
        <v>23.834367245657567</v>
      </c>
      <c r="BE98" s="106">
        <v>30117.106451612901</v>
      </c>
      <c r="BF98" s="106">
        <v>28.820960698689955</v>
      </c>
      <c r="BG98" s="106">
        <v>36418.165938864622</v>
      </c>
      <c r="BH98" s="106">
        <v>27.421109902067464</v>
      </c>
      <c r="BI98" s="106">
        <v>34649.314472252445</v>
      </c>
      <c r="BJ98" s="106">
        <v>24.869383490073147</v>
      </c>
      <c r="BK98" s="106">
        <v>31424.952978056426</v>
      </c>
      <c r="BL98" s="106">
        <v>31.666666666666664</v>
      </c>
      <c r="BM98" s="106">
        <v>40013.999999999993</v>
      </c>
      <c r="BN98" s="106">
        <v>30.204081632653061</v>
      </c>
      <c r="BO98" s="106">
        <v>38165.877551020407</v>
      </c>
      <c r="BP98" s="106">
        <v>22.66890005583473</v>
      </c>
      <c r="BQ98" s="106">
        <v>28644.422110552761</v>
      </c>
      <c r="BR98" s="106">
        <v>32.710280373831772</v>
      </c>
      <c r="BS98" s="106">
        <v>41332.710280373823</v>
      </c>
      <c r="BT98" s="106">
        <v>27.695351137487634</v>
      </c>
      <c r="BU98" s="106">
        <v>34995.845697329372</v>
      </c>
      <c r="BV98" s="106">
        <v>25.913928736695972</v>
      </c>
      <c r="BW98" s="106">
        <v>32744.840351689028</v>
      </c>
      <c r="BX98" s="106">
        <v>28</v>
      </c>
      <c r="BY98" s="106">
        <v>35380.799999999996</v>
      </c>
      <c r="BZ98" s="106">
        <v>19.900990099009899</v>
      </c>
      <c r="CA98" s="106">
        <v>25146.891089108907</v>
      </c>
      <c r="CB98" s="106">
        <v>21</v>
      </c>
      <c r="CC98" s="106">
        <v>26535.599999999999</v>
      </c>
      <c r="CD98" s="106">
        <v>19</v>
      </c>
      <c r="CE98" s="106">
        <v>24008.399999999998</v>
      </c>
      <c r="CF98" s="106">
        <v>19</v>
      </c>
      <c r="CG98" s="106">
        <v>24008.399999999998</v>
      </c>
      <c r="CH98" s="106">
        <v>19</v>
      </c>
      <c r="CI98" s="106">
        <v>24008.399999999998</v>
      </c>
      <c r="CJ98" s="106">
        <v>20</v>
      </c>
      <c r="CK98" s="106">
        <v>25272</v>
      </c>
      <c r="CL98" s="106">
        <v>24</v>
      </c>
      <c r="CM98" s="106">
        <v>30326.399999999998</v>
      </c>
      <c r="CN98" s="106">
        <v>36</v>
      </c>
      <c r="CO98" s="106">
        <v>45489.599999999999</v>
      </c>
      <c r="CP98" s="106">
        <v>28</v>
      </c>
      <c r="CQ98" s="106">
        <v>35380.799999999996</v>
      </c>
      <c r="CR98" s="106">
        <v>38</v>
      </c>
      <c r="CS98" s="106">
        <v>48016.799999999996</v>
      </c>
      <c r="CT98" s="106">
        <v>34.884634266077562</v>
      </c>
      <c r="CU98" s="106">
        <v>44080.223858615602</v>
      </c>
    </row>
    <row r="99" spans="2:99" x14ac:dyDescent="0.2">
      <c r="C99" s="105" t="s">
        <v>264</v>
      </c>
      <c r="D99" s="106">
        <v>12</v>
      </c>
      <c r="E99" s="106">
        <v>65779.199999999997</v>
      </c>
      <c r="F99" s="106">
        <v>17</v>
      </c>
      <c r="G99" s="106">
        <v>93187.199999999997</v>
      </c>
      <c r="H99" s="106">
        <v>12</v>
      </c>
      <c r="I99" s="106">
        <v>65779.199999999997</v>
      </c>
      <c r="J99" s="106">
        <v>14</v>
      </c>
      <c r="K99" s="106">
        <v>76742.399999999994</v>
      </c>
      <c r="L99" s="106">
        <v>16.401960784313726</v>
      </c>
      <c r="M99" s="106">
        <v>89908.988235294106</v>
      </c>
      <c r="N99" s="106">
        <v>12.029081295439525</v>
      </c>
      <c r="O99" s="106">
        <v>65938.612029081298</v>
      </c>
      <c r="P99" s="106">
        <v>12</v>
      </c>
      <c r="Q99" s="106">
        <v>65779.199999999997</v>
      </c>
      <c r="R99" s="106">
        <v>15.477037887485649</v>
      </c>
      <c r="S99" s="106">
        <v>84838.930884041329</v>
      </c>
      <c r="T99" s="106">
        <v>15.891032917139613</v>
      </c>
      <c r="U99" s="106">
        <v>87108.286038592501</v>
      </c>
      <c r="V99" s="106">
        <v>17.928730512249444</v>
      </c>
      <c r="W99" s="106">
        <v>98278.129175946538</v>
      </c>
      <c r="X99" s="106">
        <v>14.527580557072637</v>
      </c>
      <c r="Y99" s="106">
        <v>79634.38558164936</v>
      </c>
      <c r="Z99" s="106">
        <v>19.125683060109289</v>
      </c>
      <c r="AA99" s="106">
        <v>104839.34426229507</v>
      </c>
      <c r="AB99" s="106">
        <v>11.073446327683616</v>
      </c>
      <c r="AC99" s="106">
        <v>60700.203389830502</v>
      </c>
      <c r="AD99" s="106">
        <v>15.092402464065708</v>
      </c>
      <c r="AE99" s="106">
        <v>82730.513347022585</v>
      </c>
      <c r="AF99" s="106">
        <v>12.539515279241307</v>
      </c>
      <c r="AG99" s="106">
        <v>68736.606954689138</v>
      </c>
      <c r="AH99" s="106">
        <v>12</v>
      </c>
      <c r="AI99" s="106">
        <v>65779.199999999997</v>
      </c>
      <c r="AJ99" s="106">
        <v>13.513292433537833</v>
      </c>
      <c r="AK99" s="106">
        <v>74074.463803680977</v>
      </c>
      <c r="AL99" s="106">
        <v>13.487475915221578</v>
      </c>
      <c r="AM99" s="106">
        <v>73932.947976878597</v>
      </c>
      <c r="AN99" s="106">
        <v>13</v>
      </c>
      <c r="AO99" s="106">
        <v>71260.799999999988</v>
      </c>
      <c r="AP99" s="106">
        <v>15</v>
      </c>
      <c r="AQ99" s="106">
        <v>82223.999999999985</v>
      </c>
      <c r="AR99" s="106">
        <v>13</v>
      </c>
      <c r="AS99" s="106">
        <v>71260.799999999988</v>
      </c>
      <c r="AT99" s="106">
        <v>12</v>
      </c>
      <c r="AU99" s="106">
        <v>65779.199999999997</v>
      </c>
      <c r="AV99" s="106">
        <v>16</v>
      </c>
      <c r="AW99" s="106">
        <v>87705.599999999991</v>
      </c>
      <c r="AX99" s="106">
        <v>15.789163090128755</v>
      </c>
      <c r="AY99" s="106">
        <v>86549.876394849765</v>
      </c>
      <c r="AZ99" s="106">
        <v>9.5688748685594103</v>
      </c>
      <c r="BA99" s="106">
        <v>52452.744479495261</v>
      </c>
      <c r="BB99" s="106">
        <v>22</v>
      </c>
      <c r="BC99" s="106">
        <v>120595.19999999998</v>
      </c>
      <c r="BD99" s="106">
        <v>13.241315136476425</v>
      </c>
      <c r="BE99" s="106">
        <v>72583.593052109165</v>
      </c>
      <c r="BF99" s="106">
        <v>15.72052401746725</v>
      </c>
      <c r="BG99" s="106">
        <v>86173.624454148463</v>
      </c>
      <c r="BH99" s="106">
        <v>15.995647442872688</v>
      </c>
      <c r="BI99" s="106">
        <v>87681.741022850911</v>
      </c>
      <c r="BJ99" s="106">
        <v>13.16614420062696</v>
      </c>
      <c r="BK99" s="106">
        <v>72171.536050156734</v>
      </c>
      <c r="BL99" s="106">
        <v>18.333333333333332</v>
      </c>
      <c r="BM99" s="106">
        <v>100495.99999999999</v>
      </c>
      <c r="BN99" s="106">
        <v>18.775510204081634</v>
      </c>
      <c r="BO99" s="106">
        <v>102919.83673469388</v>
      </c>
      <c r="BP99" s="106">
        <v>14.07035175879397</v>
      </c>
      <c r="BQ99" s="106">
        <v>77128.040201005017</v>
      </c>
      <c r="BR99" s="106">
        <v>18.691588785046729</v>
      </c>
      <c r="BS99" s="106">
        <v>102459.81308411215</v>
      </c>
      <c r="BT99" s="106">
        <v>15.92482690405539</v>
      </c>
      <c r="BU99" s="106">
        <v>87293.531157270016</v>
      </c>
      <c r="BV99" s="106">
        <v>16.196205460434985</v>
      </c>
      <c r="BW99" s="106">
        <v>88781.119851920404</v>
      </c>
      <c r="BX99" s="106">
        <v>16</v>
      </c>
      <c r="BY99" s="106">
        <v>87705.599999999991</v>
      </c>
      <c r="BZ99" s="106">
        <v>13.930693069306932</v>
      </c>
      <c r="CA99" s="106">
        <v>76362.487128712863</v>
      </c>
      <c r="CB99" s="106">
        <v>12</v>
      </c>
      <c r="CC99" s="106">
        <v>65779.199999999997</v>
      </c>
      <c r="CD99" s="106">
        <v>12</v>
      </c>
      <c r="CE99" s="106">
        <v>65779.199999999997</v>
      </c>
      <c r="CF99" s="106">
        <v>12</v>
      </c>
      <c r="CG99" s="106">
        <v>65779.199999999997</v>
      </c>
      <c r="CH99" s="106">
        <v>11</v>
      </c>
      <c r="CI99" s="106">
        <v>60297.599999999991</v>
      </c>
      <c r="CJ99" s="106">
        <v>13</v>
      </c>
      <c r="CK99" s="106">
        <v>71260.799999999988</v>
      </c>
      <c r="CL99" s="106">
        <v>14</v>
      </c>
      <c r="CM99" s="106">
        <v>76742.399999999994</v>
      </c>
      <c r="CN99" s="106">
        <v>20</v>
      </c>
      <c r="CO99" s="106">
        <v>109631.99999999999</v>
      </c>
      <c r="CP99" s="106">
        <v>16</v>
      </c>
      <c r="CQ99" s="106">
        <v>87705.599999999991</v>
      </c>
      <c r="CR99" s="106">
        <v>21</v>
      </c>
      <c r="CS99" s="106">
        <v>115113.59999999999</v>
      </c>
      <c r="CT99" s="106">
        <v>19.278350515463917</v>
      </c>
      <c r="CU99" s="106">
        <v>105676.20618556699</v>
      </c>
    </row>
    <row r="100" spans="2:99" x14ac:dyDescent="0.2">
      <c r="C100" s="105" t="s">
        <v>265</v>
      </c>
      <c r="D100" s="106">
        <v>21</v>
      </c>
      <c r="E100" s="106">
        <v>34070.399999999994</v>
      </c>
      <c r="F100" s="106">
        <v>31</v>
      </c>
      <c r="G100" s="106">
        <v>50294.399999999994</v>
      </c>
      <c r="H100" s="106">
        <v>22</v>
      </c>
      <c r="I100" s="106">
        <v>35692.799999999996</v>
      </c>
      <c r="J100" s="106">
        <v>26</v>
      </c>
      <c r="K100" s="106">
        <v>42182.399999999994</v>
      </c>
      <c r="L100" s="106">
        <v>26.555555555555554</v>
      </c>
      <c r="M100" s="106">
        <v>43083.73333333333</v>
      </c>
      <c r="N100" s="106">
        <v>17.580964970257767</v>
      </c>
      <c r="O100" s="106">
        <v>28523.357567746199</v>
      </c>
      <c r="P100" s="106">
        <v>19</v>
      </c>
      <c r="Q100" s="106">
        <v>30825.599999999999</v>
      </c>
      <c r="R100" s="106">
        <v>27.695752009184844</v>
      </c>
      <c r="S100" s="106">
        <v>44933.588059701484</v>
      </c>
      <c r="T100" s="106">
        <v>27.809307604994324</v>
      </c>
      <c r="U100" s="106">
        <v>45117.820658342789</v>
      </c>
      <c r="V100" s="106">
        <v>24.16481069042316</v>
      </c>
      <c r="W100" s="106">
        <v>39204.988864142528</v>
      </c>
      <c r="X100" s="106">
        <v>25.232113599126158</v>
      </c>
      <c r="Y100" s="106">
        <v>40936.581103222277</v>
      </c>
      <c r="Z100" s="106">
        <v>28.688524590163933</v>
      </c>
      <c r="AA100" s="106">
        <v>46544.262295081964</v>
      </c>
      <c r="AB100" s="106">
        <v>18.192090395480225</v>
      </c>
      <c r="AC100" s="106">
        <v>29514.847457627115</v>
      </c>
      <c r="AD100" s="106">
        <v>25.872689938398356</v>
      </c>
      <c r="AE100" s="106">
        <v>41975.852156057488</v>
      </c>
      <c r="AF100" s="106">
        <v>22.866174920969438</v>
      </c>
      <c r="AG100" s="106">
        <v>37098.082191780813</v>
      </c>
      <c r="AH100" s="106">
        <v>20</v>
      </c>
      <c r="AI100" s="106">
        <v>32447.999999999996</v>
      </c>
      <c r="AJ100" s="106">
        <v>24.130879345603272</v>
      </c>
      <c r="AK100" s="106">
        <v>39149.938650306744</v>
      </c>
      <c r="AL100" s="106">
        <v>21.579961464354529</v>
      </c>
      <c r="AM100" s="106">
        <v>35011.329479768785</v>
      </c>
      <c r="AN100" s="106">
        <v>22</v>
      </c>
      <c r="AO100" s="106">
        <v>35692.799999999996</v>
      </c>
      <c r="AP100" s="106">
        <v>24</v>
      </c>
      <c r="AQ100" s="106">
        <v>38937.599999999999</v>
      </c>
      <c r="AR100" s="106">
        <v>22</v>
      </c>
      <c r="AS100" s="106">
        <v>35692.799999999996</v>
      </c>
      <c r="AT100" s="106">
        <v>20</v>
      </c>
      <c r="AU100" s="106">
        <v>32447.999999999996</v>
      </c>
      <c r="AV100" s="106">
        <v>26</v>
      </c>
      <c r="AW100" s="106">
        <v>42182.399999999994</v>
      </c>
      <c r="AX100" s="106">
        <v>21.606223175965667</v>
      </c>
      <c r="AY100" s="106">
        <v>35053.936480686694</v>
      </c>
      <c r="AZ100" s="106">
        <v>16.193480546792848</v>
      </c>
      <c r="BA100" s="106">
        <v>26272.302839116714</v>
      </c>
      <c r="BB100" s="106">
        <v>32</v>
      </c>
      <c r="BC100" s="106">
        <v>51916.799999999996</v>
      </c>
      <c r="BD100" s="106">
        <v>22.951612903225804</v>
      </c>
      <c r="BE100" s="106">
        <v>37236.696774193544</v>
      </c>
      <c r="BF100" s="106">
        <v>25.327510917030569</v>
      </c>
      <c r="BG100" s="106">
        <v>41091.353711790391</v>
      </c>
      <c r="BH100" s="106">
        <v>27.421109902067464</v>
      </c>
      <c r="BI100" s="106">
        <v>44488.008705114247</v>
      </c>
      <c r="BJ100" s="106">
        <v>22.675026123301986</v>
      </c>
      <c r="BK100" s="106">
        <v>36787.962382445141</v>
      </c>
      <c r="BL100" s="106">
        <v>30</v>
      </c>
      <c r="BM100" s="106">
        <v>48671.999999999993</v>
      </c>
      <c r="BN100" s="106">
        <v>31.836734693877553</v>
      </c>
      <c r="BO100" s="106">
        <v>51651.918367346938</v>
      </c>
      <c r="BP100" s="106">
        <v>24.232272473478503</v>
      </c>
      <c r="BQ100" s="106">
        <v>39314.438860971517</v>
      </c>
      <c r="BR100" s="106">
        <v>28.037383177570096</v>
      </c>
      <c r="BS100" s="106">
        <v>45487.850467289718</v>
      </c>
      <c r="BT100" s="106">
        <v>24.233432245301678</v>
      </c>
      <c r="BU100" s="106">
        <v>39316.320474777436</v>
      </c>
      <c r="BV100" s="106">
        <v>23.970384081443779</v>
      </c>
      <c r="BW100" s="106">
        <v>38889.551133734385</v>
      </c>
      <c r="BX100" s="106">
        <v>29</v>
      </c>
      <c r="BY100" s="106">
        <v>47049.599999999999</v>
      </c>
      <c r="BZ100" s="106">
        <v>21.89108910891089</v>
      </c>
      <c r="CA100" s="106">
        <v>35516.102970297026</v>
      </c>
      <c r="CB100" s="106">
        <v>20</v>
      </c>
      <c r="CC100" s="106">
        <v>32447.999999999996</v>
      </c>
      <c r="CD100" s="106">
        <v>19</v>
      </c>
      <c r="CE100" s="106">
        <v>30825.599999999999</v>
      </c>
      <c r="CF100" s="106">
        <v>17</v>
      </c>
      <c r="CG100" s="106">
        <v>27580.799999999999</v>
      </c>
      <c r="CH100" s="106">
        <v>20</v>
      </c>
      <c r="CI100" s="106">
        <v>32447.999999999996</v>
      </c>
      <c r="CJ100" s="106">
        <v>19</v>
      </c>
      <c r="CK100" s="106">
        <v>30825.599999999999</v>
      </c>
      <c r="CL100" s="106">
        <v>23</v>
      </c>
      <c r="CM100" s="106">
        <v>37315.199999999997</v>
      </c>
      <c r="CN100" s="106">
        <v>34</v>
      </c>
      <c r="CO100" s="106">
        <v>55161.599999999999</v>
      </c>
      <c r="CP100" s="106">
        <v>23</v>
      </c>
      <c r="CQ100" s="106">
        <v>37315.199999999997</v>
      </c>
      <c r="CR100" s="106">
        <v>35</v>
      </c>
      <c r="CS100" s="106">
        <v>56783.999999999993</v>
      </c>
      <c r="CT100" s="106">
        <v>33.966617574864998</v>
      </c>
      <c r="CU100" s="106">
        <v>55107.440353460966</v>
      </c>
    </row>
    <row r="101" spans="2:99" x14ac:dyDescent="0.2">
      <c r="C101" s="105" t="s">
        <v>266</v>
      </c>
      <c r="D101" s="106">
        <v>22</v>
      </c>
      <c r="E101" s="106">
        <v>26188.799999999996</v>
      </c>
      <c r="F101" s="106">
        <v>32</v>
      </c>
      <c r="G101" s="106">
        <v>38092.799999999996</v>
      </c>
      <c r="H101" s="106">
        <v>23</v>
      </c>
      <c r="I101" s="106">
        <v>27379.199999999997</v>
      </c>
      <c r="J101" s="106">
        <v>27</v>
      </c>
      <c r="K101" s="106">
        <v>32140.799999999996</v>
      </c>
      <c r="L101" s="106">
        <v>26.555555555555554</v>
      </c>
      <c r="M101" s="106">
        <v>31611.733333333326</v>
      </c>
      <c r="N101" s="106">
        <v>21.282220753469929</v>
      </c>
      <c r="O101" s="106">
        <v>25334.355584930599</v>
      </c>
      <c r="P101" s="106">
        <v>22</v>
      </c>
      <c r="Q101" s="106">
        <v>26188.799999999996</v>
      </c>
      <c r="R101" s="106">
        <v>27.695752009184844</v>
      </c>
      <c r="S101" s="106">
        <v>32969.023191733635</v>
      </c>
      <c r="T101" s="106">
        <v>26.220204313280362</v>
      </c>
      <c r="U101" s="106">
        <v>31212.531214528939</v>
      </c>
      <c r="V101" s="106">
        <v>25.723830734966594</v>
      </c>
      <c r="W101" s="106">
        <v>30621.648106904231</v>
      </c>
      <c r="X101" s="106">
        <v>28.290551611141453</v>
      </c>
      <c r="Y101" s="106">
        <v>33677.072637902784</v>
      </c>
      <c r="Z101" s="106">
        <v>31.557377049180328</v>
      </c>
      <c r="AA101" s="106">
        <v>37565.901639344258</v>
      </c>
      <c r="AB101" s="106">
        <v>16.610169491525426</v>
      </c>
      <c r="AC101" s="106">
        <v>19772.745762711864</v>
      </c>
      <c r="AD101" s="106">
        <v>25.154004106776181</v>
      </c>
      <c r="AE101" s="106">
        <v>29943.326488706363</v>
      </c>
      <c r="AF101" s="106">
        <v>22.128556375131719</v>
      </c>
      <c r="AG101" s="106">
        <v>26341.833508956795</v>
      </c>
      <c r="AH101" s="106">
        <v>24</v>
      </c>
      <c r="AI101" s="106">
        <v>28569.599999999999</v>
      </c>
      <c r="AJ101" s="106">
        <v>24.130879345603272</v>
      </c>
      <c r="AK101" s="106">
        <v>28725.398773006131</v>
      </c>
      <c r="AL101" s="106">
        <v>22.479126525369303</v>
      </c>
      <c r="AM101" s="106">
        <v>26759.152215799615</v>
      </c>
      <c r="AN101" s="106">
        <v>22</v>
      </c>
      <c r="AO101" s="106">
        <v>26188.799999999996</v>
      </c>
      <c r="AP101" s="106">
        <v>27</v>
      </c>
      <c r="AQ101" s="106">
        <v>32140.799999999996</v>
      </c>
      <c r="AR101" s="106">
        <v>21</v>
      </c>
      <c r="AS101" s="106">
        <v>24998.399999999998</v>
      </c>
      <c r="AT101" s="106">
        <v>19</v>
      </c>
      <c r="AU101" s="106">
        <v>22617.599999999999</v>
      </c>
      <c r="AV101" s="106">
        <v>27</v>
      </c>
      <c r="AW101" s="106">
        <v>32140.799999999996</v>
      </c>
      <c r="AX101" s="106">
        <v>23.268240343347639</v>
      </c>
      <c r="AY101" s="106">
        <v>27698.513304721026</v>
      </c>
      <c r="AZ101" s="106">
        <v>18.401682439537328</v>
      </c>
      <c r="BA101" s="106">
        <v>21905.362776025235</v>
      </c>
      <c r="BB101" s="106">
        <v>36</v>
      </c>
      <c r="BC101" s="106">
        <v>42854.399999999994</v>
      </c>
      <c r="BD101" s="106">
        <v>22.068858560794045</v>
      </c>
      <c r="BE101" s="106">
        <v>26270.769230769227</v>
      </c>
      <c r="BF101" s="106">
        <v>28.820960698689955</v>
      </c>
      <c r="BG101" s="106">
        <v>34308.471615720518</v>
      </c>
      <c r="BH101" s="106">
        <v>27.421109902067464</v>
      </c>
      <c r="BI101" s="106">
        <v>32642.089227421104</v>
      </c>
      <c r="BJ101" s="106">
        <v>21.943573667711597</v>
      </c>
      <c r="BK101" s="106">
        <v>26121.630094043881</v>
      </c>
      <c r="BL101" s="106">
        <v>27.5</v>
      </c>
      <c r="BM101" s="106">
        <v>32735.999999999996</v>
      </c>
      <c r="BN101" s="106">
        <v>31.836734693877553</v>
      </c>
      <c r="BO101" s="106">
        <v>37898.448979591834</v>
      </c>
      <c r="BP101" s="106">
        <v>23.450586264656614</v>
      </c>
      <c r="BQ101" s="106">
        <v>27915.577889447231</v>
      </c>
      <c r="BR101" s="106">
        <v>34.579439252336449</v>
      </c>
      <c r="BS101" s="106">
        <v>41163.364485981307</v>
      </c>
      <c r="BT101" s="106">
        <v>27.695351137487634</v>
      </c>
      <c r="BU101" s="106">
        <v>32968.545994065273</v>
      </c>
      <c r="BV101" s="106">
        <v>27.209625173530775</v>
      </c>
      <c r="BW101" s="106">
        <v>32390.337806571031</v>
      </c>
      <c r="BX101" s="106">
        <v>29</v>
      </c>
      <c r="BY101" s="106">
        <v>34521.599999999999</v>
      </c>
      <c r="BZ101" s="106">
        <v>22.886138613861384</v>
      </c>
      <c r="CA101" s="106">
        <v>27243.659405940587</v>
      </c>
      <c r="CB101" s="106">
        <v>23</v>
      </c>
      <c r="CC101" s="106">
        <v>27379.199999999997</v>
      </c>
      <c r="CD101" s="106">
        <v>18</v>
      </c>
      <c r="CE101" s="106">
        <v>21427.199999999997</v>
      </c>
      <c r="CF101" s="106">
        <v>19</v>
      </c>
      <c r="CG101" s="106">
        <v>22617.599999999999</v>
      </c>
      <c r="CH101" s="106">
        <v>21</v>
      </c>
      <c r="CI101" s="106">
        <v>24998.399999999998</v>
      </c>
      <c r="CJ101" s="106">
        <v>19</v>
      </c>
      <c r="CK101" s="106">
        <v>22617.599999999999</v>
      </c>
      <c r="CL101" s="106">
        <v>24</v>
      </c>
      <c r="CM101" s="106">
        <v>28569.599999999999</v>
      </c>
      <c r="CN101" s="106">
        <v>33</v>
      </c>
      <c r="CO101" s="106">
        <v>39283.199999999997</v>
      </c>
      <c r="CP101" s="106">
        <v>27</v>
      </c>
      <c r="CQ101" s="106">
        <v>32140.799999999996</v>
      </c>
      <c r="CR101" s="106">
        <v>41</v>
      </c>
      <c r="CS101" s="106">
        <v>48806.399999999994</v>
      </c>
      <c r="CT101" s="106">
        <v>33.966617574864998</v>
      </c>
      <c r="CU101" s="106">
        <v>40433.861561119287</v>
      </c>
    </row>
    <row r="102" spans="2:99" x14ac:dyDescent="0.2">
      <c r="C102" s="105" t="s">
        <v>267</v>
      </c>
      <c r="D102" s="106">
        <v>18</v>
      </c>
      <c r="E102" s="106">
        <v>34905.599999999999</v>
      </c>
      <c r="F102" s="106">
        <v>27</v>
      </c>
      <c r="G102" s="106">
        <v>52358.399999999994</v>
      </c>
      <c r="H102" s="106">
        <v>19</v>
      </c>
      <c r="I102" s="106">
        <v>36844.799999999996</v>
      </c>
      <c r="J102" s="106">
        <v>22</v>
      </c>
      <c r="K102" s="106">
        <v>42662.399999999994</v>
      </c>
      <c r="L102" s="106">
        <v>24.993464052287585</v>
      </c>
      <c r="M102" s="106">
        <v>48467.325490196083</v>
      </c>
      <c r="N102" s="106">
        <v>16.655651024454727</v>
      </c>
      <c r="O102" s="106">
        <v>32298.638466622604</v>
      </c>
      <c r="P102" s="106">
        <v>18</v>
      </c>
      <c r="Q102" s="106">
        <v>34905.599999999999</v>
      </c>
      <c r="R102" s="106">
        <v>21.993685419058554</v>
      </c>
      <c r="S102" s="106">
        <v>42650.154764638348</v>
      </c>
      <c r="T102" s="106">
        <v>23.04199772985244</v>
      </c>
      <c r="U102" s="106">
        <v>44683.041997729844</v>
      </c>
      <c r="V102" s="106">
        <v>24.16481069042316</v>
      </c>
      <c r="W102" s="106">
        <v>46860.400890868586</v>
      </c>
      <c r="X102" s="106">
        <v>23.702894593118518</v>
      </c>
      <c r="Y102" s="106">
        <v>45964.653194975428</v>
      </c>
      <c r="Z102" s="106">
        <v>30.601092896174862</v>
      </c>
      <c r="AA102" s="106">
        <v>59341.639344262287</v>
      </c>
      <c r="AB102" s="106">
        <v>15.028248587570621</v>
      </c>
      <c r="AC102" s="106">
        <v>29142.779661016946</v>
      </c>
      <c r="AD102" s="106">
        <v>24.435318275154003</v>
      </c>
      <c r="AE102" s="106">
        <v>47384.969199178639</v>
      </c>
      <c r="AF102" s="106">
        <v>20.65331928345627</v>
      </c>
      <c r="AG102" s="106">
        <v>40050.916754478392</v>
      </c>
      <c r="AH102" s="106">
        <v>21</v>
      </c>
      <c r="AI102" s="106">
        <v>40723.199999999997</v>
      </c>
      <c r="AJ102" s="106">
        <v>20.269938650306749</v>
      </c>
      <c r="AK102" s="106">
        <v>39307.465030674844</v>
      </c>
      <c r="AL102" s="106">
        <v>20.680796403339755</v>
      </c>
      <c r="AM102" s="106">
        <v>40104.200385356453</v>
      </c>
      <c r="AN102" s="106">
        <v>19</v>
      </c>
      <c r="AO102" s="106">
        <v>36844.799999999996</v>
      </c>
      <c r="AP102" s="106">
        <v>22</v>
      </c>
      <c r="AQ102" s="106">
        <v>42662.399999999994</v>
      </c>
      <c r="AR102" s="106">
        <v>19</v>
      </c>
      <c r="AS102" s="106">
        <v>36844.799999999996</v>
      </c>
      <c r="AT102" s="106">
        <v>17</v>
      </c>
      <c r="AU102" s="106">
        <v>32966.399999999994</v>
      </c>
      <c r="AV102" s="106">
        <v>21</v>
      </c>
      <c r="AW102" s="106">
        <v>40723.199999999997</v>
      </c>
      <c r="AX102" s="106">
        <v>21.606223175965667</v>
      </c>
      <c r="AY102" s="106">
        <v>41898.787982832619</v>
      </c>
      <c r="AZ102" s="106">
        <v>15.457413249211358</v>
      </c>
      <c r="BA102" s="106">
        <v>29975.015772870662</v>
      </c>
      <c r="BB102" s="106">
        <v>35</v>
      </c>
      <c r="BC102" s="106">
        <v>67872</v>
      </c>
      <c r="BD102" s="106">
        <v>19.420595533498759</v>
      </c>
      <c r="BE102" s="106">
        <v>37660.418858560792</v>
      </c>
      <c r="BF102" s="106">
        <v>23.580786026200876</v>
      </c>
      <c r="BG102" s="106">
        <v>45727.860262008733</v>
      </c>
      <c r="BH102" s="106">
        <v>25.89771490750816</v>
      </c>
      <c r="BI102" s="106">
        <v>50220.848748639815</v>
      </c>
      <c r="BJ102" s="106">
        <v>21.212121212121211</v>
      </c>
      <c r="BK102" s="106">
        <v>41134.545454545449</v>
      </c>
      <c r="BL102" s="106">
        <v>29.166666666666664</v>
      </c>
      <c r="BM102" s="106">
        <v>56559.999999999993</v>
      </c>
      <c r="BN102" s="106">
        <v>31.020408163265309</v>
      </c>
      <c r="BO102" s="106">
        <v>60154.775510204083</v>
      </c>
      <c r="BP102" s="106">
        <v>23.450586264656614</v>
      </c>
      <c r="BQ102" s="106">
        <v>45475.376884422105</v>
      </c>
      <c r="BR102" s="106">
        <v>27.102803738317757</v>
      </c>
      <c r="BS102" s="106">
        <v>52557.757009345791</v>
      </c>
      <c r="BT102" s="106">
        <v>25.618199802176061</v>
      </c>
      <c r="BU102" s="106">
        <v>49678.813056379811</v>
      </c>
      <c r="BV102" s="106">
        <v>20.73114298935678</v>
      </c>
      <c r="BW102" s="106">
        <v>40201.832484960665</v>
      </c>
      <c r="BX102" s="106">
        <v>27</v>
      </c>
      <c r="BY102" s="106">
        <v>52358.399999999994</v>
      </c>
      <c r="BZ102" s="106">
        <v>19.900990099009899</v>
      </c>
      <c r="CA102" s="106">
        <v>38591.999999999993</v>
      </c>
      <c r="CB102" s="106">
        <v>21</v>
      </c>
      <c r="CC102" s="106">
        <v>40723.199999999997</v>
      </c>
      <c r="CD102" s="106">
        <v>16</v>
      </c>
      <c r="CE102" s="106">
        <v>31027.199999999997</v>
      </c>
      <c r="CF102" s="106">
        <v>18</v>
      </c>
      <c r="CG102" s="106">
        <v>34905.599999999999</v>
      </c>
      <c r="CH102" s="106">
        <v>16</v>
      </c>
      <c r="CI102" s="106">
        <v>31027.199999999997</v>
      </c>
      <c r="CJ102" s="106">
        <v>19</v>
      </c>
      <c r="CK102" s="106">
        <v>36844.799999999996</v>
      </c>
      <c r="CL102" s="106">
        <v>22</v>
      </c>
      <c r="CM102" s="106">
        <v>42662.399999999994</v>
      </c>
      <c r="CN102" s="106">
        <v>31</v>
      </c>
      <c r="CO102" s="106">
        <v>60115.199999999997</v>
      </c>
      <c r="CP102" s="106">
        <v>23</v>
      </c>
      <c r="CQ102" s="106">
        <v>44601.599999999999</v>
      </c>
      <c r="CR102" s="106">
        <v>33</v>
      </c>
      <c r="CS102" s="106">
        <v>63993.599999999991</v>
      </c>
      <c r="CT102" s="106">
        <v>31.212567501227294</v>
      </c>
      <c r="CU102" s="106">
        <v>60527.410898379967</v>
      </c>
    </row>
    <row r="103" spans="2:99" x14ac:dyDescent="0.2">
      <c r="C103" s="105" t="s">
        <v>268</v>
      </c>
      <c r="D103" s="106">
        <v>19</v>
      </c>
      <c r="E103" s="106">
        <v>38532</v>
      </c>
      <c r="F103" s="106">
        <v>29</v>
      </c>
      <c r="G103" s="106">
        <v>58812</v>
      </c>
      <c r="H103" s="106">
        <v>21</v>
      </c>
      <c r="I103" s="106">
        <v>42588</v>
      </c>
      <c r="J103" s="106">
        <v>21</v>
      </c>
      <c r="K103" s="106">
        <v>42588</v>
      </c>
      <c r="L103" s="106">
        <v>23.43137254901961</v>
      </c>
      <c r="M103" s="106">
        <v>47518.823529411769</v>
      </c>
      <c r="N103" s="106">
        <v>17.580964970257767</v>
      </c>
      <c r="O103" s="106">
        <v>35654.196959682755</v>
      </c>
      <c r="P103" s="106">
        <v>18</v>
      </c>
      <c r="Q103" s="106">
        <v>36504</v>
      </c>
      <c r="R103" s="106">
        <v>24.43742824339839</v>
      </c>
      <c r="S103" s="106">
        <v>49559.104477611938</v>
      </c>
      <c r="T103" s="106">
        <v>26.220204313280362</v>
      </c>
      <c r="U103" s="106">
        <v>53174.574347332578</v>
      </c>
      <c r="V103" s="106">
        <v>25.723830734966594</v>
      </c>
      <c r="W103" s="106">
        <v>52167.928730512249</v>
      </c>
      <c r="X103" s="106">
        <v>25.996723102129984</v>
      </c>
      <c r="Y103" s="106">
        <v>52721.354451119609</v>
      </c>
      <c r="Z103" s="106">
        <v>26.775956284153008</v>
      </c>
      <c r="AA103" s="106">
        <v>54301.639344262301</v>
      </c>
      <c r="AB103" s="106">
        <v>17.401129943502827</v>
      </c>
      <c r="AC103" s="106">
        <v>35289.491525423735</v>
      </c>
      <c r="AD103" s="106">
        <v>24.435318275154003</v>
      </c>
      <c r="AE103" s="106">
        <v>49554.825462012319</v>
      </c>
      <c r="AF103" s="106">
        <v>20.65331928345627</v>
      </c>
      <c r="AG103" s="106">
        <v>41884.931506849316</v>
      </c>
      <c r="AH103" s="106">
        <v>21</v>
      </c>
      <c r="AI103" s="106">
        <v>42588</v>
      </c>
      <c r="AJ103" s="106">
        <v>20.269938650306749</v>
      </c>
      <c r="AK103" s="106">
        <v>41107.435582822087</v>
      </c>
      <c r="AL103" s="106">
        <v>18.882466281310212</v>
      </c>
      <c r="AM103" s="106">
        <v>38293.641618497109</v>
      </c>
      <c r="AN103" s="106">
        <v>23</v>
      </c>
      <c r="AO103" s="106">
        <v>46644</v>
      </c>
      <c r="AP103" s="106">
        <v>23</v>
      </c>
      <c r="AQ103" s="106">
        <v>46644</v>
      </c>
      <c r="AR103" s="106">
        <v>20</v>
      </c>
      <c r="AS103" s="106">
        <v>40560</v>
      </c>
      <c r="AT103" s="106">
        <v>17</v>
      </c>
      <c r="AU103" s="106">
        <v>34476</v>
      </c>
      <c r="AV103" s="106">
        <v>22</v>
      </c>
      <c r="AW103" s="106">
        <v>44616</v>
      </c>
      <c r="AX103" s="106">
        <v>21.606223175965667</v>
      </c>
      <c r="AY103" s="106">
        <v>43817.420600858371</v>
      </c>
      <c r="AZ103" s="106">
        <v>13.98527865404837</v>
      </c>
      <c r="BA103" s="106">
        <v>28362.145110410096</v>
      </c>
      <c r="BB103" s="106">
        <v>31</v>
      </c>
      <c r="BC103" s="106">
        <v>62868</v>
      </c>
      <c r="BD103" s="106">
        <v>19.420595533498759</v>
      </c>
      <c r="BE103" s="106">
        <v>39384.967741935485</v>
      </c>
      <c r="BF103" s="106">
        <v>22.707423580786024</v>
      </c>
      <c r="BG103" s="106">
        <v>46050.655021834056</v>
      </c>
      <c r="BH103" s="106">
        <v>23.612622415669204</v>
      </c>
      <c r="BI103" s="106">
        <v>47886.398258977148</v>
      </c>
      <c r="BJ103" s="106">
        <v>20.480668756530825</v>
      </c>
      <c r="BK103" s="106">
        <v>41534.796238244511</v>
      </c>
      <c r="BL103" s="106">
        <v>25</v>
      </c>
      <c r="BM103" s="106">
        <v>50700</v>
      </c>
      <c r="BN103" s="106">
        <v>27.755102040816325</v>
      </c>
      <c r="BO103" s="106">
        <v>56287.34693877551</v>
      </c>
      <c r="BP103" s="106">
        <v>19.54215522054718</v>
      </c>
      <c r="BQ103" s="106">
        <v>39631.490787269679</v>
      </c>
      <c r="BR103" s="106">
        <v>28.971962616822427</v>
      </c>
      <c r="BS103" s="106">
        <v>58755.14018691588</v>
      </c>
      <c r="BT103" s="106">
        <v>25.618199802176061</v>
      </c>
      <c r="BU103" s="106">
        <v>51953.709198813049</v>
      </c>
      <c r="BV103" s="106">
        <v>20.73114298935678</v>
      </c>
      <c r="BW103" s="106">
        <v>42042.757982415547</v>
      </c>
      <c r="BX103" s="106">
        <v>24</v>
      </c>
      <c r="BY103" s="106">
        <v>48672</v>
      </c>
      <c r="BZ103" s="106">
        <v>18.905940594059405</v>
      </c>
      <c r="CA103" s="106">
        <v>38341.247524752471</v>
      </c>
      <c r="CB103" s="106">
        <v>21</v>
      </c>
      <c r="CC103" s="106">
        <v>42588</v>
      </c>
      <c r="CD103" s="106">
        <v>18</v>
      </c>
      <c r="CE103" s="106">
        <v>36504</v>
      </c>
      <c r="CF103" s="106">
        <v>16</v>
      </c>
      <c r="CG103" s="106">
        <v>32448</v>
      </c>
      <c r="CH103" s="106">
        <v>19</v>
      </c>
      <c r="CI103" s="106">
        <v>38532</v>
      </c>
      <c r="CJ103" s="106">
        <v>20</v>
      </c>
      <c r="CK103" s="106">
        <v>40560</v>
      </c>
      <c r="CL103" s="106">
        <v>22</v>
      </c>
      <c r="CM103" s="106">
        <v>44616</v>
      </c>
      <c r="CN103" s="106">
        <v>31</v>
      </c>
      <c r="CO103" s="106">
        <v>62868</v>
      </c>
      <c r="CP103" s="106">
        <v>24</v>
      </c>
      <c r="CQ103" s="106">
        <v>48672</v>
      </c>
      <c r="CR103" s="106">
        <v>32</v>
      </c>
      <c r="CS103" s="106">
        <v>64896</v>
      </c>
      <c r="CT103" s="106">
        <v>30.29455081001473</v>
      </c>
      <c r="CU103" s="106">
        <v>61437.349042709873</v>
      </c>
    </row>
    <row r="104" spans="2:99" x14ac:dyDescent="0.2">
      <c r="C104" s="105" t="s">
        <v>269</v>
      </c>
      <c r="D104" s="106">
        <v>18</v>
      </c>
      <c r="E104" s="106">
        <v>37303.200000000004</v>
      </c>
      <c r="F104" s="106">
        <v>28</v>
      </c>
      <c r="G104" s="106">
        <v>58027.200000000004</v>
      </c>
      <c r="H104" s="106">
        <v>19</v>
      </c>
      <c r="I104" s="106">
        <v>39375.599999999999</v>
      </c>
      <c r="J104" s="106">
        <v>24</v>
      </c>
      <c r="K104" s="106">
        <v>49737.600000000006</v>
      </c>
      <c r="L104" s="106">
        <v>23.43137254901961</v>
      </c>
      <c r="M104" s="106">
        <v>48559.176470588245</v>
      </c>
      <c r="N104" s="106">
        <v>15.730337078651685</v>
      </c>
      <c r="O104" s="106">
        <v>32599.550561797754</v>
      </c>
      <c r="P104" s="106">
        <v>17</v>
      </c>
      <c r="Q104" s="106">
        <v>35230.800000000003</v>
      </c>
      <c r="R104" s="106">
        <v>26.066590126291619</v>
      </c>
      <c r="S104" s="106">
        <v>54020.401377726754</v>
      </c>
      <c r="T104" s="106">
        <v>23.04199772985244</v>
      </c>
      <c r="U104" s="106">
        <v>47752.236095346198</v>
      </c>
      <c r="V104" s="106">
        <v>26.503340757238309</v>
      </c>
      <c r="W104" s="106">
        <v>54925.523385300672</v>
      </c>
      <c r="X104" s="106">
        <v>22.938285090114693</v>
      </c>
      <c r="Y104" s="106">
        <v>47537.30202075369</v>
      </c>
      <c r="Z104" s="106">
        <v>24.863387978142075</v>
      </c>
      <c r="AA104" s="106">
        <v>51526.885245901642</v>
      </c>
      <c r="AB104" s="106">
        <v>15.028248587570621</v>
      </c>
      <c r="AC104" s="106">
        <v>31144.542372881355</v>
      </c>
      <c r="AD104" s="106">
        <v>21.560574948665298</v>
      </c>
      <c r="AE104" s="106">
        <v>44682.135523613964</v>
      </c>
      <c r="AF104" s="106">
        <v>20.65331928345627</v>
      </c>
      <c r="AG104" s="106">
        <v>42801.938883034774</v>
      </c>
      <c r="AH104" s="106">
        <v>21</v>
      </c>
      <c r="AI104" s="106">
        <v>43520.4</v>
      </c>
      <c r="AJ104" s="106">
        <v>20.269938650306749</v>
      </c>
      <c r="AK104" s="106">
        <v>42007.420858895704</v>
      </c>
      <c r="AL104" s="106">
        <v>17.084136159280668</v>
      </c>
      <c r="AM104" s="106">
        <v>35405.16377649326</v>
      </c>
      <c r="AN104" s="106">
        <v>22</v>
      </c>
      <c r="AO104" s="106">
        <v>45592.800000000003</v>
      </c>
      <c r="AP104" s="106">
        <v>22</v>
      </c>
      <c r="AQ104" s="106">
        <v>45592.800000000003</v>
      </c>
      <c r="AR104" s="106">
        <v>21</v>
      </c>
      <c r="AS104" s="106">
        <v>43520.4</v>
      </c>
      <c r="AT104" s="106">
        <v>17</v>
      </c>
      <c r="AU104" s="106">
        <v>35230.800000000003</v>
      </c>
      <c r="AV104" s="106">
        <v>23</v>
      </c>
      <c r="AW104" s="106">
        <v>47665.200000000004</v>
      </c>
      <c r="AX104" s="106">
        <v>20.775214592274679</v>
      </c>
      <c r="AY104" s="106">
        <v>43054.55472103005</v>
      </c>
      <c r="AZ104" s="106">
        <v>13.98527865404837</v>
      </c>
      <c r="BA104" s="106">
        <v>28983.091482649845</v>
      </c>
      <c r="BB104" s="106">
        <v>35</v>
      </c>
      <c r="BC104" s="106">
        <v>72534</v>
      </c>
      <c r="BD104" s="106">
        <v>21.186104218362281</v>
      </c>
      <c r="BE104" s="106">
        <v>43906.082382133995</v>
      </c>
      <c r="BF104" s="106">
        <v>23.580786026200876</v>
      </c>
      <c r="BG104" s="106">
        <v>48868.8209606987</v>
      </c>
      <c r="BH104" s="106">
        <v>23.612622415669204</v>
      </c>
      <c r="BI104" s="106">
        <v>48934.798694232857</v>
      </c>
      <c r="BJ104" s="106">
        <v>22.675026123301986</v>
      </c>
      <c r="BK104" s="106">
        <v>46991.724137931036</v>
      </c>
      <c r="BL104" s="106">
        <v>27.5</v>
      </c>
      <c r="BM104" s="106">
        <v>56991</v>
      </c>
      <c r="BN104" s="106">
        <v>26.122448979591837</v>
      </c>
      <c r="BO104" s="106">
        <v>54136.163265306124</v>
      </c>
      <c r="BP104" s="106">
        <v>21.105527638190953</v>
      </c>
      <c r="BQ104" s="106">
        <v>43739.095477386931</v>
      </c>
      <c r="BR104" s="106">
        <v>26.168224299065418</v>
      </c>
      <c r="BS104" s="106">
        <v>54231.028037383177</v>
      </c>
      <c r="BT104" s="106">
        <v>23.541048466864492</v>
      </c>
      <c r="BU104" s="106">
        <v>48786.468842729977</v>
      </c>
      <c r="BV104" s="106">
        <v>21.378991207774177</v>
      </c>
      <c r="BW104" s="106">
        <v>44305.821378991204</v>
      </c>
      <c r="BX104" s="106">
        <v>24</v>
      </c>
      <c r="BY104" s="106">
        <v>49737.600000000006</v>
      </c>
      <c r="BZ104" s="106">
        <v>20.896039603960396</v>
      </c>
      <c r="CA104" s="106">
        <v>43304.952475247526</v>
      </c>
      <c r="CB104" s="106">
        <v>21</v>
      </c>
      <c r="CC104" s="106">
        <v>43520.4</v>
      </c>
      <c r="CD104" s="106">
        <v>18</v>
      </c>
      <c r="CE104" s="106">
        <v>37303.200000000004</v>
      </c>
      <c r="CF104" s="106">
        <v>15</v>
      </c>
      <c r="CG104" s="106">
        <v>31086</v>
      </c>
      <c r="CH104" s="106">
        <v>16</v>
      </c>
      <c r="CI104" s="106">
        <v>33158.400000000001</v>
      </c>
      <c r="CJ104" s="106">
        <v>17</v>
      </c>
      <c r="CK104" s="106">
        <v>35230.800000000003</v>
      </c>
      <c r="CL104" s="106">
        <v>23</v>
      </c>
      <c r="CM104" s="106">
        <v>47665.200000000004</v>
      </c>
      <c r="CN104" s="106">
        <v>28</v>
      </c>
      <c r="CO104" s="106">
        <v>58027.200000000004</v>
      </c>
      <c r="CP104" s="106">
        <v>23</v>
      </c>
      <c r="CQ104" s="106">
        <v>47665.200000000004</v>
      </c>
      <c r="CR104" s="106">
        <v>31</v>
      </c>
      <c r="CS104" s="106">
        <v>64244.4</v>
      </c>
      <c r="CT104" s="106">
        <v>30.29455081001473</v>
      </c>
      <c r="CU104" s="106">
        <v>62782.427098674532</v>
      </c>
    </row>
    <row r="105" spans="2:99" x14ac:dyDescent="0.2">
      <c r="C105" s="105" t="s">
        <v>270</v>
      </c>
      <c r="D105" s="106">
        <v>20</v>
      </c>
      <c r="E105" s="106">
        <v>39960</v>
      </c>
      <c r="F105" s="106">
        <v>26</v>
      </c>
      <c r="G105" s="106">
        <v>51948</v>
      </c>
      <c r="H105" s="106">
        <v>21</v>
      </c>
      <c r="I105" s="106">
        <v>41958</v>
      </c>
      <c r="J105" s="106">
        <v>23</v>
      </c>
      <c r="K105" s="106">
        <v>45954</v>
      </c>
      <c r="L105" s="106">
        <v>22.65032679738562</v>
      </c>
      <c r="M105" s="106">
        <v>45255.352941176468</v>
      </c>
      <c r="N105" s="106">
        <v>16.655651024454727</v>
      </c>
      <c r="O105" s="106">
        <v>33277.990746860545</v>
      </c>
      <c r="P105" s="106">
        <v>19</v>
      </c>
      <c r="Q105" s="106">
        <v>37962</v>
      </c>
      <c r="R105" s="106">
        <v>25.252009184845008</v>
      </c>
      <c r="S105" s="106">
        <v>50453.514351320329</v>
      </c>
      <c r="T105" s="106">
        <v>22.24744608399546</v>
      </c>
      <c r="U105" s="106">
        <v>44450.397275822928</v>
      </c>
      <c r="V105" s="106">
        <v>22.605790645879733</v>
      </c>
      <c r="W105" s="106">
        <v>45166.369710467705</v>
      </c>
      <c r="X105" s="106">
        <v>23.702894593118518</v>
      </c>
      <c r="Y105" s="106">
        <v>47358.383397050799</v>
      </c>
      <c r="Z105" s="106">
        <v>29.644808743169399</v>
      </c>
      <c r="AA105" s="106">
        <v>59230.327868852459</v>
      </c>
      <c r="AB105" s="106">
        <v>16.610169491525426</v>
      </c>
      <c r="AC105" s="106">
        <v>33187.118644067799</v>
      </c>
      <c r="AD105" s="106">
        <v>22.279260780287473</v>
      </c>
      <c r="AE105" s="106">
        <v>44513.963039014372</v>
      </c>
      <c r="AF105" s="106">
        <v>21.390937829293996</v>
      </c>
      <c r="AG105" s="106">
        <v>42739.093782929405</v>
      </c>
      <c r="AH105" s="106">
        <v>19</v>
      </c>
      <c r="AI105" s="106">
        <v>37962</v>
      </c>
      <c r="AJ105" s="106">
        <v>20.269938650306749</v>
      </c>
      <c r="AK105" s="106">
        <v>40499.337423312885</v>
      </c>
      <c r="AL105" s="106">
        <v>19.781631342324985</v>
      </c>
      <c r="AM105" s="106">
        <v>39523.699421965321</v>
      </c>
      <c r="AN105" s="106">
        <v>23</v>
      </c>
      <c r="AO105" s="106">
        <v>45954</v>
      </c>
      <c r="AP105" s="106">
        <v>23</v>
      </c>
      <c r="AQ105" s="106">
        <v>45954</v>
      </c>
      <c r="AR105" s="106">
        <v>18</v>
      </c>
      <c r="AS105" s="106">
        <v>35964</v>
      </c>
      <c r="AT105" s="106">
        <v>19</v>
      </c>
      <c r="AU105" s="106">
        <v>37962</v>
      </c>
      <c r="AV105" s="106">
        <v>21</v>
      </c>
      <c r="AW105" s="106">
        <v>41958</v>
      </c>
      <c r="AX105" s="106">
        <v>22.437231759656651</v>
      </c>
      <c r="AY105" s="106">
        <v>44829.589055793986</v>
      </c>
      <c r="AZ105" s="106">
        <v>16.193480546792848</v>
      </c>
      <c r="BA105" s="106">
        <v>32354.574132492111</v>
      </c>
      <c r="BB105" s="106">
        <v>33</v>
      </c>
      <c r="BC105" s="106">
        <v>65934</v>
      </c>
      <c r="BD105" s="106">
        <v>17.655086848635236</v>
      </c>
      <c r="BE105" s="106">
        <v>35274.8635235732</v>
      </c>
      <c r="BF105" s="106">
        <v>26.200873362445414</v>
      </c>
      <c r="BG105" s="106">
        <v>52349.344978165936</v>
      </c>
      <c r="BH105" s="106">
        <v>22.850924918389556</v>
      </c>
      <c r="BI105" s="106">
        <v>45656.147986942335</v>
      </c>
      <c r="BJ105" s="106">
        <v>22.675026123301986</v>
      </c>
      <c r="BK105" s="106">
        <v>45304.702194357371</v>
      </c>
      <c r="BL105" s="106">
        <v>25</v>
      </c>
      <c r="BM105" s="106">
        <v>49950</v>
      </c>
      <c r="BN105" s="106">
        <v>26.122448979591837</v>
      </c>
      <c r="BO105" s="106">
        <v>52192.65306122449</v>
      </c>
      <c r="BP105" s="106">
        <v>21.105527638190953</v>
      </c>
      <c r="BQ105" s="106">
        <v>42168.844221105523</v>
      </c>
      <c r="BR105" s="106">
        <v>31.77570093457944</v>
      </c>
      <c r="BS105" s="106">
        <v>63487.850467289718</v>
      </c>
      <c r="BT105" s="106">
        <v>22.156280909990109</v>
      </c>
      <c r="BU105" s="106">
        <v>44268.249258160235</v>
      </c>
      <c r="BV105" s="106">
        <v>23.970384081443779</v>
      </c>
      <c r="BW105" s="106">
        <v>47892.827394724671</v>
      </c>
      <c r="BX105" s="106">
        <v>25</v>
      </c>
      <c r="BY105" s="106">
        <v>49950</v>
      </c>
      <c r="BZ105" s="106">
        <v>17.910891089108912</v>
      </c>
      <c r="CA105" s="106">
        <v>35785.960396039605</v>
      </c>
      <c r="CB105" s="106">
        <v>21</v>
      </c>
      <c r="CC105" s="106">
        <v>41958</v>
      </c>
      <c r="CD105" s="106">
        <v>17</v>
      </c>
      <c r="CE105" s="106">
        <v>33966</v>
      </c>
      <c r="CF105" s="106">
        <v>18</v>
      </c>
      <c r="CG105" s="106">
        <v>35964</v>
      </c>
      <c r="CH105" s="106">
        <v>18</v>
      </c>
      <c r="CI105" s="106">
        <v>35964</v>
      </c>
      <c r="CJ105" s="106">
        <v>18</v>
      </c>
      <c r="CK105" s="106">
        <v>35964</v>
      </c>
      <c r="CL105" s="106">
        <v>19</v>
      </c>
      <c r="CM105" s="106">
        <v>37962</v>
      </c>
      <c r="CN105" s="106">
        <v>30</v>
      </c>
      <c r="CO105" s="106">
        <v>59940</v>
      </c>
      <c r="CP105" s="106">
        <v>22</v>
      </c>
      <c r="CQ105" s="106">
        <v>43956</v>
      </c>
      <c r="CR105" s="106">
        <v>30</v>
      </c>
      <c r="CS105" s="106">
        <v>59940</v>
      </c>
      <c r="CT105" s="106">
        <v>29.376534118802159</v>
      </c>
      <c r="CU105" s="106">
        <v>58694.31516936671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3588</v>
      </c>
      <c r="E109" s="106">
        <f>SUM(L$6:L$19)+SUM(N$6:N$19)+SUM(P$6:P$19)+SUM(R$6:R$19)</f>
        <v>3119</v>
      </c>
      <c r="F109" s="106">
        <f>SUM(T$6:T$19)+SUM(V$6:V$19)+SUM(X$6:X$19)+SUM(Z$6:Z$19)</f>
        <v>3090</v>
      </c>
      <c r="G109" s="106">
        <f>SUM(AB$6:AB$19)+SUM(AD$6:AD$19)+SUM(AF$6:AF$19)+SUM(AH$6:AH$19)</f>
        <v>3556</v>
      </c>
      <c r="H109" s="106">
        <f>SUM(AJ$6:AJ$19)+SUM(AL$6:AL$19)+SUM(AN$6:AN$19)+SUM(AP$6:AP$19)</f>
        <v>3708</v>
      </c>
      <c r="I109" s="106">
        <f>SUM(AR$6:AR$19)+SUM(AT$6:AT$19)+SUM(AV$6:AV$19)+SUM(AX$6:AX$19)</f>
        <v>4645</v>
      </c>
      <c r="J109" s="106">
        <f>SUM(AZ$6:AZ$19)+SUM(BB$6:BB$19)+SUM(BD$6:BD$19)+SUM(BF$6:BF$19)</f>
        <v>3797</v>
      </c>
      <c r="K109" s="106">
        <f>SUM(BH$6:BH$19)+SUM(BJ$6:BJ$19)+SUM(BL$6:BL$19)+SUM(BN$6:BN$19)</f>
        <v>3605</v>
      </c>
      <c r="L109" s="106">
        <f>SUM(BP$6:BP$19)+SUM(BR$6:BR$19)+SUM(BT$6:BT$19)+SUM(BV$6:BV$19)</f>
        <v>4007</v>
      </c>
      <c r="M109" s="106">
        <f>SUM(BX$6:BX$19)+SUM(BZ$6:BZ$19)+SUM(CB$6:CB$19)+SUM(CD$6:CD$19)</f>
        <v>2448</v>
      </c>
      <c r="N109" s="106">
        <f>SUM(CF$6:CF$19)+SUM(CH$6:CH$19)+SUM(CJ$6:CJ$19)+SUM(CL$6:CL$19)</f>
        <v>3084</v>
      </c>
      <c r="O109" s="106">
        <f>SUM(CN$6:CN$19)+SUM(CP$6:CP$19)+SUM(CR$6:CR$19)+SUM(CT$6:CT$19)</f>
        <v>4031</v>
      </c>
    </row>
    <row r="110" spans="2:99" x14ac:dyDescent="0.2">
      <c r="C110" s="105" t="s">
        <v>127</v>
      </c>
      <c r="D110" s="106">
        <f>SUM(D$20:D$36)+SUM(F$20:F$36)+SUM(H$20:H$36)+SUM(J$20:J$36)</f>
        <v>6265</v>
      </c>
      <c r="E110" s="106">
        <f>SUM(L$20:L$36)+SUM(N$20:N$36)+SUM(P$20:P$36)+SUM(R$20:R$36)</f>
        <v>6262</v>
      </c>
      <c r="F110" s="106">
        <f>SUM(T$20:T$36)+SUM(V$20:V$36)+SUM(X$20:X$36)+SUM(Z$20:Z$36)</f>
        <v>8289</v>
      </c>
      <c r="G110" s="106">
        <f>SUM(AB$20:AB$36)+SUM(AD$20:AD$36)+SUM(AF$20:AF$36)+SUM(AH$20:AH$36)</f>
        <v>7548</v>
      </c>
      <c r="H110" s="106">
        <f>SUM(AJ$20:AJ$36)+SUM(AL$20:AL$36)+SUM(AN$20:AN$36)+SUM(AP$20:AP$36)</f>
        <v>6799</v>
      </c>
      <c r="I110" s="106">
        <f>SUM(AR$20:AR$36)+SUM(AT$20:AT$36)+SUM(AV$20:AV$36)+SUM(AX$20:AX$36)</f>
        <v>7963</v>
      </c>
      <c r="J110" s="106">
        <f>SUM(AZ$20:AZ$36)+SUM(BB$20:BB$36)+SUM(BD$20:BD$36)+SUM(BF$20:BF$36)</f>
        <v>5864</v>
      </c>
      <c r="K110" s="106">
        <f>SUM(BH$20:BH$36)+SUM(BJ$20:BJ$36)+SUM(BL$20:BL$36)+SUM(BN$20:BN$36)</f>
        <v>8115</v>
      </c>
      <c r="L110" s="106">
        <f>SUM(BP$20:BP$36)+SUM(BR$20:BR$36)+SUM(BT$20:BT$36)+SUM(BV$20:BV$36)</f>
        <v>7984</v>
      </c>
      <c r="M110" s="106">
        <f>SUM(BX$20:BX$36)+SUM(BZ$20:BZ$36)+SUM(CB$20:CB$36)+SUM(CD$20:CD$36)</f>
        <v>5501</v>
      </c>
      <c r="N110" s="106">
        <f>SUM(CF$20:CF$36)+SUM(CH$20:CH$36)+SUM(CJ$20:CJ$36)+SUM(CL$20:CL$36)</f>
        <v>5273</v>
      </c>
      <c r="O110" s="106">
        <f>SUM(CN$20:CN$36)+SUM(CP$20:CP$36)+SUM(CR$20:CR$36)+SUM(CT$20:CT$36)</f>
        <v>6795</v>
      </c>
    </row>
    <row r="111" spans="2:99" x14ac:dyDescent="0.2">
      <c r="C111" s="105" t="s">
        <v>128</v>
      </c>
      <c r="D111" s="106">
        <f>SUM(D$37:D$48)+SUM(F$37:F$48)+SUM(H$37:H$48)+SUM(J$37:J$48)</f>
        <v>3904</v>
      </c>
      <c r="E111" s="106">
        <f>SUM(L$37:L$48)+SUM(N$37:N$48)+SUM(P$37:P$48)+SUM(R$37:R$48)</f>
        <v>4287</v>
      </c>
      <c r="F111" s="106">
        <f>SUM(T$37:T$48)+SUM(V$37:V$48)+SUM(X$37:X$48)+SUM(Z$37:Z$48)</f>
        <v>3655</v>
      </c>
      <c r="G111" s="106">
        <f>SUM(AB$37:AB$48)+SUM(AD$37:AD$48)+SUM(AF$37:AF$48)+SUM(AH$37:AH$48)</f>
        <v>4331</v>
      </c>
      <c r="H111" s="106">
        <f>SUM(AJ$37:AJ$48)+SUM(AL$37:AL$48)+SUM(AN$37:AN$48)+SUM(AP$37:AP$48)</f>
        <v>4107</v>
      </c>
      <c r="I111" s="106">
        <f>SUM(AR$37:AR$48)+SUM(AT$37:AT$48)+SUM(AV$37:AV$48)+SUM(AX$37:AX$48)</f>
        <v>3423</v>
      </c>
      <c r="J111" s="106">
        <f>SUM(AZ$37:AZ$48)+SUM(BB$37:BB$48)+SUM(BD$37:BD$48)+SUM(BF$37:BF$48)</f>
        <v>3191</v>
      </c>
      <c r="K111" s="106">
        <f>SUM(BH$37:BH$48)+SUM(BJ$37:BJ$48)+SUM(BL$37:BL$48)+SUM(BN$37:BN$48)</f>
        <v>3725</v>
      </c>
      <c r="L111" s="106">
        <f>SUM(BP$37:BP$48)+SUM(BR$37:BR$48)+SUM(BT$37:BT$48)+SUM(BV$37:BV$48)</f>
        <v>3939</v>
      </c>
      <c r="M111" s="106">
        <f>SUM(BX$37:BX$48)+SUM(BZ$37:BZ$48)+SUM(CB$37:CB$48)+SUM(CD$37:CD$48)</f>
        <v>2787</v>
      </c>
      <c r="N111" s="106">
        <f>SUM(CF$37:CF$48)+SUM(CH$37:CH$48)+SUM(CJ$37:CJ$48)+SUM(CL$37:CL$48)</f>
        <v>2544</v>
      </c>
      <c r="O111" s="106">
        <f>SUM(CN$37:CN$48)+SUM(CP$37:CP$48)+SUM(CR$37:CR$48)+SUM(CT$37:CT$48)</f>
        <v>4123</v>
      </c>
    </row>
    <row r="112" spans="2:99" x14ac:dyDescent="0.2">
      <c r="C112" s="105" t="s">
        <v>129</v>
      </c>
      <c r="D112" s="106">
        <f>SUM(D$49:D$70)+SUM(F$49:F$70)+SUM(H$49:H$70)+SUM(J$49:J$70)</f>
        <v>3177</v>
      </c>
      <c r="E112" s="106">
        <f>SUM(L$49:L$70)+SUM(N$49:N$70)+SUM(P$49:P$70)+SUM(R$49:R$70)</f>
        <v>4207.7095635503911</v>
      </c>
      <c r="F112" s="106">
        <f>SUM(T$49:T$70)+SUM(V$49:V$70)+SUM(X$49:X$70)+SUM(Z$49:Z$70)</f>
        <v>3701.140406169266</v>
      </c>
      <c r="G112" s="106">
        <f>SUM(AB$49:AB$70)+SUM(AD$49:AD$70)+SUM(AF$49:AF$70)+SUM(AH$49:AH$70)</f>
        <v>4228.6147370462677</v>
      </c>
      <c r="H112" s="106">
        <f>SUM(AJ$49:AJ$70)+SUM(AL$49:AL$70)+SUM(AN$49:AN$70)+SUM(AP$49:AP$70)</f>
        <v>3152.8703775941622</v>
      </c>
      <c r="I112" s="106">
        <f>SUM(AR$49:AR$70)+SUM(AT$49:AT$70)+SUM(AV$49:AV$70)+SUM(AX$49:AX$70)</f>
        <v>3613.6233905579402</v>
      </c>
      <c r="J112" s="106">
        <f>SUM(AZ$49:AZ$70)+SUM(BB$49:BB$70)+SUM(BD$49:BD$70)+SUM(BF$49:BF$70)</f>
        <v>4369.0389393574114</v>
      </c>
      <c r="K112" s="106">
        <f>SUM(BH$49:BH$70)+SUM(BJ$49:BJ$70)+SUM(BL$49:BL$70)+SUM(BN$49:BN$70)</f>
        <v>4299.3540424155035</v>
      </c>
      <c r="L112" s="106">
        <f>SUM(BP$49:BP$70)+SUM(BR$49:BR$70)+SUM(BT$49:BT$70)+SUM(BV$49:BV$70)</f>
        <v>4560.7321145587057</v>
      </c>
      <c r="M112" s="106">
        <f>SUM(BX$49:BX$70)+SUM(BZ$49:BZ$70)+SUM(CB$49:CB$70)+SUM(CD$49:CD$70)</f>
        <v>3152.4306930693069</v>
      </c>
      <c r="N112" s="106">
        <f>SUM(CF$49:CF$70)+SUM(CH$49:CH$70)+SUM(CJ$49:CJ$70)+SUM(CL$49:CL$70)</f>
        <v>2934</v>
      </c>
      <c r="O112" s="106">
        <f>SUM(CN$49:CN$70)+SUM(CP$49:CP$70)+SUM(CR$49:CR$70)+SUM(CT$49:CT$70)</f>
        <v>3834.0962199312717</v>
      </c>
    </row>
    <row r="113" spans="2:15" x14ac:dyDescent="0.2">
      <c r="C113" s="105" t="s">
        <v>130</v>
      </c>
      <c r="D113" s="106">
        <f>SUM(D$71:D$86)+SUM(F$71:F$86)+SUM(H$71:H$86)+SUM(J$71:J$86)</f>
        <v>3164</v>
      </c>
      <c r="E113" s="106">
        <f>SUM(L$71:L$86)+SUM(N$71:N$86)+SUM(P$71:P$86)+SUM(R$71:R$86)</f>
        <v>3162.9174928398324</v>
      </c>
      <c r="F113" s="106">
        <f>SUM(T$71:T$86)+SUM(V$71:V$86)+SUM(X$71:X$86)+SUM(Z$71:Z$86)</f>
        <v>3248.791876859098</v>
      </c>
      <c r="G113" s="106">
        <f>SUM(AB$71:AB$86)+SUM(AD$71:AD$86)+SUM(AF$71:AF$86)+SUM(AH$71:AH$86)</f>
        <v>3308.0182960126904</v>
      </c>
      <c r="H113" s="106">
        <f>SUM(AJ$71:AJ$86)+SUM(AL$71:AL$86)+SUM(AN$71:AN$86)+SUM(AP$71:AP$86)</f>
        <v>2825.9252179943342</v>
      </c>
      <c r="I113" s="106">
        <f>SUM(AR$71:AR$86)+SUM(AT$71:AT$86)+SUM(AV$71:AV$86)+SUM(AX$71:AX$86)</f>
        <v>3236.5032188841201</v>
      </c>
      <c r="J113" s="106">
        <f>SUM(AZ$71:AZ$86)+SUM(BB$71:BB$86)+SUM(BD$71:BD$86)+SUM(BF$71:BF$86)</f>
        <v>3047.5617967144444</v>
      </c>
      <c r="K113" s="106">
        <f>SUM(BH$71:BH$86)+SUM(BJ$71:BJ$86)+SUM(BL$71:BL$86)+SUM(BN$71:BN$86)</f>
        <v>3030.4190691971239</v>
      </c>
      <c r="L113" s="106">
        <f>SUM(BP$71:BP$86)+SUM(BR$71:BR$86)+SUM(BT$71:BT$86)+SUM(BV$71:BV$86)</f>
        <v>3049.0059292383821</v>
      </c>
      <c r="M113" s="106">
        <f>SUM(BX$71:BX$86)+SUM(BZ$71:BZ$86)+SUM(CB$71:CB$86)+SUM(CD$71:CD$86)</f>
        <v>2672.0594059405939</v>
      </c>
      <c r="N113" s="106">
        <f>SUM(CF$71:CF$86)+SUM(CH$71:CH$86)+SUM(CJ$71:CJ$86)+SUM(CL$71:CL$86)</f>
        <v>2709</v>
      </c>
      <c r="O113" s="106">
        <f>SUM(CN$71:CN$86)+SUM(CP$71:CP$86)+SUM(CR$71:CR$86)+SUM(CT$71:CT$86)</f>
        <v>3930.2587137947962</v>
      </c>
    </row>
    <row r="114" spans="2:15" x14ac:dyDescent="0.2">
      <c r="C114" s="105" t="s">
        <v>131</v>
      </c>
      <c r="D114" s="106">
        <f>SUM(D$87:D$94)+SUM(F$87:F$94)+SUM(H$87:H$94)+SUM(J$87:J$94)</f>
        <v>978</v>
      </c>
      <c r="E114" s="106">
        <f>SUM(L$87:L$94)+SUM(N$87:N$94)+SUM(P$87:P$94)+SUM(R$87:R$94)</f>
        <v>1042.2769489697951</v>
      </c>
      <c r="F114" s="106">
        <f>SUM(T$87:T$94)+SUM(V$87:V$94)+SUM(X$87:X$94)+SUM(Z$87:Z$94)</f>
        <v>812.1537076352231</v>
      </c>
      <c r="G114" s="106">
        <f>SUM(AB$87:AB$94)+SUM(AD$87:AD$94)+SUM(AF$87:AF$94)+SUM(AH$87:AH$94)</f>
        <v>922.43044788255611</v>
      </c>
      <c r="H114" s="106">
        <f>SUM(AJ$87:AJ$94)+SUM(AL$87:AL$94)+SUM(AN$87:AN$94)+SUM(AP$87:AP$94)</f>
        <v>1279.897785973498</v>
      </c>
      <c r="I114" s="106">
        <f>SUM(AR$87:AR$94)+SUM(AT$87:AT$94)+SUM(AV$87:AV$94)+SUM(AX$87:AX$94)</f>
        <v>1152.3739270386266</v>
      </c>
      <c r="J114" s="106">
        <f>SUM(AZ$87:AZ$94)+SUM(BB$87:BB$94)+SUM(BD$87:BD$94)+SUM(BF$87:BF$94)</f>
        <v>1023.852867999552</v>
      </c>
      <c r="K114" s="106">
        <f>SUM(BH$87:BH$94)+SUM(BJ$87:BJ$94)+SUM(BL$87:BL$94)+SUM(BN$87:BN$94)</f>
        <v>970.01074129427661</v>
      </c>
      <c r="L114" s="106">
        <f>SUM(BP$87:BP$94)+SUM(BR$87:BR$94)+SUM(BT$87:BT$94)+SUM(BV$87:BV$94)</f>
        <v>999.80601596091856</v>
      </c>
      <c r="M114" s="106">
        <f>SUM(BX$87:BX$94)+SUM(BZ$87:BZ$94)+SUM(CB$87:CB$94)+SUM(CD$87:CD$94)</f>
        <v>890.60891089108918</v>
      </c>
      <c r="N114" s="106">
        <f>SUM(CF$87:CF$94)+SUM(CH$87:CH$94)+SUM(CJ$87:CJ$94)+SUM(CL$87:CL$94)</f>
        <v>891</v>
      </c>
      <c r="O114" s="106">
        <f>SUM(CN$87:CN$94)+SUM(CP$87:CP$94)+SUM(CR$87:CR$94)+SUM(CT$87:CT$94)</f>
        <v>1331.1428571428571</v>
      </c>
    </row>
    <row r="115" spans="2:15" x14ac:dyDescent="0.2">
      <c r="C115" s="105" t="s">
        <v>132</v>
      </c>
      <c r="D115" s="106">
        <f>SUM(D$95:D$105)+SUM(F$95:F$105)+SUM(H$95:H$105)+SUM(J$95:J$105)</f>
        <v>1009</v>
      </c>
      <c r="E115" s="106">
        <f>SUM(L$95:L$105)+SUM(N$95:N$105)+SUM(P$95:P$105)+SUM(R$95:R$105)</f>
        <v>927.09599463998154</v>
      </c>
      <c r="F115" s="106">
        <f>SUM(T$95:T$105)+SUM(V$95:V$105)+SUM(X$95:X$105)+SUM(Z$95:Z$105)</f>
        <v>1135.9140093364133</v>
      </c>
      <c r="G115" s="106">
        <f>SUM(AB$95:AB$105)+SUM(AD$95:AD$105)+SUM(AF$95:AF$105)+SUM(AH$95:AH$105)</f>
        <v>895.93651905848606</v>
      </c>
      <c r="H115" s="106">
        <f>SUM(AJ$95:AJ$105)+SUM(AL$95:AL$105)+SUM(AN$95:AN$105)+SUM(AP$95:AP$105)</f>
        <v>945.30661843800613</v>
      </c>
      <c r="I115" s="106">
        <f>SUM(AR$95:AR$105)+SUM(AT$95:AT$105)+SUM(AV$95:AV$105)+SUM(AX$95:AX$105)</f>
        <v>918.49946351931328</v>
      </c>
      <c r="J115" s="106">
        <f>SUM(AZ$95:AZ$105)+SUM(BB$95:BB$105)+SUM(BD$95:BD$105)+SUM(BF$95:BF$105)</f>
        <v>1024.5463959285928</v>
      </c>
      <c r="K115" s="106">
        <f>SUM(BH$95:BH$105)+SUM(BJ$95:BJ$105)+SUM(BL$95:BL$105)+SUM(BN$95:BN$105)</f>
        <v>1139.2161470930962</v>
      </c>
      <c r="L115" s="106">
        <f>SUM(BP$95:BP$105)+SUM(BR$95:BR$105)+SUM(BT$95:BT$105)+SUM(BV$95:BV$105)</f>
        <v>1083.4559402419939</v>
      </c>
      <c r="M115" s="106">
        <f>SUM(BX$95:BX$105)+SUM(BZ$95:BZ$105)+SUM(CB$95:CB$105)+SUM(CD$95:CD$105)</f>
        <v>914.90099009900985</v>
      </c>
      <c r="N115" s="106">
        <f>SUM(CF$95:CF$105)+SUM(CH$95:CH$105)+SUM(CJ$95:CJ$105)+SUM(CL$95:CL$105)</f>
        <v>831</v>
      </c>
      <c r="O115" s="106">
        <f>SUM(CN$95:CN$105)+SUM(CP$95:CP$105)+SUM(CR$95:CR$105)+SUM(CT$95:CT$105)</f>
        <v>1308.5022091310752</v>
      </c>
    </row>
    <row r="116" spans="2:15" x14ac:dyDescent="0.2">
      <c r="C116" s="105" t="s">
        <v>277</v>
      </c>
      <c r="D116" s="106">
        <f t="shared" ref="D116:O116" si="0">SUM(D$109:D$115)</f>
        <v>22085</v>
      </c>
      <c r="E116" s="106">
        <f t="shared" si="0"/>
        <v>23008</v>
      </c>
      <c r="F116" s="106">
        <f t="shared" si="0"/>
        <v>23932</v>
      </c>
      <c r="G116" s="106">
        <f t="shared" si="0"/>
        <v>24790</v>
      </c>
      <c r="H116" s="106">
        <f t="shared" si="0"/>
        <v>22818.000000000004</v>
      </c>
      <c r="I116" s="106">
        <f t="shared" si="0"/>
        <v>24952</v>
      </c>
      <c r="J116" s="106">
        <f t="shared" si="0"/>
        <v>22317</v>
      </c>
      <c r="K116" s="106">
        <f t="shared" si="0"/>
        <v>24884</v>
      </c>
      <c r="L116" s="106">
        <f t="shared" si="0"/>
        <v>25623</v>
      </c>
      <c r="M116" s="106">
        <f t="shared" si="0"/>
        <v>18366</v>
      </c>
      <c r="N116" s="106">
        <f t="shared" si="0"/>
        <v>18266</v>
      </c>
      <c r="O116" s="106">
        <f t="shared" si="0"/>
        <v>25353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7176000</v>
      </c>
      <c r="E120" s="106">
        <f>E109*pricing!E6*2000</f>
        <v>6238000</v>
      </c>
      <c r="F120" s="106">
        <f>F109*pricing!F6*2000</f>
        <v>6180000</v>
      </c>
      <c r="G120" s="106">
        <f>G109*pricing!G6*2000</f>
        <v>7112000</v>
      </c>
      <c r="H120" s="106">
        <f>H109*pricing!H6*2000</f>
        <v>7416000</v>
      </c>
      <c r="I120" s="106">
        <f>I109*pricing!I6*2000</f>
        <v>9290000</v>
      </c>
      <c r="J120" s="106">
        <f>J109*pricing!J6*2000</f>
        <v>7594000</v>
      </c>
      <c r="K120" s="106">
        <f>K109*pricing!K6*2000</f>
        <v>7210000</v>
      </c>
      <c r="L120" s="106">
        <f>L109*pricing!L6*2000</f>
        <v>8014000</v>
      </c>
      <c r="M120" s="106">
        <f>M109*pricing!M6*2000</f>
        <v>5875200</v>
      </c>
      <c r="N120" s="106">
        <f>N109*pricing!N6*2000</f>
        <v>7401599.9999999991</v>
      </c>
      <c r="O120" s="106">
        <f>O109*pricing!O6*2000</f>
        <v>8062000</v>
      </c>
    </row>
    <row r="121" spans="2:15" x14ac:dyDescent="0.2">
      <c r="C121" s="105" t="s">
        <v>127</v>
      </c>
      <c r="D121" s="106">
        <f>D110*pricing!D7*2000</f>
        <v>12530000</v>
      </c>
      <c r="E121" s="106">
        <f>E110*pricing!E7*2000</f>
        <v>12524000</v>
      </c>
      <c r="F121" s="106">
        <f>F110*pricing!F7*2000</f>
        <v>16578000</v>
      </c>
      <c r="G121" s="106">
        <f>G110*pricing!G7*2000</f>
        <v>15096000</v>
      </c>
      <c r="H121" s="106">
        <f>H110*pricing!H7*2000</f>
        <v>13598000</v>
      </c>
      <c r="I121" s="106">
        <f>I110*pricing!I7*2000</f>
        <v>15926000</v>
      </c>
      <c r="J121" s="106">
        <f>J110*pricing!J7*2000</f>
        <v>11728000</v>
      </c>
      <c r="K121" s="106">
        <f>K110*pricing!K7*2000</f>
        <v>16230000</v>
      </c>
      <c r="L121" s="106">
        <f>L110*pricing!L7*2000</f>
        <v>15968000</v>
      </c>
      <c r="M121" s="106">
        <f>M110*pricing!M7*2000</f>
        <v>13202400</v>
      </c>
      <c r="N121" s="106">
        <f>N110*pricing!N7*2000</f>
        <v>12655199.999999998</v>
      </c>
      <c r="O121" s="106">
        <f>O110*pricing!O7*2000</f>
        <v>13590000</v>
      </c>
    </row>
    <row r="122" spans="2:15" x14ac:dyDescent="0.2">
      <c r="C122" s="105" t="s">
        <v>128</v>
      </c>
      <c r="D122" s="106">
        <f>D111*pricing!D8*2000</f>
        <v>7808000</v>
      </c>
      <c r="E122" s="106">
        <f>E111*pricing!E8*2000</f>
        <v>8574000</v>
      </c>
      <c r="F122" s="106">
        <f>F111*pricing!F8*2000</f>
        <v>7310000</v>
      </c>
      <c r="G122" s="106">
        <f>G111*pricing!G8*2000</f>
        <v>8662000</v>
      </c>
      <c r="H122" s="106">
        <f>H111*pricing!H8*2000</f>
        <v>8214000</v>
      </c>
      <c r="I122" s="106">
        <f>I111*pricing!I8*2000</f>
        <v>6846000</v>
      </c>
      <c r="J122" s="106">
        <f>J111*pricing!J8*2000</f>
        <v>6382000</v>
      </c>
      <c r="K122" s="106">
        <f>K111*pricing!K8*2000</f>
        <v>7450000</v>
      </c>
      <c r="L122" s="106">
        <f>L111*pricing!L8*2000</f>
        <v>7878000</v>
      </c>
      <c r="M122" s="106">
        <f>M111*pricing!M8*2000</f>
        <v>6688800</v>
      </c>
      <c r="N122" s="106">
        <f>N111*pricing!N8*2000</f>
        <v>6105599.9999999991</v>
      </c>
      <c r="O122" s="106">
        <f>O111*pricing!O8*2000</f>
        <v>8246000</v>
      </c>
    </row>
    <row r="123" spans="2:15" x14ac:dyDescent="0.2">
      <c r="C123" s="105" t="s">
        <v>129</v>
      </c>
      <c r="D123" s="106">
        <f>D112*pricing!D9*2000</f>
        <v>7942500</v>
      </c>
      <c r="E123" s="106">
        <f>E112*pricing!E9*2000</f>
        <v>10519273.908875978</v>
      </c>
      <c r="F123" s="106">
        <f>F112*pricing!F9*2000</f>
        <v>9252851.0154231638</v>
      </c>
      <c r="G123" s="106">
        <f>G112*pricing!G9*2000</f>
        <v>10571536.84261567</v>
      </c>
      <c r="H123" s="106">
        <f>H112*pricing!H9*2000</f>
        <v>7882175.9439854054</v>
      </c>
      <c r="I123" s="106">
        <f>I112*pricing!I9*2000</f>
        <v>9034058.4763948508</v>
      </c>
      <c r="J123" s="106">
        <f>J112*pricing!J9*2000</f>
        <v>10922597.348393528</v>
      </c>
      <c r="K123" s="106">
        <f>K112*pricing!K9*2000</f>
        <v>10748385.106038759</v>
      </c>
      <c r="L123" s="106">
        <f>L112*pricing!L9*2000</f>
        <v>11401830.286396764</v>
      </c>
      <c r="M123" s="106">
        <f>M112*pricing!M9*2000</f>
        <v>9457292.0792079195</v>
      </c>
      <c r="N123" s="106">
        <f>N112*pricing!N9*2000</f>
        <v>8802000</v>
      </c>
      <c r="O123" s="106">
        <f>O112*pricing!O9*2000</f>
        <v>9585240.5498281792</v>
      </c>
    </row>
    <row r="124" spans="2:15" x14ac:dyDescent="0.2">
      <c r="C124" s="105" t="s">
        <v>130</v>
      </c>
      <c r="D124" s="106">
        <f>D113*pricing!D10*2000</f>
        <v>6328000</v>
      </c>
      <c r="E124" s="106">
        <f>E113*pricing!E10*2000</f>
        <v>6325834.9856796646</v>
      </c>
      <c r="F124" s="106">
        <f>F113*pricing!F10*2000</f>
        <v>6497583.7537181964</v>
      </c>
      <c r="G124" s="106">
        <f>G113*pricing!G10*2000</f>
        <v>6616036.5920253806</v>
      </c>
      <c r="H124" s="106">
        <f>H113*pricing!H10*2000</f>
        <v>5651850.4359886684</v>
      </c>
      <c r="I124" s="106">
        <f>I113*pricing!I10*2000</f>
        <v>6473006.4377682405</v>
      </c>
      <c r="J124" s="106">
        <f>J113*pricing!J10*2000</f>
        <v>6095123.5934288893</v>
      </c>
      <c r="K124" s="106">
        <f>K113*pricing!K10*2000</f>
        <v>6060838.1383942477</v>
      </c>
      <c r="L124" s="106">
        <f>L113*pricing!L10*2000</f>
        <v>6098011.8584767645</v>
      </c>
      <c r="M124" s="106">
        <f>M113*pricing!M10*2000</f>
        <v>6412942.574257425</v>
      </c>
      <c r="N124" s="106">
        <f>N113*pricing!N10*2000</f>
        <v>6501599.9999999991</v>
      </c>
      <c r="O124" s="106">
        <f>O113*pricing!O10*2000</f>
        <v>7860517.4275895925</v>
      </c>
    </row>
    <row r="125" spans="2:15" x14ac:dyDescent="0.2">
      <c r="C125" s="105" t="s">
        <v>131</v>
      </c>
      <c r="D125" s="106">
        <f>D114*pricing!D11*2000</f>
        <v>2445000</v>
      </c>
      <c r="E125" s="106">
        <f>E114*pricing!E11*2000</f>
        <v>2605692.3724244875</v>
      </c>
      <c r="F125" s="106">
        <f>F114*pricing!F11*2000</f>
        <v>2030384.2690880578</v>
      </c>
      <c r="G125" s="106">
        <f>G114*pricing!G11*2000</f>
        <v>2306076.1197063904</v>
      </c>
      <c r="H125" s="106">
        <f>H114*pricing!H11*2000</f>
        <v>3199744.4649337451</v>
      </c>
      <c r="I125" s="106">
        <f>I114*pricing!I11*2000</f>
        <v>2880934.8175965664</v>
      </c>
      <c r="J125" s="106">
        <f>J114*pricing!J11*2000</f>
        <v>2559632.1699988805</v>
      </c>
      <c r="K125" s="106">
        <f>K114*pricing!K11*2000</f>
        <v>2425026.8532356913</v>
      </c>
      <c r="L125" s="106">
        <f>L114*pricing!L11*2000</f>
        <v>2499515.0399022964</v>
      </c>
      <c r="M125" s="106">
        <f>M114*pricing!M11*2000</f>
        <v>2671826.7326732674</v>
      </c>
      <c r="N125" s="106">
        <f>N114*pricing!N11*2000</f>
        <v>2673000</v>
      </c>
      <c r="O125" s="106">
        <f>O114*pricing!O11*2000</f>
        <v>3327857.1428571427</v>
      </c>
    </row>
    <row r="126" spans="2:15" x14ac:dyDescent="0.2">
      <c r="C126" s="105" t="s">
        <v>132</v>
      </c>
      <c r="D126" s="106">
        <f>D115*pricing!D12*2000</f>
        <v>3027000</v>
      </c>
      <c r="E126" s="106">
        <f>E115*pricing!E12*2000</f>
        <v>2781287.9839199446</v>
      </c>
      <c r="F126" s="106">
        <f>F115*pricing!F12*2000</f>
        <v>3407742.02800924</v>
      </c>
      <c r="G126" s="106">
        <f>G115*pricing!G12*2000</f>
        <v>2687809.5571754584</v>
      </c>
      <c r="H126" s="106">
        <f>H115*pricing!H12*2000</f>
        <v>2835919.8553140187</v>
      </c>
      <c r="I126" s="106">
        <f>I115*pricing!I12*2000</f>
        <v>2755498.3905579397</v>
      </c>
      <c r="J126" s="106">
        <f>J115*pricing!J12*2000</f>
        <v>3073639.1877857787</v>
      </c>
      <c r="K126" s="106">
        <f>K115*pricing!K12*2000</f>
        <v>3417648.4412792888</v>
      </c>
      <c r="L126" s="106">
        <f>L115*pricing!L12*2000</f>
        <v>3250367.8207259816</v>
      </c>
      <c r="M126" s="106">
        <f>M115*pricing!M12*2000</f>
        <v>3202153.4653465347</v>
      </c>
      <c r="N126" s="106">
        <f>N115*pricing!N12*2000</f>
        <v>2908500</v>
      </c>
      <c r="O126" s="106">
        <f>O115*pricing!O12*2000</f>
        <v>3925506.6273932257</v>
      </c>
    </row>
    <row r="127" spans="2:15" x14ac:dyDescent="0.2">
      <c r="C127" s="105" t="s">
        <v>277</v>
      </c>
      <c r="D127" s="106">
        <f t="shared" ref="D127:O127" si="1">SUM(D$120:D$126)</f>
        <v>47256500</v>
      </c>
      <c r="E127" s="106">
        <f t="shared" si="1"/>
        <v>49568089.250900075</v>
      </c>
      <c r="F127" s="106">
        <f t="shared" si="1"/>
        <v>51256561.066238664</v>
      </c>
      <c r="G127" s="106">
        <f t="shared" si="1"/>
        <v>53051459.111522898</v>
      </c>
      <c r="H127" s="106">
        <f t="shared" si="1"/>
        <v>48797690.700221829</v>
      </c>
      <c r="I127" s="106">
        <f t="shared" si="1"/>
        <v>53205498.122317597</v>
      </c>
      <c r="J127" s="106">
        <f t="shared" si="1"/>
        <v>48354992.299607076</v>
      </c>
      <c r="K127" s="106">
        <f t="shared" si="1"/>
        <v>53541898.538947985</v>
      </c>
      <c r="L127" s="106">
        <f t="shared" si="1"/>
        <v>55109725.005501814</v>
      </c>
      <c r="M127" s="106">
        <f t="shared" si="1"/>
        <v>47510614.851485148</v>
      </c>
      <c r="N127" s="106">
        <f t="shared" si="1"/>
        <v>47047500</v>
      </c>
      <c r="O127" s="106">
        <f t="shared" si="1"/>
        <v>54597121.74766814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1803123.6</v>
      </c>
      <c r="E131" s="112">
        <f>SUM(M$6:M$19)+SUM(O$6:O$19)+SUM(Q$6:Q$19)+SUM(S$6:S$19)</f>
        <v>1565197.1999999997</v>
      </c>
      <c r="F131" s="112">
        <f>SUM(U$6:U$19)+SUM(W$6:W$19)+SUM(Y$6:Y$19)+SUM(AA$6:AA$19)</f>
        <v>1545253.2</v>
      </c>
      <c r="G131" s="112">
        <f>SUM(AC$6:AC$19)+SUM(AE$6:AE$19)+SUM(AG$6:AG$19)+SUM(AI$6:AI$19)</f>
        <v>1781187.6</v>
      </c>
      <c r="H131" s="112">
        <f>SUM(AK$6:AK$19)+SUM(AM$6:AM$19)+SUM(AO$6:AO$19)+SUM(AQ$6:AQ$19)</f>
        <v>1854832.7999999998</v>
      </c>
      <c r="I131" s="112">
        <f>SUM(AS$6:AS$19)+SUM(AU$6:AU$19)+SUM(AW$6:AW$19)+SUM(AY$6:AY$19)</f>
        <v>2323701.6</v>
      </c>
      <c r="J131" s="112">
        <f>SUM(BA$6:BA$19)+SUM(BC$6:BC$19)+SUM(BE$6:BE$19)+SUM(BG$6:BG$19)</f>
        <v>1890770.4</v>
      </c>
      <c r="K131" s="112">
        <f>SUM(BI$6:BI$19)+SUM(BK$6:BK$19)+SUM(BM$6:BM$19)+SUM(BO$6:BO$19)</f>
        <v>1800556.8</v>
      </c>
      <c r="L131" s="112">
        <f>SUM(BQ$6:BQ$19)+SUM(BS$6:BS$19)+SUM(BU$6:BU$19)+SUM(BW$6:BW$19)</f>
        <v>2002319.9999999998</v>
      </c>
      <c r="M131" s="112">
        <f>SUM(BY$6:BY$19)+SUM(CA$6:CA$19)+SUM(CC$6:CC$19)+SUM(CE$6:CE$19)</f>
        <v>1225772.3999999999</v>
      </c>
      <c r="N131" s="112">
        <f>SUM(CG$6:CG$19)+SUM(CI$6:CI$19)+SUM(CK$6:CK$19)+SUM(CM$6:CM$19)</f>
        <v>1544652</v>
      </c>
      <c r="O131" s="112">
        <f>SUM(CO$6:CO$19)+SUM(CQ$6:CQ$19)+SUM(CS$6:CS$19)+SUM(CU$6:CU$19)</f>
        <v>2002226.4</v>
      </c>
    </row>
    <row r="132" spans="2:15" x14ac:dyDescent="0.2">
      <c r="C132" s="111" t="s">
        <v>127</v>
      </c>
      <c r="D132" s="112">
        <f>SUM(E$20:E$36)+SUM(G$20:G$36)+SUM(I$20:I$36)+SUM(K$20:K$36)</f>
        <v>2636407.2000000002</v>
      </c>
      <c r="E132" s="112">
        <f>SUM(M$20:M$36)+SUM(O$20:O$36)+SUM(Q$20:Q$36)+SUM(S$20:S$36)</f>
        <v>2636613.5999999996</v>
      </c>
      <c r="F132" s="112">
        <f>SUM(U$20:U$36)+SUM(W$20:W$36)+SUM(Y$20:Y$36)+SUM(AA$20:AA$36)</f>
        <v>3493423.1999999997</v>
      </c>
      <c r="G132" s="112">
        <f>SUM(AC$20:AC$36)+SUM(AE$20:AE$36)+SUM(AG$20:AG$36)+SUM(AI$20:AI$36)</f>
        <v>3184664.3999999994</v>
      </c>
      <c r="H132" s="112">
        <f>SUM(AK$20:AK$36)+SUM(AM$20:AM$36)+SUM(AO$20:AO$36)+SUM(AQ$20:AQ$36)</f>
        <v>2863457.9999999995</v>
      </c>
      <c r="I132" s="112">
        <f>SUM(AS$20:AS$36)+SUM(AU$20:AU$36)+SUM(AW$20:AW$36)+SUM(AY$20:AY$36)</f>
        <v>3348376.8</v>
      </c>
      <c r="J132" s="112">
        <f>SUM(BA$20:BA$36)+SUM(BC$20:BC$36)+SUM(BE$20:BE$36)+SUM(BG$20:BG$36)</f>
        <v>2476213.2000000002</v>
      </c>
      <c r="K132" s="112">
        <f>SUM(BI$20:BI$36)+SUM(BK$20:BK$36)+SUM(BM$20:BM$36)+SUM(BO$20:BO$36)</f>
        <v>3424594.8</v>
      </c>
      <c r="L132" s="112">
        <f>SUM(BQ$20:BQ$36)+SUM(BS$20:BS$36)+SUM(BU$20:BU$36)+SUM(BW$20:BW$36)</f>
        <v>3375064.8</v>
      </c>
      <c r="M132" s="112">
        <f>SUM(BY$20:BY$36)+SUM(CA$20:CA$36)+SUM(CC$20:CC$36)+SUM(CE$20:CE$36)</f>
        <v>2342371.2000000002</v>
      </c>
      <c r="N132" s="112">
        <f>SUM(CG$20:CG$36)+SUM(CI$20:CI$36)+SUM(CK$20:CK$36)+SUM(CM$20:CM$36)</f>
        <v>2239162.8000000003</v>
      </c>
      <c r="O132" s="112">
        <f>SUM(CO$20:CO$36)+SUM(CQ$20:CQ$36)+SUM(CS$20:CS$36)+SUM(CU$20:CU$36)</f>
        <v>2861434.8</v>
      </c>
    </row>
    <row r="133" spans="2:15" x14ac:dyDescent="0.2">
      <c r="C133" s="111" t="s">
        <v>128</v>
      </c>
      <c r="D133" s="112">
        <f>SUM(E$37:E$48)+SUM(G$37:G$48)+SUM(I$37:I$48)+SUM(K$37:K$48)</f>
        <v>4040652</v>
      </c>
      <c r="E133" s="112">
        <f>SUM(M$37:M$48)+SUM(O$37:O$48)+SUM(Q$37:Q$48)+SUM(S$37:S$48)</f>
        <v>4462232.4000000004</v>
      </c>
      <c r="F133" s="112">
        <f>SUM(U$37:U$48)+SUM(W$37:W$48)+SUM(Y$37:Y$48)+SUM(AA$37:AA$48)</f>
        <v>3802832.4</v>
      </c>
      <c r="G133" s="112">
        <f>SUM(AC$37:AC$48)+SUM(AE$37:AE$48)+SUM(AG$37:AG$48)+SUM(AI$37:AI$48)</f>
        <v>4510414.8</v>
      </c>
      <c r="H133" s="112">
        <f>SUM(AK$37:AK$48)+SUM(AM$37:AM$48)+SUM(AO$37:AO$48)+SUM(AQ$37:AQ$48)</f>
        <v>4269514.8</v>
      </c>
      <c r="I133" s="112">
        <f>SUM(AS$37:AS$48)+SUM(AU$37:AU$48)+SUM(AW$37:AW$48)+SUM(AY$37:AY$48)</f>
        <v>3570324</v>
      </c>
      <c r="J133" s="112">
        <f>SUM(BA$37:BA$48)+SUM(BC$37:BC$48)+SUM(BE$37:BE$48)+SUM(BG$37:BG$48)</f>
        <v>3321850.8</v>
      </c>
      <c r="K133" s="112">
        <f>SUM(BI$37:BI$48)+SUM(BK$37:BK$48)+SUM(BM$37:BM$48)+SUM(BO$37:BO$48)</f>
        <v>3879276</v>
      </c>
      <c r="L133" s="112">
        <f>SUM(BQ$37:BQ$48)+SUM(BS$37:BS$48)+SUM(BU$37:BU$48)+SUM(BW$37:BW$48)</f>
        <v>4097356.8</v>
      </c>
      <c r="M133" s="112">
        <f>SUM(BY$37:BY$48)+SUM(CA$37:CA$48)+SUM(CC$37:CC$48)+SUM(CE$37:CE$48)</f>
        <v>2901021.6</v>
      </c>
      <c r="N133" s="112">
        <f>SUM(CG$37:CG$48)+SUM(CI$37:CI$48)+SUM(CK$37:CK$48)+SUM(CM$37:CM$48)</f>
        <v>2650137.5999999996</v>
      </c>
      <c r="O133" s="112">
        <f>SUM(CO$37:CO$48)+SUM(CQ$37:CQ$48)+SUM(CS$37:CS$48)+SUM(CU$37:CU$48)</f>
        <v>4289743.2</v>
      </c>
    </row>
    <row r="134" spans="2:15" x14ac:dyDescent="0.2">
      <c r="C134" s="111" t="s">
        <v>129</v>
      </c>
      <c r="D134" s="112">
        <f>SUM(E$49:E$70)+SUM(G$49:G$70)+SUM(I$49:I$70)+SUM(K$49:K$70)</f>
        <v>2664387.5999999996</v>
      </c>
      <c r="E134" s="112">
        <f>SUM(M$49:M$70)+SUM(O$49:O$70)+SUM(Q$49:Q$70)+SUM(S$49:S$70)</f>
        <v>3501707.703348679</v>
      </c>
      <c r="F134" s="112">
        <f>SUM(U$49:U$70)+SUM(W$49:W$70)+SUM(Y$49:Y$70)+SUM(AA$49:AA$70)</f>
        <v>3075561.851924845</v>
      </c>
      <c r="G134" s="112">
        <f>SUM(AC$49:AC$70)+SUM(AE$49:AE$70)+SUM(AG$49:AG$70)+SUM(AI$49:AI$70)</f>
        <v>3493685.5001976294</v>
      </c>
      <c r="H134" s="112">
        <f>SUM(AK$49:AK$70)+SUM(AM$49:AM$70)+SUM(AO$49:AO$70)+SUM(AQ$49:AQ$70)</f>
        <v>2623408.628315425</v>
      </c>
      <c r="I134" s="112">
        <f>SUM(AS$49:AS$70)+SUM(AU$49:AU$70)+SUM(AW$49:AW$70)+SUM(AY$49:AY$70)</f>
        <v>3026598.7493562233</v>
      </c>
      <c r="J134" s="112">
        <f>SUM(BA$49:BA$70)+SUM(BC$49:BC$70)+SUM(BE$49:BE$70)+SUM(BG$49:BG$70)</f>
        <v>3624212.0820846772</v>
      </c>
      <c r="K134" s="112">
        <f>SUM(BI$49:BI$70)+SUM(BK$49:BK$70)+SUM(BM$49:BM$70)+SUM(BO$49:BO$70)</f>
        <v>3563545.5056970655</v>
      </c>
      <c r="L134" s="112">
        <f>SUM(BQ$49:BQ$70)+SUM(BS$49:BS$70)+SUM(BU$49:BU$70)+SUM(BW$49:BW$70)</f>
        <v>3768558.9489423358</v>
      </c>
      <c r="M134" s="112">
        <f>SUM(BY$49:BY$70)+SUM(CA$49:CA$70)+SUM(CC$49:CC$70)+SUM(CE$49:CE$70)</f>
        <v>2655879.7485148516</v>
      </c>
      <c r="N134" s="112">
        <f>SUM(CG$49:CG$70)+SUM(CI$49:CI$70)+SUM(CK$49:CK$70)+SUM(CM$49:CM$70)</f>
        <v>2466125.9999999995</v>
      </c>
      <c r="O134" s="112">
        <f>SUM(CO$49:CO$70)+SUM(CQ$49:CQ$70)+SUM(CS$49:CS$70)+SUM(CU$49:CU$70)</f>
        <v>3201345.9899852732</v>
      </c>
    </row>
    <row r="135" spans="2:15" x14ac:dyDescent="0.2">
      <c r="C135" s="111" t="s">
        <v>130</v>
      </c>
      <c r="D135" s="112">
        <f>SUM(E$71:E$86)+SUM(G$71:G$86)+SUM(I$71:I$86)+SUM(K$71:K$86)</f>
        <v>1742442</v>
      </c>
      <c r="E135" s="112">
        <f>SUM(M$71:M$86)+SUM(O$71:O$86)+SUM(Q$71:Q$86)+SUM(S$71:S$86)</f>
        <v>1746131.8901421006</v>
      </c>
      <c r="F135" s="112">
        <f>SUM(U$71:U$86)+SUM(W$71:W$86)+SUM(Y$71:Y$86)+SUM(AA$71:AA$86)</f>
        <v>1788923.5533089591</v>
      </c>
      <c r="G135" s="112">
        <f>SUM(AC$71:AC$86)+SUM(AE$71:AE$86)+SUM(AG$71:AG$86)+SUM(AI$71:AI$86)</f>
        <v>1832327.1021870961</v>
      </c>
      <c r="H135" s="112">
        <f>SUM(AK$71:AK$86)+SUM(AM$71:AM$86)+SUM(AO$71:AO$86)+SUM(AQ$71:AQ$86)</f>
        <v>1552382.0613496932</v>
      </c>
      <c r="I135" s="112">
        <f>SUM(AS$71:AS$86)+SUM(AU$71:AU$86)+SUM(AW$71:AW$86)+SUM(AY$71:AY$86)</f>
        <v>1776163.068669528</v>
      </c>
      <c r="J135" s="112">
        <f>SUM(BA$71:BA$86)+SUM(BC$71:BC$86)+SUM(BE$71:BE$86)+SUM(BG$71:BG$86)</f>
        <v>1683549.3897114606</v>
      </c>
      <c r="K135" s="112">
        <f>SUM(BI$71:BI$86)+SUM(BK$71:BK$86)+SUM(BM$71:BM$86)+SUM(BO$71:BO$86)</f>
        <v>1666546.588625154</v>
      </c>
      <c r="L135" s="112">
        <f>SUM(BQ$71:BQ$86)+SUM(BS$71:BS$86)+SUM(BU$71:BU$86)+SUM(BW$71:BW$86)</f>
        <v>1674024.6275145418</v>
      </c>
      <c r="M135" s="112">
        <f>SUM(BY$71:BY$86)+SUM(CA$71:CA$86)+SUM(CC$71:CC$86)+SUM(CE$71:CE$86)</f>
        <v>1478974.6099009898</v>
      </c>
      <c r="N135" s="112">
        <f>SUM(CG$71:CG$86)+SUM(CI$71:CI$86)+SUM(CK$71:CK$86)+SUM(CM$71:CM$86)</f>
        <v>1496318.4</v>
      </c>
      <c r="O135" s="112">
        <f>SUM(CO$71:CO$86)+SUM(CQ$71:CQ$86)+SUM(CS$71:CS$86)+SUM(CU$71:CU$86)</f>
        <v>2174264.2992636226</v>
      </c>
    </row>
    <row r="136" spans="2:15" x14ac:dyDescent="0.2">
      <c r="C136" s="111" t="s">
        <v>131</v>
      </c>
      <c r="D136" s="112">
        <f>SUM(E$87:E$94)+SUM(G$87:G$94)+SUM(I$87:I$94)+SUM(K$87:K$94)</f>
        <v>1970389.1999999997</v>
      </c>
      <c r="E136" s="112">
        <f>SUM(M$87:M$94)+SUM(O$87:O$94)+SUM(Q$87:Q$94)+SUM(S$87:S$94)</f>
        <v>2106318.296120394</v>
      </c>
      <c r="F136" s="112">
        <f>SUM(U$87:U$94)+SUM(W$87:W$94)+SUM(Y$87:Y$94)+SUM(AA$87:AA$94)</f>
        <v>1643944.3231532755</v>
      </c>
      <c r="G136" s="112">
        <f>SUM(AC$87:AC$94)+SUM(AE$87:AE$94)+SUM(AG$87:AG$94)+SUM(AI$87:AI$94)</f>
        <v>1864882.8324562134</v>
      </c>
      <c r="H136" s="112">
        <f>SUM(AK$87:AK$94)+SUM(AM$87:AM$94)+SUM(AO$87:AO$94)+SUM(AQ$87:AQ$94)</f>
        <v>2589027.5912006334</v>
      </c>
      <c r="I136" s="112">
        <f>SUM(AS$87:AS$94)+SUM(AU$87:AU$94)+SUM(AW$87:AW$94)+SUM(AY$87:AY$94)</f>
        <v>2328039.9804721032</v>
      </c>
      <c r="J136" s="112">
        <f>SUM(BA$87:BA$94)+SUM(BC$87:BC$94)+SUM(BE$87:BE$94)+SUM(BG$87:BG$94)</f>
        <v>2068257.7256765829</v>
      </c>
      <c r="K136" s="112">
        <f>SUM(BI$87:BI$94)+SUM(BK$87:BK$94)+SUM(BM$87:BM$94)+SUM(BO$87:BO$94)</f>
        <v>1964860.0639107614</v>
      </c>
      <c r="L136" s="112">
        <f>SUM(BQ$87:BQ$94)+SUM(BS$87:BS$94)+SUM(BU$87:BU$94)+SUM(BW$87:BW$94)</f>
        <v>2021608.4539762556</v>
      </c>
      <c r="M136" s="112">
        <f>SUM(BY$87:BY$94)+SUM(CA$87:CA$94)+SUM(CC$87:CC$94)+SUM(CE$87:CE$94)</f>
        <v>1805666.1504950495</v>
      </c>
      <c r="N136" s="112">
        <f>SUM(CG$87:CG$94)+SUM(CI$87:CI$94)+SUM(CK$87:CK$94)+SUM(CM$87:CM$94)</f>
        <v>1812536.4</v>
      </c>
      <c r="O136" s="112">
        <f>SUM(CO$87:CO$94)+SUM(CQ$87:CQ$94)+SUM(CS$87:CS$94)+SUM(CU$87:CU$94)</f>
        <v>2692275.4215022088</v>
      </c>
    </row>
    <row r="137" spans="2:15" x14ac:dyDescent="0.2">
      <c r="C137" s="111" t="s">
        <v>132</v>
      </c>
      <c r="D137" s="112">
        <f>SUM(E$95:E$105)+SUM(G$95:G$105)+SUM(I$95:I$105)+SUM(K$95:K$105)</f>
        <v>1846610.4</v>
      </c>
      <c r="E137" s="112">
        <f>SUM(M$95:M$105)+SUM(O$95:O$105)+SUM(Q$95:Q$105)+SUM(S$95:S$105)</f>
        <v>1722275.7841063633</v>
      </c>
      <c r="F137" s="112">
        <f>SUM(U$95:U$105)+SUM(W$95:W$105)+SUM(Y$95:Y$105)+SUM(AA$95:AA$105)</f>
        <v>2103975.467334101</v>
      </c>
      <c r="G137" s="112">
        <f>SUM(AC$95:AC$105)+SUM(AE$95:AE$105)+SUM(AG$95:AG$105)+SUM(AI$95:AI$105)</f>
        <v>1658675.0364242096</v>
      </c>
      <c r="H137" s="112">
        <f>SUM(AK$95:AK$105)+SUM(AM$95:AM$105)+SUM(AO$95:AO$105)+SUM(AQ$95:AQ$105)</f>
        <v>1751047.1340922255</v>
      </c>
      <c r="I137" s="112">
        <f>SUM(AS$95:AS$105)+SUM(AU$95:AU$105)+SUM(AW$95:AW$105)+SUM(AY$95:AY$105)</f>
        <v>1710064.877253219</v>
      </c>
      <c r="J137" s="112">
        <f>SUM(BA$95:BA$105)+SUM(BC$95:BC$105)+SUM(BE$95:BE$105)+SUM(BG$95:BG$105)</f>
        <v>1903167.3541051559</v>
      </c>
      <c r="K137" s="112">
        <f>SUM(BI$95:BI$105)+SUM(BK$95:BK$105)+SUM(BM$95:BM$105)+SUM(BO$95:BO$105)</f>
        <v>2105335.8701653038</v>
      </c>
      <c r="L137" s="112">
        <f>SUM(BQ$95:BQ$105)+SUM(BS$95:BS$105)+SUM(BU$95:BU$105)+SUM(BW$95:BW$105)</f>
        <v>2008502.3229275469</v>
      </c>
      <c r="M137" s="112">
        <f>SUM(BY$95:BY$105)+SUM(CA$95:CA$105)+SUM(CC$95:CC$105)+SUM(CE$95:CE$105)</f>
        <v>1699875.3801980196</v>
      </c>
      <c r="N137" s="112">
        <f>SUM(CG$95:CG$105)+SUM(CI$95:CI$105)+SUM(CK$95:CK$105)+SUM(CM$95:CM$105)</f>
        <v>1545216</v>
      </c>
      <c r="O137" s="112">
        <f>SUM(CO$95:CO$105)+SUM(CQ$95:CQ$105)+SUM(CS$95:CS$105)+SUM(CU$95:CU$105)</f>
        <v>2416856.2544918996</v>
      </c>
    </row>
    <row r="138" spans="2:15" x14ac:dyDescent="0.2">
      <c r="C138" s="111" t="s">
        <v>277</v>
      </c>
      <c r="D138" s="106">
        <f t="shared" ref="D138:O138" si="2">SUM(D$131:D$137)</f>
        <v>16704012</v>
      </c>
      <c r="E138" s="106">
        <f t="shared" si="2"/>
        <v>17740476.873717535</v>
      </c>
      <c r="F138" s="106">
        <f t="shared" si="2"/>
        <v>17453913.995721184</v>
      </c>
      <c r="G138" s="106">
        <f t="shared" si="2"/>
        <v>18325837.271265149</v>
      </c>
      <c r="H138" s="106">
        <f t="shared" si="2"/>
        <v>17503671.014957976</v>
      </c>
      <c r="I138" s="106">
        <f t="shared" si="2"/>
        <v>18083269.075751074</v>
      </c>
      <c r="J138" s="106">
        <f t="shared" si="2"/>
        <v>16968020.951577876</v>
      </c>
      <c r="K138" s="106">
        <f t="shared" si="2"/>
        <v>18404715.628398284</v>
      </c>
      <c r="L138" s="106">
        <f t="shared" si="2"/>
        <v>18947435.953360677</v>
      </c>
      <c r="M138" s="106">
        <f t="shared" si="2"/>
        <v>14109561.089108914</v>
      </c>
      <c r="N138" s="106">
        <f t="shared" si="2"/>
        <v>13754149.200000001</v>
      </c>
      <c r="O138" s="106">
        <f t="shared" si="2"/>
        <v>19638146.365243003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271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0</v>
      </c>
      <c r="E6" s="106">
        <v>0</v>
      </c>
      <c r="F6" s="106">
        <v>0</v>
      </c>
      <c r="G6" s="106">
        <v>0</v>
      </c>
      <c r="H6" s="106">
        <v>28.852707413250169</v>
      </c>
      <c r="I6" s="106">
        <v>16688.405967823895</v>
      </c>
      <c r="J6" s="106">
        <v>4.7138984745308727</v>
      </c>
      <c r="K6" s="106">
        <v>2726.5188776686568</v>
      </c>
      <c r="L6" s="106">
        <v>64.27040793225801</v>
      </c>
      <c r="M6" s="106">
        <v>37174.003948018035</v>
      </c>
      <c r="N6" s="106">
        <v>8.2981145030414893</v>
      </c>
      <c r="O6" s="106">
        <v>4799.6294285591975</v>
      </c>
      <c r="P6" s="106">
        <v>33.99133827633441</v>
      </c>
      <c r="Q6" s="106">
        <v>19660.590059031823</v>
      </c>
      <c r="R6" s="106">
        <v>31.083369762243503</v>
      </c>
      <c r="S6" s="106">
        <v>17978.62107048164</v>
      </c>
      <c r="T6" s="106">
        <v>32.678958846206719</v>
      </c>
      <c r="U6" s="106">
        <v>18901.509796645965</v>
      </c>
      <c r="V6" s="106">
        <v>23.266477015604607</v>
      </c>
      <c r="W6" s="106">
        <v>13457.330305825704</v>
      </c>
      <c r="X6" s="106">
        <v>39.614838047805897</v>
      </c>
      <c r="Y6" s="106">
        <v>22913.22232685093</v>
      </c>
      <c r="Z6" s="106">
        <v>16.569399133420671</v>
      </c>
      <c r="AA6" s="106">
        <v>9583.740458770515</v>
      </c>
      <c r="AB6" s="106">
        <v>30.792221777447601</v>
      </c>
      <c r="AC6" s="106">
        <v>17810.221076075693</v>
      </c>
      <c r="AD6" s="106">
        <v>27.598975546663429</v>
      </c>
      <c r="AE6" s="106">
        <v>15963.247456190127</v>
      </c>
      <c r="AF6" s="106">
        <v>44.486706351865806</v>
      </c>
      <c r="AG6" s="106">
        <v>25731.110953919182</v>
      </c>
      <c r="AH6" s="106">
        <v>20.682542766424167</v>
      </c>
      <c r="AI6" s="106">
        <v>11962.782736099738</v>
      </c>
      <c r="AJ6" s="106">
        <v>33.168556986637483</v>
      </c>
      <c r="AK6" s="106">
        <v>19184.69336107112</v>
      </c>
      <c r="AL6" s="106">
        <v>27.239063801825623</v>
      </c>
      <c r="AM6" s="106">
        <v>15755.07450297594</v>
      </c>
      <c r="AN6" s="106">
        <v>35.179437996792771</v>
      </c>
      <c r="AO6" s="106">
        <v>20347.786937344939</v>
      </c>
      <c r="AP6" s="106">
        <v>32.262462636532945</v>
      </c>
      <c r="AQ6" s="106">
        <v>18660.608388970653</v>
      </c>
      <c r="AR6" s="106">
        <v>29.710871200284885</v>
      </c>
      <c r="AS6" s="106">
        <v>17184.767902244777</v>
      </c>
      <c r="AT6" s="106">
        <v>8.9640890828944944</v>
      </c>
      <c r="AU6" s="106">
        <v>5184.8291255461754</v>
      </c>
      <c r="AV6" s="106">
        <v>41</v>
      </c>
      <c r="AW6" s="106">
        <v>23714.399999999998</v>
      </c>
      <c r="AX6" s="106">
        <v>12.21152274002668</v>
      </c>
      <c r="AY6" s="106">
        <v>7063.144752831432</v>
      </c>
      <c r="AZ6" s="106">
        <v>42.195020025280471</v>
      </c>
      <c r="BA6" s="106">
        <v>24405.599582622224</v>
      </c>
      <c r="BB6" s="106">
        <v>24.922345103491047</v>
      </c>
      <c r="BC6" s="106">
        <v>14415.084407859222</v>
      </c>
      <c r="BD6" s="106">
        <v>41.20865573431584</v>
      </c>
      <c r="BE6" s="106">
        <v>23835.08647672828</v>
      </c>
      <c r="BF6" s="106">
        <v>36.920356522722159</v>
      </c>
      <c r="BG6" s="106">
        <v>21354.734212742496</v>
      </c>
      <c r="BH6" s="106">
        <v>40.799635271159651</v>
      </c>
      <c r="BI6" s="106">
        <v>23598.50904083874</v>
      </c>
      <c r="BJ6" s="106">
        <v>20.788107064419147</v>
      </c>
      <c r="BK6" s="106">
        <v>12023.841126060035</v>
      </c>
      <c r="BL6" s="106">
        <v>36.362874827748051</v>
      </c>
      <c r="BM6" s="106">
        <v>21032.286800369471</v>
      </c>
      <c r="BN6" s="106">
        <v>31.253372608392198</v>
      </c>
      <c r="BO6" s="106">
        <v>18076.950716694046</v>
      </c>
      <c r="BP6" s="106">
        <v>40.753418504830179</v>
      </c>
      <c r="BQ6" s="106">
        <v>23571.777263193773</v>
      </c>
      <c r="BR6" s="106">
        <v>4.1233392178754187</v>
      </c>
      <c r="BS6" s="106">
        <v>2384.939403619142</v>
      </c>
      <c r="BT6" s="106">
        <v>32.057543638934526</v>
      </c>
      <c r="BU6" s="106">
        <v>18542.08324075973</v>
      </c>
      <c r="BV6" s="106">
        <v>43.129283831645346</v>
      </c>
      <c r="BW6" s="106">
        <v>24945.977768223667</v>
      </c>
      <c r="BX6" s="106">
        <v>31.665106735957352</v>
      </c>
      <c r="BY6" s="106">
        <v>18315.097736077732</v>
      </c>
      <c r="BZ6" s="106">
        <v>3.9537677084032152</v>
      </c>
      <c r="CA6" s="106">
        <v>2286.8592425404195</v>
      </c>
      <c r="CB6" s="106">
        <v>33</v>
      </c>
      <c r="CC6" s="106">
        <v>19087.2</v>
      </c>
      <c r="CD6" s="106">
        <v>41</v>
      </c>
      <c r="CE6" s="106">
        <v>23714.399999999998</v>
      </c>
      <c r="CF6" s="106">
        <v>21.714443160180124</v>
      </c>
      <c r="CG6" s="106">
        <v>12559.633923848183</v>
      </c>
      <c r="CH6" s="106">
        <v>29.680339462517679</v>
      </c>
      <c r="CI6" s="106">
        <v>17167.108345120225</v>
      </c>
      <c r="CJ6" s="106">
        <v>33.534128167470968</v>
      </c>
      <c r="CK6" s="106">
        <v>19396.139732065207</v>
      </c>
      <c r="CL6" s="106">
        <v>34</v>
      </c>
      <c r="CM6" s="106">
        <v>19665.599999999999</v>
      </c>
      <c r="CN6" s="106">
        <v>55.359542497412818</v>
      </c>
      <c r="CO6" s="106">
        <v>32019.959380503573</v>
      </c>
      <c r="CP6" s="106">
        <v>34.617595925983423</v>
      </c>
      <c r="CQ6" s="106">
        <v>20022.817483588809</v>
      </c>
      <c r="CR6" s="106">
        <v>3.3350176843147104</v>
      </c>
      <c r="CS6" s="106">
        <v>1928.9742286076284</v>
      </c>
      <c r="CT6" s="106">
        <v>17.6459037570561</v>
      </c>
      <c r="CU6" s="106">
        <v>10206.390733081247</v>
      </c>
    </row>
    <row r="7" spans="1:99" x14ac:dyDescent="0.2">
      <c r="C7" s="105" t="s">
        <v>172</v>
      </c>
      <c r="D7" s="106">
        <v>0</v>
      </c>
      <c r="E7" s="106">
        <v>0</v>
      </c>
      <c r="F7" s="106">
        <v>0</v>
      </c>
      <c r="G7" s="106">
        <v>0</v>
      </c>
      <c r="H7" s="106">
        <v>28.852707413250169</v>
      </c>
      <c r="I7" s="106">
        <v>22747.474524606434</v>
      </c>
      <c r="J7" s="106">
        <v>4.7138984745308727</v>
      </c>
      <c r="K7" s="106">
        <v>3716.4375573201401</v>
      </c>
      <c r="L7" s="106">
        <v>58.761515823778744</v>
      </c>
      <c r="M7" s="106">
        <v>46327.579075467162</v>
      </c>
      <c r="N7" s="106">
        <v>7.4438968336107472</v>
      </c>
      <c r="O7" s="106">
        <v>5868.7682636187128</v>
      </c>
      <c r="P7" s="106">
        <v>36.509215185692511</v>
      </c>
      <c r="Q7" s="106">
        <v>28783.865252399974</v>
      </c>
      <c r="R7" s="106">
        <v>34.635754877928477</v>
      </c>
      <c r="S7" s="106">
        <v>27306.829145758809</v>
      </c>
      <c r="T7" s="106">
        <v>33.242389171141319</v>
      </c>
      <c r="U7" s="106">
        <v>26208.299622527815</v>
      </c>
      <c r="V7" s="106">
        <v>24.66246563654088</v>
      </c>
      <c r="W7" s="106">
        <v>19443.887907848828</v>
      </c>
      <c r="X7" s="106">
        <v>32.806037758339258</v>
      </c>
      <c r="Y7" s="106">
        <v>25864.280168674672</v>
      </c>
      <c r="Z7" s="106">
        <v>19.185620049223935</v>
      </c>
      <c r="AA7" s="106">
        <v>15125.94284680815</v>
      </c>
      <c r="AB7" s="106">
        <v>29.607905555238077</v>
      </c>
      <c r="AC7" s="106">
        <v>23342.872739749699</v>
      </c>
      <c r="AD7" s="106">
        <v>26.036769383644742</v>
      </c>
      <c r="AE7" s="106">
        <v>20527.388982065513</v>
      </c>
      <c r="AF7" s="106">
        <v>45.104577273419494</v>
      </c>
      <c r="AG7" s="106">
        <v>35560.44872236393</v>
      </c>
      <c r="AH7" s="106">
        <v>20.242488665010885</v>
      </c>
      <c r="AI7" s="106">
        <v>15959.178063494581</v>
      </c>
      <c r="AJ7" s="106">
        <v>28.353766456319139</v>
      </c>
      <c r="AK7" s="106">
        <v>22354.109474162007</v>
      </c>
      <c r="AL7" s="106">
        <v>28.266953001894514</v>
      </c>
      <c r="AM7" s="106">
        <v>22285.665746693634</v>
      </c>
      <c r="AN7" s="106">
        <v>36.39252206564769</v>
      </c>
      <c r="AO7" s="106">
        <v>28691.864396556637</v>
      </c>
      <c r="AP7" s="106">
        <v>29.901794638737851</v>
      </c>
      <c r="AQ7" s="106">
        <v>23574.574893180921</v>
      </c>
      <c r="AR7" s="106">
        <v>31.082142178759572</v>
      </c>
      <c r="AS7" s="106">
        <v>24505.160893734046</v>
      </c>
      <c r="AT7" s="106">
        <v>8.7603597855559823</v>
      </c>
      <c r="AU7" s="106">
        <v>6906.6676549323365</v>
      </c>
      <c r="AV7" s="106">
        <v>42</v>
      </c>
      <c r="AW7" s="106">
        <v>33112.799999999996</v>
      </c>
      <c r="AX7" s="106">
        <v>12.854234463185978</v>
      </c>
      <c r="AY7" s="106">
        <v>10134.278450775824</v>
      </c>
      <c r="AZ7" s="106">
        <v>45.864152201391818</v>
      </c>
      <c r="BA7" s="106">
        <v>36159.297595577307</v>
      </c>
      <c r="BB7" s="106">
        <v>23.223094300980293</v>
      </c>
      <c r="BC7" s="106">
        <v>18309.087546892861</v>
      </c>
      <c r="BD7" s="106">
        <v>42.307553220564266</v>
      </c>
      <c r="BE7" s="106">
        <v>33355.274959092865</v>
      </c>
      <c r="BF7" s="106">
        <v>35.423585312341537</v>
      </c>
      <c r="BG7" s="106">
        <v>27927.954660250067</v>
      </c>
      <c r="BH7" s="106">
        <v>33.704046528349274</v>
      </c>
      <c r="BI7" s="106">
        <v>26572.270282950565</v>
      </c>
      <c r="BJ7" s="106">
        <v>23.097896738243499</v>
      </c>
      <c r="BK7" s="106">
        <v>18210.381788431176</v>
      </c>
      <c r="BL7" s="106">
        <v>36.362874827748051</v>
      </c>
      <c r="BM7" s="106">
        <v>28668.490514196561</v>
      </c>
      <c r="BN7" s="106">
        <v>31.757459263366265</v>
      </c>
      <c r="BO7" s="106">
        <v>25037.580883237963</v>
      </c>
      <c r="BP7" s="106">
        <v>41.352733482842389</v>
      </c>
      <c r="BQ7" s="106">
        <v>32602.49507787294</v>
      </c>
      <c r="BR7" s="106">
        <v>3.9359147079719903</v>
      </c>
      <c r="BS7" s="106">
        <v>3103.075155765117</v>
      </c>
      <c r="BT7" s="106">
        <v>30.663737393763462</v>
      </c>
      <c r="BU7" s="106">
        <v>24175.290561243113</v>
      </c>
      <c r="BV7" s="106">
        <v>48.058344840976247</v>
      </c>
      <c r="BW7" s="106">
        <v>37889.19907262567</v>
      </c>
      <c r="BX7" s="106">
        <v>35.1069661637788</v>
      </c>
      <c r="BY7" s="106">
        <v>27678.332123523207</v>
      </c>
      <c r="BZ7" s="106">
        <v>4.0635945891921939</v>
      </c>
      <c r="CA7" s="106">
        <v>3203.7379741191257</v>
      </c>
      <c r="CB7" s="106">
        <v>30</v>
      </c>
      <c r="CC7" s="106">
        <v>23652</v>
      </c>
      <c r="CD7" s="106">
        <v>41</v>
      </c>
      <c r="CE7" s="106">
        <v>32324.399999999998</v>
      </c>
      <c r="CF7" s="106">
        <v>24.061950528848246</v>
      </c>
      <c r="CG7" s="106">
        <v>18970.441796943956</v>
      </c>
      <c r="CH7" s="106">
        <v>32.44130127298444</v>
      </c>
      <c r="CI7" s="106">
        <v>25576.721923620931</v>
      </c>
      <c r="CJ7" s="106">
        <v>35.587238055275314</v>
      </c>
      <c r="CK7" s="106">
        <v>28056.978482779057</v>
      </c>
      <c r="CL7" s="106">
        <v>35</v>
      </c>
      <c r="CM7" s="106">
        <v>27594</v>
      </c>
      <c r="CN7" s="106">
        <v>46.132952081177351</v>
      </c>
      <c r="CO7" s="106">
        <v>36371.219420800226</v>
      </c>
      <c r="CP7" s="106">
        <v>30.1794426021394</v>
      </c>
      <c r="CQ7" s="106">
        <v>23793.472547526701</v>
      </c>
      <c r="CR7" s="106">
        <v>3.8030903417623887</v>
      </c>
      <c r="CS7" s="106">
        <v>2998.3564254454673</v>
      </c>
      <c r="CT7" s="106">
        <v>18.081605084390816</v>
      </c>
      <c r="CU7" s="106">
        <v>14255.537448533718</v>
      </c>
    </row>
    <row r="8" spans="1:99" x14ac:dyDescent="0.2">
      <c r="C8" s="105" t="s">
        <v>173</v>
      </c>
      <c r="D8" s="106">
        <v>0</v>
      </c>
      <c r="E8" s="106">
        <v>0</v>
      </c>
      <c r="F8" s="106">
        <v>0</v>
      </c>
      <c r="G8" s="106">
        <v>0</v>
      </c>
      <c r="H8" s="106">
        <v>32.163673837721497</v>
      </c>
      <c r="I8" s="106">
        <v>9957.8734201585739</v>
      </c>
      <c r="J8" s="106">
        <v>5.2828172559397713</v>
      </c>
      <c r="K8" s="106">
        <v>1635.5602224389529</v>
      </c>
      <c r="L8" s="106">
        <v>63.352259247511462</v>
      </c>
      <c r="M8" s="106">
        <v>19613.859463029545</v>
      </c>
      <c r="N8" s="106">
        <v>9.0303010768392689</v>
      </c>
      <c r="O8" s="106">
        <v>2795.7812133894372</v>
      </c>
      <c r="P8" s="106">
        <v>39.027092095050619</v>
      </c>
      <c r="Q8" s="106">
        <v>12082.787712627671</v>
      </c>
      <c r="R8" s="106">
        <v>39.076236272534693</v>
      </c>
      <c r="S8" s="106">
        <v>12098.00274997674</v>
      </c>
      <c r="T8" s="106">
        <v>34.36924982101052</v>
      </c>
      <c r="U8" s="106">
        <v>10640.719744584856</v>
      </c>
      <c r="V8" s="106">
        <v>22.801147475292517</v>
      </c>
      <c r="W8" s="106">
        <v>7059.2352583505626</v>
      </c>
      <c r="X8" s="106">
        <v>35.900946980824088</v>
      </c>
      <c r="Y8" s="106">
        <v>11114.933185263137</v>
      </c>
      <c r="Z8" s="106">
        <v>20.929767326426109</v>
      </c>
      <c r="AA8" s="106">
        <v>6479.8559642615228</v>
      </c>
      <c r="AB8" s="106">
        <v>32.568696110761884</v>
      </c>
      <c r="AC8" s="106">
        <v>10083.268315891879</v>
      </c>
      <c r="AD8" s="106">
        <v>24.474563220626059</v>
      </c>
      <c r="AE8" s="106">
        <v>7577.3247731058273</v>
      </c>
      <c r="AF8" s="106">
        <v>50.04754464584903</v>
      </c>
      <c r="AG8" s="106">
        <v>15494.719822354858</v>
      </c>
      <c r="AH8" s="106">
        <v>21.562650969250729</v>
      </c>
      <c r="AI8" s="106">
        <v>6675.7967400800253</v>
      </c>
      <c r="AJ8" s="106">
        <v>31.028650084273774</v>
      </c>
      <c r="AK8" s="106">
        <v>9606.4700660911603</v>
      </c>
      <c r="AL8" s="106">
        <v>29.294842201963405</v>
      </c>
      <c r="AM8" s="106">
        <v>9069.6831457278695</v>
      </c>
      <c r="AN8" s="106">
        <v>38.818690203357534</v>
      </c>
      <c r="AO8" s="106">
        <v>12018.266486959492</v>
      </c>
      <c r="AP8" s="106">
        <v>29.114905306139487</v>
      </c>
      <c r="AQ8" s="106">
        <v>9013.9746827807849</v>
      </c>
      <c r="AR8" s="106">
        <v>30.167961526443115</v>
      </c>
      <c r="AS8" s="106">
        <v>9340.0008885867865</v>
      </c>
      <c r="AT8" s="106">
        <v>10.593923461602584</v>
      </c>
      <c r="AU8" s="106">
        <v>3279.8787037121597</v>
      </c>
      <c r="AV8" s="106">
        <v>50</v>
      </c>
      <c r="AW8" s="106">
        <v>15479.999999999998</v>
      </c>
      <c r="AX8" s="106">
        <v>12.854234463185978</v>
      </c>
      <c r="AY8" s="106">
        <v>3979.6709898023787</v>
      </c>
      <c r="AZ8" s="106">
        <v>46.781435245419651</v>
      </c>
      <c r="BA8" s="106">
        <v>14483.532351981923</v>
      </c>
      <c r="BB8" s="106">
        <v>24.922345103491047</v>
      </c>
      <c r="BC8" s="106">
        <v>7715.9580440408272</v>
      </c>
      <c r="BD8" s="106">
        <v>41.75810447744005</v>
      </c>
      <c r="BE8" s="106">
        <v>12928.309146215437</v>
      </c>
      <c r="BF8" s="106">
        <v>36.920356522722159</v>
      </c>
      <c r="BG8" s="106">
        <v>11430.542379434779</v>
      </c>
      <c r="BH8" s="106">
        <v>37.251840899754463</v>
      </c>
      <c r="BI8" s="106">
        <v>11533.16994256398</v>
      </c>
      <c r="BJ8" s="106">
        <v>24.637756520793069</v>
      </c>
      <c r="BK8" s="106">
        <v>7627.8494188375334</v>
      </c>
      <c r="BL8" s="106">
        <v>36.362874827748051</v>
      </c>
      <c r="BM8" s="106">
        <v>11257.946046670795</v>
      </c>
      <c r="BN8" s="106">
        <v>32.765632573314399</v>
      </c>
      <c r="BO8" s="106">
        <v>10144.239844698137</v>
      </c>
      <c r="BP8" s="106">
        <v>40.15410352681797</v>
      </c>
      <c r="BQ8" s="106">
        <v>12431.710451902842</v>
      </c>
      <c r="BR8" s="106">
        <v>4.2482888911443712</v>
      </c>
      <c r="BS8" s="106">
        <v>1315.2702406982971</v>
      </c>
      <c r="BT8" s="106">
        <v>34.380554047552977</v>
      </c>
      <c r="BU8" s="106">
        <v>10644.219533122401</v>
      </c>
      <c r="BV8" s="106">
        <v>44.977681710144431</v>
      </c>
      <c r="BW8" s="106">
        <v>13925.090257460713</v>
      </c>
      <c r="BX8" s="106">
        <v>37.172081820471675</v>
      </c>
      <c r="BY8" s="106">
        <v>11508.476531618029</v>
      </c>
      <c r="BZ8" s="106">
        <v>3.8439408276142371</v>
      </c>
      <c r="CA8" s="106">
        <v>1190.0840802293676</v>
      </c>
      <c r="CB8" s="106">
        <v>32</v>
      </c>
      <c r="CC8" s="106">
        <v>9907.1999999999989</v>
      </c>
      <c r="CD8" s="106">
        <v>42</v>
      </c>
      <c r="CE8" s="106">
        <v>13003.199999999999</v>
      </c>
      <c r="CF8" s="106">
        <v>25.822581055349339</v>
      </c>
      <c r="CG8" s="106">
        <v>7994.6710947361544</v>
      </c>
      <c r="CH8" s="106">
        <v>31.060820367751063</v>
      </c>
      <c r="CI8" s="106">
        <v>9616.4299858557279</v>
      </c>
      <c r="CJ8" s="106">
        <v>35.587238055275314</v>
      </c>
      <c r="CK8" s="106">
        <v>11017.808901913237</v>
      </c>
      <c r="CL8" s="106">
        <v>39</v>
      </c>
      <c r="CM8" s="106">
        <v>12074.399999999998</v>
      </c>
      <c r="CN8" s="106">
        <v>49.488075868899344</v>
      </c>
      <c r="CO8" s="106">
        <v>15321.508289011235</v>
      </c>
      <c r="CP8" s="106">
        <v>32.842334596445816</v>
      </c>
      <c r="CQ8" s="106">
        <v>10167.986791059624</v>
      </c>
      <c r="CR8" s="106">
        <v>4.0956357526671878</v>
      </c>
      <c r="CS8" s="106">
        <v>1268.0088290257613</v>
      </c>
      <c r="CT8" s="106">
        <v>18.735157075392895</v>
      </c>
      <c r="CU8" s="106">
        <v>5800.4046305416396</v>
      </c>
    </row>
    <row r="9" spans="1:99" x14ac:dyDescent="0.2">
      <c r="C9" s="105" t="s">
        <v>174</v>
      </c>
      <c r="D9" s="106">
        <v>0</v>
      </c>
      <c r="E9" s="106">
        <v>0</v>
      </c>
      <c r="F9" s="106">
        <v>0</v>
      </c>
      <c r="G9" s="106">
        <v>0</v>
      </c>
      <c r="H9" s="106">
        <v>28.379712209754267</v>
      </c>
      <c r="I9" s="106">
        <v>19922.557971247494</v>
      </c>
      <c r="J9" s="106">
        <v>5.1202690326800857</v>
      </c>
      <c r="K9" s="106">
        <v>3594.4288609414202</v>
      </c>
      <c r="L9" s="106">
        <v>53.252623715299492</v>
      </c>
      <c r="M9" s="106">
        <v>37383.34184814024</v>
      </c>
      <c r="N9" s="106">
        <v>8.420145598674452</v>
      </c>
      <c r="O9" s="106">
        <v>5910.9422102694652</v>
      </c>
      <c r="P9" s="106">
        <v>37.768153640371558</v>
      </c>
      <c r="Q9" s="106">
        <v>26513.243855540833</v>
      </c>
      <c r="R9" s="106">
        <v>31.083369762243503</v>
      </c>
      <c r="S9" s="106">
        <v>21820.525573094939</v>
      </c>
      <c r="T9" s="106">
        <v>34.36924982101052</v>
      </c>
      <c r="U9" s="106">
        <v>24127.213374349383</v>
      </c>
      <c r="V9" s="106">
        <v>21.405158854356237</v>
      </c>
      <c r="W9" s="106">
        <v>15026.421515758078</v>
      </c>
      <c r="X9" s="106">
        <v>38.995856203308925</v>
      </c>
      <c r="Y9" s="106">
        <v>27375.091054722867</v>
      </c>
      <c r="Z9" s="106">
        <v>18.313546410622845</v>
      </c>
      <c r="AA9" s="106">
        <v>12856.109580257236</v>
      </c>
      <c r="AB9" s="106">
        <v>33.16085422186665</v>
      </c>
      <c r="AC9" s="106">
        <v>23278.919663750388</v>
      </c>
      <c r="AD9" s="106">
        <v>27.078240158990532</v>
      </c>
      <c r="AE9" s="106">
        <v>19008.924591611354</v>
      </c>
      <c r="AF9" s="106">
        <v>42.015222665651038</v>
      </c>
      <c r="AG9" s="106">
        <v>29494.686311287027</v>
      </c>
      <c r="AH9" s="106">
        <v>19.362380462184326</v>
      </c>
      <c r="AI9" s="106">
        <v>13592.391084453397</v>
      </c>
      <c r="AJ9" s="106">
        <v>28.888743181910066</v>
      </c>
      <c r="AK9" s="106">
        <v>20279.897713700866</v>
      </c>
      <c r="AL9" s="106">
        <v>25.18328540168784</v>
      </c>
      <c r="AM9" s="106">
        <v>17678.666351984863</v>
      </c>
      <c r="AN9" s="106">
        <v>32.75326985908292</v>
      </c>
      <c r="AO9" s="106">
        <v>22992.79544107621</v>
      </c>
      <c r="AP9" s="106">
        <v>28.328015973541124</v>
      </c>
      <c r="AQ9" s="106">
        <v>19886.267213425868</v>
      </c>
      <c r="AR9" s="106">
        <v>31.539232504917802</v>
      </c>
      <c r="AS9" s="106">
        <v>22140.541218452297</v>
      </c>
      <c r="AT9" s="106">
        <v>9.9827355695870494</v>
      </c>
      <c r="AU9" s="106">
        <v>7007.8803698501088</v>
      </c>
      <c r="AV9" s="106">
        <v>41</v>
      </c>
      <c r="AW9" s="106">
        <v>28782</v>
      </c>
      <c r="AX9" s="106">
        <v>13.496946186345276</v>
      </c>
      <c r="AY9" s="106">
        <v>9474.8562228143837</v>
      </c>
      <c r="AZ9" s="106">
        <v>38.525887849169131</v>
      </c>
      <c r="BA9" s="106">
        <v>27045.173270116731</v>
      </c>
      <c r="BB9" s="106">
        <v>23.789511235150545</v>
      </c>
      <c r="BC9" s="106">
        <v>16700.236887075684</v>
      </c>
      <c r="BD9" s="106">
        <v>41.75810447744005</v>
      </c>
      <c r="BE9" s="106">
        <v>29314.189343162914</v>
      </c>
      <c r="BF9" s="106">
        <v>37.419280259515709</v>
      </c>
      <c r="BG9" s="106">
        <v>26268.334742180028</v>
      </c>
      <c r="BH9" s="106">
        <v>33.704046528349274</v>
      </c>
      <c r="BI9" s="106">
        <v>23660.240662901189</v>
      </c>
      <c r="BJ9" s="106">
        <v>23.097896738243499</v>
      </c>
      <c r="BK9" s="106">
        <v>16214.723510246937</v>
      </c>
      <c r="BL9" s="106">
        <v>33.601137499058332</v>
      </c>
      <c r="BM9" s="106">
        <v>23587.998524338949</v>
      </c>
      <c r="BN9" s="106">
        <v>31.757459263366265</v>
      </c>
      <c r="BO9" s="106">
        <v>22293.736402883118</v>
      </c>
      <c r="BP9" s="106">
        <v>40.753418504830179</v>
      </c>
      <c r="BQ9" s="106">
        <v>28608.899790390788</v>
      </c>
      <c r="BR9" s="106">
        <v>3.3736411782617064</v>
      </c>
      <c r="BS9" s="106">
        <v>2368.2961071397181</v>
      </c>
      <c r="BT9" s="106">
        <v>29.269931148592395</v>
      </c>
      <c r="BU9" s="106">
        <v>20547.49166631186</v>
      </c>
      <c r="BV9" s="106">
        <v>47.442212214809878</v>
      </c>
      <c r="BW9" s="106">
        <v>33304.432974796531</v>
      </c>
      <c r="BX9" s="106">
        <v>36.483709934907381</v>
      </c>
      <c r="BY9" s="106">
        <v>25611.56437430498</v>
      </c>
      <c r="BZ9" s="106">
        <v>3.5144601852473025</v>
      </c>
      <c r="CA9" s="106">
        <v>2467.1510500436066</v>
      </c>
      <c r="CB9" s="106">
        <v>29</v>
      </c>
      <c r="CC9" s="106">
        <v>20358</v>
      </c>
      <c r="CD9" s="106">
        <v>41</v>
      </c>
      <c r="CE9" s="106">
        <v>28782</v>
      </c>
      <c r="CF9" s="106">
        <v>23.475073686681213</v>
      </c>
      <c r="CG9" s="106">
        <v>16479.501728050211</v>
      </c>
      <c r="CH9" s="106">
        <v>30.370579915134371</v>
      </c>
      <c r="CI9" s="106">
        <v>21320.147100424329</v>
      </c>
      <c r="CJ9" s="106">
        <v>32.165388242268072</v>
      </c>
      <c r="CK9" s="106">
        <v>22580.102546072187</v>
      </c>
      <c r="CL9" s="106">
        <v>34</v>
      </c>
      <c r="CM9" s="106">
        <v>23868</v>
      </c>
      <c r="CN9" s="106">
        <v>47.810513975038347</v>
      </c>
      <c r="CO9" s="106">
        <v>33562.980810476918</v>
      </c>
      <c r="CP9" s="106">
        <v>34.17378059359902</v>
      </c>
      <c r="CQ9" s="106">
        <v>23989.993976706512</v>
      </c>
      <c r="CR9" s="106">
        <v>3.3935267664956701</v>
      </c>
      <c r="CS9" s="106">
        <v>2382.2557900799602</v>
      </c>
      <c r="CT9" s="106">
        <v>16.992351766054021</v>
      </c>
      <c r="CU9" s="106">
        <v>11928.630939769922</v>
      </c>
    </row>
    <row r="10" spans="1:99" x14ac:dyDescent="0.2">
      <c r="C10" s="105" t="s">
        <v>175</v>
      </c>
      <c r="D10" s="106">
        <v>0</v>
      </c>
      <c r="E10" s="106">
        <v>0</v>
      </c>
      <c r="F10" s="106">
        <v>0</v>
      </c>
      <c r="G10" s="106">
        <v>0</v>
      </c>
      <c r="H10" s="106">
        <v>33.109664244713308</v>
      </c>
      <c r="I10" s="106">
        <v>18038.145080519807</v>
      </c>
      <c r="J10" s="106">
        <v>5.0389949210502429</v>
      </c>
      <c r="K10" s="106">
        <v>2745.2444329881723</v>
      </c>
      <c r="L10" s="106">
        <v>56.007069769539122</v>
      </c>
      <c r="M10" s="106">
        <v>30512.651610444911</v>
      </c>
      <c r="N10" s="106">
        <v>7.6879590248766734</v>
      </c>
      <c r="O10" s="106">
        <v>4188.4000767528114</v>
      </c>
      <c r="P10" s="106">
        <v>39.027092095050619</v>
      </c>
      <c r="Q10" s="106">
        <v>21261.959773383576</v>
      </c>
      <c r="R10" s="106">
        <v>35.523851156849716</v>
      </c>
      <c r="S10" s="106">
        <v>19353.394110251724</v>
      </c>
      <c r="T10" s="106">
        <v>30.425237546468328</v>
      </c>
      <c r="U10" s="106">
        <v>16575.669415315944</v>
      </c>
      <c r="V10" s="106">
        <v>21.870488394668328</v>
      </c>
      <c r="W10" s="106">
        <v>11915.042077415304</v>
      </c>
      <c r="X10" s="106">
        <v>34.044001447333187</v>
      </c>
      <c r="Y10" s="106">
        <v>18547.171988507118</v>
      </c>
      <c r="Z10" s="106">
        <v>17.005435952721214</v>
      </c>
      <c r="AA10" s="106">
        <v>9264.5615070425174</v>
      </c>
      <c r="AB10" s="106">
        <v>31.38437988855236</v>
      </c>
      <c r="AC10" s="106">
        <v>17098.210163283326</v>
      </c>
      <c r="AD10" s="106">
        <v>27.078240158990532</v>
      </c>
      <c r="AE10" s="106">
        <v>14752.225238618041</v>
      </c>
      <c r="AF10" s="106">
        <v>42.015222665651038</v>
      </c>
      <c r="AG10" s="106">
        <v>22889.893308246683</v>
      </c>
      <c r="AH10" s="106">
        <v>22.002705070664007</v>
      </c>
      <c r="AI10" s="106">
        <v>11987.073722497749</v>
      </c>
      <c r="AJ10" s="106">
        <v>28.888743181910066</v>
      </c>
      <c r="AK10" s="106">
        <v>15738.587285504602</v>
      </c>
      <c r="AL10" s="106">
        <v>26.725119201791177</v>
      </c>
      <c r="AM10" s="106">
        <v>14559.844941135832</v>
      </c>
      <c r="AN10" s="106">
        <v>35.179437996792771</v>
      </c>
      <c r="AO10" s="106">
        <v>19165.7578206527</v>
      </c>
      <c r="AP10" s="106">
        <v>27.934571307241939</v>
      </c>
      <c r="AQ10" s="106">
        <v>15218.754448185407</v>
      </c>
      <c r="AR10" s="106">
        <v>30.167961526443115</v>
      </c>
      <c r="AS10" s="106">
        <v>16435.505439606208</v>
      </c>
      <c r="AT10" s="106">
        <v>10.186464866925562</v>
      </c>
      <c r="AU10" s="106">
        <v>5549.5860595010454</v>
      </c>
      <c r="AV10" s="106">
        <v>46</v>
      </c>
      <c r="AW10" s="106">
        <v>25060.799999999999</v>
      </c>
      <c r="AX10" s="106">
        <v>12.532878601606329</v>
      </c>
      <c r="AY10" s="106">
        <v>6827.9122621551278</v>
      </c>
      <c r="AZ10" s="106">
        <v>43.112303069308304</v>
      </c>
      <c r="BA10" s="106">
        <v>23487.582712159161</v>
      </c>
      <c r="BB10" s="106">
        <v>24.922345103491047</v>
      </c>
      <c r="BC10" s="106">
        <v>13577.693612381921</v>
      </c>
      <c r="BD10" s="106">
        <v>46.153694422433738</v>
      </c>
      <c r="BE10" s="106">
        <v>25144.532721341897</v>
      </c>
      <c r="BF10" s="106">
        <v>33.926814101960908</v>
      </c>
      <c r="BG10" s="106">
        <v>18483.328322748301</v>
      </c>
      <c r="BH10" s="106">
        <v>38.434439023556187</v>
      </c>
      <c r="BI10" s="106">
        <v>20939.082380033407</v>
      </c>
      <c r="BJ10" s="106">
        <v>23.867826629518284</v>
      </c>
      <c r="BK10" s="106">
        <v>13003.191947761559</v>
      </c>
      <c r="BL10" s="106">
        <v>33.140847944276707</v>
      </c>
      <c r="BM10" s="106">
        <v>18055.133960041949</v>
      </c>
      <c r="BN10" s="106">
        <v>33.269719228288466</v>
      </c>
      <c r="BO10" s="106">
        <v>18125.343035571554</v>
      </c>
      <c r="BP10" s="106">
        <v>37.756843614769139</v>
      </c>
      <c r="BQ10" s="106">
        <v>20569.928401326226</v>
      </c>
      <c r="BR10" s="106">
        <v>3.8734398713375149</v>
      </c>
      <c r="BS10" s="106">
        <v>2110.2500419046778</v>
      </c>
      <c r="BT10" s="106">
        <v>32.522145720658216</v>
      </c>
      <c r="BU10" s="106">
        <v>17718.064988614595</v>
      </c>
      <c r="BV10" s="106">
        <v>42.513151205478991</v>
      </c>
      <c r="BW10" s="106">
        <v>23161.164776744954</v>
      </c>
      <c r="BX10" s="106">
        <v>37.172081820471675</v>
      </c>
      <c r="BY10" s="106">
        <v>20251.350175792966</v>
      </c>
      <c r="BZ10" s="106">
        <v>3.9537677084032152</v>
      </c>
      <c r="CA10" s="106">
        <v>2154.0126475380716</v>
      </c>
      <c r="CB10" s="106">
        <v>29</v>
      </c>
      <c r="CC10" s="106">
        <v>15799.199999999999</v>
      </c>
      <c r="CD10" s="106">
        <v>46</v>
      </c>
      <c r="CE10" s="106">
        <v>25060.799999999999</v>
      </c>
      <c r="CF10" s="106">
        <v>21.714443160180124</v>
      </c>
      <c r="CG10" s="106">
        <v>11830.02863366613</v>
      </c>
      <c r="CH10" s="106">
        <v>31.751060820367751</v>
      </c>
      <c r="CI10" s="106">
        <v>17297.977934936349</v>
      </c>
      <c r="CJ10" s="106">
        <v>32.165388242268072</v>
      </c>
      <c r="CK10" s="106">
        <v>17523.703514387646</v>
      </c>
      <c r="CL10" s="106">
        <v>38</v>
      </c>
      <c r="CM10" s="106">
        <v>20702.399999999998</v>
      </c>
      <c r="CN10" s="106">
        <v>50.326856815829842</v>
      </c>
      <c r="CO10" s="106">
        <v>27418.071593264096</v>
      </c>
      <c r="CP10" s="106">
        <v>35.50522659075223</v>
      </c>
      <c r="CQ10" s="106">
        <v>19343.247446641813</v>
      </c>
      <c r="CR10" s="106">
        <v>3.8030903417623887</v>
      </c>
      <c r="CS10" s="106">
        <v>2071.9236181921492</v>
      </c>
      <c r="CT10" s="106">
        <v>20.695813048399128</v>
      </c>
      <c r="CU10" s="106">
        <v>11275.078948767843</v>
      </c>
    </row>
    <row r="11" spans="1:99" x14ac:dyDescent="0.2">
      <c r="C11" s="105" t="s">
        <v>176</v>
      </c>
      <c r="D11" s="106">
        <v>0</v>
      </c>
      <c r="E11" s="106">
        <v>0</v>
      </c>
      <c r="F11" s="106">
        <v>0</v>
      </c>
      <c r="G11" s="106">
        <v>0</v>
      </c>
      <c r="H11" s="106">
        <v>28.379712209754267</v>
      </c>
      <c r="I11" s="106">
        <v>15120.710665357072</v>
      </c>
      <c r="J11" s="106">
        <v>5.1202690326800857</v>
      </c>
      <c r="K11" s="106">
        <v>2728.0793406119496</v>
      </c>
      <c r="L11" s="106">
        <v>56.007069769539122</v>
      </c>
      <c r="M11" s="106">
        <v>29840.566773210441</v>
      </c>
      <c r="N11" s="106">
        <v>8.9082699812063044</v>
      </c>
      <c r="O11" s="106">
        <v>4746.3262459867183</v>
      </c>
      <c r="P11" s="106">
        <v>35.879745958352984</v>
      </c>
      <c r="Q11" s="106">
        <v>19116.728646610467</v>
      </c>
      <c r="R11" s="106">
        <v>36.411947435770962</v>
      </c>
      <c r="S11" s="106">
        <v>19400.285593778768</v>
      </c>
      <c r="T11" s="106">
        <v>35.496110470879714</v>
      </c>
      <c r="U11" s="106">
        <v>18912.327658884711</v>
      </c>
      <c r="V11" s="106">
        <v>24.197136096228789</v>
      </c>
      <c r="W11" s="106">
        <v>12892.234112070697</v>
      </c>
      <c r="X11" s="106">
        <v>34.044001447333187</v>
      </c>
      <c r="Y11" s="106">
        <v>18138.643971139121</v>
      </c>
      <c r="Z11" s="106">
        <v>17.877509591322301</v>
      </c>
      <c r="AA11" s="106">
        <v>9525.1371102565208</v>
      </c>
      <c r="AB11" s="106">
        <v>29.607905555238077</v>
      </c>
      <c r="AC11" s="106">
        <v>15775.092079830845</v>
      </c>
      <c r="AD11" s="106">
        <v>24.995298608298956</v>
      </c>
      <c r="AE11" s="106">
        <v>13317.495098501682</v>
      </c>
      <c r="AF11" s="106">
        <v>45.104577273419494</v>
      </c>
      <c r="AG11" s="106">
        <v>24031.718771277905</v>
      </c>
      <c r="AH11" s="106">
        <v>22.002705070664007</v>
      </c>
      <c r="AI11" s="106">
        <v>11723.041261649782</v>
      </c>
      <c r="AJ11" s="106">
        <v>29.958696633091918</v>
      </c>
      <c r="AK11" s="106">
        <v>15961.993566111372</v>
      </c>
      <c r="AL11" s="106">
        <v>25.697230001722286</v>
      </c>
      <c r="AM11" s="106">
        <v>13691.484144917633</v>
      </c>
      <c r="AN11" s="106">
        <v>37.605606134502615</v>
      </c>
      <c r="AO11" s="106">
        <v>20036.266948462991</v>
      </c>
      <c r="AP11" s="106">
        <v>27.934571307241939</v>
      </c>
      <c r="AQ11" s="106">
        <v>14883.539592498504</v>
      </c>
      <c r="AR11" s="106">
        <v>32.453413157234259</v>
      </c>
      <c r="AS11" s="106">
        <v>17291.178530174413</v>
      </c>
      <c r="AT11" s="106">
        <v>9.1678183802330064</v>
      </c>
      <c r="AU11" s="106">
        <v>4884.6136329881456</v>
      </c>
      <c r="AV11" s="106">
        <v>44</v>
      </c>
      <c r="AW11" s="106">
        <v>23443.199999999997</v>
      </c>
      <c r="AX11" s="106">
        <v>13.818302047924925</v>
      </c>
      <c r="AY11" s="106">
        <v>7362.3913311343995</v>
      </c>
      <c r="AZ11" s="106">
        <v>45.864152201391818</v>
      </c>
      <c r="BA11" s="106">
        <v>24436.420292901559</v>
      </c>
      <c r="BB11" s="106">
        <v>24.922345103491047</v>
      </c>
      <c r="BC11" s="106">
        <v>13278.625471140029</v>
      </c>
      <c r="BD11" s="106">
        <v>40.109758248067415</v>
      </c>
      <c r="BE11" s="106">
        <v>21370.479194570318</v>
      </c>
      <c r="BF11" s="106">
        <v>39.414975206689881</v>
      </c>
      <c r="BG11" s="106">
        <v>21000.298790124369</v>
      </c>
      <c r="BH11" s="106">
        <v>37.843139961655325</v>
      </c>
      <c r="BI11" s="106">
        <v>20162.824971569957</v>
      </c>
      <c r="BJ11" s="106">
        <v>22.327966846968717</v>
      </c>
      <c r="BK11" s="106">
        <v>11896.340736064931</v>
      </c>
      <c r="BL11" s="106">
        <v>37.743743492092918</v>
      </c>
      <c r="BM11" s="106">
        <v>20109.866532587104</v>
      </c>
      <c r="BN11" s="106">
        <v>32.765632573314399</v>
      </c>
      <c r="BO11" s="106">
        <v>17457.529035061911</v>
      </c>
      <c r="BP11" s="106">
        <v>37.756843614769139</v>
      </c>
      <c r="BQ11" s="106">
        <v>20116.846277948996</v>
      </c>
      <c r="BR11" s="106">
        <v>3.9359147079719903</v>
      </c>
      <c r="BS11" s="106">
        <v>2097.0553564074762</v>
      </c>
      <c r="BT11" s="106">
        <v>35.77436029272404</v>
      </c>
      <c r="BU11" s="106">
        <v>19060.579163963368</v>
      </c>
      <c r="BV11" s="106">
        <v>43.129283831645346</v>
      </c>
      <c r="BW11" s="106">
        <v>22979.282425500638</v>
      </c>
      <c r="BX11" s="106">
        <v>31.665106735957352</v>
      </c>
      <c r="BY11" s="106">
        <v>16871.168868918077</v>
      </c>
      <c r="BZ11" s="106">
        <v>3.8439408276142371</v>
      </c>
      <c r="CA11" s="106">
        <v>2048.0516729528654</v>
      </c>
      <c r="CB11" s="106">
        <v>32</v>
      </c>
      <c r="CC11" s="106">
        <v>17049.599999999999</v>
      </c>
      <c r="CD11" s="106">
        <v>41</v>
      </c>
      <c r="CE11" s="106">
        <v>21844.799999999999</v>
      </c>
      <c r="CF11" s="106">
        <v>24.648827371015276</v>
      </c>
      <c r="CG11" s="106">
        <v>13132.895223276939</v>
      </c>
      <c r="CH11" s="106">
        <v>31.060820367751063</v>
      </c>
      <c r="CI11" s="106">
        <v>16549.205091937765</v>
      </c>
      <c r="CJ11" s="106">
        <v>33.534128167470968</v>
      </c>
      <c r="CK11" s="106">
        <v>17866.983487628531</v>
      </c>
      <c r="CL11" s="106">
        <v>32</v>
      </c>
      <c r="CM11" s="106">
        <v>17049.599999999999</v>
      </c>
      <c r="CN11" s="106">
        <v>47.810513975038347</v>
      </c>
      <c r="CO11" s="106">
        <v>25473.44184590043</v>
      </c>
      <c r="CP11" s="106">
        <v>36.83667258790544</v>
      </c>
      <c r="CQ11" s="106">
        <v>19626.579154836018</v>
      </c>
      <c r="CR11" s="106">
        <v>3.5690540130385497</v>
      </c>
      <c r="CS11" s="106">
        <v>1901.5919781469393</v>
      </c>
      <c r="CT11" s="106">
        <v>19.824410393729693</v>
      </c>
      <c r="CU11" s="106">
        <v>10562.445857779179</v>
      </c>
    </row>
    <row r="12" spans="1:99" x14ac:dyDescent="0.2">
      <c r="C12" s="105" t="s">
        <v>177</v>
      </c>
      <c r="D12" s="106">
        <v>0</v>
      </c>
      <c r="E12" s="106">
        <v>0</v>
      </c>
      <c r="F12" s="106">
        <v>0</v>
      </c>
      <c r="G12" s="106">
        <v>0</v>
      </c>
      <c r="H12" s="106">
        <v>28.379712209754267</v>
      </c>
      <c r="I12" s="106">
        <v>15972.1020316497</v>
      </c>
      <c r="J12" s="106">
        <v>5.2015431443099285</v>
      </c>
      <c r="K12" s="106">
        <v>2927.4284816176273</v>
      </c>
      <c r="L12" s="106">
        <v>63.352259247511462</v>
      </c>
      <c r="M12" s="106">
        <v>35654.651504499445</v>
      </c>
      <c r="N12" s="106">
        <v>7.6879590248766734</v>
      </c>
      <c r="O12" s="106">
        <v>4326.7833392005914</v>
      </c>
      <c r="P12" s="106">
        <v>36.509215185692511</v>
      </c>
      <c r="Q12" s="106">
        <v>20547.386306507742</v>
      </c>
      <c r="R12" s="106">
        <v>32.859562320085992</v>
      </c>
      <c r="S12" s="106">
        <v>18493.361673744395</v>
      </c>
      <c r="T12" s="106">
        <v>33.242389171141319</v>
      </c>
      <c r="U12" s="106">
        <v>18708.816625518331</v>
      </c>
      <c r="V12" s="106">
        <v>24.197136096228789</v>
      </c>
      <c r="W12" s="106">
        <v>13618.148194957561</v>
      </c>
      <c r="X12" s="106">
        <v>35.900946980824088</v>
      </c>
      <c r="Y12" s="106">
        <v>20205.052960807796</v>
      </c>
      <c r="Z12" s="106">
        <v>18.749583229923388</v>
      </c>
      <c r="AA12" s="106">
        <v>10552.265441800882</v>
      </c>
      <c r="AB12" s="106">
        <v>32.568696110761884</v>
      </c>
      <c r="AC12" s="106">
        <v>18329.662171136788</v>
      </c>
      <c r="AD12" s="106">
        <v>26.557504771317639</v>
      </c>
      <c r="AE12" s="106">
        <v>14946.563685297566</v>
      </c>
      <c r="AF12" s="106">
        <v>45.72244819497319</v>
      </c>
      <c r="AG12" s="106">
        <v>25732.593844130908</v>
      </c>
      <c r="AH12" s="106">
        <v>21.122596867837444</v>
      </c>
      <c r="AI12" s="106">
        <v>11887.797517218913</v>
      </c>
      <c r="AJ12" s="106">
        <v>28.353766456319139</v>
      </c>
      <c r="AK12" s="106">
        <v>15957.499761616411</v>
      </c>
      <c r="AL12" s="106">
        <v>25.697230001722286</v>
      </c>
      <c r="AM12" s="106">
        <v>14462.401044969301</v>
      </c>
      <c r="AN12" s="106">
        <v>35.785980031220227</v>
      </c>
      <c r="AO12" s="106">
        <v>20140.349561570743</v>
      </c>
      <c r="AP12" s="106">
        <v>31.082128637635396</v>
      </c>
      <c r="AQ12" s="106">
        <v>17493.021997261199</v>
      </c>
      <c r="AR12" s="106">
        <v>29.253780874126655</v>
      </c>
      <c r="AS12" s="106">
        <v>16464.02787595848</v>
      </c>
      <c r="AT12" s="106">
        <v>10.797652758941096</v>
      </c>
      <c r="AU12" s="106">
        <v>6076.9189727320481</v>
      </c>
      <c r="AV12" s="106">
        <v>41</v>
      </c>
      <c r="AW12" s="106">
        <v>23074.799999999999</v>
      </c>
      <c r="AX12" s="106">
        <v>13.978979978714751</v>
      </c>
      <c r="AY12" s="106">
        <v>7867.3699320206615</v>
      </c>
      <c r="AZ12" s="106">
        <v>47.698718289447484</v>
      </c>
      <c r="BA12" s="106">
        <v>26844.838653301042</v>
      </c>
      <c r="BB12" s="106">
        <v>25.488762037661296</v>
      </c>
      <c r="BC12" s="106">
        <v>14345.075274795776</v>
      </c>
      <c r="BD12" s="106">
        <v>40.659206991191631</v>
      </c>
      <c r="BE12" s="106">
        <v>22883.001694642648</v>
      </c>
      <c r="BF12" s="106">
        <v>37.419280259515709</v>
      </c>
      <c r="BG12" s="106">
        <v>21059.570930055441</v>
      </c>
      <c r="BH12" s="106">
        <v>40.208336209258782</v>
      </c>
      <c r="BI12" s="106">
        <v>22629.251618570841</v>
      </c>
      <c r="BJ12" s="106">
        <v>21.943001901331325</v>
      </c>
      <c r="BK12" s="106">
        <v>12349.521470069269</v>
      </c>
      <c r="BL12" s="106">
        <v>34.982006163403192</v>
      </c>
      <c r="BM12" s="106">
        <v>19687.873068763314</v>
      </c>
      <c r="BN12" s="106">
        <v>30.24519929844406</v>
      </c>
      <c r="BO12" s="106">
        <v>17021.998165164314</v>
      </c>
      <c r="BP12" s="106">
        <v>43.749993394891227</v>
      </c>
      <c r="BQ12" s="106">
        <v>24622.496282644781</v>
      </c>
      <c r="BR12" s="106">
        <v>3.8734398713375149</v>
      </c>
      <c r="BS12" s="106">
        <v>2179.9719595887532</v>
      </c>
      <c r="BT12" s="106">
        <v>32.986747802381906</v>
      </c>
      <c r="BU12" s="106">
        <v>18564.941663180536</v>
      </c>
      <c r="BV12" s="106">
        <v>47.442212214809878</v>
      </c>
      <c r="BW12" s="106">
        <v>26700.477034494997</v>
      </c>
      <c r="BX12" s="106">
        <v>37.172081820471675</v>
      </c>
      <c r="BY12" s="106">
        <v>20920.447648561458</v>
      </c>
      <c r="BZ12" s="106">
        <v>4.1734214699811716</v>
      </c>
      <c r="CA12" s="106">
        <v>2348.8016033054032</v>
      </c>
      <c r="CB12" s="106">
        <v>32</v>
      </c>
      <c r="CC12" s="106">
        <v>18009.599999999999</v>
      </c>
      <c r="CD12" s="106">
        <v>42</v>
      </c>
      <c r="CE12" s="106">
        <v>23637.599999999999</v>
      </c>
      <c r="CF12" s="106">
        <v>21.127566318013091</v>
      </c>
      <c r="CG12" s="106">
        <v>11890.594323777766</v>
      </c>
      <c r="CH12" s="106">
        <v>31.751060820367751</v>
      </c>
      <c r="CI12" s="106">
        <v>17869.497029702969</v>
      </c>
      <c r="CJ12" s="106">
        <v>32.165388242268072</v>
      </c>
      <c r="CK12" s="106">
        <v>18102.68050274847</v>
      </c>
      <c r="CL12" s="106">
        <v>37</v>
      </c>
      <c r="CM12" s="106">
        <v>20823.599999999999</v>
      </c>
      <c r="CN12" s="106">
        <v>50.326856815829842</v>
      </c>
      <c r="CO12" s="106">
        <v>28323.955015949032</v>
      </c>
      <c r="CP12" s="106">
        <v>35.949041923136633</v>
      </c>
      <c r="CQ12" s="106">
        <v>20232.120794341296</v>
      </c>
      <c r="CR12" s="106">
        <v>4.0371266704862281</v>
      </c>
      <c r="CS12" s="106">
        <v>2272.094890149649</v>
      </c>
      <c r="CT12" s="106">
        <v>17.428053093388741</v>
      </c>
      <c r="CU12" s="106">
        <v>9808.5082809591822</v>
      </c>
    </row>
    <row r="13" spans="1:99" x14ac:dyDescent="0.2">
      <c r="C13" s="105" t="s">
        <v>178</v>
      </c>
      <c r="D13" s="106">
        <v>0</v>
      </c>
      <c r="E13" s="106">
        <v>0</v>
      </c>
      <c r="F13" s="106">
        <v>0</v>
      </c>
      <c r="G13" s="106">
        <v>0</v>
      </c>
      <c r="H13" s="106">
        <v>31.690678634225595</v>
      </c>
      <c r="I13" s="106">
        <v>2700.045819636021</v>
      </c>
      <c r="J13" s="106">
        <v>5.4453654791994559</v>
      </c>
      <c r="K13" s="106">
        <v>463.94513882779364</v>
      </c>
      <c r="L13" s="106">
        <v>71.61559741023035</v>
      </c>
      <c r="M13" s="106">
        <v>6101.6488993516259</v>
      </c>
      <c r="N13" s="106">
        <v>9.0303010768392689</v>
      </c>
      <c r="O13" s="106">
        <v>769.38165174670576</v>
      </c>
      <c r="P13" s="106">
        <v>35.879745958352984</v>
      </c>
      <c r="Q13" s="106">
        <v>3056.9543556516742</v>
      </c>
      <c r="R13" s="106">
        <v>36.411947435770962</v>
      </c>
      <c r="S13" s="106">
        <v>3102.297921527686</v>
      </c>
      <c r="T13" s="106">
        <v>34.36924982101052</v>
      </c>
      <c r="U13" s="106">
        <v>2928.2600847500962</v>
      </c>
      <c r="V13" s="106">
        <v>24.197136096228789</v>
      </c>
      <c r="W13" s="106">
        <v>2061.595995398693</v>
      </c>
      <c r="X13" s="106">
        <v>35.900946980824088</v>
      </c>
      <c r="Y13" s="106">
        <v>3058.7606827662125</v>
      </c>
      <c r="Z13" s="106">
        <v>21.801840965027196</v>
      </c>
      <c r="AA13" s="106">
        <v>1857.5168502203171</v>
      </c>
      <c r="AB13" s="106">
        <v>36.713802888495216</v>
      </c>
      <c r="AC13" s="106">
        <v>3128.0160060997923</v>
      </c>
      <c r="AD13" s="106">
        <v>28.119710934336322</v>
      </c>
      <c r="AE13" s="106">
        <v>2395.7993716054548</v>
      </c>
      <c r="AF13" s="106">
        <v>53.136899253617493</v>
      </c>
      <c r="AG13" s="106">
        <v>4527.2638164082109</v>
      </c>
      <c r="AH13" s="106">
        <v>23.762921476317125</v>
      </c>
      <c r="AI13" s="106">
        <v>2024.6009097822191</v>
      </c>
      <c r="AJ13" s="106">
        <v>35.308463889001189</v>
      </c>
      <c r="AK13" s="106">
        <v>3008.2811233429015</v>
      </c>
      <c r="AL13" s="106">
        <v>29.294842201963405</v>
      </c>
      <c r="AM13" s="106">
        <v>2495.920555607282</v>
      </c>
      <c r="AN13" s="106">
        <v>38.818690203357534</v>
      </c>
      <c r="AO13" s="106">
        <v>3307.3524053260621</v>
      </c>
      <c r="AP13" s="106">
        <v>31.082128637635396</v>
      </c>
      <c r="AQ13" s="106">
        <v>2648.1973599265357</v>
      </c>
      <c r="AR13" s="106">
        <v>35.195955114183633</v>
      </c>
      <c r="AS13" s="106">
        <v>2998.6953757284455</v>
      </c>
      <c r="AT13" s="106">
        <v>11.612569948295141</v>
      </c>
      <c r="AU13" s="106">
        <v>989.39095959474605</v>
      </c>
      <c r="AV13" s="106">
        <v>51</v>
      </c>
      <c r="AW13" s="106">
        <v>4345.2</v>
      </c>
      <c r="AX13" s="106">
        <v>14.782369632663876</v>
      </c>
      <c r="AY13" s="106">
        <v>1259.4578927029622</v>
      </c>
      <c r="AZ13" s="106">
        <v>47.698718289447484</v>
      </c>
      <c r="BA13" s="106">
        <v>4063.9307982609257</v>
      </c>
      <c r="BB13" s="106">
        <v>26.621595906001797</v>
      </c>
      <c r="BC13" s="106">
        <v>2268.1599711913532</v>
      </c>
      <c r="BD13" s="106">
        <v>43.955899449936894</v>
      </c>
      <c r="BE13" s="106">
        <v>3745.0426331346234</v>
      </c>
      <c r="BF13" s="106">
        <v>35.92250904913508</v>
      </c>
      <c r="BG13" s="106">
        <v>3060.5977709863091</v>
      </c>
      <c r="BH13" s="106">
        <v>44.347429642564833</v>
      </c>
      <c r="BI13" s="106">
        <v>3778.4010055465237</v>
      </c>
      <c r="BJ13" s="106">
        <v>23.482861683880891</v>
      </c>
      <c r="BK13" s="106">
        <v>2000.7398154666521</v>
      </c>
      <c r="BL13" s="106">
        <v>34.521716608621574</v>
      </c>
      <c r="BM13" s="106">
        <v>2941.2502550545582</v>
      </c>
      <c r="BN13" s="106">
        <v>38.81467243300321</v>
      </c>
      <c r="BO13" s="106">
        <v>3307.0100912918738</v>
      </c>
      <c r="BP13" s="106">
        <v>46.746568284952268</v>
      </c>
      <c r="BQ13" s="106">
        <v>3982.8076178779334</v>
      </c>
      <c r="BR13" s="106">
        <v>4.4981882376822746</v>
      </c>
      <c r="BS13" s="106">
        <v>383.24563785052982</v>
      </c>
      <c r="BT13" s="106">
        <v>36.238962374447723</v>
      </c>
      <c r="BU13" s="106">
        <v>3087.5595943029462</v>
      </c>
      <c r="BV13" s="106">
        <v>48.058344840976247</v>
      </c>
      <c r="BW13" s="106">
        <v>4094.5709804511762</v>
      </c>
      <c r="BX13" s="106">
        <v>39.237197477164543</v>
      </c>
      <c r="BY13" s="106">
        <v>3343.0092250544189</v>
      </c>
      <c r="BZ13" s="106">
        <v>3.8439408276142371</v>
      </c>
      <c r="CA13" s="106">
        <v>327.50375851273299</v>
      </c>
      <c r="CB13" s="106">
        <v>29</v>
      </c>
      <c r="CC13" s="106">
        <v>2470.8000000000002</v>
      </c>
      <c r="CD13" s="106">
        <v>46</v>
      </c>
      <c r="CE13" s="106">
        <v>3919.2000000000003</v>
      </c>
      <c r="CF13" s="106">
        <v>27.583211581850424</v>
      </c>
      <c r="CG13" s="106">
        <v>2350.0896267736562</v>
      </c>
      <c r="CH13" s="106">
        <v>33.821782178217823</v>
      </c>
      <c r="CI13" s="106">
        <v>2881.6158415841587</v>
      </c>
      <c r="CJ13" s="106">
        <v>36.271608017876758</v>
      </c>
      <c r="CK13" s="106">
        <v>3090.3410031231001</v>
      </c>
      <c r="CL13" s="106">
        <v>36</v>
      </c>
      <c r="CM13" s="106">
        <v>3067.2000000000003</v>
      </c>
      <c r="CN13" s="106">
        <v>50.326856815829842</v>
      </c>
      <c r="CO13" s="106">
        <v>4287.8482007087023</v>
      </c>
      <c r="CP13" s="106">
        <v>33.729965261214623</v>
      </c>
      <c r="CQ13" s="106">
        <v>2873.7930402554862</v>
      </c>
      <c r="CR13" s="106">
        <v>4.271162999210067</v>
      </c>
      <c r="CS13" s="106">
        <v>363.90308753269773</v>
      </c>
      <c r="CT13" s="106">
        <v>20.913663712066487</v>
      </c>
      <c r="CU13" s="106">
        <v>1781.8441482680648</v>
      </c>
    </row>
    <row r="14" spans="1:99" x14ac:dyDescent="0.2">
      <c r="C14" s="105" t="s">
        <v>179</v>
      </c>
      <c r="D14" s="106">
        <v>0</v>
      </c>
      <c r="E14" s="106">
        <v>0</v>
      </c>
      <c r="F14" s="106">
        <v>0</v>
      </c>
      <c r="G14" s="106">
        <v>0</v>
      </c>
      <c r="H14" s="106">
        <v>30.271693023737882</v>
      </c>
      <c r="I14" s="106">
        <v>14784.694872793581</v>
      </c>
      <c r="J14" s="106">
        <v>5.1202690326800857</v>
      </c>
      <c r="K14" s="106">
        <v>2500.7393955609537</v>
      </c>
      <c r="L14" s="106">
        <v>65.188556617004551</v>
      </c>
      <c r="M14" s="106">
        <v>31838.091051745021</v>
      </c>
      <c r="N14" s="106">
        <v>8.1760834074085249</v>
      </c>
      <c r="O14" s="106">
        <v>3993.1991361783234</v>
      </c>
      <c r="P14" s="106">
        <v>36.509215185692511</v>
      </c>
      <c r="Q14" s="106">
        <v>17831.100696692221</v>
      </c>
      <c r="R14" s="106">
        <v>31.083369762243503</v>
      </c>
      <c r="S14" s="106">
        <v>15181.117791879726</v>
      </c>
      <c r="T14" s="106">
        <v>31.552098196337525</v>
      </c>
      <c r="U14" s="106">
        <v>15410.044759091246</v>
      </c>
      <c r="V14" s="106">
        <v>25.127795176852974</v>
      </c>
      <c r="W14" s="106">
        <v>12272.415164374992</v>
      </c>
      <c r="X14" s="106">
        <v>34.662983291830159</v>
      </c>
      <c r="Y14" s="106">
        <v>16929.401039729848</v>
      </c>
      <c r="Z14" s="106">
        <v>18.313546410622845</v>
      </c>
      <c r="AA14" s="106">
        <v>8944.3360669481972</v>
      </c>
      <c r="AB14" s="106">
        <v>32.568696110761884</v>
      </c>
      <c r="AC14" s="106">
        <v>15906.551180496104</v>
      </c>
      <c r="AD14" s="106">
        <v>26.557504771317639</v>
      </c>
      <c r="AE14" s="106">
        <v>12970.685330311535</v>
      </c>
      <c r="AF14" s="106">
        <v>47.576060959634269</v>
      </c>
      <c r="AG14" s="106">
        <v>23236.148172685374</v>
      </c>
      <c r="AH14" s="106">
        <v>20.242488665010885</v>
      </c>
      <c r="AI14" s="106">
        <v>9886.4314639913155</v>
      </c>
      <c r="AJ14" s="106">
        <v>31.028650084273774</v>
      </c>
      <c r="AK14" s="106">
        <v>15154.392701159311</v>
      </c>
      <c r="AL14" s="106">
        <v>29.808786801997851</v>
      </c>
      <c r="AM14" s="106">
        <v>14558.611474095749</v>
      </c>
      <c r="AN14" s="106">
        <v>35.785980031220227</v>
      </c>
      <c r="AO14" s="106">
        <v>17477.872647247958</v>
      </c>
      <c r="AP14" s="106">
        <v>33.049351969131308</v>
      </c>
      <c r="AQ14" s="106">
        <v>16141.303501723731</v>
      </c>
      <c r="AR14" s="106">
        <v>31.539232504917802</v>
      </c>
      <c r="AS14" s="106">
        <v>15403.761155401853</v>
      </c>
      <c r="AT14" s="106">
        <v>9.7790062722485391</v>
      </c>
      <c r="AU14" s="106">
        <v>4776.0666633661867</v>
      </c>
      <c r="AV14" s="106">
        <v>40</v>
      </c>
      <c r="AW14" s="106">
        <v>19536</v>
      </c>
      <c r="AX14" s="106">
        <v>14.300335840294403</v>
      </c>
      <c r="AY14" s="106">
        <v>6984.2840243997862</v>
      </c>
      <c r="AZ14" s="106">
        <v>41.277736981252637</v>
      </c>
      <c r="BA14" s="106">
        <v>20160.046741643786</v>
      </c>
      <c r="BB14" s="106">
        <v>22.656677366810044</v>
      </c>
      <c r="BC14" s="106">
        <v>11065.521225950024</v>
      </c>
      <c r="BD14" s="106">
        <v>46.153694422433738</v>
      </c>
      <c r="BE14" s="106">
        <v>22541.464355916636</v>
      </c>
      <c r="BF14" s="106">
        <v>34.924661575547994</v>
      </c>
      <c r="BG14" s="106">
        <v>17057.204713497638</v>
      </c>
      <c r="BH14" s="106">
        <v>36.069242775952731</v>
      </c>
      <c r="BI14" s="106">
        <v>17616.218171775312</v>
      </c>
      <c r="BJ14" s="106">
        <v>21.17307201005654</v>
      </c>
      <c r="BK14" s="106">
        <v>10340.928369711613</v>
      </c>
      <c r="BL14" s="106">
        <v>38.66432260165616</v>
      </c>
      <c r="BM14" s="106">
        <v>18883.655158648868</v>
      </c>
      <c r="BN14" s="106">
        <v>32.261545918340332</v>
      </c>
      <c r="BO14" s="106">
        <v>15756.539026517417</v>
      </c>
      <c r="BP14" s="106">
        <v>41.952048460854598</v>
      </c>
      <c r="BQ14" s="106">
        <v>20489.380468281386</v>
      </c>
      <c r="BR14" s="106">
        <v>3.8734398713375149</v>
      </c>
      <c r="BS14" s="106">
        <v>1891.7880331612421</v>
      </c>
      <c r="BT14" s="106">
        <v>32.522145720658216</v>
      </c>
      <c r="BU14" s="106">
        <v>15883.815969969472</v>
      </c>
      <c r="BV14" s="106">
        <v>43.745416457811707</v>
      </c>
      <c r="BW14" s="106">
        <v>21365.261397995237</v>
      </c>
      <c r="BX14" s="106">
        <v>36.483709934907381</v>
      </c>
      <c r="BY14" s="106">
        <v>17818.643932208764</v>
      </c>
      <c r="BZ14" s="106">
        <v>3.8439408276142371</v>
      </c>
      <c r="CA14" s="106">
        <v>1877.3807002067933</v>
      </c>
      <c r="CB14" s="106">
        <v>33</v>
      </c>
      <c r="CC14" s="106">
        <v>16117.199999999999</v>
      </c>
      <c r="CD14" s="106">
        <v>42</v>
      </c>
      <c r="CE14" s="106">
        <v>20512.8</v>
      </c>
      <c r="CF14" s="106">
        <v>25.822581055349339</v>
      </c>
      <c r="CG14" s="106">
        <v>12611.748587432616</v>
      </c>
      <c r="CH14" s="106">
        <v>33.131541725601132</v>
      </c>
      <c r="CI14" s="106">
        <v>16181.444978783591</v>
      </c>
      <c r="CJ14" s="106">
        <v>36.95597798047821</v>
      </c>
      <c r="CK14" s="106">
        <v>18049.299645665556</v>
      </c>
      <c r="CL14" s="106">
        <v>37</v>
      </c>
      <c r="CM14" s="106">
        <v>18070.8</v>
      </c>
      <c r="CN14" s="106">
        <v>52.84319965662133</v>
      </c>
      <c r="CO14" s="106">
        <v>25808.618712293857</v>
      </c>
      <c r="CP14" s="106">
        <v>36.392857255521037</v>
      </c>
      <c r="CQ14" s="106">
        <v>17774.271483596473</v>
      </c>
      <c r="CR14" s="106">
        <v>3.6275630952195095</v>
      </c>
      <c r="CS14" s="106">
        <v>1771.7018157052084</v>
      </c>
      <c r="CT14" s="106">
        <v>18.299455748058175</v>
      </c>
      <c r="CU14" s="106">
        <v>8937.4541873516118</v>
      </c>
    </row>
    <row r="15" spans="1:99" x14ac:dyDescent="0.2">
      <c r="C15" s="105" t="s">
        <v>180</v>
      </c>
      <c r="D15" s="106">
        <v>0</v>
      </c>
      <c r="E15" s="106">
        <v>0</v>
      </c>
      <c r="F15" s="106">
        <v>0</v>
      </c>
      <c r="G15" s="106">
        <v>0</v>
      </c>
      <c r="H15" s="106">
        <v>33.109664244713308</v>
      </c>
      <c r="I15" s="106">
        <v>25269.295751565194</v>
      </c>
      <c r="J15" s="106">
        <v>4.7951725861607146</v>
      </c>
      <c r="K15" s="106">
        <v>3659.675717757857</v>
      </c>
      <c r="L15" s="106">
        <v>58.761515823778744</v>
      </c>
      <c r="M15" s="106">
        <v>44846.788876707935</v>
      </c>
      <c r="N15" s="106">
        <v>8.420145598674452</v>
      </c>
      <c r="O15" s="106">
        <v>6426.2551209083413</v>
      </c>
      <c r="P15" s="106">
        <v>33.361869048994883</v>
      </c>
      <c r="Q15" s="106">
        <v>25461.778458192894</v>
      </c>
      <c r="R15" s="106">
        <v>34.635754877928477</v>
      </c>
      <c r="S15" s="106">
        <v>26434.00812283501</v>
      </c>
      <c r="T15" s="106">
        <v>30.988667871402924</v>
      </c>
      <c r="U15" s="106">
        <v>23650.551319454709</v>
      </c>
      <c r="V15" s="106">
        <v>21.405158854356237</v>
      </c>
      <c r="W15" s="106">
        <v>16336.417237644679</v>
      </c>
      <c r="X15" s="106">
        <v>37.757892514314996</v>
      </c>
      <c r="Y15" s="106">
        <v>28816.823566925203</v>
      </c>
      <c r="Z15" s="106">
        <v>17.877509591322301</v>
      </c>
      <c r="AA15" s="106">
        <v>13644.115320097178</v>
      </c>
      <c r="AB15" s="106">
        <v>29.607905555238077</v>
      </c>
      <c r="AC15" s="106">
        <v>22596.753519757698</v>
      </c>
      <c r="AD15" s="106">
        <v>25.516033995971849</v>
      </c>
      <c r="AE15" s="106">
        <v>19473.837145725713</v>
      </c>
      <c r="AF15" s="106">
        <v>45.72244819497319</v>
      </c>
      <c r="AG15" s="106">
        <v>34895.372462403539</v>
      </c>
      <c r="AH15" s="106">
        <v>21.122596867837444</v>
      </c>
      <c r="AI15" s="106">
        <v>16120.765929533536</v>
      </c>
      <c r="AJ15" s="106">
        <v>29.423719907500992</v>
      </c>
      <c r="AK15" s="106">
        <v>22456.183033404755</v>
      </c>
      <c r="AL15" s="106">
        <v>24.155396201618949</v>
      </c>
      <c r="AM15" s="106">
        <v>18435.398381075582</v>
      </c>
      <c r="AN15" s="106">
        <v>35.785980031220227</v>
      </c>
      <c r="AO15" s="106">
        <v>27311.859959827274</v>
      </c>
      <c r="AP15" s="106">
        <v>27.934571307241939</v>
      </c>
      <c r="AQ15" s="106">
        <v>21319.664821687045</v>
      </c>
      <c r="AR15" s="106">
        <v>27.425419569493737</v>
      </c>
      <c r="AS15" s="106">
        <v>20931.080215437618</v>
      </c>
      <c r="AT15" s="106">
        <v>9.3715476775715167</v>
      </c>
      <c r="AU15" s="106">
        <v>7152.3651875225805</v>
      </c>
      <c r="AV15" s="106">
        <v>41</v>
      </c>
      <c r="AW15" s="106">
        <v>31291.199999999997</v>
      </c>
      <c r="AX15" s="106">
        <v>13.175590324765627</v>
      </c>
      <c r="AY15" s="106">
        <v>10055.610535861126</v>
      </c>
      <c r="AZ15" s="106">
        <v>45.864152201391818</v>
      </c>
      <c r="BA15" s="106">
        <v>35003.520960102229</v>
      </c>
      <c r="BB15" s="106">
        <v>23.223094300980293</v>
      </c>
      <c r="BC15" s="106">
        <v>17723.865570508158</v>
      </c>
      <c r="BD15" s="106">
        <v>38.46141201869478</v>
      </c>
      <c r="BE15" s="106">
        <v>29353.749652667855</v>
      </c>
      <c r="BF15" s="106">
        <v>37.419280259515709</v>
      </c>
      <c r="BG15" s="106">
        <v>28558.394694062386</v>
      </c>
      <c r="BH15" s="106">
        <v>39.025738085457057</v>
      </c>
      <c r="BI15" s="106">
        <v>29784.443306820824</v>
      </c>
      <c r="BJ15" s="106">
        <v>21.943001901331325</v>
      </c>
      <c r="BK15" s="106">
        <v>16746.899051096065</v>
      </c>
      <c r="BL15" s="106">
        <v>30.839400170368602</v>
      </c>
      <c r="BM15" s="106">
        <v>23536.630210025316</v>
      </c>
      <c r="BN15" s="106">
        <v>30.24519929844406</v>
      </c>
      <c r="BO15" s="106">
        <v>23083.136104572506</v>
      </c>
      <c r="BP15" s="106">
        <v>41.352733482842389</v>
      </c>
      <c r="BQ15" s="106">
        <v>31560.406194105308</v>
      </c>
      <c r="BR15" s="106">
        <v>3.8734398713375149</v>
      </c>
      <c r="BS15" s="106">
        <v>2956.2093098047912</v>
      </c>
      <c r="BT15" s="106">
        <v>28.805329066868708</v>
      </c>
      <c r="BU15" s="106">
        <v>21984.227143834196</v>
      </c>
      <c r="BV15" s="106">
        <v>41.897018579312622</v>
      </c>
      <c r="BW15" s="106">
        <v>31975.80457973139</v>
      </c>
      <c r="BX15" s="106">
        <v>34.418594278214513</v>
      </c>
      <c r="BY15" s="106">
        <v>26268.271153133315</v>
      </c>
      <c r="BZ15" s="106">
        <v>3.7341139468252589</v>
      </c>
      <c r="CA15" s="106">
        <v>2849.8757642170372</v>
      </c>
      <c r="CB15" s="106">
        <v>28</v>
      </c>
      <c r="CC15" s="106">
        <v>21369.599999999999</v>
      </c>
      <c r="CD15" s="106">
        <v>43</v>
      </c>
      <c r="CE15" s="106">
        <v>32817.599999999999</v>
      </c>
      <c r="CF15" s="106">
        <v>21.127566318013091</v>
      </c>
      <c r="CG15" s="106">
        <v>16124.558613907589</v>
      </c>
      <c r="CH15" s="106">
        <v>28.299858557284299</v>
      </c>
      <c r="CI15" s="106">
        <v>21598.452050919375</v>
      </c>
      <c r="CJ15" s="106">
        <v>34.218498130072419</v>
      </c>
      <c r="CK15" s="106">
        <v>26115.557772871267</v>
      </c>
      <c r="CL15" s="106">
        <v>32</v>
      </c>
      <c r="CM15" s="106">
        <v>24422.399999999998</v>
      </c>
      <c r="CN15" s="106">
        <v>52.84319965662133</v>
      </c>
      <c r="CO15" s="106">
        <v>40329.929977933396</v>
      </c>
      <c r="CP15" s="106">
        <v>31.067073266908203</v>
      </c>
      <c r="CQ15" s="106">
        <v>23710.39031730434</v>
      </c>
      <c r="CR15" s="106">
        <v>3.9201085061243082</v>
      </c>
      <c r="CS15" s="106">
        <v>2991.8268118740716</v>
      </c>
      <c r="CT15" s="106">
        <v>17.210202429721377</v>
      </c>
      <c r="CU15" s="106">
        <v>13134.826494363355</v>
      </c>
    </row>
    <row r="16" spans="1:99" x14ac:dyDescent="0.2">
      <c r="C16" s="105" t="s">
        <v>181</v>
      </c>
      <c r="D16" s="106">
        <v>0</v>
      </c>
      <c r="E16" s="106">
        <v>0</v>
      </c>
      <c r="F16" s="106">
        <v>0</v>
      </c>
      <c r="G16" s="106">
        <v>0</v>
      </c>
      <c r="H16" s="106">
        <v>29.325702616746074</v>
      </c>
      <c r="I16" s="106">
        <v>9994.1994517870626</v>
      </c>
      <c r="J16" s="106">
        <v>5.2015431443099285</v>
      </c>
      <c r="K16" s="106">
        <v>1772.6859035808236</v>
      </c>
      <c r="L16" s="106">
        <v>68.861151355990714</v>
      </c>
      <c r="M16" s="106">
        <v>23467.880382121635</v>
      </c>
      <c r="N16" s="106">
        <v>8.6642077899403773</v>
      </c>
      <c r="O16" s="106">
        <v>2952.7620148116807</v>
      </c>
      <c r="P16" s="106">
        <v>39.027092095050619</v>
      </c>
      <c r="Q16" s="106">
        <v>13300.432985993251</v>
      </c>
      <c r="R16" s="106">
        <v>33.747658599007231</v>
      </c>
      <c r="S16" s="106">
        <v>11501.202050541664</v>
      </c>
      <c r="T16" s="106">
        <v>36.059540795814314</v>
      </c>
      <c r="U16" s="106">
        <v>12289.091503213518</v>
      </c>
      <c r="V16" s="106">
        <v>25.127795176852974</v>
      </c>
      <c r="W16" s="106">
        <v>8563.5525962714946</v>
      </c>
      <c r="X16" s="106">
        <v>37.138910669818024</v>
      </c>
      <c r="Y16" s="106">
        <v>12656.940756273983</v>
      </c>
      <c r="Z16" s="106">
        <v>19.621656868524479</v>
      </c>
      <c r="AA16" s="106">
        <v>6687.0606607931422</v>
      </c>
      <c r="AB16" s="106">
        <v>33.753012332971409</v>
      </c>
      <c r="AC16" s="106">
        <v>11503.026603076656</v>
      </c>
      <c r="AD16" s="106">
        <v>25.516033995971849</v>
      </c>
      <c r="AE16" s="106">
        <v>8695.8643858272062</v>
      </c>
      <c r="AF16" s="106">
        <v>45.72244819497319</v>
      </c>
      <c r="AG16" s="106">
        <v>15582.210344846864</v>
      </c>
      <c r="AH16" s="106">
        <v>22.002705070664007</v>
      </c>
      <c r="AI16" s="106">
        <v>7498.521888082294</v>
      </c>
      <c r="AJ16" s="106">
        <v>28.888743181910066</v>
      </c>
      <c r="AK16" s="106">
        <v>9845.2836763949508</v>
      </c>
      <c r="AL16" s="106">
        <v>26.211174601756731</v>
      </c>
      <c r="AM16" s="106">
        <v>8932.7683042786939</v>
      </c>
      <c r="AN16" s="106">
        <v>37.605606134502615</v>
      </c>
      <c r="AO16" s="106">
        <v>12815.990570638492</v>
      </c>
      <c r="AP16" s="106">
        <v>32.262462636532945</v>
      </c>
      <c r="AQ16" s="106">
        <v>10995.047266530428</v>
      </c>
      <c r="AR16" s="106">
        <v>32.453413157234259</v>
      </c>
      <c r="AS16" s="106">
        <v>11060.123203985435</v>
      </c>
      <c r="AT16" s="106">
        <v>11.001382056279606</v>
      </c>
      <c r="AU16" s="106">
        <v>3749.2710047800902</v>
      </c>
      <c r="AV16" s="106">
        <v>42</v>
      </c>
      <c r="AW16" s="106">
        <v>14313.6</v>
      </c>
      <c r="AX16" s="106">
        <v>12.21152274002668</v>
      </c>
      <c r="AY16" s="106">
        <v>4161.6869498010929</v>
      </c>
      <c r="AZ16" s="106">
        <v>43.112303069308304</v>
      </c>
      <c r="BA16" s="106">
        <v>14692.672886020271</v>
      </c>
      <c r="BB16" s="106">
        <v>28.320846708512555</v>
      </c>
      <c r="BC16" s="106">
        <v>9651.7445582610799</v>
      </c>
      <c r="BD16" s="106">
        <v>45.604245679309535</v>
      </c>
      <c r="BE16" s="106">
        <v>15541.92692750869</v>
      </c>
      <c r="BF16" s="106">
        <v>35.423585312341537</v>
      </c>
      <c r="BG16" s="106">
        <v>12072.357874445996</v>
      </c>
      <c r="BH16" s="106">
        <v>39.617037147357919</v>
      </c>
      <c r="BI16" s="106">
        <v>13501.48625981958</v>
      </c>
      <c r="BJ16" s="106">
        <v>23.867826629518284</v>
      </c>
      <c r="BK16" s="106">
        <v>8134.1553153398318</v>
      </c>
      <c r="BL16" s="106">
        <v>33.140847944276707</v>
      </c>
      <c r="BM16" s="106">
        <v>11294.400979409502</v>
      </c>
      <c r="BN16" s="106">
        <v>34.277892538236607</v>
      </c>
      <c r="BO16" s="106">
        <v>11681.905777031036</v>
      </c>
      <c r="BP16" s="106">
        <v>46.746568284952268</v>
      </c>
      <c r="BQ16" s="106">
        <v>15931.230471511733</v>
      </c>
      <c r="BR16" s="106">
        <v>3.6235405247996106</v>
      </c>
      <c r="BS16" s="106">
        <v>1234.9026108517073</v>
      </c>
      <c r="BT16" s="106">
        <v>35.30975821100035</v>
      </c>
      <c r="BU16" s="106">
        <v>12033.56559830892</v>
      </c>
      <c r="BV16" s="106">
        <v>52.987405850307134</v>
      </c>
      <c r="BW16" s="106">
        <v>18058.107913784672</v>
      </c>
      <c r="BX16" s="106">
        <v>35.795338049343094</v>
      </c>
      <c r="BY16" s="106">
        <v>12199.051207216127</v>
      </c>
      <c r="BZ16" s="106">
        <v>4.0635945891921939</v>
      </c>
      <c r="CA16" s="106">
        <v>1384.8730359966996</v>
      </c>
      <c r="CB16" s="106">
        <v>29</v>
      </c>
      <c r="CC16" s="106">
        <v>9883.2000000000007</v>
      </c>
      <c r="CD16" s="106">
        <v>42</v>
      </c>
      <c r="CE16" s="106">
        <v>14313.6</v>
      </c>
      <c r="CF16" s="106">
        <v>26.409457897516369</v>
      </c>
      <c r="CG16" s="106">
        <v>9000.3432514735796</v>
      </c>
      <c r="CH16" s="106">
        <v>35.2022630834512</v>
      </c>
      <c r="CI16" s="106">
        <v>11996.93125884017</v>
      </c>
      <c r="CJ16" s="106">
        <v>32.849758204869516</v>
      </c>
      <c r="CK16" s="106">
        <v>11195.197596219532</v>
      </c>
      <c r="CL16" s="106">
        <v>34</v>
      </c>
      <c r="CM16" s="106">
        <v>11587.2</v>
      </c>
      <c r="CN16" s="106">
        <v>53.681980603551828</v>
      </c>
      <c r="CO16" s="106">
        <v>18294.818989690462</v>
      </c>
      <c r="CP16" s="106">
        <v>34.617595925983423</v>
      </c>
      <c r="CQ16" s="106">
        <v>11797.67669157515</v>
      </c>
      <c r="CR16" s="106">
        <v>3.8615994239433489</v>
      </c>
      <c r="CS16" s="106">
        <v>1316.0330836798933</v>
      </c>
      <c r="CT16" s="106">
        <v>18.517306411725535</v>
      </c>
      <c r="CU16" s="106">
        <v>6310.6980251160621</v>
      </c>
    </row>
    <row r="17" spans="2:99" x14ac:dyDescent="0.2">
      <c r="C17" s="105" t="s">
        <v>182</v>
      </c>
      <c r="D17" s="106">
        <v>0</v>
      </c>
      <c r="E17" s="106">
        <v>0</v>
      </c>
      <c r="F17" s="106">
        <v>0</v>
      </c>
      <c r="G17" s="106">
        <v>0</v>
      </c>
      <c r="H17" s="106">
        <v>28.852707413250169</v>
      </c>
      <c r="I17" s="106">
        <v>12187.38361135687</v>
      </c>
      <c r="J17" s="106">
        <v>5.5266395908292987</v>
      </c>
      <c r="K17" s="106">
        <v>2334.4525631662955</v>
      </c>
      <c r="L17" s="106">
        <v>65.188556617004551</v>
      </c>
      <c r="M17" s="106">
        <v>27535.646315022721</v>
      </c>
      <c r="N17" s="106">
        <v>7.4438968336107472</v>
      </c>
      <c r="O17" s="106">
        <v>3144.3020225171795</v>
      </c>
      <c r="P17" s="106">
        <v>35.879745958352984</v>
      </c>
      <c r="Q17" s="106">
        <v>15155.6046928083</v>
      </c>
      <c r="R17" s="106">
        <v>35.523851156849716</v>
      </c>
      <c r="S17" s="106">
        <v>15005.274728653319</v>
      </c>
      <c r="T17" s="106">
        <v>34.36924982101052</v>
      </c>
      <c r="U17" s="106">
        <v>14517.571124394843</v>
      </c>
      <c r="V17" s="106">
        <v>22.801147475292517</v>
      </c>
      <c r="W17" s="106">
        <v>9631.204693563559</v>
      </c>
      <c r="X17" s="106">
        <v>34.044001447333187</v>
      </c>
      <c r="Y17" s="106">
        <v>14380.186211353537</v>
      </c>
      <c r="Z17" s="106">
        <v>17.877509591322301</v>
      </c>
      <c r="AA17" s="106">
        <v>7551.4600513745399</v>
      </c>
      <c r="AB17" s="106">
        <v>34.937328555180926</v>
      </c>
      <c r="AC17" s="106">
        <v>14757.527581708422</v>
      </c>
      <c r="AD17" s="106">
        <v>28.640446322009218</v>
      </c>
      <c r="AE17" s="106">
        <v>12097.724526416692</v>
      </c>
      <c r="AF17" s="106">
        <v>43.868835430312117</v>
      </c>
      <c r="AG17" s="106">
        <v>18530.196085763837</v>
      </c>
      <c r="AH17" s="106">
        <v>22.002705070664007</v>
      </c>
      <c r="AI17" s="106">
        <v>9293.9426218484768</v>
      </c>
      <c r="AJ17" s="106">
        <v>31.563626809864701</v>
      </c>
      <c r="AK17" s="106">
        <v>13332.475964486848</v>
      </c>
      <c r="AL17" s="106">
        <v>29.294842201963405</v>
      </c>
      <c r="AM17" s="106">
        <v>12374.141346109342</v>
      </c>
      <c r="AN17" s="106">
        <v>36.999064100075152</v>
      </c>
      <c r="AO17" s="106">
        <v>15628.404675871743</v>
      </c>
      <c r="AP17" s="106">
        <v>28.721460639840302</v>
      </c>
      <c r="AQ17" s="106">
        <v>12131.944974268543</v>
      </c>
      <c r="AR17" s="106">
        <v>31.082142178759572</v>
      </c>
      <c r="AS17" s="106">
        <v>13129.096856308042</v>
      </c>
      <c r="AT17" s="106">
        <v>11.001382056279606</v>
      </c>
      <c r="AU17" s="106">
        <v>4646.9837805725056</v>
      </c>
      <c r="AV17" s="106">
        <v>44</v>
      </c>
      <c r="AW17" s="106">
        <v>18585.599999999999</v>
      </c>
      <c r="AX17" s="106">
        <v>12.050844809236855</v>
      </c>
      <c r="AY17" s="106">
        <v>5090.2768474216473</v>
      </c>
      <c r="AZ17" s="106">
        <v>46.781435245419651</v>
      </c>
      <c r="BA17" s="106">
        <v>19760.478247665258</v>
      </c>
      <c r="BB17" s="106">
        <v>23.223094300980293</v>
      </c>
      <c r="BC17" s="106">
        <v>9809.4350327340744</v>
      </c>
      <c r="BD17" s="106">
        <v>40.659206991191631</v>
      </c>
      <c r="BE17" s="106">
        <v>17174.449033079345</v>
      </c>
      <c r="BF17" s="106">
        <v>37.918203996309252</v>
      </c>
      <c r="BG17" s="106">
        <v>16016.649368041028</v>
      </c>
      <c r="BH17" s="106">
        <v>39.025738085457057</v>
      </c>
      <c r="BI17" s="106">
        <v>16484.471767297058</v>
      </c>
      <c r="BJ17" s="106">
        <v>21.943001901331325</v>
      </c>
      <c r="BK17" s="106">
        <v>9268.7240031223519</v>
      </c>
      <c r="BL17" s="106">
        <v>34.982006163403192</v>
      </c>
      <c r="BM17" s="106">
        <v>14776.399403421507</v>
      </c>
      <c r="BN17" s="106">
        <v>32.765632573314399</v>
      </c>
      <c r="BO17" s="106">
        <v>13840.203198968002</v>
      </c>
      <c r="BP17" s="106">
        <v>44.34930837290343</v>
      </c>
      <c r="BQ17" s="106">
        <v>18733.147856714408</v>
      </c>
      <c r="BR17" s="106">
        <v>3.8109650347030382</v>
      </c>
      <c r="BS17" s="106">
        <v>1609.7516306585633</v>
      </c>
      <c r="BT17" s="106">
        <v>30.663737393763462</v>
      </c>
      <c r="BU17" s="106">
        <v>12952.362675125685</v>
      </c>
      <c r="BV17" s="106">
        <v>51.755140597974417</v>
      </c>
      <c r="BW17" s="106">
        <v>21861.371388584394</v>
      </c>
      <c r="BX17" s="106">
        <v>37.860453706035962</v>
      </c>
      <c r="BY17" s="106">
        <v>15992.25564542959</v>
      </c>
      <c r="BZ17" s="106">
        <v>3.6242870660362807</v>
      </c>
      <c r="CA17" s="106">
        <v>1530.8988566937248</v>
      </c>
      <c r="CB17" s="106">
        <v>31</v>
      </c>
      <c r="CC17" s="106">
        <v>13094.4</v>
      </c>
      <c r="CD17" s="106">
        <v>46</v>
      </c>
      <c r="CE17" s="106">
        <v>19430.399999999998</v>
      </c>
      <c r="CF17" s="106">
        <v>22.301320002347154</v>
      </c>
      <c r="CG17" s="106">
        <v>9420.0775689914371</v>
      </c>
      <c r="CH17" s="106">
        <v>30.370579915134371</v>
      </c>
      <c r="CI17" s="106">
        <v>12828.532956152758</v>
      </c>
      <c r="CJ17" s="106">
        <v>35.587238055275314</v>
      </c>
      <c r="CK17" s="106">
        <v>15032.049354548291</v>
      </c>
      <c r="CL17" s="106">
        <v>33</v>
      </c>
      <c r="CM17" s="106">
        <v>13939.199999999999</v>
      </c>
      <c r="CN17" s="106">
        <v>49.488075868899344</v>
      </c>
      <c r="CO17" s="106">
        <v>20903.763247023082</v>
      </c>
      <c r="CP17" s="106">
        <v>35.949041923136633</v>
      </c>
      <c r="CQ17" s="106">
        <v>15184.875308332914</v>
      </c>
      <c r="CR17" s="106">
        <v>3.9201085061243082</v>
      </c>
      <c r="CS17" s="106">
        <v>1655.8538329869077</v>
      </c>
      <c r="CT17" s="106">
        <v>20.477962384731768</v>
      </c>
      <c r="CU17" s="106">
        <v>8649.8913113106992</v>
      </c>
    </row>
    <row r="18" spans="2:99" x14ac:dyDescent="0.2">
      <c r="C18" s="105" t="s">
        <v>183</v>
      </c>
      <c r="D18" s="106">
        <v>0</v>
      </c>
      <c r="E18" s="106">
        <v>0</v>
      </c>
      <c r="F18" s="106">
        <v>0</v>
      </c>
      <c r="G18" s="106">
        <v>0</v>
      </c>
      <c r="H18" s="106">
        <v>28.379712209754267</v>
      </c>
      <c r="I18" s="106">
        <v>18526.276130527585</v>
      </c>
      <c r="J18" s="106">
        <v>4.7951725861607146</v>
      </c>
      <c r="K18" s="106">
        <v>3130.2886642457142</v>
      </c>
      <c r="L18" s="106">
        <v>54.170772400046033</v>
      </c>
      <c r="M18" s="106">
        <v>35362.680222750045</v>
      </c>
      <c r="N18" s="106">
        <v>7.3218657379777845</v>
      </c>
      <c r="O18" s="106">
        <v>4779.713953751897</v>
      </c>
      <c r="P18" s="106">
        <v>35.250276731013457</v>
      </c>
      <c r="Q18" s="106">
        <v>23011.380650005583</v>
      </c>
      <c r="R18" s="106">
        <v>34.635754877928477</v>
      </c>
      <c r="S18" s="106">
        <v>22610.220784311707</v>
      </c>
      <c r="T18" s="106">
        <v>30.425237546468328</v>
      </c>
      <c r="U18" s="106">
        <v>19861.595070334522</v>
      </c>
      <c r="V18" s="106">
        <v>24.66246563654088</v>
      </c>
      <c r="W18" s="106">
        <v>16099.657567533885</v>
      </c>
      <c r="X18" s="106">
        <v>37.757892514314996</v>
      </c>
      <c r="Y18" s="106">
        <v>24648.352233344827</v>
      </c>
      <c r="Z18" s="106">
        <v>19.621656868524479</v>
      </c>
      <c r="AA18" s="106">
        <v>12809.01760377278</v>
      </c>
      <c r="AB18" s="106">
        <v>31.38437988855236</v>
      </c>
      <c r="AC18" s="106">
        <v>20487.72319124698</v>
      </c>
      <c r="AD18" s="106">
        <v>27.078240158990532</v>
      </c>
      <c r="AE18" s="106">
        <v>17676.67517578902</v>
      </c>
      <c r="AF18" s="106">
        <v>44.486706351865806</v>
      </c>
      <c r="AG18" s="106">
        <v>29040.921906497995</v>
      </c>
      <c r="AH18" s="106">
        <v>19.362380462184326</v>
      </c>
      <c r="AI18" s="106">
        <v>12639.761965713928</v>
      </c>
      <c r="AJ18" s="106">
        <v>28.353766456319139</v>
      </c>
      <c r="AK18" s="106">
        <v>18509.338742685133</v>
      </c>
      <c r="AL18" s="106">
        <v>27.239063801825623</v>
      </c>
      <c r="AM18" s="106">
        <v>17781.660849831766</v>
      </c>
      <c r="AN18" s="106">
        <v>35.179437996792771</v>
      </c>
      <c r="AO18" s="106">
        <v>22965.137124306319</v>
      </c>
      <c r="AP18" s="106">
        <v>27.147681974643575</v>
      </c>
      <c r="AQ18" s="106">
        <v>17722.006793047323</v>
      </c>
      <c r="AR18" s="106">
        <v>29.253780874126655</v>
      </c>
      <c r="AS18" s="106">
        <v>19096.868154629879</v>
      </c>
      <c r="AT18" s="106">
        <v>9.3715476775715167</v>
      </c>
      <c r="AU18" s="106">
        <v>6117.7463239186854</v>
      </c>
      <c r="AV18" s="106">
        <v>44</v>
      </c>
      <c r="AW18" s="106">
        <v>28723.199999999997</v>
      </c>
      <c r="AX18" s="106">
        <v>13.014912393975804</v>
      </c>
      <c r="AY18" s="106">
        <v>8496.1348107874037</v>
      </c>
      <c r="AZ18" s="106">
        <v>47.698718289447484</v>
      </c>
      <c r="BA18" s="106">
        <v>31137.723299351317</v>
      </c>
      <c r="BB18" s="106">
        <v>26.055178971831548</v>
      </c>
      <c r="BC18" s="106">
        <v>17008.820832811634</v>
      </c>
      <c r="BD18" s="106">
        <v>41.75810447744005</v>
      </c>
      <c r="BE18" s="106">
        <v>27259.690602872863</v>
      </c>
      <c r="BF18" s="106">
        <v>33.427890365167364</v>
      </c>
      <c r="BG18" s="106">
        <v>21821.726830381253</v>
      </c>
      <c r="BH18" s="106">
        <v>34.886644652151006</v>
      </c>
      <c r="BI18" s="106">
        <v>22774.001628924176</v>
      </c>
      <c r="BJ18" s="106">
        <v>22.327966846968717</v>
      </c>
      <c r="BK18" s="106">
        <v>14575.696757701178</v>
      </c>
      <c r="BL18" s="106">
        <v>36.362874827748051</v>
      </c>
      <c r="BM18" s="106">
        <v>23737.684687553927</v>
      </c>
      <c r="BN18" s="106">
        <v>30.749285953418127</v>
      </c>
      <c r="BO18" s="106">
        <v>20073.133870391353</v>
      </c>
      <c r="BP18" s="106">
        <v>40.15410352681797</v>
      </c>
      <c r="BQ18" s="106">
        <v>26212.59878230677</v>
      </c>
      <c r="BR18" s="106">
        <v>3.4361160148961827</v>
      </c>
      <c r="BS18" s="106">
        <v>2243.096534524228</v>
      </c>
      <c r="BT18" s="106">
        <v>32.057543638934526</v>
      </c>
      <c r="BU18" s="106">
        <v>20927.164487496459</v>
      </c>
      <c r="BV18" s="106">
        <v>49.906742719475332</v>
      </c>
      <c r="BW18" s="106">
        <v>32579.121647273496</v>
      </c>
      <c r="BX18" s="106">
        <v>36.483709934907381</v>
      </c>
      <c r="BY18" s="106">
        <v>23816.565845507535</v>
      </c>
      <c r="BZ18" s="106">
        <v>3.9537677084032152</v>
      </c>
      <c r="CA18" s="106">
        <v>2581.0195600456186</v>
      </c>
      <c r="CB18" s="106">
        <v>29</v>
      </c>
      <c r="CC18" s="106">
        <v>18931.199999999997</v>
      </c>
      <c r="CD18" s="106">
        <v>40</v>
      </c>
      <c r="CE18" s="106">
        <v>26112</v>
      </c>
      <c r="CF18" s="106">
        <v>22.301320002347154</v>
      </c>
      <c r="CG18" s="106">
        <v>14558.301697532221</v>
      </c>
      <c r="CH18" s="106">
        <v>28.990099009900991</v>
      </c>
      <c r="CI18" s="106">
        <v>18924.736633663364</v>
      </c>
      <c r="CJ18" s="106">
        <v>38.324717905681105</v>
      </c>
      <c r="CK18" s="106">
        <v>25018.375848828622</v>
      </c>
      <c r="CL18" s="106">
        <v>33</v>
      </c>
      <c r="CM18" s="106">
        <v>21542.399999999998</v>
      </c>
      <c r="CN18" s="106">
        <v>51.16563776276034</v>
      </c>
      <c r="CO18" s="106">
        <v>33400.928331529947</v>
      </c>
      <c r="CP18" s="106">
        <v>31.95470393167701</v>
      </c>
      <c r="CQ18" s="106">
        <v>20860.03072659875</v>
      </c>
      <c r="CR18" s="106">
        <v>3.8030903417623887</v>
      </c>
      <c r="CS18" s="106">
        <v>2482.6573751024871</v>
      </c>
      <c r="CT18" s="106">
        <v>19.170858402727614</v>
      </c>
      <c r="CU18" s="106">
        <v>12514.736365300585</v>
      </c>
    </row>
    <row r="19" spans="2:99" x14ac:dyDescent="0.2">
      <c r="C19" s="105" t="s">
        <v>184</v>
      </c>
      <c r="D19" s="106">
        <v>0</v>
      </c>
      <c r="E19" s="106">
        <v>0</v>
      </c>
      <c r="F19" s="106">
        <v>0</v>
      </c>
      <c r="G19" s="106">
        <v>0</v>
      </c>
      <c r="H19" s="106">
        <v>29.79869782024198</v>
      </c>
      <c r="I19" s="106">
        <v>9833.5702806798527</v>
      </c>
      <c r="J19" s="106">
        <v>5.2015431443099285</v>
      </c>
      <c r="K19" s="106">
        <v>1716.5092376222765</v>
      </c>
      <c r="L19" s="106">
        <v>66.106705301751091</v>
      </c>
      <c r="M19" s="106">
        <v>21815.212749577859</v>
      </c>
      <c r="N19" s="106">
        <v>7.8099901205096369</v>
      </c>
      <c r="O19" s="106">
        <v>2577.29673976818</v>
      </c>
      <c r="P19" s="106">
        <v>35.879745958352984</v>
      </c>
      <c r="Q19" s="106">
        <v>11840.316166256485</v>
      </c>
      <c r="R19" s="106">
        <v>34.635754877928477</v>
      </c>
      <c r="S19" s="106">
        <v>11429.799109716398</v>
      </c>
      <c r="T19" s="106">
        <v>37.749831770618108</v>
      </c>
      <c r="U19" s="106">
        <v>12457.444484303976</v>
      </c>
      <c r="V19" s="106">
        <v>23.731806555916698</v>
      </c>
      <c r="W19" s="106">
        <v>7831.4961634525107</v>
      </c>
      <c r="X19" s="106">
        <v>36.51992882532106</v>
      </c>
      <c r="Y19" s="106">
        <v>12051.57651235595</v>
      </c>
      <c r="Z19" s="106">
        <v>18.749583229923388</v>
      </c>
      <c r="AA19" s="106">
        <v>6187.3624658747185</v>
      </c>
      <c r="AB19" s="106">
        <v>33.753012332971409</v>
      </c>
      <c r="AC19" s="106">
        <v>11138.494069880564</v>
      </c>
      <c r="AD19" s="106">
        <v>24.474563220626059</v>
      </c>
      <c r="AE19" s="106">
        <v>8076.6058628065994</v>
      </c>
      <c r="AF19" s="106">
        <v>50.04754464584903</v>
      </c>
      <c r="AG19" s="106">
        <v>16515.689733130181</v>
      </c>
      <c r="AH19" s="106">
        <v>19.802434563597608</v>
      </c>
      <c r="AI19" s="106">
        <v>6534.8034059872107</v>
      </c>
      <c r="AJ19" s="106">
        <v>31.563626809864701</v>
      </c>
      <c r="AK19" s="106">
        <v>10415.996847255352</v>
      </c>
      <c r="AL19" s="106">
        <v>25.697230001722286</v>
      </c>
      <c r="AM19" s="106">
        <v>8480.0859005683542</v>
      </c>
      <c r="AN19" s="106">
        <v>38.212148168930071</v>
      </c>
      <c r="AO19" s="106">
        <v>12610.008895746923</v>
      </c>
      <c r="AP19" s="106">
        <v>33.442796635430497</v>
      </c>
      <c r="AQ19" s="106">
        <v>11036.122889692064</v>
      </c>
      <c r="AR19" s="106">
        <v>32.910503483392489</v>
      </c>
      <c r="AS19" s="106">
        <v>10860.466149519521</v>
      </c>
      <c r="AT19" s="106">
        <v>9.3715476775715167</v>
      </c>
      <c r="AU19" s="106">
        <v>3092.6107335986007</v>
      </c>
      <c r="AV19" s="106">
        <v>44</v>
      </c>
      <c r="AW19" s="106">
        <v>14520</v>
      </c>
      <c r="AX19" s="106">
        <v>14.139657909504578</v>
      </c>
      <c r="AY19" s="106">
        <v>4666.087110136511</v>
      </c>
      <c r="AZ19" s="106">
        <v>44.029586113336144</v>
      </c>
      <c r="BA19" s="106">
        <v>14529.763417400927</v>
      </c>
      <c r="BB19" s="106">
        <v>28.320846708512555</v>
      </c>
      <c r="BC19" s="106">
        <v>9345.8794138091434</v>
      </c>
      <c r="BD19" s="106">
        <v>45.604245679309535</v>
      </c>
      <c r="BE19" s="106">
        <v>15049.401074172147</v>
      </c>
      <c r="BF19" s="106">
        <v>37.419280259515709</v>
      </c>
      <c r="BG19" s="106">
        <v>12348.362485640184</v>
      </c>
      <c r="BH19" s="106">
        <v>40.799635271159651</v>
      </c>
      <c r="BI19" s="106">
        <v>13463.879639482686</v>
      </c>
      <c r="BJ19" s="106">
        <v>23.867826629518284</v>
      </c>
      <c r="BK19" s="106">
        <v>7876.382787741034</v>
      </c>
      <c r="BL19" s="106">
        <v>37.283453937311293</v>
      </c>
      <c r="BM19" s="106">
        <v>12303.539799312726</v>
      </c>
      <c r="BN19" s="106">
        <v>36.294239158132868</v>
      </c>
      <c r="BO19" s="106">
        <v>11977.098922183846</v>
      </c>
      <c r="BP19" s="106">
        <v>39.55478854880576</v>
      </c>
      <c r="BQ19" s="106">
        <v>13053.080221105902</v>
      </c>
      <c r="BR19" s="106">
        <v>3.8109650347030382</v>
      </c>
      <c r="BS19" s="106">
        <v>1257.6184614520025</v>
      </c>
      <c r="BT19" s="106">
        <v>34.380554047552977</v>
      </c>
      <c r="BU19" s="106">
        <v>11345.582835692483</v>
      </c>
      <c r="BV19" s="106">
        <v>44.361549083978076</v>
      </c>
      <c r="BW19" s="106">
        <v>14639.311197712765</v>
      </c>
      <c r="BX19" s="106">
        <v>35.1069661637788</v>
      </c>
      <c r="BY19" s="106">
        <v>11585.298834047004</v>
      </c>
      <c r="BZ19" s="106">
        <v>4.2832483507701502</v>
      </c>
      <c r="CA19" s="106">
        <v>1413.4719557541496</v>
      </c>
      <c r="CB19" s="106">
        <v>32</v>
      </c>
      <c r="CC19" s="106">
        <v>10560</v>
      </c>
      <c r="CD19" s="106">
        <v>44</v>
      </c>
      <c r="CE19" s="106">
        <v>14520</v>
      </c>
      <c r="CF19" s="106">
        <v>22.888196844514184</v>
      </c>
      <c r="CG19" s="106">
        <v>7553.1049586896806</v>
      </c>
      <c r="CH19" s="106">
        <v>35.2022630834512</v>
      </c>
      <c r="CI19" s="106">
        <v>11616.746817538897</v>
      </c>
      <c r="CJ19" s="106">
        <v>37.640347943079661</v>
      </c>
      <c r="CK19" s="106">
        <v>12421.314821216289</v>
      </c>
      <c r="CL19" s="106">
        <v>40</v>
      </c>
      <c r="CM19" s="106">
        <v>13200</v>
      </c>
      <c r="CN19" s="106">
        <v>53.681980603551828</v>
      </c>
      <c r="CO19" s="106">
        <v>17715.053599172104</v>
      </c>
      <c r="CP19" s="106">
        <v>38.611933917443054</v>
      </c>
      <c r="CQ19" s="106">
        <v>12741.938192756208</v>
      </c>
      <c r="CR19" s="106">
        <v>3.5690540130385497</v>
      </c>
      <c r="CS19" s="106">
        <v>1177.7878243027214</v>
      </c>
      <c r="CT19" s="106">
        <v>19.824410393729693</v>
      </c>
      <c r="CU19" s="106">
        <v>6542.0554299307987</v>
      </c>
    </row>
    <row r="20" spans="2:99" x14ac:dyDescent="0.2">
      <c r="B20" s="105" t="s">
        <v>127</v>
      </c>
      <c r="C20" s="105" t="s">
        <v>185</v>
      </c>
      <c r="D20" s="106">
        <v>0</v>
      </c>
      <c r="E20" s="106">
        <v>0</v>
      </c>
      <c r="F20" s="106">
        <v>0</v>
      </c>
      <c r="G20" s="106">
        <v>0</v>
      </c>
      <c r="H20" s="106">
        <v>59.124400436988054</v>
      </c>
      <c r="I20" s="106">
        <v>16956.878045328176</v>
      </c>
      <c r="J20" s="106">
        <v>8.1274111629842629</v>
      </c>
      <c r="K20" s="106">
        <v>2330.9415215438867</v>
      </c>
      <c r="L20" s="106">
        <v>98.241909267880089</v>
      </c>
      <c r="M20" s="106">
        <v>28175.77957802801</v>
      </c>
      <c r="N20" s="106">
        <v>10.372643128801862</v>
      </c>
      <c r="O20" s="106">
        <v>2974.8740493403739</v>
      </c>
      <c r="P20" s="106">
        <v>45.951253595785403</v>
      </c>
      <c r="Q20" s="106">
        <v>13178.819531271254</v>
      </c>
      <c r="R20" s="106">
        <v>103.90726463378543</v>
      </c>
      <c r="S20" s="106">
        <v>29800.603496969663</v>
      </c>
      <c r="T20" s="106">
        <v>51.272159569048476</v>
      </c>
      <c r="U20" s="106">
        <v>14704.855364403104</v>
      </c>
      <c r="V20" s="106">
        <v>65.146135643692901</v>
      </c>
      <c r="W20" s="106">
        <v>18683.911702611123</v>
      </c>
      <c r="X20" s="106">
        <v>76.134766873126949</v>
      </c>
      <c r="Y20" s="106">
        <v>21835.451139212812</v>
      </c>
      <c r="Z20" s="106">
        <v>56.248749689770165</v>
      </c>
      <c r="AA20" s="106">
        <v>16132.141411026083</v>
      </c>
      <c r="AB20" s="106">
        <v>55.070704332742821</v>
      </c>
      <c r="AC20" s="106">
        <v>15794.278002630641</v>
      </c>
      <c r="AD20" s="106">
        <v>58.322363419364223</v>
      </c>
      <c r="AE20" s="106">
        <v>16726.853828673658</v>
      </c>
      <c r="AF20" s="106">
        <v>57.461995704493333</v>
      </c>
      <c r="AG20" s="106">
        <v>16480.10036804869</v>
      </c>
      <c r="AH20" s="106">
        <v>58.087141386552979</v>
      </c>
      <c r="AI20" s="106">
        <v>16659.392149663396</v>
      </c>
      <c r="AJ20" s="106">
        <v>63.127253619729402</v>
      </c>
      <c r="AK20" s="106">
        <v>18104.896338138395</v>
      </c>
      <c r="AL20" s="106">
        <v>69.896465604684622</v>
      </c>
      <c r="AM20" s="106">
        <v>20046.306335423549</v>
      </c>
      <c r="AN20" s="106">
        <v>67.326165821448228</v>
      </c>
      <c r="AO20" s="106">
        <v>19309.144357591351</v>
      </c>
      <c r="AP20" s="106">
        <v>50.754361952594508</v>
      </c>
      <c r="AQ20" s="106">
        <v>14556.351008004105</v>
      </c>
      <c r="AR20" s="106">
        <v>63.992645662152064</v>
      </c>
      <c r="AS20" s="106">
        <v>18353.090775905213</v>
      </c>
      <c r="AT20" s="106">
        <v>24.854974275298371</v>
      </c>
      <c r="AU20" s="106">
        <v>7128.4066221555731</v>
      </c>
      <c r="AV20" s="106">
        <v>104</v>
      </c>
      <c r="AW20" s="106">
        <v>29827.200000000001</v>
      </c>
      <c r="AX20" s="106">
        <v>14.621691701874052</v>
      </c>
      <c r="AY20" s="106">
        <v>4193.501180097478</v>
      </c>
      <c r="AZ20" s="106">
        <v>87.141889182644448</v>
      </c>
      <c r="BA20" s="106">
        <v>24992.293817582427</v>
      </c>
      <c r="BB20" s="106">
        <v>60.606611956216867</v>
      </c>
      <c r="BC20" s="106">
        <v>17381.976309042999</v>
      </c>
      <c r="BD20" s="106">
        <v>68.681092890526401</v>
      </c>
      <c r="BE20" s="106">
        <v>19697.737441002973</v>
      </c>
      <c r="BF20" s="106">
        <v>44.903136311418848</v>
      </c>
      <c r="BG20" s="106">
        <v>12878.219494114926</v>
      </c>
      <c r="BH20" s="106">
        <v>79.234074294715839</v>
      </c>
      <c r="BI20" s="106">
        <v>22724.332507724503</v>
      </c>
      <c r="BJ20" s="106">
        <v>58.899636682520928</v>
      </c>
      <c r="BK20" s="106">
        <v>16892.415800547002</v>
      </c>
      <c r="BL20" s="106">
        <v>74.106618319840962</v>
      </c>
      <c r="BM20" s="106">
        <v>21253.778134130389</v>
      </c>
      <c r="BN20" s="106">
        <v>62.002658561810328</v>
      </c>
      <c r="BO20" s="106">
        <v>17782.362475527203</v>
      </c>
      <c r="BP20" s="106">
        <v>71.318482383452817</v>
      </c>
      <c r="BQ20" s="106">
        <v>20454.140747574267</v>
      </c>
      <c r="BR20" s="106">
        <v>8.9339016387300738</v>
      </c>
      <c r="BS20" s="106">
        <v>2562.2429899877852</v>
      </c>
      <c r="BT20" s="106">
        <v>59.469066460632163</v>
      </c>
      <c r="BU20" s="106">
        <v>17055.728260909305</v>
      </c>
      <c r="BV20" s="106">
        <v>73.935915139963456</v>
      </c>
      <c r="BW20" s="106">
        <v>21204.820462141521</v>
      </c>
      <c r="BX20" s="106">
        <v>66.083701014171865</v>
      </c>
      <c r="BY20" s="106">
        <v>18952.805450864493</v>
      </c>
      <c r="BZ20" s="106">
        <v>6.4797859665497137</v>
      </c>
      <c r="CA20" s="106">
        <v>1858.402615206458</v>
      </c>
      <c r="CB20" s="106">
        <v>99</v>
      </c>
      <c r="CC20" s="106">
        <v>28393.200000000001</v>
      </c>
      <c r="CD20" s="106">
        <v>104</v>
      </c>
      <c r="CE20" s="106">
        <v>29827.200000000001</v>
      </c>
      <c r="CF20" s="106">
        <v>47.537024215529456</v>
      </c>
      <c r="CG20" s="106">
        <v>13633.618545013849</v>
      </c>
      <c r="CH20" s="106">
        <v>58.670438472418674</v>
      </c>
      <c r="CI20" s="106">
        <v>16826.681753889676</v>
      </c>
      <c r="CJ20" s="106">
        <v>75.280695886159322</v>
      </c>
      <c r="CK20" s="106">
        <v>21590.503580150493</v>
      </c>
      <c r="CL20" s="106">
        <v>57</v>
      </c>
      <c r="CM20" s="106">
        <v>16347.6</v>
      </c>
      <c r="CN20" s="106">
        <v>102.33127552552068</v>
      </c>
      <c r="CO20" s="106">
        <v>29348.609820719332</v>
      </c>
      <c r="CP20" s="106">
        <v>51.926393888975142</v>
      </c>
      <c r="CQ20" s="106">
        <v>14892.489767358071</v>
      </c>
      <c r="CR20" s="106">
        <v>9.0689077380487735</v>
      </c>
      <c r="CS20" s="106">
        <v>2600.9627392723883</v>
      </c>
      <c r="CT20" s="106">
        <v>22.87431968507272</v>
      </c>
      <c r="CU20" s="106">
        <v>6560.3548856788566</v>
      </c>
    </row>
    <row r="21" spans="2:99" x14ac:dyDescent="0.2">
      <c r="C21" s="105" t="s">
        <v>186</v>
      </c>
      <c r="D21" s="106">
        <v>0</v>
      </c>
      <c r="E21" s="106">
        <v>0</v>
      </c>
      <c r="F21" s="106">
        <v>0</v>
      </c>
      <c r="G21" s="106">
        <v>0</v>
      </c>
      <c r="H21" s="106">
        <v>60.543386047475764</v>
      </c>
      <c r="I21" s="106">
        <v>3777.9072893624875</v>
      </c>
      <c r="J21" s="106">
        <v>7.8023147164648927</v>
      </c>
      <c r="K21" s="106">
        <v>486.86443830740927</v>
      </c>
      <c r="L21" s="106">
        <v>89.978571105161222</v>
      </c>
      <c r="M21" s="106">
        <v>5614.6628369620603</v>
      </c>
      <c r="N21" s="106">
        <v>10.616705320067787</v>
      </c>
      <c r="O21" s="106">
        <v>662.4824119722299</v>
      </c>
      <c r="P21" s="106">
        <v>46.58072282312493</v>
      </c>
      <c r="Q21" s="106">
        <v>2906.6371041629955</v>
      </c>
      <c r="R21" s="106">
        <v>111.01203486515537</v>
      </c>
      <c r="S21" s="106">
        <v>6927.1509755856951</v>
      </c>
      <c r="T21" s="106">
        <v>48.455007944375488</v>
      </c>
      <c r="U21" s="106">
        <v>3023.5924957290304</v>
      </c>
      <c r="V21" s="106">
        <v>72.591408288686367</v>
      </c>
      <c r="W21" s="106">
        <v>4529.7038772140295</v>
      </c>
      <c r="X21" s="106">
        <v>69.944948428157275</v>
      </c>
      <c r="Y21" s="106">
        <v>4364.5647819170135</v>
      </c>
      <c r="Z21" s="106">
        <v>58.428933786272886</v>
      </c>
      <c r="AA21" s="106">
        <v>3645.9654682634282</v>
      </c>
      <c r="AB21" s="106">
        <v>58.623652999371387</v>
      </c>
      <c r="AC21" s="106">
        <v>3658.1159471607743</v>
      </c>
      <c r="AD21" s="106">
        <v>67.695600397476326</v>
      </c>
      <c r="AE21" s="106">
        <v>4224.2054648025223</v>
      </c>
      <c r="AF21" s="106">
        <v>55.608382939832254</v>
      </c>
      <c r="AG21" s="106">
        <v>3469.9630954455324</v>
      </c>
      <c r="AH21" s="106">
        <v>61.167520096445941</v>
      </c>
      <c r="AI21" s="106">
        <v>3816.8532540182268</v>
      </c>
      <c r="AJ21" s="106">
        <v>64.197207070911261</v>
      </c>
      <c r="AK21" s="106">
        <v>4005.9057212248626</v>
      </c>
      <c r="AL21" s="106">
        <v>66.812798004477941</v>
      </c>
      <c r="AM21" s="106">
        <v>4169.1185954794237</v>
      </c>
      <c r="AN21" s="106">
        <v>74.604670234577767</v>
      </c>
      <c r="AO21" s="106">
        <v>4655.3314226376524</v>
      </c>
      <c r="AP21" s="106">
        <v>51.93469595149206</v>
      </c>
      <c r="AQ21" s="106">
        <v>3240.7250273731042</v>
      </c>
      <c r="AR21" s="106">
        <v>55.307929465145712</v>
      </c>
      <c r="AS21" s="106">
        <v>3451.2147986250925</v>
      </c>
      <c r="AT21" s="106">
        <v>25.262432869975392</v>
      </c>
      <c r="AU21" s="106">
        <v>1576.3758110864644</v>
      </c>
      <c r="AV21" s="106">
        <v>112</v>
      </c>
      <c r="AW21" s="106">
        <v>6988.8</v>
      </c>
      <c r="AX21" s="106">
        <v>15.585759286612999</v>
      </c>
      <c r="AY21" s="106">
        <v>972.55137948465119</v>
      </c>
      <c r="AZ21" s="106">
        <v>96.314719622922809</v>
      </c>
      <c r="BA21" s="106">
        <v>6010.0385044703835</v>
      </c>
      <c r="BB21" s="106">
        <v>62.87227969289787</v>
      </c>
      <c r="BC21" s="106">
        <v>3923.2302528368268</v>
      </c>
      <c r="BD21" s="106">
        <v>79.120619009886425</v>
      </c>
      <c r="BE21" s="106">
        <v>4937.1266262169129</v>
      </c>
      <c r="BF21" s="106">
        <v>52.88591610011553</v>
      </c>
      <c r="BG21" s="106">
        <v>3300.0811646472089</v>
      </c>
      <c r="BH21" s="106">
        <v>97.564345213642639</v>
      </c>
      <c r="BI21" s="106">
        <v>6088.0151413313006</v>
      </c>
      <c r="BJ21" s="106">
        <v>65.444040758356579</v>
      </c>
      <c r="BK21" s="106">
        <v>4083.7081433214503</v>
      </c>
      <c r="BL21" s="106">
        <v>75.027197429404211</v>
      </c>
      <c r="BM21" s="106">
        <v>4681.6971195948227</v>
      </c>
      <c r="BN21" s="106">
        <v>53.937272082225242</v>
      </c>
      <c r="BO21" s="106">
        <v>3365.6857779308552</v>
      </c>
      <c r="BP21" s="106">
        <v>79.708892075623737</v>
      </c>
      <c r="BQ21" s="106">
        <v>4973.8348655189211</v>
      </c>
      <c r="BR21" s="106">
        <v>9.0588513119990264</v>
      </c>
      <c r="BS21" s="106">
        <v>565.27232186873925</v>
      </c>
      <c r="BT21" s="106">
        <v>56.681453970290029</v>
      </c>
      <c r="BU21" s="106">
        <v>3536.9227277460977</v>
      </c>
      <c r="BV21" s="106">
        <v>80.097241401627073</v>
      </c>
      <c r="BW21" s="106">
        <v>4998.0678634615297</v>
      </c>
      <c r="BX21" s="106">
        <v>72.967419869814762</v>
      </c>
      <c r="BY21" s="106">
        <v>4553.166999876441</v>
      </c>
      <c r="BZ21" s="106">
        <v>7.1387472512835828</v>
      </c>
      <c r="CA21" s="106">
        <v>445.45782848009554</v>
      </c>
      <c r="CB21" s="106">
        <v>105</v>
      </c>
      <c r="CC21" s="106">
        <v>6552</v>
      </c>
      <c r="CD21" s="106">
        <v>103</v>
      </c>
      <c r="CE21" s="106">
        <v>6427.2</v>
      </c>
      <c r="CF21" s="106">
        <v>48.123901057696493</v>
      </c>
      <c r="CG21" s="106">
        <v>3002.9314260002611</v>
      </c>
      <c r="CH21" s="106">
        <v>67.643564356435647</v>
      </c>
      <c r="CI21" s="106">
        <v>4220.9584158415846</v>
      </c>
      <c r="CJ21" s="106">
        <v>78.702545699166564</v>
      </c>
      <c r="CK21" s="106">
        <v>4911.0388516279936</v>
      </c>
      <c r="CL21" s="106">
        <v>64</v>
      </c>
      <c r="CM21" s="106">
        <v>3993.6</v>
      </c>
      <c r="CN21" s="106">
        <v>105.68639931324266</v>
      </c>
      <c r="CO21" s="106">
        <v>6594.8313171463415</v>
      </c>
      <c r="CP21" s="106">
        <v>62.134146533816406</v>
      </c>
      <c r="CQ21" s="106">
        <v>3877.1707437101436</v>
      </c>
      <c r="CR21" s="106">
        <v>9.9465439707631713</v>
      </c>
      <c r="CS21" s="106">
        <v>620.66434377562189</v>
      </c>
      <c r="CT21" s="106">
        <v>26.142079640083107</v>
      </c>
      <c r="CU21" s="106">
        <v>1631.2657695411858</v>
      </c>
    </row>
    <row r="22" spans="2:99" x14ac:dyDescent="0.2">
      <c r="C22" s="105" t="s">
        <v>187</v>
      </c>
      <c r="D22" s="106">
        <v>0</v>
      </c>
      <c r="E22" s="106">
        <v>0</v>
      </c>
      <c r="F22" s="106">
        <v>0</v>
      </c>
      <c r="G22" s="106">
        <v>0</v>
      </c>
      <c r="H22" s="106">
        <v>65.746333285930717</v>
      </c>
      <c r="I22" s="106">
        <v>12307.71359112623</v>
      </c>
      <c r="J22" s="106">
        <v>7.6397664932052072</v>
      </c>
      <c r="K22" s="106">
        <v>1430.1642875280147</v>
      </c>
      <c r="L22" s="106">
        <v>100.07820663737319</v>
      </c>
      <c r="M22" s="106">
        <v>18734.640282516259</v>
      </c>
      <c r="N22" s="106">
        <v>10.006549841902972</v>
      </c>
      <c r="O22" s="106">
        <v>1873.2261304042363</v>
      </c>
      <c r="P22" s="106">
        <v>49.728068959822558</v>
      </c>
      <c r="Q22" s="106">
        <v>9309.0945092787824</v>
      </c>
      <c r="R22" s="106">
        <v>119.89299765436779</v>
      </c>
      <c r="S22" s="106">
        <v>22443.96916089765</v>
      </c>
      <c r="T22" s="106">
        <v>49.018438269310082</v>
      </c>
      <c r="U22" s="106">
        <v>9176.2516440148465</v>
      </c>
      <c r="V22" s="106">
        <v>66.076794724317082</v>
      </c>
      <c r="W22" s="106">
        <v>12369.575972392156</v>
      </c>
      <c r="X22" s="106">
        <v>69.944948428157275</v>
      </c>
      <c r="Y22" s="106">
        <v>13093.694345751041</v>
      </c>
      <c r="Z22" s="106">
        <v>59.737044244174513</v>
      </c>
      <c r="AA22" s="106">
        <v>11182.774682509467</v>
      </c>
      <c r="AB22" s="106">
        <v>62.768759777104719</v>
      </c>
      <c r="AC22" s="106">
        <v>11750.311830274002</v>
      </c>
      <c r="AD22" s="106">
        <v>61.967511133074488</v>
      </c>
      <c r="AE22" s="106">
        <v>11600.318084111543</v>
      </c>
      <c r="AF22" s="106">
        <v>56.844124782939637</v>
      </c>
      <c r="AG22" s="106">
        <v>10641.220159366299</v>
      </c>
      <c r="AH22" s="106">
        <v>62.047628299272496</v>
      </c>
      <c r="AI22" s="106">
        <v>11615.316017623811</v>
      </c>
      <c r="AJ22" s="106">
        <v>56.707532912638278</v>
      </c>
      <c r="AK22" s="106">
        <v>10615.650161245885</v>
      </c>
      <c r="AL22" s="106">
        <v>66.298853404443491</v>
      </c>
      <c r="AM22" s="106">
        <v>12411.145357311821</v>
      </c>
      <c r="AN22" s="106">
        <v>74.604670234577767</v>
      </c>
      <c r="AO22" s="106">
        <v>13965.994267912958</v>
      </c>
      <c r="AP22" s="106">
        <v>57.442921279680604</v>
      </c>
      <c r="AQ22" s="106">
        <v>10753.314863556208</v>
      </c>
      <c r="AR22" s="106">
        <v>65.363916640626755</v>
      </c>
      <c r="AS22" s="106">
        <v>12236.125195125327</v>
      </c>
      <c r="AT22" s="106">
        <v>22.206493409897725</v>
      </c>
      <c r="AU22" s="106">
        <v>4157.0555663328541</v>
      </c>
      <c r="AV22" s="106">
        <v>127</v>
      </c>
      <c r="AW22" s="106">
        <v>23774.399999999998</v>
      </c>
      <c r="AX22" s="106">
        <v>16.389148940562123</v>
      </c>
      <c r="AY22" s="106">
        <v>3068.0486816732291</v>
      </c>
      <c r="AZ22" s="106">
        <v>77.969058742366087</v>
      </c>
      <c r="BA22" s="106">
        <v>14595.807796570931</v>
      </c>
      <c r="BB22" s="106">
        <v>60.606611956216867</v>
      </c>
      <c r="BC22" s="106">
        <v>11345.557758203797</v>
      </c>
      <c r="BD22" s="106">
        <v>84.065657698004316</v>
      </c>
      <c r="BE22" s="106">
        <v>15737.091121066407</v>
      </c>
      <c r="BF22" s="106">
        <v>44.903136311418848</v>
      </c>
      <c r="BG22" s="106">
        <v>8405.867117497608</v>
      </c>
      <c r="BH22" s="106">
        <v>86.920962099427072</v>
      </c>
      <c r="BI22" s="106">
        <v>16271.604105012748</v>
      </c>
      <c r="BJ22" s="106">
        <v>54.665022280509618</v>
      </c>
      <c r="BK22" s="106">
        <v>10233.2921709114</v>
      </c>
      <c r="BL22" s="106">
        <v>69.043433217243148</v>
      </c>
      <c r="BM22" s="106">
        <v>12924.930698267917</v>
      </c>
      <c r="BN22" s="106">
        <v>54.945445392173383</v>
      </c>
      <c r="BO22" s="106">
        <v>10285.787377414857</v>
      </c>
      <c r="BP22" s="106">
        <v>82.705466965684778</v>
      </c>
      <c r="BQ22" s="106">
        <v>15482.46341597619</v>
      </c>
      <c r="BR22" s="106">
        <v>8.3091532723853145</v>
      </c>
      <c r="BS22" s="106">
        <v>1555.4734925905309</v>
      </c>
      <c r="BT22" s="106">
        <v>55.752249806842656</v>
      </c>
      <c r="BU22" s="106">
        <v>10436.821163840945</v>
      </c>
      <c r="BV22" s="106">
        <v>78.86497614929435</v>
      </c>
      <c r="BW22" s="106">
        <v>14763.5235351479</v>
      </c>
      <c r="BX22" s="106">
        <v>62.641841586350417</v>
      </c>
      <c r="BY22" s="106">
        <v>11726.552744964798</v>
      </c>
      <c r="BZ22" s="106">
        <v>7.6878816552284741</v>
      </c>
      <c r="CA22" s="106">
        <v>1439.1714458587703</v>
      </c>
      <c r="CB22" s="106">
        <v>100</v>
      </c>
      <c r="CC22" s="106">
        <v>18720</v>
      </c>
      <c r="CD22" s="106">
        <v>96</v>
      </c>
      <c r="CE22" s="106">
        <v>17971.199999999997</v>
      </c>
      <c r="CF22" s="106">
        <v>51.645162110698678</v>
      </c>
      <c r="CG22" s="106">
        <v>9667.9743471227921</v>
      </c>
      <c r="CH22" s="106">
        <v>56.599717114568598</v>
      </c>
      <c r="CI22" s="106">
        <v>10595.46704384724</v>
      </c>
      <c r="CJ22" s="106">
        <v>79.386915661768001</v>
      </c>
      <c r="CK22" s="106">
        <v>14861.230611882969</v>
      </c>
      <c r="CL22" s="106">
        <v>59</v>
      </c>
      <c r="CM22" s="106">
        <v>11044.8</v>
      </c>
      <c r="CN22" s="106">
        <v>106.52518026017316</v>
      </c>
      <c r="CO22" s="106">
        <v>19941.513744704414</v>
      </c>
      <c r="CP22" s="106">
        <v>58.583623874741178</v>
      </c>
      <c r="CQ22" s="106">
        <v>10966.854389351547</v>
      </c>
      <c r="CR22" s="106">
        <v>8.5423259984201341</v>
      </c>
      <c r="CS22" s="106">
        <v>1599.1234269042491</v>
      </c>
      <c r="CT22" s="106">
        <v>25.706378312748388</v>
      </c>
      <c r="CU22" s="106">
        <v>4812.2340201464976</v>
      </c>
    </row>
    <row r="23" spans="2:99" x14ac:dyDescent="0.2">
      <c r="C23" s="105" t="s">
        <v>188</v>
      </c>
      <c r="D23" s="106">
        <v>0</v>
      </c>
      <c r="E23" s="106">
        <v>0</v>
      </c>
      <c r="F23" s="106">
        <v>0</v>
      </c>
      <c r="G23" s="106">
        <v>0</v>
      </c>
      <c r="H23" s="106">
        <v>59.59739564048396</v>
      </c>
      <c r="I23" s="106">
        <v>17521.634318302284</v>
      </c>
      <c r="J23" s="106">
        <v>7.9648629397245783</v>
      </c>
      <c r="K23" s="106">
        <v>2341.6697042790261</v>
      </c>
      <c r="L23" s="106">
        <v>102.83265269161281</v>
      </c>
      <c r="M23" s="106">
        <v>30232.799891334165</v>
      </c>
      <c r="N23" s="106">
        <v>9.5184254593711195</v>
      </c>
      <c r="O23" s="106">
        <v>2798.4170850551091</v>
      </c>
      <c r="P23" s="106">
        <v>45.321784368445876</v>
      </c>
      <c r="Q23" s="106">
        <v>13324.604604323087</v>
      </c>
      <c r="R23" s="106">
        <v>111.90013114407661</v>
      </c>
      <c r="S23" s="106">
        <v>32898.638556358521</v>
      </c>
      <c r="T23" s="106">
        <v>47.328147294506287</v>
      </c>
      <c r="U23" s="106">
        <v>13914.475304584848</v>
      </c>
      <c r="V23" s="106">
        <v>68.403442425877543</v>
      </c>
      <c r="W23" s="106">
        <v>20110.612073207998</v>
      </c>
      <c r="X23" s="106">
        <v>68.706984739163346</v>
      </c>
      <c r="Y23" s="106">
        <v>20199.853513314025</v>
      </c>
      <c r="Z23" s="106">
        <v>62.789301979278328</v>
      </c>
      <c r="AA23" s="106">
        <v>18460.054781907827</v>
      </c>
      <c r="AB23" s="106">
        <v>59.215811110476153</v>
      </c>
      <c r="AC23" s="106">
        <v>17409.448466479989</v>
      </c>
      <c r="AD23" s="106">
        <v>65.091923459111854</v>
      </c>
      <c r="AE23" s="106">
        <v>19137.025496978884</v>
      </c>
      <c r="AF23" s="106">
        <v>52.519028332063797</v>
      </c>
      <c r="AG23" s="106">
        <v>15440.594329626756</v>
      </c>
      <c r="AH23" s="106">
        <v>62.047628299272496</v>
      </c>
      <c r="AI23" s="106">
        <v>18242.002719986114</v>
      </c>
      <c r="AJ23" s="106">
        <v>60.987346717365696</v>
      </c>
      <c r="AK23" s="106">
        <v>17930.279934905513</v>
      </c>
      <c r="AL23" s="106">
        <v>63.215185804236818</v>
      </c>
      <c r="AM23" s="106">
        <v>18585.264626445623</v>
      </c>
      <c r="AN23" s="106">
        <v>63.686913614883458</v>
      </c>
      <c r="AO23" s="106">
        <v>18723.952602775738</v>
      </c>
      <c r="AP23" s="106">
        <v>52.721585284090423</v>
      </c>
      <c r="AQ23" s="106">
        <v>15500.146073522585</v>
      </c>
      <c r="AR23" s="106">
        <v>53.479568160512791</v>
      </c>
      <c r="AS23" s="106">
        <v>15722.99303919076</v>
      </c>
      <c r="AT23" s="106">
        <v>23.225139896590282</v>
      </c>
      <c r="AU23" s="106">
        <v>6828.1911295975424</v>
      </c>
      <c r="AV23" s="106">
        <v>121</v>
      </c>
      <c r="AW23" s="106">
        <v>35574</v>
      </c>
      <c r="AX23" s="106">
        <v>15.585759286612999</v>
      </c>
      <c r="AY23" s="106">
        <v>4582.2132302642221</v>
      </c>
      <c r="AZ23" s="106">
        <v>78.886341786393913</v>
      </c>
      <c r="BA23" s="106">
        <v>23192.584485199812</v>
      </c>
      <c r="BB23" s="106">
        <v>66.837198232089634</v>
      </c>
      <c r="BC23" s="106">
        <v>19650.136280234354</v>
      </c>
      <c r="BD23" s="106">
        <v>81.318413982383262</v>
      </c>
      <c r="BE23" s="106">
        <v>23907.613710820679</v>
      </c>
      <c r="BF23" s="106">
        <v>45.900983785005934</v>
      </c>
      <c r="BG23" s="106">
        <v>13494.889232791744</v>
      </c>
      <c r="BH23" s="106">
        <v>81.599270542319303</v>
      </c>
      <c r="BI23" s="106">
        <v>23990.185539441874</v>
      </c>
      <c r="BJ23" s="106">
        <v>63.134251084532231</v>
      </c>
      <c r="BK23" s="106">
        <v>18561.469818852474</v>
      </c>
      <c r="BL23" s="106">
        <v>67.202274998116664</v>
      </c>
      <c r="BM23" s="106">
        <v>19757.468849446301</v>
      </c>
      <c r="BN23" s="106">
        <v>61.498571906836254</v>
      </c>
      <c r="BO23" s="106">
        <v>18080.580140609858</v>
      </c>
      <c r="BP23" s="106">
        <v>72.517112339477237</v>
      </c>
      <c r="BQ23" s="106">
        <v>21320.031027806308</v>
      </c>
      <c r="BR23" s="106">
        <v>8.3716281090197899</v>
      </c>
      <c r="BS23" s="106">
        <v>2461.2586640518184</v>
      </c>
      <c r="BT23" s="106">
        <v>53.429239398224212</v>
      </c>
      <c r="BU23" s="106">
        <v>15708.196383077919</v>
      </c>
      <c r="BV23" s="106">
        <v>70.239119382965285</v>
      </c>
      <c r="BW23" s="106">
        <v>20650.301098591794</v>
      </c>
      <c r="BX23" s="106">
        <v>68.148816670864733</v>
      </c>
      <c r="BY23" s="106">
        <v>20035.752101234233</v>
      </c>
      <c r="BZ23" s="106">
        <v>6.9190934897056264</v>
      </c>
      <c r="CA23" s="106">
        <v>2034.2134859734542</v>
      </c>
      <c r="CB23" s="106">
        <v>109</v>
      </c>
      <c r="CC23" s="106">
        <v>32046</v>
      </c>
      <c r="CD23" s="106">
        <v>98</v>
      </c>
      <c r="CE23" s="106">
        <v>28812</v>
      </c>
      <c r="CF23" s="106">
        <v>47.537024215529456</v>
      </c>
      <c r="CG23" s="106">
        <v>13975.885119365661</v>
      </c>
      <c r="CH23" s="106">
        <v>65.572842998585571</v>
      </c>
      <c r="CI23" s="106">
        <v>19278.415841584159</v>
      </c>
      <c r="CJ23" s="106">
        <v>69.805736185347726</v>
      </c>
      <c r="CK23" s="106">
        <v>20522.886438492231</v>
      </c>
      <c r="CL23" s="106">
        <v>59</v>
      </c>
      <c r="CM23" s="106">
        <v>17346</v>
      </c>
      <c r="CN23" s="106">
        <v>98.976151737798688</v>
      </c>
      <c r="CO23" s="106">
        <v>29098.988610912813</v>
      </c>
      <c r="CP23" s="106">
        <v>57.695993209972379</v>
      </c>
      <c r="CQ23" s="106">
        <v>16962.622003731878</v>
      </c>
      <c r="CR23" s="106">
        <v>8.8933804915058943</v>
      </c>
      <c r="CS23" s="106">
        <v>2614.6538645027331</v>
      </c>
      <c r="CT23" s="106">
        <v>27.013482294752546</v>
      </c>
      <c r="CU23" s="106">
        <v>7941.9637946572484</v>
      </c>
    </row>
    <row r="24" spans="2:99" x14ac:dyDescent="0.2">
      <c r="C24" s="105" t="s">
        <v>189</v>
      </c>
      <c r="D24" s="106">
        <v>0</v>
      </c>
      <c r="E24" s="106">
        <v>0</v>
      </c>
      <c r="F24" s="106">
        <v>0</v>
      </c>
      <c r="G24" s="106">
        <v>0</v>
      </c>
      <c r="H24" s="106">
        <v>61.016381250971669</v>
      </c>
      <c r="I24" s="106">
        <v>22405.215195356795</v>
      </c>
      <c r="J24" s="106">
        <v>8.2086852746141048</v>
      </c>
      <c r="K24" s="106">
        <v>3014.2292328382991</v>
      </c>
      <c r="L24" s="106">
        <v>92.733017159400845</v>
      </c>
      <c r="M24" s="106">
        <v>34051.563900931986</v>
      </c>
      <c r="N24" s="106">
        <v>11.104829702599639</v>
      </c>
      <c r="O24" s="106">
        <v>4077.6934667945875</v>
      </c>
      <c r="P24" s="106">
        <v>49.728068959822558</v>
      </c>
      <c r="Q24" s="106">
        <v>18260.146922046843</v>
      </c>
      <c r="R24" s="106">
        <v>110.12393858623412</v>
      </c>
      <c r="S24" s="106">
        <v>40437.510248865168</v>
      </c>
      <c r="T24" s="106">
        <v>46.201286644637086</v>
      </c>
      <c r="U24" s="106">
        <v>16965.112455910737</v>
      </c>
      <c r="V24" s="106">
        <v>56.770203918075232</v>
      </c>
      <c r="W24" s="106">
        <v>20846.018878717223</v>
      </c>
      <c r="X24" s="106">
        <v>73.658839495139091</v>
      </c>
      <c r="Y24" s="106">
        <v>27047.525862615072</v>
      </c>
      <c r="Z24" s="106">
        <v>50.580271038863103</v>
      </c>
      <c r="AA24" s="106">
        <v>18573.075525470529</v>
      </c>
      <c r="AB24" s="106">
        <v>56.255020554952338</v>
      </c>
      <c r="AC24" s="106">
        <v>20656.843547778499</v>
      </c>
      <c r="AD24" s="106">
        <v>58.322363419364223</v>
      </c>
      <c r="AE24" s="106">
        <v>21415.971847590543</v>
      </c>
      <c r="AF24" s="106">
        <v>50.04754464584903</v>
      </c>
      <c r="AG24" s="106">
        <v>18377.458393955763</v>
      </c>
      <c r="AH24" s="106">
        <v>59.407303690792823</v>
      </c>
      <c r="AI24" s="106">
        <v>21814.361915259124</v>
      </c>
      <c r="AJ24" s="106">
        <v>54.567626010274566</v>
      </c>
      <c r="AK24" s="106">
        <v>20037.232270972821</v>
      </c>
      <c r="AL24" s="106">
        <v>58.075739803892368</v>
      </c>
      <c r="AM24" s="106">
        <v>21325.411655989275</v>
      </c>
      <c r="AN24" s="106">
        <v>68.539249890303154</v>
      </c>
      <c r="AO24" s="106">
        <v>25167.612559719317</v>
      </c>
      <c r="AP24" s="106">
        <v>46.81991528960269</v>
      </c>
      <c r="AQ24" s="106">
        <v>17192.272894342106</v>
      </c>
      <c r="AR24" s="106">
        <v>61.25010370520269</v>
      </c>
      <c r="AS24" s="106">
        <v>22491.038080550428</v>
      </c>
      <c r="AT24" s="106">
        <v>24.854974275298371</v>
      </c>
      <c r="AU24" s="106">
        <v>9126.7465538895613</v>
      </c>
      <c r="AV24" s="106">
        <v>104</v>
      </c>
      <c r="AW24" s="106">
        <v>38188.799999999996</v>
      </c>
      <c r="AX24" s="106">
        <v>17.031860663721421</v>
      </c>
      <c r="AY24" s="106">
        <v>6254.099235718506</v>
      </c>
      <c r="AZ24" s="106">
        <v>85.307323094588781</v>
      </c>
      <c r="BA24" s="106">
        <v>31324.849040333</v>
      </c>
      <c r="BB24" s="106">
        <v>58.907361153706113</v>
      </c>
      <c r="BC24" s="106">
        <v>21630.783015640885</v>
      </c>
      <c r="BD24" s="106">
        <v>77.472272780513777</v>
      </c>
      <c r="BE24" s="106">
        <v>28447.818565004658</v>
      </c>
      <c r="BF24" s="106">
        <v>46.399907521799477</v>
      </c>
      <c r="BG24" s="106">
        <v>17038.046042004768</v>
      </c>
      <c r="BH24" s="106">
        <v>86.920962099427072</v>
      </c>
      <c r="BI24" s="106">
        <v>31917.37728290962</v>
      </c>
      <c r="BJ24" s="106">
        <v>56.204882063059188</v>
      </c>
      <c r="BK24" s="106">
        <v>20638.432693555333</v>
      </c>
      <c r="BL24" s="106">
        <v>69.503722772024759</v>
      </c>
      <c r="BM24" s="106">
        <v>25521.767001887492</v>
      </c>
      <c r="BN24" s="106">
        <v>53.433185427251175</v>
      </c>
      <c r="BO24" s="106">
        <v>19620.665688886631</v>
      </c>
      <c r="BP24" s="106">
        <v>78.510262119599318</v>
      </c>
      <c r="BQ24" s="106">
        <v>28828.96825031687</v>
      </c>
      <c r="BR24" s="106">
        <v>8.9339016387300738</v>
      </c>
      <c r="BS24" s="106">
        <v>3280.5286817416832</v>
      </c>
      <c r="BT24" s="106">
        <v>50.177024826158387</v>
      </c>
      <c r="BU24" s="106">
        <v>18425.003516165358</v>
      </c>
      <c r="BV24" s="106">
        <v>66.5423236259671</v>
      </c>
      <c r="BW24" s="106">
        <v>24434.341235455118</v>
      </c>
      <c r="BX24" s="106">
        <v>66.772072899736159</v>
      </c>
      <c r="BY24" s="106">
        <v>24518.705168783115</v>
      </c>
      <c r="BZ24" s="106">
        <v>7.3584010128615391</v>
      </c>
      <c r="CA24" s="106">
        <v>2702.0048519227571</v>
      </c>
      <c r="CB24" s="106">
        <v>94</v>
      </c>
      <c r="CC24" s="106">
        <v>34516.799999999996</v>
      </c>
      <c r="CD24" s="106">
        <v>101</v>
      </c>
      <c r="CE24" s="106">
        <v>37087.199999999997</v>
      </c>
      <c r="CF24" s="106">
        <v>53.992669479366796</v>
      </c>
      <c r="CG24" s="106">
        <v>19826.108232823488</v>
      </c>
      <c r="CH24" s="106">
        <v>60.741159830268742</v>
      </c>
      <c r="CI24" s="106">
        <v>22304.153889674682</v>
      </c>
      <c r="CJ24" s="106">
        <v>73.227585998354968</v>
      </c>
      <c r="CK24" s="106">
        <v>26889.169578595942</v>
      </c>
      <c r="CL24" s="106">
        <v>57</v>
      </c>
      <c r="CM24" s="106">
        <v>20930.399999999998</v>
      </c>
      <c r="CN24" s="106">
        <v>115.75177067640863</v>
      </c>
      <c r="CO24" s="106">
        <v>42504.050192377246</v>
      </c>
      <c r="CP24" s="106">
        <v>56.808362545203572</v>
      </c>
      <c r="CQ24" s="106">
        <v>20860.03072659875</v>
      </c>
      <c r="CR24" s="106">
        <v>9.0689077380487735</v>
      </c>
      <c r="CS24" s="106">
        <v>3330.1029214115097</v>
      </c>
      <c r="CT24" s="106">
        <v>23.527871676074799</v>
      </c>
      <c r="CU24" s="106">
        <v>8639.4344794546651</v>
      </c>
    </row>
    <row r="25" spans="2:99" x14ac:dyDescent="0.2">
      <c r="C25" s="105" t="s">
        <v>190</v>
      </c>
      <c r="D25" s="106">
        <v>0</v>
      </c>
      <c r="E25" s="106">
        <v>0</v>
      </c>
      <c r="F25" s="106">
        <v>0</v>
      </c>
      <c r="G25" s="106">
        <v>0</v>
      </c>
      <c r="H25" s="106">
        <v>58.178410029996243</v>
      </c>
      <c r="I25" s="106">
        <v>30857.828679910006</v>
      </c>
      <c r="J25" s="106">
        <v>8.3712334978737903</v>
      </c>
      <c r="K25" s="106">
        <v>4440.102247272258</v>
      </c>
      <c r="L25" s="106">
        <v>99.16005795262663</v>
      </c>
      <c r="M25" s="106">
        <v>52594.494738073161</v>
      </c>
      <c r="N25" s="106">
        <v>10.738736415700751</v>
      </c>
      <c r="O25" s="106">
        <v>5695.8257948876781</v>
      </c>
      <c r="P25" s="106">
        <v>50.357538187162085</v>
      </c>
      <c r="Q25" s="106">
        <v>26709.63825447077</v>
      </c>
      <c r="R25" s="106">
        <v>100.35487951810045</v>
      </c>
      <c r="S25" s="106">
        <v>53228.228096400475</v>
      </c>
      <c r="T25" s="106">
        <v>44.510995669833299</v>
      </c>
      <c r="U25" s="106">
        <v>23608.632103279582</v>
      </c>
      <c r="V25" s="106">
        <v>58.631522079323609</v>
      </c>
      <c r="W25" s="106">
        <v>31098.159310873241</v>
      </c>
      <c r="X25" s="106">
        <v>69.944948428157275</v>
      </c>
      <c r="Y25" s="106">
        <v>37098.800646294614</v>
      </c>
      <c r="Z25" s="106">
        <v>58.428933786272886</v>
      </c>
      <c r="AA25" s="106">
        <v>30990.706480239136</v>
      </c>
      <c r="AB25" s="106">
        <v>55.66286244384758</v>
      </c>
      <c r="AC25" s="106">
        <v>29523.582240216754</v>
      </c>
      <c r="AD25" s="106">
        <v>63.008981908420282</v>
      </c>
      <c r="AE25" s="106">
        <v>33419.964004226116</v>
      </c>
      <c r="AF25" s="106">
        <v>50.04754464584903</v>
      </c>
      <c r="AG25" s="106">
        <v>26545.217680158323</v>
      </c>
      <c r="AH25" s="106">
        <v>62.487682400685785</v>
      </c>
      <c r="AI25" s="106">
        <v>33143.466745323742</v>
      </c>
      <c r="AJ25" s="106">
        <v>63.662230345320332</v>
      </c>
      <c r="AK25" s="106">
        <v>33766.446975157902</v>
      </c>
      <c r="AL25" s="106">
        <v>56.019961403754586</v>
      </c>
      <c r="AM25" s="106">
        <v>29712.987528551432</v>
      </c>
      <c r="AN25" s="106">
        <v>68.539249890303154</v>
      </c>
      <c r="AO25" s="106">
        <v>36353.218141816789</v>
      </c>
      <c r="AP25" s="106">
        <v>52.721585284090423</v>
      </c>
      <c r="AQ25" s="106">
        <v>27963.528834681558</v>
      </c>
      <c r="AR25" s="106">
        <v>58.050471422095086</v>
      </c>
      <c r="AS25" s="106">
        <v>30789.970042279234</v>
      </c>
      <c r="AT25" s="106">
        <v>21.187846923205168</v>
      </c>
      <c r="AU25" s="106">
        <v>11238.03400806802</v>
      </c>
      <c r="AV25" s="106">
        <v>101</v>
      </c>
      <c r="AW25" s="106">
        <v>53570.399999999994</v>
      </c>
      <c r="AX25" s="106">
        <v>14.461013771084227</v>
      </c>
      <c r="AY25" s="106">
        <v>7670.1217041830732</v>
      </c>
      <c r="AZ25" s="106">
        <v>86.224606138616608</v>
      </c>
      <c r="BA25" s="106">
        <v>45733.531095922248</v>
      </c>
      <c r="BB25" s="106">
        <v>57.7745272853656</v>
      </c>
      <c r="BC25" s="106">
        <v>30643.609272157912</v>
      </c>
      <c r="BD25" s="106">
        <v>75.823926551141156</v>
      </c>
      <c r="BE25" s="106">
        <v>40217.010642725269</v>
      </c>
      <c r="BF25" s="106">
        <v>41.90959389065759</v>
      </c>
      <c r="BG25" s="106">
        <v>22228.848599604786</v>
      </c>
      <c r="BH25" s="106">
        <v>79.825373356616709</v>
      </c>
      <c r="BI25" s="106">
        <v>42339.3780283495</v>
      </c>
      <c r="BJ25" s="106">
        <v>51.585302715410485</v>
      </c>
      <c r="BK25" s="106">
        <v>27360.844560253721</v>
      </c>
      <c r="BL25" s="106">
        <v>59.83764212161072</v>
      </c>
      <c r="BM25" s="106">
        <v>31737.885381302323</v>
      </c>
      <c r="BN25" s="106">
        <v>52.929098772277108</v>
      </c>
      <c r="BO25" s="106">
        <v>28073.593988815777</v>
      </c>
      <c r="BP25" s="106">
        <v>78.510262119599318</v>
      </c>
      <c r="BQ25" s="106">
        <v>41641.843028235475</v>
      </c>
      <c r="BR25" s="106">
        <v>9.1213261486335018</v>
      </c>
      <c r="BS25" s="106">
        <v>4837.9513892352088</v>
      </c>
      <c r="BT25" s="106">
        <v>57.146056052013726</v>
      </c>
      <c r="BU25" s="106">
        <v>30310.268129988079</v>
      </c>
      <c r="BV25" s="106">
        <v>62.229395242802575</v>
      </c>
      <c r="BW25" s="106">
        <v>33006.471236782483</v>
      </c>
      <c r="BX25" s="106">
        <v>64.706957243043277</v>
      </c>
      <c r="BY25" s="106">
        <v>34320.570121710152</v>
      </c>
      <c r="BZ25" s="106">
        <v>6.2601322049717574</v>
      </c>
      <c r="CA25" s="106">
        <v>3320.3741215170198</v>
      </c>
      <c r="CB25" s="106">
        <v>89</v>
      </c>
      <c r="CC25" s="106">
        <v>47205.599999999999</v>
      </c>
      <c r="CD25" s="106">
        <v>103</v>
      </c>
      <c r="CE25" s="106">
        <v>54631.199999999997</v>
      </c>
      <c r="CF25" s="106">
        <v>49.297654742030552</v>
      </c>
      <c r="CG25" s="106">
        <v>26147.476075173003</v>
      </c>
      <c r="CH25" s="106">
        <v>53.838755304101838</v>
      </c>
      <c r="CI25" s="106">
        <v>28556.075813295614</v>
      </c>
      <c r="CJ25" s="106">
        <v>67.752626297543387</v>
      </c>
      <c r="CK25" s="106">
        <v>35935.992988217011</v>
      </c>
      <c r="CL25" s="106">
        <v>58</v>
      </c>
      <c r="CM25" s="106">
        <v>30763.199999999997</v>
      </c>
      <c r="CN25" s="106">
        <v>100.65371363165968</v>
      </c>
      <c r="CO25" s="106">
        <v>53386.729710232292</v>
      </c>
      <c r="CP25" s="106">
        <v>53.257839886128352</v>
      </c>
      <c r="CQ25" s="106">
        <v>28247.958275602476</v>
      </c>
      <c r="CR25" s="106">
        <v>8.6008350806010956</v>
      </c>
      <c r="CS25" s="106">
        <v>4561.8829267508208</v>
      </c>
      <c r="CT25" s="106">
        <v>22.002917030403282</v>
      </c>
      <c r="CU25" s="106">
        <v>11670.347192925899</v>
      </c>
    </row>
    <row r="26" spans="2:99" x14ac:dyDescent="0.2">
      <c r="C26" s="105" t="s">
        <v>191</v>
      </c>
      <c r="D26" s="106">
        <v>0</v>
      </c>
      <c r="E26" s="106">
        <v>0</v>
      </c>
      <c r="F26" s="106">
        <v>0</v>
      </c>
      <c r="G26" s="106">
        <v>0</v>
      </c>
      <c r="H26" s="106">
        <v>64.327347675442994</v>
      </c>
      <c r="I26" s="106">
        <v>31263.090970265293</v>
      </c>
      <c r="J26" s="106">
        <v>6.9082994885366231</v>
      </c>
      <c r="K26" s="106">
        <v>3357.4335514287986</v>
      </c>
      <c r="L26" s="106">
        <v>86.305976366175045</v>
      </c>
      <c r="M26" s="106">
        <v>41944.704513961071</v>
      </c>
      <c r="N26" s="106">
        <v>10.006549841902972</v>
      </c>
      <c r="O26" s="106">
        <v>4863.1832231648441</v>
      </c>
      <c r="P26" s="106">
        <v>46.58072282312493</v>
      </c>
      <c r="Q26" s="106">
        <v>22638.231292038716</v>
      </c>
      <c r="R26" s="106">
        <v>113.6763237019191</v>
      </c>
      <c r="S26" s="106">
        <v>55246.693319132683</v>
      </c>
      <c r="T26" s="106">
        <v>43.384135019964091</v>
      </c>
      <c r="U26" s="106">
        <v>21084.689619702549</v>
      </c>
      <c r="V26" s="106">
        <v>60.492840240571972</v>
      </c>
      <c r="W26" s="106">
        <v>29399.520356917979</v>
      </c>
      <c r="X26" s="106">
        <v>64.993093672181544</v>
      </c>
      <c r="Y26" s="106">
        <v>31586.643524680232</v>
      </c>
      <c r="Z26" s="106">
        <v>52.760455135365817</v>
      </c>
      <c r="AA26" s="106">
        <v>25641.581195787789</v>
      </c>
      <c r="AB26" s="106">
        <v>58.623652999371387</v>
      </c>
      <c r="AC26" s="106">
        <v>28491.095357694496</v>
      </c>
      <c r="AD26" s="106">
        <v>53.635744930308171</v>
      </c>
      <c r="AE26" s="106">
        <v>26066.97203612977</v>
      </c>
      <c r="AF26" s="106">
        <v>56.844124782939637</v>
      </c>
      <c r="AG26" s="106">
        <v>27626.244644508664</v>
      </c>
      <c r="AH26" s="106">
        <v>66.888223414818583</v>
      </c>
      <c r="AI26" s="106">
        <v>32507.67657960183</v>
      </c>
      <c r="AJ26" s="106">
        <v>62.057300168547549</v>
      </c>
      <c r="AK26" s="106">
        <v>30159.847881914109</v>
      </c>
      <c r="AL26" s="106">
        <v>58.075739803892368</v>
      </c>
      <c r="AM26" s="106">
        <v>28224.809544691692</v>
      </c>
      <c r="AN26" s="106">
        <v>67.932707855875691</v>
      </c>
      <c r="AO26" s="106">
        <v>33015.296017955588</v>
      </c>
      <c r="AP26" s="106">
        <v>49.180583287397781</v>
      </c>
      <c r="AQ26" s="106">
        <v>23901.763477675322</v>
      </c>
      <c r="AR26" s="106">
        <v>61.707194031360913</v>
      </c>
      <c r="AS26" s="106">
        <v>29989.696299241405</v>
      </c>
      <c r="AT26" s="106">
        <v>22.002764112559213</v>
      </c>
      <c r="AU26" s="106">
        <v>10693.343358703778</v>
      </c>
      <c r="AV26" s="106">
        <v>119</v>
      </c>
      <c r="AW26" s="106">
        <v>57834</v>
      </c>
      <c r="AX26" s="106">
        <v>14.943047563453701</v>
      </c>
      <c r="AY26" s="106">
        <v>7262.3211158384993</v>
      </c>
      <c r="AZ26" s="106">
        <v>75.21720961028258</v>
      </c>
      <c r="BA26" s="106">
        <v>36555.563870597332</v>
      </c>
      <c r="BB26" s="106">
        <v>59.473778087876362</v>
      </c>
      <c r="BC26" s="106">
        <v>28904.256150707912</v>
      </c>
      <c r="BD26" s="106">
        <v>66.48329791802955</v>
      </c>
      <c r="BE26" s="106">
        <v>32310.882788162362</v>
      </c>
      <c r="BF26" s="106">
        <v>46.89883125859302</v>
      </c>
      <c r="BG26" s="106">
        <v>22792.831991676208</v>
      </c>
      <c r="BH26" s="106">
        <v>89.877457408931392</v>
      </c>
      <c r="BI26" s="106">
        <v>43680.444300740659</v>
      </c>
      <c r="BJ26" s="106">
        <v>57.744741845608743</v>
      </c>
      <c r="BK26" s="106">
        <v>28063.94453696585</v>
      </c>
      <c r="BL26" s="106">
        <v>63.519958559863682</v>
      </c>
      <c r="BM26" s="106">
        <v>30870.699860093748</v>
      </c>
      <c r="BN26" s="106">
        <v>51.920925462328974</v>
      </c>
      <c r="BO26" s="106">
        <v>25233.569774691881</v>
      </c>
      <c r="BP26" s="106">
        <v>67.123277537367358</v>
      </c>
      <c r="BQ26" s="106">
        <v>32621.912883160534</v>
      </c>
      <c r="BR26" s="106">
        <v>8.9963764753645492</v>
      </c>
      <c r="BS26" s="106">
        <v>4372.2389670271705</v>
      </c>
      <c r="BT26" s="106">
        <v>56.216851888566346</v>
      </c>
      <c r="BU26" s="106">
        <v>27321.390017843245</v>
      </c>
      <c r="BV26" s="106">
        <v>66.5423236259671</v>
      </c>
      <c r="BW26" s="106">
        <v>32339.569282220011</v>
      </c>
      <c r="BX26" s="106">
        <v>64.706957243043277</v>
      </c>
      <c r="BY26" s="106">
        <v>31447.581220119031</v>
      </c>
      <c r="BZ26" s="106">
        <v>7.0289203704946051</v>
      </c>
      <c r="CA26" s="106">
        <v>3416.0553000603782</v>
      </c>
      <c r="CB26" s="106">
        <v>100</v>
      </c>
      <c r="CC26" s="106">
        <v>48600</v>
      </c>
      <c r="CD26" s="106">
        <v>91</v>
      </c>
      <c r="CE26" s="106">
        <v>44226</v>
      </c>
      <c r="CF26" s="106">
        <v>49.297654742030552</v>
      </c>
      <c r="CG26" s="106">
        <v>23958.660204626849</v>
      </c>
      <c r="CH26" s="106">
        <v>63.502121640735503</v>
      </c>
      <c r="CI26" s="106">
        <v>30862.031117397455</v>
      </c>
      <c r="CJ26" s="106">
        <v>80.071285624369452</v>
      </c>
      <c r="CK26" s="106">
        <v>38914.644813443556</v>
      </c>
      <c r="CL26" s="106">
        <v>57</v>
      </c>
      <c r="CM26" s="106">
        <v>27702</v>
      </c>
      <c r="CN26" s="106">
        <v>105.68639931324266</v>
      </c>
      <c r="CO26" s="106">
        <v>51363.590066235935</v>
      </c>
      <c r="CP26" s="106">
        <v>53.257839886128352</v>
      </c>
      <c r="CQ26" s="106">
        <v>25883.310184658378</v>
      </c>
      <c r="CR26" s="106">
        <v>8.7178532449630133</v>
      </c>
      <c r="CS26" s="106">
        <v>4236.8766770520242</v>
      </c>
      <c r="CT26" s="106">
        <v>23.310021012407439</v>
      </c>
      <c r="CU26" s="106">
        <v>11328.670212030016</v>
      </c>
    </row>
    <row r="27" spans="2:99" x14ac:dyDescent="0.2">
      <c r="C27" s="105" t="s">
        <v>192</v>
      </c>
      <c r="D27" s="106">
        <v>0</v>
      </c>
      <c r="E27" s="106">
        <v>0</v>
      </c>
      <c r="F27" s="106">
        <v>0</v>
      </c>
      <c r="G27" s="106">
        <v>0</v>
      </c>
      <c r="H27" s="106">
        <v>62.908362064955291</v>
      </c>
      <c r="I27" s="106">
        <v>26874.452274148898</v>
      </c>
      <c r="J27" s="106">
        <v>7.8835888280947355</v>
      </c>
      <c r="K27" s="106">
        <v>3367.8691473620711</v>
      </c>
      <c r="L27" s="106">
        <v>98.241909267880089</v>
      </c>
      <c r="M27" s="106">
        <v>41968.943639238372</v>
      </c>
      <c r="N27" s="106">
        <v>10.006549841902972</v>
      </c>
      <c r="O27" s="106">
        <v>4274.7980924609492</v>
      </c>
      <c r="P27" s="106">
        <v>45.321784368445876</v>
      </c>
      <c r="Q27" s="106">
        <v>19361.466282200079</v>
      </c>
      <c r="R27" s="106">
        <v>110.12393858623412</v>
      </c>
      <c r="S27" s="106">
        <v>47044.946564039215</v>
      </c>
      <c r="T27" s="106">
        <v>50.145298919179282</v>
      </c>
      <c r="U27" s="106">
        <v>21422.07169827339</v>
      </c>
      <c r="V27" s="106">
        <v>60.027510700259882</v>
      </c>
      <c r="W27" s="106">
        <v>25643.752571151021</v>
      </c>
      <c r="X27" s="106">
        <v>67.469021050169417</v>
      </c>
      <c r="Y27" s="106">
        <v>28822.765792632374</v>
      </c>
      <c r="Z27" s="106">
        <v>60.173081063475067</v>
      </c>
      <c r="AA27" s="106">
        <v>25705.940230316548</v>
      </c>
      <c r="AB27" s="106">
        <v>58.031494888266629</v>
      </c>
      <c r="AC27" s="106">
        <v>24791.054616267502</v>
      </c>
      <c r="AD27" s="106">
        <v>60.405304970055802</v>
      </c>
      <c r="AE27" s="106">
        <v>25805.14628320784</v>
      </c>
      <c r="AF27" s="106">
        <v>48.811802802741646</v>
      </c>
      <c r="AG27" s="106">
        <v>20852.402157331231</v>
      </c>
      <c r="AH27" s="106">
        <v>58.087141386552979</v>
      </c>
      <c r="AI27" s="106">
        <v>24814.826800335431</v>
      </c>
      <c r="AJ27" s="106">
        <v>65.267160522093107</v>
      </c>
      <c r="AK27" s="106">
        <v>27882.130975038173</v>
      </c>
      <c r="AL27" s="106">
        <v>67.840687204546839</v>
      </c>
      <c r="AM27" s="106">
        <v>28981.541573782408</v>
      </c>
      <c r="AN27" s="106">
        <v>69.145791924730602</v>
      </c>
      <c r="AO27" s="106">
        <v>29539.082310244914</v>
      </c>
      <c r="AP27" s="106">
        <v>54.29536394928715</v>
      </c>
      <c r="AQ27" s="106">
        <v>23194.979479135469</v>
      </c>
      <c r="AR27" s="106">
        <v>59.878832726728007</v>
      </c>
      <c r="AS27" s="106">
        <v>25580.237340858203</v>
      </c>
      <c r="AT27" s="106">
        <v>23.836327788605814</v>
      </c>
      <c r="AU27" s="106">
        <v>10182.879231292403</v>
      </c>
      <c r="AV27" s="106">
        <v>107</v>
      </c>
      <c r="AW27" s="106">
        <v>45710.400000000001</v>
      </c>
      <c r="AX27" s="106">
        <v>15.907115148192648</v>
      </c>
      <c r="AY27" s="106">
        <v>6795.5195913078996</v>
      </c>
      <c r="AZ27" s="106">
        <v>88.976455270700114</v>
      </c>
      <c r="BA27" s="106">
        <v>38010.741691643088</v>
      </c>
      <c r="BB27" s="106">
        <v>61.173028890387116</v>
      </c>
      <c r="BC27" s="106">
        <v>26133.117941973374</v>
      </c>
      <c r="BD27" s="106">
        <v>80.21951649613483</v>
      </c>
      <c r="BE27" s="106">
        <v>34269.777447148801</v>
      </c>
      <c r="BF27" s="106">
        <v>46.399907521799477</v>
      </c>
      <c r="BG27" s="106">
        <v>19822.040493312736</v>
      </c>
      <c r="BH27" s="106">
        <v>84.555765851823622</v>
      </c>
      <c r="BI27" s="106">
        <v>36122.223171899052</v>
      </c>
      <c r="BJ27" s="106">
        <v>52.35523260668527</v>
      </c>
      <c r="BK27" s="106">
        <v>22366.155369575947</v>
      </c>
      <c r="BL27" s="106">
        <v>62.599379450300439</v>
      </c>
      <c r="BM27" s="106">
        <v>26742.454901168348</v>
      </c>
      <c r="BN27" s="106">
        <v>56.961792012069651</v>
      </c>
      <c r="BO27" s="106">
        <v>24334.077547556153</v>
      </c>
      <c r="BP27" s="106">
        <v>67.123277537367358</v>
      </c>
      <c r="BQ27" s="106">
        <v>28675.064163963336</v>
      </c>
      <c r="BR27" s="106">
        <v>8.1217287624818848</v>
      </c>
      <c r="BS27" s="106">
        <v>3469.6025273322612</v>
      </c>
      <c r="BT27" s="106">
        <v>52.500035234776831</v>
      </c>
      <c r="BU27" s="106">
        <v>22428.015052296661</v>
      </c>
      <c r="BV27" s="106">
        <v>63.461660495135291</v>
      </c>
      <c r="BW27" s="106">
        <v>27110.821363521794</v>
      </c>
      <c r="BX27" s="106">
        <v>61.953469700786123</v>
      </c>
      <c r="BY27" s="106">
        <v>26466.522256175831</v>
      </c>
      <c r="BZ27" s="106">
        <v>7.2485741320725614</v>
      </c>
      <c r="CA27" s="106">
        <v>3096.590869221398</v>
      </c>
      <c r="CB27" s="106">
        <v>106</v>
      </c>
      <c r="CC27" s="106">
        <v>45283.199999999997</v>
      </c>
      <c r="CD27" s="106">
        <v>98</v>
      </c>
      <c r="CE27" s="106">
        <v>41865.599999999999</v>
      </c>
      <c r="CF27" s="106">
        <v>51.645162110698678</v>
      </c>
      <c r="CG27" s="106">
        <v>22062.813253690474</v>
      </c>
      <c r="CH27" s="106">
        <v>62.121640735502126</v>
      </c>
      <c r="CI27" s="106">
        <v>26538.364922206507</v>
      </c>
      <c r="CJ27" s="106">
        <v>70.490106147949177</v>
      </c>
      <c r="CK27" s="106">
        <v>30113.373346403889</v>
      </c>
      <c r="CL27" s="106">
        <v>59</v>
      </c>
      <c r="CM27" s="106">
        <v>25204.799999999999</v>
      </c>
      <c r="CN27" s="106">
        <v>111.55786594175613</v>
      </c>
      <c r="CO27" s="106">
        <v>47657.520330318221</v>
      </c>
      <c r="CP27" s="106">
        <v>52.814024553743948</v>
      </c>
      <c r="CQ27" s="106">
        <v>22562.151289359415</v>
      </c>
      <c r="CR27" s="106">
        <v>8.7763623271439748</v>
      </c>
      <c r="CS27" s="106">
        <v>3749.261986155906</v>
      </c>
      <c r="CT27" s="106">
        <v>23.527871676074799</v>
      </c>
      <c r="CU27" s="106">
        <v>10051.106780019154</v>
      </c>
    </row>
    <row r="28" spans="2:99" x14ac:dyDescent="0.2">
      <c r="C28" s="105" t="s">
        <v>193</v>
      </c>
      <c r="D28" s="106">
        <v>0</v>
      </c>
      <c r="E28" s="106">
        <v>0</v>
      </c>
      <c r="F28" s="106">
        <v>0</v>
      </c>
      <c r="G28" s="106">
        <v>0</v>
      </c>
      <c r="H28" s="106">
        <v>60.543386047475764</v>
      </c>
      <c r="I28" s="106">
        <v>44681.018903037111</v>
      </c>
      <c r="J28" s="106">
        <v>7.8023147164648927</v>
      </c>
      <c r="K28" s="106">
        <v>5758.1082607510907</v>
      </c>
      <c r="L28" s="106">
        <v>92.733017159400845</v>
      </c>
      <c r="M28" s="106">
        <v>68436.966663637824</v>
      </c>
      <c r="N28" s="106">
        <v>8.9082699812063044</v>
      </c>
      <c r="O28" s="106">
        <v>6574.3032461302528</v>
      </c>
      <c r="P28" s="106">
        <v>47.210192050464457</v>
      </c>
      <c r="Q28" s="106">
        <v>34841.12173324277</v>
      </c>
      <c r="R28" s="106">
        <v>102.13107207594294</v>
      </c>
      <c r="S28" s="106">
        <v>75372.731192045889</v>
      </c>
      <c r="T28" s="106">
        <v>38.876692420487309</v>
      </c>
      <c r="U28" s="106">
        <v>28690.999006319635</v>
      </c>
      <c r="V28" s="106">
        <v>55.839544837451051</v>
      </c>
      <c r="W28" s="106">
        <v>41209.584090038872</v>
      </c>
      <c r="X28" s="106">
        <v>63.755129983187615</v>
      </c>
      <c r="Y28" s="106">
        <v>47051.285927592457</v>
      </c>
      <c r="Z28" s="106">
        <v>57.992896966972339</v>
      </c>
      <c r="AA28" s="106">
        <v>42798.757961625583</v>
      </c>
      <c r="AB28" s="106">
        <v>47.372648888380915</v>
      </c>
      <c r="AC28" s="106">
        <v>34961.014879625116</v>
      </c>
      <c r="AD28" s="106">
        <v>55.197951093326857</v>
      </c>
      <c r="AE28" s="106">
        <v>40736.087906875218</v>
      </c>
      <c r="AF28" s="106">
        <v>53.136899253617493</v>
      </c>
      <c r="AG28" s="106">
        <v>39215.031649169709</v>
      </c>
      <c r="AH28" s="106">
        <v>64.687952907752177</v>
      </c>
      <c r="AI28" s="106">
        <v>47739.709245921105</v>
      </c>
      <c r="AJ28" s="106">
        <v>52.96269583350179</v>
      </c>
      <c r="AK28" s="106">
        <v>39086.469525124325</v>
      </c>
      <c r="AL28" s="106">
        <v>64.243075004305709</v>
      </c>
      <c r="AM28" s="106">
        <v>47411.389353177612</v>
      </c>
      <c r="AN28" s="106">
        <v>60.654203442746152</v>
      </c>
      <c r="AO28" s="106">
        <v>44762.802140746659</v>
      </c>
      <c r="AP28" s="106">
        <v>48.787138621098599</v>
      </c>
      <c r="AQ28" s="106">
        <v>36004.908302370764</v>
      </c>
      <c r="AR28" s="106">
        <v>51.651206855879877</v>
      </c>
      <c r="AS28" s="106">
        <v>38118.590659639347</v>
      </c>
      <c r="AT28" s="106">
        <v>23.225139896590282</v>
      </c>
      <c r="AU28" s="106">
        <v>17140.153243683628</v>
      </c>
      <c r="AV28" s="106">
        <v>96</v>
      </c>
      <c r="AW28" s="106">
        <v>70848</v>
      </c>
      <c r="AX28" s="106">
        <v>16.067793078982472</v>
      </c>
      <c r="AY28" s="106">
        <v>11858.031292289064</v>
      </c>
      <c r="AZ28" s="106">
        <v>71.548077434171219</v>
      </c>
      <c r="BA28" s="106">
        <v>52802.481146418359</v>
      </c>
      <c r="BB28" s="106">
        <v>58.907361153706113</v>
      </c>
      <c r="BC28" s="106">
        <v>43473.632531435112</v>
      </c>
      <c r="BD28" s="106">
        <v>72.527234092395886</v>
      </c>
      <c r="BE28" s="106">
        <v>53525.098760188164</v>
      </c>
      <c r="BF28" s="106">
        <v>43.406365101038219</v>
      </c>
      <c r="BG28" s="106">
        <v>32033.897444566206</v>
      </c>
      <c r="BH28" s="106">
        <v>77.460177109013244</v>
      </c>
      <c r="BI28" s="106">
        <v>57165.610706451771</v>
      </c>
      <c r="BJ28" s="106">
        <v>59.284601628158313</v>
      </c>
      <c r="BK28" s="106">
        <v>43752.036001580833</v>
      </c>
      <c r="BL28" s="106">
        <v>67.202274998116664</v>
      </c>
      <c r="BM28" s="106">
        <v>49595.278948610096</v>
      </c>
      <c r="BN28" s="106">
        <v>51.4168388073549</v>
      </c>
      <c r="BO28" s="106">
        <v>37945.627039827916</v>
      </c>
      <c r="BP28" s="106">
        <v>67.123277537367358</v>
      </c>
      <c r="BQ28" s="106">
        <v>49536.978822577112</v>
      </c>
      <c r="BR28" s="106">
        <v>7.6219300694060763</v>
      </c>
      <c r="BS28" s="106">
        <v>5624.9843912216847</v>
      </c>
      <c r="BT28" s="106">
        <v>48.318616499263641</v>
      </c>
      <c r="BU28" s="106">
        <v>35659.138976456568</v>
      </c>
      <c r="BV28" s="106">
        <v>60.997129990469851</v>
      </c>
      <c r="BW28" s="106">
        <v>45015.881932966753</v>
      </c>
      <c r="BX28" s="106">
        <v>64.706957243043277</v>
      </c>
      <c r="BY28" s="106">
        <v>47753.734445365939</v>
      </c>
      <c r="BZ28" s="106">
        <v>6.9190934897056264</v>
      </c>
      <c r="CA28" s="106">
        <v>5106.2909954027527</v>
      </c>
      <c r="CB28" s="106">
        <v>101</v>
      </c>
      <c r="CC28" s="106">
        <v>74538</v>
      </c>
      <c r="CD28" s="106">
        <v>93</v>
      </c>
      <c r="CE28" s="106">
        <v>68634</v>
      </c>
      <c r="CF28" s="106">
        <v>49.297654742030552</v>
      </c>
      <c r="CG28" s="106">
        <v>36381.669199618547</v>
      </c>
      <c r="CH28" s="106">
        <v>62.121640735502126</v>
      </c>
      <c r="CI28" s="106">
        <v>45845.770862800571</v>
      </c>
      <c r="CJ28" s="106">
        <v>71.174476110550629</v>
      </c>
      <c r="CK28" s="106">
        <v>52526.763369586362</v>
      </c>
      <c r="CL28" s="106">
        <v>54</v>
      </c>
      <c r="CM28" s="106">
        <v>39852</v>
      </c>
      <c r="CN28" s="106">
        <v>99.814932684729186</v>
      </c>
      <c r="CO28" s="106">
        <v>73663.420321330137</v>
      </c>
      <c r="CP28" s="106">
        <v>52.814024553743948</v>
      </c>
      <c r="CQ28" s="106">
        <v>38976.750120663033</v>
      </c>
      <c r="CR28" s="106">
        <v>8.2497805875153372</v>
      </c>
      <c r="CS28" s="106">
        <v>6088.3380735863184</v>
      </c>
      <c r="CT28" s="106">
        <v>22.438618357738001</v>
      </c>
      <c r="CU28" s="106">
        <v>16559.700348010643</v>
      </c>
    </row>
    <row r="29" spans="2:99" x14ac:dyDescent="0.2">
      <c r="C29" s="105" t="s">
        <v>194</v>
      </c>
      <c r="D29" s="106">
        <v>0</v>
      </c>
      <c r="E29" s="106">
        <v>0</v>
      </c>
      <c r="F29" s="106">
        <v>0</v>
      </c>
      <c r="G29" s="106">
        <v>0</v>
      </c>
      <c r="H29" s="106">
        <v>61.016381250971669</v>
      </c>
      <c r="I29" s="106">
        <v>20647.943415328813</v>
      </c>
      <c r="J29" s="106">
        <v>8.1274111629842629</v>
      </c>
      <c r="K29" s="106">
        <v>2750.3159375538744</v>
      </c>
      <c r="L29" s="106">
        <v>89.060422420414667</v>
      </c>
      <c r="M29" s="106">
        <v>30138.04694706832</v>
      </c>
      <c r="N29" s="106">
        <v>11.226860798232604</v>
      </c>
      <c r="O29" s="106">
        <v>3799.1696941219129</v>
      </c>
      <c r="P29" s="106">
        <v>44.062845913766822</v>
      </c>
      <c r="Q29" s="106">
        <v>14910.867057218691</v>
      </c>
      <c r="R29" s="106">
        <v>111.01203486515537</v>
      </c>
      <c r="S29" s="106">
        <v>37566.472598368578</v>
      </c>
      <c r="T29" s="106">
        <v>49.581868594244682</v>
      </c>
      <c r="U29" s="106">
        <v>16778.504332292399</v>
      </c>
      <c r="V29" s="106">
        <v>59.562181159947791</v>
      </c>
      <c r="W29" s="106">
        <v>20155.842104526331</v>
      </c>
      <c r="X29" s="106">
        <v>73.658839495139091</v>
      </c>
      <c r="Y29" s="106">
        <v>24926.151285155065</v>
      </c>
      <c r="Z29" s="106">
        <v>51.45234467746419</v>
      </c>
      <c r="AA29" s="106">
        <v>17411.473438853882</v>
      </c>
      <c r="AB29" s="106">
        <v>56.255020554952338</v>
      </c>
      <c r="AC29" s="106">
        <v>19036.69895579587</v>
      </c>
      <c r="AD29" s="106">
        <v>58.322363419364223</v>
      </c>
      <c r="AE29" s="106">
        <v>19736.287781112853</v>
      </c>
      <c r="AF29" s="106">
        <v>54.372641096724877</v>
      </c>
      <c r="AG29" s="106">
        <v>18399.701747131698</v>
      </c>
      <c r="AH29" s="106">
        <v>58.52719548796626</v>
      </c>
      <c r="AI29" s="106">
        <v>19805.602953127782</v>
      </c>
      <c r="AJ29" s="106">
        <v>56.172556187047356</v>
      </c>
      <c r="AK29" s="106">
        <v>19008.793013696824</v>
      </c>
      <c r="AL29" s="106">
        <v>70.410410204719057</v>
      </c>
      <c r="AM29" s="106">
        <v>23826.882813276927</v>
      </c>
      <c r="AN29" s="106">
        <v>60.047661408318689</v>
      </c>
      <c r="AO29" s="106">
        <v>20320.128620575044</v>
      </c>
      <c r="AP29" s="106">
        <v>47.213359955901872</v>
      </c>
      <c r="AQ29" s="106">
        <v>15977.001009077192</v>
      </c>
      <c r="AR29" s="106">
        <v>52.565387508196338</v>
      </c>
      <c r="AS29" s="106">
        <v>17788.127132773639</v>
      </c>
      <c r="AT29" s="106">
        <v>25.05870357263688</v>
      </c>
      <c r="AU29" s="106">
        <v>8479.8652889803197</v>
      </c>
      <c r="AV29" s="106">
        <v>109</v>
      </c>
      <c r="AW29" s="106">
        <v>36885.599999999999</v>
      </c>
      <c r="AX29" s="106">
        <v>16.710504802141774</v>
      </c>
      <c r="AY29" s="106">
        <v>5654.8348250447762</v>
      </c>
      <c r="AZ29" s="106">
        <v>77.969058742366087</v>
      </c>
      <c r="BA29" s="106">
        <v>26384.729478416681</v>
      </c>
      <c r="BB29" s="106">
        <v>66.27078129791937</v>
      </c>
      <c r="BC29" s="106">
        <v>22426.032391215915</v>
      </c>
      <c r="BD29" s="106">
        <v>78.021721523637993</v>
      </c>
      <c r="BE29" s="106">
        <v>26402.550563599096</v>
      </c>
      <c r="BF29" s="106">
        <v>51.888068626528444</v>
      </c>
      <c r="BG29" s="106">
        <v>17558.922423217224</v>
      </c>
      <c r="BH29" s="106">
        <v>85.147064913724478</v>
      </c>
      <c r="BI29" s="106">
        <v>28813.766766804361</v>
      </c>
      <c r="BJ29" s="106">
        <v>63.519216030169623</v>
      </c>
      <c r="BK29" s="106">
        <v>21494.902704609398</v>
      </c>
      <c r="BL29" s="106">
        <v>71.344880991151243</v>
      </c>
      <c r="BM29" s="106">
        <v>24143.107727405579</v>
      </c>
      <c r="BN29" s="106">
        <v>56.961792012069651</v>
      </c>
      <c r="BO29" s="106">
        <v>19275.870416884369</v>
      </c>
      <c r="BP29" s="106">
        <v>71.91779736146502</v>
      </c>
      <c r="BQ29" s="106">
        <v>24336.98262711976</v>
      </c>
      <c r="BR29" s="106">
        <v>8.3091532723853145</v>
      </c>
      <c r="BS29" s="106">
        <v>2811.8174673751901</v>
      </c>
      <c r="BT29" s="106">
        <v>52.035433153053148</v>
      </c>
      <c r="BU29" s="106">
        <v>17608.790578993183</v>
      </c>
      <c r="BV29" s="106">
        <v>70.239119382965285</v>
      </c>
      <c r="BW29" s="106">
        <v>23768.917999195452</v>
      </c>
      <c r="BX29" s="106">
        <v>66.083701014171865</v>
      </c>
      <c r="BY29" s="106">
        <v>22362.724423195759</v>
      </c>
      <c r="BZ29" s="106">
        <v>7.1387472512835828</v>
      </c>
      <c r="CA29" s="106">
        <v>2415.7520698343642</v>
      </c>
      <c r="CB29" s="106">
        <v>108</v>
      </c>
      <c r="CC29" s="106">
        <v>36547.199999999997</v>
      </c>
      <c r="CD29" s="106">
        <v>94</v>
      </c>
      <c r="CE29" s="106">
        <v>31809.599999999999</v>
      </c>
      <c r="CF29" s="106">
        <v>51.645162110698678</v>
      </c>
      <c r="CG29" s="106">
        <v>17476.722858260433</v>
      </c>
      <c r="CH29" s="106">
        <v>60.741159830268742</v>
      </c>
      <c r="CI29" s="106">
        <v>20554.808486562943</v>
      </c>
      <c r="CJ29" s="106">
        <v>75.965065848760759</v>
      </c>
      <c r="CK29" s="106">
        <v>25706.578283220639</v>
      </c>
      <c r="CL29" s="106">
        <v>53</v>
      </c>
      <c r="CM29" s="106">
        <v>17935.199999999997</v>
      </c>
      <c r="CN29" s="106">
        <v>98.137370790868189</v>
      </c>
      <c r="CO29" s="106">
        <v>33209.686275629792</v>
      </c>
      <c r="CP29" s="106">
        <v>55.476916548050362</v>
      </c>
      <c r="CQ29" s="106">
        <v>18773.388559860243</v>
      </c>
      <c r="CR29" s="106">
        <v>8.4253078340582164</v>
      </c>
      <c r="CS29" s="106">
        <v>2851.1241710453</v>
      </c>
      <c r="CT29" s="106">
        <v>24.399274330744234</v>
      </c>
      <c r="CU29" s="106">
        <v>8256.7144335238481</v>
      </c>
    </row>
    <row r="30" spans="2:99" x14ac:dyDescent="0.2">
      <c r="C30" s="105" t="s">
        <v>195</v>
      </c>
      <c r="D30" s="106">
        <v>0</v>
      </c>
      <c r="E30" s="106">
        <v>0</v>
      </c>
      <c r="F30" s="106">
        <v>0</v>
      </c>
      <c r="G30" s="106">
        <v>0</v>
      </c>
      <c r="H30" s="106">
        <v>62.435366861459379</v>
      </c>
      <c r="I30" s="106">
        <v>8691.0030671151453</v>
      </c>
      <c r="J30" s="106">
        <v>8.7776040560230051</v>
      </c>
      <c r="K30" s="106">
        <v>1221.8424845984023</v>
      </c>
      <c r="L30" s="106">
        <v>88.142273735668127</v>
      </c>
      <c r="M30" s="106">
        <v>12269.404504005002</v>
      </c>
      <c r="N30" s="106">
        <v>10.372643128801862</v>
      </c>
      <c r="O30" s="106">
        <v>1443.871923529219</v>
      </c>
      <c r="P30" s="106">
        <v>49.098599732483031</v>
      </c>
      <c r="Q30" s="106">
        <v>6834.5250827616373</v>
      </c>
      <c r="R30" s="106">
        <v>113.6763237019191</v>
      </c>
      <c r="S30" s="106">
        <v>15823.744259307137</v>
      </c>
      <c r="T30" s="106">
        <v>50.708729244113876</v>
      </c>
      <c r="U30" s="106">
        <v>7058.6551107806508</v>
      </c>
      <c r="V30" s="106">
        <v>62.354158401820342</v>
      </c>
      <c r="W30" s="106">
        <v>8679.6988495333917</v>
      </c>
      <c r="X30" s="106">
        <v>71.801893961648176</v>
      </c>
      <c r="Y30" s="106">
        <v>9994.823639461425</v>
      </c>
      <c r="Z30" s="106">
        <v>54.940639231868538</v>
      </c>
      <c r="AA30" s="106">
        <v>7647.7369810761002</v>
      </c>
      <c r="AB30" s="106">
        <v>58.031494888266629</v>
      </c>
      <c r="AC30" s="106">
        <v>8077.9840884467139</v>
      </c>
      <c r="AD30" s="106">
        <v>63.008981908420282</v>
      </c>
      <c r="AE30" s="106">
        <v>8770.8502816521031</v>
      </c>
      <c r="AF30" s="106">
        <v>56.226253861385949</v>
      </c>
      <c r="AG30" s="106">
        <v>7826.6945375049236</v>
      </c>
      <c r="AH30" s="106">
        <v>63.807844704925621</v>
      </c>
      <c r="AI30" s="106">
        <v>8882.0519829256464</v>
      </c>
      <c r="AJ30" s="106">
        <v>62.592276894138479</v>
      </c>
      <c r="AK30" s="106">
        <v>8712.8449436640749</v>
      </c>
      <c r="AL30" s="106">
        <v>62.701241204202375</v>
      </c>
      <c r="AM30" s="106">
        <v>8728.0127756249694</v>
      </c>
      <c r="AN30" s="106">
        <v>70.358875993585542</v>
      </c>
      <c r="AO30" s="106">
        <v>9793.9555383071074</v>
      </c>
      <c r="AP30" s="106">
        <v>49.574027953696962</v>
      </c>
      <c r="AQ30" s="106">
        <v>6900.7046911546167</v>
      </c>
      <c r="AR30" s="106">
        <v>65.363916640626755</v>
      </c>
      <c r="AS30" s="106">
        <v>9098.6571963752431</v>
      </c>
      <c r="AT30" s="106">
        <v>22.613952004574745</v>
      </c>
      <c r="AU30" s="106">
        <v>3147.8621190368044</v>
      </c>
      <c r="AV30" s="106">
        <v>126</v>
      </c>
      <c r="AW30" s="106">
        <v>17539.199999999997</v>
      </c>
      <c r="AX30" s="106">
        <v>15.425081355823176</v>
      </c>
      <c r="AY30" s="106">
        <v>2147.1713247305861</v>
      </c>
      <c r="AZ30" s="106">
        <v>83.472757006533101</v>
      </c>
      <c r="BA30" s="106">
        <v>11619.407775309406</v>
      </c>
      <c r="BB30" s="106">
        <v>63.438696627068119</v>
      </c>
      <c r="BC30" s="106">
        <v>8830.6665704878815</v>
      </c>
      <c r="BD30" s="106">
        <v>80.768965239259046</v>
      </c>
      <c r="BE30" s="106">
        <v>11243.039961304858</v>
      </c>
      <c r="BF30" s="106">
        <v>51.389144889734901</v>
      </c>
      <c r="BG30" s="106">
        <v>7153.3689686510979</v>
      </c>
      <c r="BH30" s="106">
        <v>88.103560223228811</v>
      </c>
      <c r="BI30" s="106">
        <v>12264.015583073449</v>
      </c>
      <c r="BJ30" s="106">
        <v>55.434952171784403</v>
      </c>
      <c r="BK30" s="106">
        <v>7716.5453423123881</v>
      </c>
      <c r="BL30" s="106">
        <v>64.440537669426931</v>
      </c>
      <c r="BM30" s="106">
        <v>8970.1228435842277</v>
      </c>
      <c r="BN30" s="106">
        <v>53.433185427251175</v>
      </c>
      <c r="BO30" s="106">
        <v>7437.8994114733632</v>
      </c>
      <c r="BP30" s="106">
        <v>76.11300220755048</v>
      </c>
      <c r="BQ30" s="106">
        <v>10594.929907291025</v>
      </c>
      <c r="BR30" s="106">
        <v>8.6215274555576933</v>
      </c>
      <c r="BS30" s="106">
        <v>1200.1166218136309</v>
      </c>
      <c r="BT30" s="106">
        <v>60.398270624079551</v>
      </c>
      <c r="BU30" s="106">
        <v>8407.4392708718733</v>
      </c>
      <c r="BV30" s="106">
        <v>71.471384635298008</v>
      </c>
      <c r="BW30" s="106">
        <v>9948.8167412334824</v>
      </c>
      <c r="BX30" s="106">
        <v>74.34416364094335</v>
      </c>
      <c r="BY30" s="106">
        <v>10348.707578819314</v>
      </c>
      <c r="BZ30" s="106">
        <v>7.9075354168064305</v>
      </c>
      <c r="CA30" s="106">
        <v>1100.728930019455</v>
      </c>
      <c r="CB30" s="106">
        <v>105</v>
      </c>
      <c r="CC30" s="106">
        <v>14615.999999999998</v>
      </c>
      <c r="CD30" s="106">
        <v>104</v>
      </c>
      <c r="CE30" s="106">
        <v>14476.8</v>
      </c>
      <c r="CF30" s="106">
        <v>47.537024215529456</v>
      </c>
      <c r="CG30" s="106">
        <v>6617.1537708016995</v>
      </c>
      <c r="CH30" s="106">
        <v>57.980198019801982</v>
      </c>
      <c r="CI30" s="106">
        <v>8070.8435643564353</v>
      </c>
      <c r="CJ30" s="106">
        <v>78.702545699166564</v>
      </c>
      <c r="CK30" s="106">
        <v>10955.394361323984</v>
      </c>
      <c r="CL30" s="106">
        <v>57</v>
      </c>
      <c r="CM30" s="106">
        <v>7934.4</v>
      </c>
      <c r="CN30" s="106">
        <v>105.68639931324266</v>
      </c>
      <c r="CO30" s="106">
        <v>14711.546784403377</v>
      </c>
      <c r="CP30" s="106">
        <v>60.358885204278799</v>
      </c>
      <c r="CQ30" s="106">
        <v>8401.9568204356074</v>
      </c>
      <c r="CR30" s="106">
        <v>9.3614531489535722</v>
      </c>
      <c r="CS30" s="106">
        <v>1303.1142783343371</v>
      </c>
      <c r="CT30" s="106">
        <v>24.181423667076874</v>
      </c>
      <c r="CU30" s="106">
        <v>3366.0541744571005</v>
      </c>
    </row>
    <row r="31" spans="2:99" x14ac:dyDescent="0.2">
      <c r="C31" s="105" t="s">
        <v>196</v>
      </c>
      <c r="D31" s="106">
        <v>0</v>
      </c>
      <c r="E31" s="106">
        <v>0</v>
      </c>
      <c r="F31" s="106">
        <v>0</v>
      </c>
      <c r="G31" s="106">
        <v>0</v>
      </c>
      <c r="H31" s="106">
        <v>58.651405233492149</v>
      </c>
      <c r="I31" s="106">
        <v>19988.398903574125</v>
      </c>
      <c r="J31" s="106">
        <v>7.6397664932052072</v>
      </c>
      <c r="K31" s="106">
        <v>2603.6324208843348</v>
      </c>
      <c r="L31" s="106">
        <v>95.487463213640467</v>
      </c>
      <c r="M31" s="106">
        <v>32542.127463208672</v>
      </c>
      <c r="N31" s="106">
        <v>10.738736415700751</v>
      </c>
      <c r="O31" s="106">
        <v>3659.761370470816</v>
      </c>
      <c r="P31" s="106">
        <v>52.875415096520186</v>
      </c>
      <c r="Q31" s="106">
        <v>18019.94146489408</v>
      </c>
      <c r="R31" s="106">
        <v>98.578686960257969</v>
      </c>
      <c r="S31" s="106">
        <v>33595.616516055918</v>
      </c>
      <c r="T31" s="106">
        <v>49.581868594244682</v>
      </c>
      <c r="U31" s="106">
        <v>16897.500816918589</v>
      </c>
      <c r="V31" s="106">
        <v>62.354158401820342</v>
      </c>
      <c r="W31" s="106">
        <v>21250.297183340372</v>
      </c>
      <c r="X31" s="106">
        <v>74.89680318413302</v>
      </c>
      <c r="Y31" s="106">
        <v>25524.830525152534</v>
      </c>
      <c r="Z31" s="106">
        <v>55.812712870469625</v>
      </c>
      <c r="AA31" s="106">
        <v>19020.972546256049</v>
      </c>
      <c r="AB31" s="106">
        <v>56.255020554952338</v>
      </c>
      <c r="AC31" s="106">
        <v>19171.711005127756</v>
      </c>
      <c r="AD31" s="106">
        <v>64.571188071438968</v>
      </c>
      <c r="AE31" s="106">
        <v>22005.860894746402</v>
      </c>
      <c r="AF31" s="106">
        <v>51.283286488956421</v>
      </c>
      <c r="AG31" s="106">
        <v>17477.344035436348</v>
      </c>
      <c r="AH31" s="106">
        <v>58.52719548796626</v>
      </c>
      <c r="AI31" s="106">
        <v>19946.068222298902</v>
      </c>
      <c r="AJ31" s="106">
        <v>55.102602735865503</v>
      </c>
      <c r="AK31" s="106">
        <v>18778.967012382964</v>
      </c>
      <c r="AL31" s="106">
        <v>59.10362900396126</v>
      </c>
      <c r="AM31" s="106">
        <v>20142.516764549997</v>
      </c>
      <c r="AN31" s="106">
        <v>63.686913614883458</v>
      </c>
      <c r="AO31" s="106">
        <v>21704.500159952284</v>
      </c>
      <c r="AP31" s="106">
        <v>46.426470623303501</v>
      </c>
      <c r="AQ31" s="106">
        <v>15822.141188421834</v>
      </c>
      <c r="AR31" s="106">
        <v>52.565387508196338</v>
      </c>
      <c r="AS31" s="106">
        <v>17914.284062793311</v>
      </c>
      <c r="AT31" s="106">
        <v>24.651244977959859</v>
      </c>
      <c r="AU31" s="106">
        <v>8401.1442884887201</v>
      </c>
      <c r="AV31" s="106">
        <v>106</v>
      </c>
      <c r="AW31" s="106">
        <v>36124.800000000003</v>
      </c>
      <c r="AX31" s="106">
        <v>15.907115148192648</v>
      </c>
      <c r="AY31" s="106">
        <v>5421.1448425040544</v>
      </c>
      <c r="AZ31" s="106">
        <v>87.141889182644448</v>
      </c>
      <c r="BA31" s="106">
        <v>29697.95583344523</v>
      </c>
      <c r="BB31" s="106">
        <v>65.704364363749121</v>
      </c>
      <c r="BC31" s="106">
        <v>22392.047375165701</v>
      </c>
      <c r="BD31" s="106">
        <v>71.428336606147454</v>
      </c>
      <c r="BE31" s="106">
        <v>24342.777115375055</v>
      </c>
      <c r="BF31" s="106">
        <v>50.890221152941365</v>
      </c>
      <c r="BG31" s="106">
        <v>17343.387368922416</v>
      </c>
      <c r="BH31" s="106">
        <v>91.060055532733131</v>
      </c>
      <c r="BI31" s="106">
        <v>31033.266925555454</v>
      </c>
      <c r="BJ31" s="106">
        <v>56.589847008696573</v>
      </c>
      <c r="BK31" s="106">
        <v>19285.819860563792</v>
      </c>
      <c r="BL31" s="106">
        <v>68.583143662461524</v>
      </c>
      <c r="BM31" s="106">
        <v>23373.135360166889</v>
      </c>
      <c r="BN31" s="106">
        <v>53.433185427251175</v>
      </c>
      <c r="BO31" s="106">
        <v>18210.0295936072</v>
      </c>
      <c r="BP31" s="106">
        <v>68.321907493391763</v>
      </c>
      <c r="BQ31" s="106">
        <v>23284.106073747913</v>
      </c>
      <c r="BR31" s="106">
        <v>8.8714268020955984</v>
      </c>
      <c r="BS31" s="106">
        <v>3023.3822541541799</v>
      </c>
      <c r="BT31" s="106">
        <v>49.712422744434704</v>
      </c>
      <c r="BU31" s="106">
        <v>16941.993671303349</v>
      </c>
      <c r="BV31" s="106">
        <v>69.006854130632547</v>
      </c>
      <c r="BW31" s="106">
        <v>23517.535887719572</v>
      </c>
      <c r="BX31" s="106">
        <v>60.576725929657542</v>
      </c>
      <c r="BY31" s="106">
        <v>20644.548196827291</v>
      </c>
      <c r="BZ31" s="106">
        <v>6.4797859665497137</v>
      </c>
      <c r="CA31" s="106">
        <v>2208.3110574001425</v>
      </c>
      <c r="CB31" s="106">
        <v>103</v>
      </c>
      <c r="CC31" s="106">
        <v>35102.400000000001</v>
      </c>
      <c r="CD31" s="106">
        <v>93</v>
      </c>
      <c r="CE31" s="106">
        <v>31694.400000000001</v>
      </c>
      <c r="CF31" s="106">
        <v>51.058285268531641</v>
      </c>
      <c r="CG31" s="106">
        <v>17400.663619515584</v>
      </c>
      <c r="CH31" s="106">
        <v>56.599717114568598</v>
      </c>
      <c r="CI31" s="106">
        <v>19289.183592644978</v>
      </c>
      <c r="CJ31" s="106">
        <v>67.068256334941935</v>
      </c>
      <c r="CK31" s="106">
        <v>22856.861758948213</v>
      </c>
      <c r="CL31" s="106">
        <v>61</v>
      </c>
      <c r="CM31" s="106">
        <v>20788.8</v>
      </c>
      <c r="CN31" s="106">
        <v>98.137370790868189</v>
      </c>
      <c r="CO31" s="106">
        <v>33445.215965527881</v>
      </c>
      <c r="CP31" s="106">
        <v>54.589285883281555</v>
      </c>
      <c r="CQ31" s="106">
        <v>18604.028629022356</v>
      </c>
      <c r="CR31" s="106">
        <v>9.0689077380487735</v>
      </c>
      <c r="CS31" s="106">
        <v>3090.6837571270221</v>
      </c>
      <c r="CT31" s="106">
        <v>24.181423667076874</v>
      </c>
      <c r="CU31" s="106">
        <v>8241.0291857397988</v>
      </c>
    </row>
    <row r="32" spans="2:99" x14ac:dyDescent="0.2">
      <c r="C32" s="105" t="s">
        <v>197</v>
      </c>
      <c r="D32" s="106">
        <v>0</v>
      </c>
      <c r="E32" s="106">
        <v>0</v>
      </c>
      <c r="F32" s="106">
        <v>0</v>
      </c>
      <c r="G32" s="106">
        <v>0</v>
      </c>
      <c r="H32" s="106">
        <v>56.286429216012621</v>
      </c>
      <c r="I32" s="106">
        <v>47280.6005414506</v>
      </c>
      <c r="J32" s="106">
        <v>6.9082994885366231</v>
      </c>
      <c r="K32" s="106">
        <v>5802.9715703707634</v>
      </c>
      <c r="L32" s="106">
        <v>91.81486847465429</v>
      </c>
      <c r="M32" s="106">
        <v>77124.489518709597</v>
      </c>
      <c r="N32" s="106">
        <v>8.9082699812063044</v>
      </c>
      <c r="O32" s="106">
        <v>7482.9467842132954</v>
      </c>
      <c r="P32" s="106">
        <v>45.321784368445876</v>
      </c>
      <c r="Q32" s="106">
        <v>38070.298869494538</v>
      </c>
      <c r="R32" s="106">
        <v>101.24297579702169</v>
      </c>
      <c r="S32" s="106">
        <v>85044.099669498217</v>
      </c>
      <c r="T32" s="106">
        <v>43.947565344898692</v>
      </c>
      <c r="U32" s="106">
        <v>36915.9548897149</v>
      </c>
      <c r="V32" s="106">
        <v>55.374215297138967</v>
      </c>
      <c r="W32" s="106">
        <v>46514.340849596731</v>
      </c>
      <c r="X32" s="106">
        <v>61.279202605199742</v>
      </c>
      <c r="Y32" s="106">
        <v>51474.530188367782</v>
      </c>
      <c r="Z32" s="106">
        <v>54.068565593267451</v>
      </c>
      <c r="AA32" s="106">
        <v>45417.59509834466</v>
      </c>
      <c r="AB32" s="106">
        <v>47.372648888380915</v>
      </c>
      <c r="AC32" s="106">
        <v>39793.02506623997</v>
      </c>
      <c r="AD32" s="106">
        <v>56.760157256345543</v>
      </c>
      <c r="AE32" s="106">
        <v>47678.532095330258</v>
      </c>
      <c r="AF32" s="106">
        <v>54.990512018278572</v>
      </c>
      <c r="AG32" s="106">
        <v>46192.030095353999</v>
      </c>
      <c r="AH32" s="106">
        <v>55.446816778073298</v>
      </c>
      <c r="AI32" s="106">
        <v>46575.326093581571</v>
      </c>
      <c r="AJ32" s="106">
        <v>51.892742382319938</v>
      </c>
      <c r="AK32" s="106">
        <v>43589.903601148748</v>
      </c>
      <c r="AL32" s="106">
        <v>54.478127603651245</v>
      </c>
      <c r="AM32" s="106">
        <v>45761.627187067046</v>
      </c>
      <c r="AN32" s="106">
        <v>67.326165821448228</v>
      </c>
      <c r="AO32" s="106">
        <v>56553.979290016512</v>
      </c>
      <c r="AP32" s="106">
        <v>43.672357959209229</v>
      </c>
      <c r="AQ32" s="106">
        <v>36684.78068573575</v>
      </c>
      <c r="AR32" s="106">
        <v>57.136290769778626</v>
      </c>
      <c r="AS32" s="106">
        <v>47994.484246614047</v>
      </c>
      <c r="AT32" s="106">
        <v>21.799034815220701</v>
      </c>
      <c r="AU32" s="106">
        <v>18311.18924478539</v>
      </c>
      <c r="AV32" s="106">
        <v>103</v>
      </c>
      <c r="AW32" s="106">
        <v>86520</v>
      </c>
      <c r="AX32" s="106">
        <v>14.943047563453701</v>
      </c>
      <c r="AY32" s="106">
        <v>12552.159953301109</v>
      </c>
      <c r="AZ32" s="106">
        <v>73.3826435222269</v>
      </c>
      <c r="BA32" s="106">
        <v>61641.420558670594</v>
      </c>
      <c r="BB32" s="106">
        <v>55.508859548684597</v>
      </c>
      <c r="BC32" s="106">
        <v>46627.442020895061</v>
      </c>
      <c r="BD32" s="106">
        <v>75.823926551141156</v>
      </c>
      <c r="BE32" s="106">
        <v>63692.09830295857</v>
      </c>
      <c r="BF32" s="106">
        <v>39.913898943483417</v>
      </c>
      <c r="BG32" s="106">
        <v>33527.675112526071</v>
      </c>
      <c r="BH32" s="106">
        <v>78.051476170914114</v>
      </c>
      <c r="BI32" s="106">
        <v>65563.239983567852</v>
      </c>
      <c r="BJ32" s="106">
        <v>55.819917117421788</v>
      </c>
      <c r="BK32" s="106">
        <v>46888.730378634304</v>
      </c>
      <c r="BL32" s="106">
        <v>66.741985443335039</v>
      </c>
      <c r="BM32" s="106">
        <v>56063.267772401436</v>
      </c>
      <c r="BN32" s="106">
        <v>52.929098772277108</v>
      </c>
      <c r="BO32" s="106">
        <v>44460.44296871277</v>
      </c>
      <c r="BP32" s="106">
        <v>70.119852427428398</v>
      </c>
      <c r="BQ32" s="106">
        <v>58900.676039039856</v>
      </c>
      <c r="BR32" s="106">
        <v>7.2470810495992213</v>
      </c>
      <c r="BS32" s="106">
        <v>6087.5480816633462</v>
      </c>
      <c r="BT32" s="106">
        <v>53.893841479947902</v>
      </c>
      <c r="BU32" s="106">
        <v>45270.826843156239</v>
      </c>
      <c r="BV32" s="106">
        <v>60.997129990469851</v>
      </c>
      <c r="BW32" s="106">
        <v>51237.589191994673</v>
      </c>
      <c r="BX32" s="106">
        <v>66.083701014171865</v>
      </c>
      <c r="BY32" s="106">
        <v>55510.308851904367</v>
      </c>
      <c r="BZ32" s="106">
        <v>6.040478443393801</v>
      </c>
      <c r="CA32" s="106">
        <v>5074.0018924507931</v>
      </c>
      <c r="CB32" s="106">
        <v>91</v>
      </c>
      <c r="CC32" s="106">
        <v>76440</v>
      </c>
      <c r="CD32" s="106">
        <v>86</v>
      </c>
      <c r="CE32" s="106">
        <v>72240</v>
      </c>
      <c r="CF32" s="106">
        <v>44.015763162527278</v>
      </c>
      <c r="CG32" s="106">
        <v>36973.241056522915</v>
      </c>
      <c r="CH32" s="106">
        <v>57.980198019801982</v>
      </c>
      <c r="CI32" s="106">
        <v>48703.366336633662</v>
      </c>
      <c r="CJ32" s="106">
        <v>74.59632592355787</v>
      </c>
      <c r="CK32" s="106">
        <v>62660.913775788613</v>
      </c>
      <c r="CL32" s="106">
        <v>52</v>
      </c>
      <c r="CM32" s="106">
        <v>43680</v>
      </c>
      <c r="CN32" s="106">
        <v>93.104685109285199</v>
      </c>
      <c r="CO32" s="106">
        <v>78207.935491799566</v>
      </c>
      <c r="CP32" s="106">
        <v>53.257839886128352</v>
      </c>
      <c r="CQ32" s="106">
        <v>44736.585504347815</v>
      </c>
      <c r="CR32" s="106">
        <v>8.6593441627820553</v>
      </c>
      <c r="CS32" s="106">
        <v>7273.8490967369262</v>
      </c>
      <c r="CT32" s="106">
        <v>24.834975658078953</v>
      </c>
      <c r="CU32" s="106">
        <v>20861.379552786322</v>
      </c>
    </row>
    <row r="33" spans="2:99" x14ac:dyDescent="0.2">
      <c r="C33" s="105" t="s">
        <v>198</v>
      </c>
      <c r="D33" s="106">
        <v>0</v>
      </c>
      <c r="E33" s="106">
        <v>0</v>
      </c>
      <c r="F33" s="106">
        <v>0</v>
      </c>
      <c r="G33" s="106">
        <v>0</v>
      </c>
      <c r="H33" s="106">
        <v>66.219328489426616</v>
      </c>
      <c r="I33" s="106">
        <v>31387.961703988214</v>
      </c>
      <c r="J33" s="106">
        <v>7.9648629397245783</v>
      </c>
      <c r="K33" s="106">
        <v>3775.3450334294503</v>
      </c>
      <c r="L33" s="106">
        <v>91.81486847465429</v>
      </c>
      <c r="M33" s="106">
        <v>43520.247656986132</v>
      </c>
      <c r="N33" s="106">
        <v>10.860767511333712</v>
      </c>
      <c r="O33" s="106">
        <v>5148.0038003721793</v>
      </c>
      <c r="P33" s="106">
        <v>46.58072282312493</v>
      </c>
      <c r="Q33" s="106">
        <v>22079.262618161218</v>
      </c>
      <c r="R33" s="106">
        <v>97.69059068133673</v>
      </c>
      <c r="S33" s="106">
        <v>46305.339982953607</v>
      </c>
      <c r="T33" s="106">
        <v>44.510995669833299</v>
      </c>
      <c r="U33" s="106">
        <v>21098.211947500982</v>
      </c>
      <c r="V33" s="106">
        <v>59.096851619635693</v>
      </c>
      <c r="W33" s="106">
        <v>28011.907667707317</v>
      </c>
      <c r="X33" s="106">
        <v>73.658839495139091</v>
      </c>
      <c r="Y33" s="106">
        <v>34914.289920695926</v>
      </c>
      <c r="Z33" s="106">
        <v>52.760455135365817</v>
      </c>
      <c r="AA33" s="106">
        <v>25008.455734163395</v>
      </c>
      <c r="AB33" s="106">
        <v>57.43933677716187</v>
      </c>
      <c r="AC33" s="106">
        <v>27226.245632374725</v>
      </c>
      <c r="AD33" s="106">
        <v>52.073538767289484</v>
      </c>
      <c r="AE33" s="106">
        <v>24682.857375695217</v>
      </c>
      <c r="AF33" s="106">
        <v>49.429673724295341</v>
      </c>
      <c r="AG33" s="106">
        <v>23429.665345315992</v>
      </c>
      <c r="AH33" s="106">
        <v>65.568061110578739</v>
      </c>
      <c r="AI33" s="106">
        <v>31079.260966414324</v>
      </c>
      <c r="AJ33" s="106">
        <v>56.172556187047356</v>
      </c>
      <c r="AK33" s="106">
        <v>26625.791632660446</v>
      </c>
      <c r="AL33" s="106">
        <v>65.784908804409042</v>
      </c>
      <c r="AM33" s="106">
        <v>31182.046773289887</v>
      </c>
      <c r="AN33" s="106">
        <v>58.83457733946377</v>
      </c>
      <c r="AO33" s="106">
        <v>27887.589658905828</v>
      </c>
      <c r="AP33" s="106">
        <v>53.901919282987969</v>
      </c>
      <c r="AQ33" s="106">
        <v>25549.509740136298</v>
      </c>
      <c r="AR33" s="106">
        <v>60.793013379044453</v>
      </c>
      <c r="AS33" s="106">
        <v>28815.888341667072</v>
      </c>
      <c r="AT33" s="106">
        <v>20.984117625866659</v>
      </c>
      <c r="AU33" s="106">
        <v>9946.4717546607972</v>
      </c>
      <c r="AV33" s="106">
        <v>113</v>
      </c>
      <c r="AW33" s="106">
        <v>53562</v>
      </c>
      <c r="AX33" s="106">
        <v>14.621691701874052</v>
      </c>
      <c r="AY33" s="106">
        <v>6930.6818666883009</v>
      </c>
      <c r="AZ33" s="106">
        <v>81.63819091847742</v>
      </c>
      <c r="BA33" s="106">
        <v>38696.502495358298</v>
      </c>
      <c r="BB33" s="106">
        <v>59.473778087876362</v>
      </c>
      <c r="BC33" s="106">
        <v>28190.570813653394</v>
      </c>
      <c r="BD33" s="106">
        <v>80.21951649613483</v>
      </c>
      <c r="BE33" s="106">
        <v>38024.050819167911</v>
      </c>
      <c r="BF33" s="106">
        <v>46.89883125859302</v>
      </c>
      <c r="BG33" s="106">
        <v>22230.046016573091</v>
      </c>
      <c r="BH33" s="106">
        <v>81.007971480418433</v>
      </c>
      <c r="BI33" s="106">
        <v>38397.778481718335</v>
      </c>
      <c r="BJ33" s="106">
        <v>61.594391301982661</v>
      </c>
      <c r="BK33" s="106">
        <v>29195.741477139782</v>
      </c>
      <c r="BL33" s="106">
        <v>61.218510785955587</v>
      </c>
      <c r="BM33" s="106">
        <v>29017.574112542949</v>
      </c>
      <c r="BN33" s="106">
        <v>50.408665497406766</v>
      </c>
      <c r="BO33" s="106">
        <v>23893.707445770808</v>
      </c>
      <c r="BP33" s="106">
        <v>74.914372251526075</v>
      </c>
      <c r="BQ33" s="106">
        <v>35509.41244722336</v>
      </c>
      <c r="BR33" s="106">
        <v>8.3716281090197899</v>
      </c>
      <c r="BS33" s="106">
        <v>3968.1517236753803</v>
      </c>
      <c r="BT33" s="106">
        <v>52.035433153053148</v>
      </c>
      <c r="BU33" s="106">
        <v>24664.795314547191</v>
      </c>
      <c r="BV33" s="106">
        <v>67.774588878299838</v>
      </c>
      <c r="BW33" s="106">
        <v>32125.155128314123</v>
      </c>
      <c r="BX33" s="106">
        <v>70.2139323275576</v>
      </c>
      <c r="BY33" s="106">
        <v>33281.403923262304</v>
      </c>
      <c r="BZ33" s="106">
        <v>6.9190934897056264</v>
      </c>
      <c r="CA33" s="106">
        <v>3279.6503141204671</v>
      </c>
      <c r="CB33" s="106">
        <v>91</v>
      </c>
      <c r="CC33" s="106">
        <v>43134</v>
      </c>
      <c r="CD33" s="106">
        <v>105</v>
      </c>
      <c r="CE33" s="106">
        <v>49770</v>
      </c>
      <c r="CF33" s="106">
        <v>52.2320389528657</v>
      </c>
      <c r="CG33" s="106">
        <v>24757.986463658341</v>
      </c>
      <c r="CH33" s="106">
        <v>64.192362093352187</v>
      </c>
      <c r="CI33" s="106">
        <v>30427.179632248935</v>
      </c>
      <c r="CJ33" s="106">
        <v>75.280695886159322</v>
      </c>
      <c r="CK33" s="106">
        <v>35683.049850039519</v>
      </c>
      <c r="CL33" s="106">
        <v>56</v>
      </c>
      <c r="CM33" s="106">
        <v>26544</v>
      </c>
      <c r="CN33" s="106">
        <v>111.55786594175613</v>
      </c>
      <c r="CO33" s="106">
        <v>52878.428456392408</v>
      </c>
      <c r="CP33" s="106">
        <v>53.257839886128352</v>
      </c>
      <c r="CQ33" s="106">
        <v>25244.21610602484</v>
      </c>
      <c r="CR33" s="106">
        <v>9.1274168202297332</v>
      </c>
      <c r="CS33" s="106">
        <v>4326.3955727888933</v>
      </c>
      <c r="CT33" s="106">
        <v>23.527871676074799</v>
      </c>
      <c r="CU33" s="106">
        <v>11152.211174459455</v>
      </c>
    </row>
    <row r="34" spans="2:99" x14ac:dyDescent="0.2">
      <c r="C34" s="105" t="s">
        <v>199</v>
      </c>
      <c r="D34" s="106">
        <v>0</v>
      </c>
      <c r="E34" s="106">
        <v>0</v>
      </c>
      <c r="F34" s="106">
        <v>0</v>
      </c>
      <c r="G34" s="106">
        <v>0</v>
      </c>
      <c r="H34" s="106">
        <v>63.38135726845119</v>
      </c>
      <c r="I34" s="106">
        <v>34758.336326018631</v>
      </c>
      <c r="J34" s="106">
        <v>7.7210406048350499</v>
      </c>
      <c r="K34" s="106">
        <v>4234.2186676915417</v>
      </c>
      <c r="L34" s="106">
        <v>87.224125050921572</v>
      </c>
      <c r="M34" s="106">
        <v>47833.710177925386</v>
      </c>
      <c r="N34" s="106">
        <v>9.5184254593711195</v>
      </c>
      <c r="O34" s="106">
        <v>5219.9045219191221</v>
      </c>
      <c r="P34" s="106">
        <v>47.210192050464457</v>
      </c>
      <c r="Q34" s="106">
        <v>25890.069320474708</v>
      </c>
      <c r="R34" s="106">
        <v>101.24297579702169</v>
      </c>
      <c r="S34" s="106">
        <v>55521.647927086691</v>
      </c>
      <c r="T34" s="106">
        <v>47.328147294506287</v>
      </c>
      <c r="U34" s="106">
        <v>25954.755976307246</v>
      </c>
      <c r="V34" s="106">
        <v>61.423499321196161</v>
      </c>
      <c r="W34" s="106">
        <v>33684.647027743973</v>
      </c>
      <c r="X34" s="106">
        <v>65.612075516678516</v>
      </c>
      <c r="Y34" s="106">
        <v>35981.662213346499</v>
      </c>
      <c r="Z34" s="106">
        <v>57.992896966972339</v>
      </c>
      <c r="AA34" s="106">
        <v>31803.304696687628</v>
      </c>
      <c r="AB34" s="106">
        <v>58.031494888266629</v>
      </c>
      <c r="AC34" s="106">
        <v>31824.471796725418</v>
      </c>
      <c r="AD34" s="106">
        <v>53.635744930308171</v>
      </c>
      <c r="AE34" s="106">
        <v>29413.842519780999</v>
      </c>
      <c r="AF34" s="106">
        <v>56.844124782939637</v>
      </c>
      <c r="AG34" s="106">
        <v>31173.318030964096</v>
      </c>
      <c r="AH34" s="106">
        <v>66.00811521199202</v>
      </c>
      <c r="AI34" s="106">
        <v>36198.850382256423</v>
      </c>
      <c r="AJ34" s="106">
        <v>64.197207070911261</v>
      </c>
      <c r="AK34" s="106">
        <v>35205.748357687735</v>
      </c>
      <c r="AL34" s="106">
        <v>64.757019604340158</v>
      </c>
      <c r="AM34" s="106">
        <v>35512.749551020141</v>
      </c>
      <c r="AN34" s="106">
        <v>59.441119373891226</v>
      </c>
      <c r="AO34" s="106">
        <v>32597.509864641946</v>
      </c>
      <c r="AP34" s="106">
        <v>54.29536394928715</v>
      </c>
      <c r="AQ34" s="106">
        <v>29775.577589789071</v>
      </c>
      <c r="AR34" s="106">
        <v>57.593381095936856</v>
      </c>
      <c r="AS34" s="106">
        <v>31584.210193011771</v>
      </c>
      <c r="AT34" s="106">
        <v>23.225139896590282</v>
      </c>
      <c r="AU34" s="106">
        <v>12736.66671929011</v>
      </c>
      <c r="AV34" s="106">
        <v>117</v>
      </c>
      <c r="AW34" s="106">
        <v>64162.799999999996</v>
      </c>
      <c r="AX34" s="106">
        <v>16.067793078982472</v>
      </c>
      <c r="AY34" s="106">
        <v>8811.5777245139871</v>
      </c>
      <c r="AZ34" s="106">
        <v>77.969058742366087</v>
      </c>
      <c r="BA34" s="106">
        <v>42758.231814313564</v>
      </c>
      <c r="BB34" s="106">
        <v>55.508859548684597</v>
      </c>
      <c r="BC34" s="106">
        <v>30441.058576498632</v>
      </c>
      <c r="BD34" s="106">
        <v>66.48329791802955</v>
      </c>
      <c r="BE34" s="106">
        <v>36459.440578247406</v>
      </c>
      <c r="BF34" s="106">
        <v>41.90959389065759</v>
      </c>
      <c r="BG34" s="106">
        <v>22983.221289636622</v>
      </c>
      <c r="BH34" s="106">
        <v>82.190569604220158</v>
      </c>
      <c r="BI34" s="106">
        <v>45073.308370954335</v>
      </c>
      <c r="BJ34" s="106">
        <v>56.974811954333966</v>
      </c>
      <c r="BK34" s="106">
        <v>31244.986875756746</v>
      </c>
      <c r="BL34" s="106">
        <v>67.202274998116664</v>
      </c>
      <c r="BM34" s="106">
        <v>36853.72760896718</v>
      </c>
      <c r="BN34" s="106">
        <v>50.91275215238084</v>
      </c>
      <c r="BO34" s="106">
        <v>27920.55328036565</v>
      </c>
      <c r="BP34" s="106">
        <v>66.523962559355141</v>
      </c>
      <c r="BQ34" s="106">
        <v>36481.741067550356</v>
      </c>
      <c r="BR34" s="106">
        <v>7.5594552327716009</v>
      </c>
      <c r="BS34" s="106">
        <v>4145.605249651946</v>
      </c>
      <c r="BT34" s="106">
        <v>53.429239398224212</v>
      </c>
      <c r="BU34" s="106">
        <v>29300.594885986156</v>
      </c>
      <c r="BV34" s="106">
        <v>62.229395242802575</v>
      </c>
      <c r="BW34" s="106">
        <v>34126.600351152927</v>
      </c>
      <c r="BX34" s="106">
        <v>58.511610272964667</v>
      </c>
      <c r="BY34" s="106">
        <v>32087.767073693823</v>
      </c>
      <c r="BZ34" s="106">
        <v>7.0289203704946051</v>
      </c>
      <c r="CA34" s="106">
        <v>3854.6599311792411</v>
      </c>
      <c r="CB34" s="106">
        <v>99</v>
      </c>
      <c r="CC34" s="106">
        <v>54291.6</v>
      </c>
      <c r="CD34" s="106">
        <v>92</v>
      </c>
      <c r="CE34" s="106">
        <v>50452.799999999996</v>
      </c>
      <c r="CF34" s="106">
        <v>45.189516846861345</v>
      </c>
      <c r="CG34" s="106">
        <v>24781.931038818759</v>
      </c>
      <c r="CH34" s="106">
        <v>54.52899575671853</v>
      </c>
      <c r="CI34" s="106">
        <v>29903.701272984439</v>
      </c>
      <c r="CJ34" s="106">
        <v>75.965065848760759</v>
      </c>
      <c r="CK34" s="106">
        <v>41659.2421114604</v>
      </c>
      <c r="CL34" s="106">
        <v>57</v>
      </c>
      <c r="CM34" s="106">
        <v>31258.799999999999</v>
      </c>
      <c r="CN34" s="106">
        <v>98.976151737798688</v>
      </c>
      <c r="CO34" s="106">
        <v>54278.521613008801</v>
      </c>
      <c r="CP34" s="106">
        <v>53.701655218512748</v>
      </c>
      <c r="CQ34" s="106">
        <v>29449.987721832389</v>
      </c>
      <c r="CR34" s="106">
        <v>9.4784713133154916</v>
      </c>
      <c r="CS34" s="106">
        <v>5197.9936682222151</v>
      </c>
      <c r="CT34" s="106">
        <v>22.656469021405361</v>
      </c>
      <c r="CU34" s="106">
        <v>12424.8076113387</v>
      </c>
    </row>
    <row r="35" spans="2:99" x14ac:dyDescent="0.2">
      <c r="C35" s="105" t="s">
        <v>200</v>
      </c>
      <c r="D35" s="106">
        <v>0</v>
      </c>
      <c r="E35" s="106">
        <v>0</v>
      </c>
      <c r="F35" s="106">
        <v>0</v>
      </c>
      <c r="G35" s="106">
        <v>0</v>
      </c>
      <c r="H35" s="106">
        <v>64.327347675442994</v>
      </c>
      <c r="I35" s="106">
        <v>32343.790411212729</v>
      </c>
      <c r="J35" s="106">
        <v>7.4772182699455216</v>
      </c>
      <c r="K35" s="106">
        <v>3759.5453461286074</v>
      </c>
      <c r="L35" s="106">
        <v>96.405611898387008</v>
      </c>
      <c r="M35" s="106">
        <v>48472.741662508975</v>
      </c>
      <c r="N35" s="106">
        <v>9.5184254593711195</v>
      </c>
      <c r="O35" s="106">
        <v>4785.8643209717975</v>
      </c>
      <c r="P35" s="106">
        <v>46.58072282312493</v>
      </c>
      <c r="Q35" s="106">
        <v>23420.787435467209</v>
      </c>
      <c r="R35" s="106">
        <v>113.6763237019191</v>
      </c>
      <c r="S35" s="106">
        <v>57156.455557324916</v>
      </c>
      <c r="T35" s="106">
        <v>49.018438269310082</v>
      </c>
      <c r="U35" s="106">
        <v>24646.470761809105</v>
      </c>
      <c r="V35" s="106">
        <v>67.472783345253362</v>
      </c>
      <c r="W35" s="106">
        <v>33925.315465993386</v>
      </c>
      <c r="X35" s="106">
        <v>71.801893961648176</v>
      </c>
      <c r="Y35" s="106">
        <v>36101.992283916697</v>
      </c>
      <c r="Z35" s="106">
        <v>59.301007424873973</v>
      </c>
      <c r="AA35" s="106">
        <v>29816.546533226629</v>
      </c>
      <c r="AB35" s="106">
        <v>58.031494888266629</v>
      </c>
      <c r="AC35" s="106">
        <v>29178.235629820454</v>
      </c>
      <c r="AD35" s="106">
        <v>57.280892644018436</v>
      </c>
      <c r="AE35" s="106">
        <v>28800.832821412463</v>
      </c>
      <c r="AF35" s="106">
        <v>48.811802802741646</v>
      </c>
      <c r="AG35" s="106">
        <v>24542.574449218493</v>
      </c>
      <c r="AH35" s="106">
        <v>56.326924980899861</v>
      </c>
      <c r="AI35" s="106">
        <v>28321.177880396444</v>
      </c>
      <c r="AJ35" s="106">
        <v>57.777486363820131</v>
      </c>
      <c r="AK35" s="106">
        <v>29050.520143728754</v>
      </c>
      <c r="AL35" s="106">
        <v>57.04785060382347</v>
      </c>
      <c r="AM35" s="106">
        <v>28683.659283602436</v>
      </c>
      <c r="AN35" s="106">
        <v>60.654203442746152</v>
      </c>
      <c r="AO35" s="106">
        <v>30496.933491012758</v>
      </c>
      <c r="AP35" s="106">
        <v>48.787138621098599</v>
      </c>
      <c r="AQ35" s="106">
        <v>24530.173298688369</v>
      </c>
      <c r="AR35" s="106">
        <v>58.050471422095086</v>
      </c>
      <c r="AS35" s="106">
        <v>29187.777031029404</v>
      </c>
      <c r="AT35" s="106">
        <v>25.05870357263688</v>
      </c>
      <c r="AU35" s="106">
        <v>12599.516156321821</v>
      </c>
      <c r="AV35" s="106">
        <v>116</v>
      </c>
      <c r="AW35" s="106">
        <v>58324.799999999988</v>
      </c>
      <c r="AX35" s="106">
        <v>16.871182732931597</v>
      </c>
      <c r="AY35" s="106">
        <v>8482.8306781180054</v>
      </c>
      <c r="AZ35" s="106">
        <v>83.472757006533101</v>
      </c>
      <c r="BA35" s="106">
        <v>41970.102222884838</v>
      </c>
      <c r="BB35" s="106">
        <v>65.137947429578873</v>
      </c>
      <c r="BC35" s="106">
        <v>32751.359967592249</v>
      </c>
      <c r="BD35" s="106">
        <v>76.373375294265358</v>
      </c>
      <c r="BE35" s="106">
        <v>38400.533097956613</v>
      </c>
      <c r="BF35" s="106">
        <v>44.404212574625305</v>
      </c>
      <c r="BG35" s="106">
        <v>22326.438082521599</v>
      </c>
      <c r="BH35" s="106">
        <v>78.642775232814969</v>
      </c>
      <c r="BI35" s="106">
        <v>39541.587387059357</v>
      </c>
      <c r="BJ35" s="106">
        <v>52.35523260668527</v>
      </c>
      <c r="BK35" s="106">
        <v>26324.210954641349</v>
      </c>
      <c r="BL35" s="106">
        <v>62.139089895518829</v>
      </c>
      <c r="BM35" s="106">
        <v>31243.534399466862</v>
      </c>
      <c r="BN35" s="106">
        <v>58.978138631965919</v>
      </c>
      <c r="BO35" s="106">
        <v>29654.208104152458</v>
      </c>
      <c r="BP35" s="106">
        <v>68.921222471403979</v>
      </c>
      <c r="BQ35" s="106">
        <v>34653.590658621913</v>
      </c>
      <c r="BR35" s="106">
        <v>7.9343042525784568</v>
      </c>
      <c r="BS35" s="106">
        <v>3989.3681781964474</v>
      </c>
      <c r="BT35" s="106">
        <v>56.216851888566346</v>
      </c>
      <c r="BU35" s="106">
        <v>28265.833129571154</v>
      </c>
      <c r="BV35" s="106">
        <v>73.935915139963456</v>
      </c>
      <c r="BW35" s="106">
        <v>37174.978132373617</v>
      </c>
      <c r="BX35" s="106">
        <v>61.265097815221829</v>
      </c>
      <c r="BY35" s="106">
        <v>30804.091181493528</v>
      </c>
      <c r="BZ35" s="106">
        <v>7.1387472512835828</v>
      </c>
      <c r="CA35" s="106">
        <v>3589.3621179453849</v>
      </c>
      <c r="CB35" s="106">
        <v>89</v>
      </c>
      <c r="CC35" s="106">
        <v>44749.19999999999</v>
      </c>
      <c r="CD35" s="106">
        <v>93</v>
      </c>
      <c r="CE35" s="106">
        <v>46760.399999999987</v>
      </c>
      <c r="CF35" s="106">
        <v>46.950147373362427</v>
      </c>
      <c r="CG35" s="106">
        <v>23606.534099326622</v>
      </c>
      <c r="CH35" s="106">
        <v>63.502121640735503</v>
      </c>
      <c r="CI35" s="106">
        <v>31928.866760961806</v>
      </c>
      <c r="CJ35" s="106">
        <v>68.436996260144838</v>
      </c>
      <c r="CK35" s="106">
        <v>34410.121719600815</v>
      </c>
      <c r="CL35" s="106">
        <v>58</v>
      </c>
      <c r="CM35" s="106">
        <v>29162.399999999994</v>
      </c>
      <c r="CN35" s="106">
        <v>106.52518026017316</v>
      </c>
      <c r="CO35" s="106">
        <v>53560.86063481505</v>
      </c>
      <c r="CP35" s="106">
        <v>59.471254539509985</v>
      </c>
      <c r="CQ35" s="106">
        <v>29902.146782465614</v>
      </c>
      <c r="CR35" s="106">
        <v>9.4784713133154916</v>
      </c>
      <c r="CS35" s="106">
        <v>4765.7753763350283</v>
      </c>
      <c r="CT35" s="106">
        <v>25.924228976415748</v>
      </c>
      <c r="CU35" s="106">
        <v>13034.702329341835</v>
      </c>
    </row>
    <row r="36" spans="2:99" x14ac:dyDescent="0.2">
      <c r="C36" s="105" t="s">
        <v>201</v>
      </c>
      <c r="D36" s="106">
        <v>0</v>
      </c>
      <c r="E36" s="106">
        <v>0</v>
      </c>
      <c r="F36" s="106">
        <v>0</v>
      </c>
      <c r="G36" s="106">
        <v>0</v>
      </c>
      <c r="H36" s="106">
        <v>55.813434012516723</v>
      </c>
      <c r="I36" s="106">
        <v>42462.860596722719</v>
      </c>
      <c r="J36" s="106">
        <v>6.8270253769067804</v>
      </c>
      <c r="K36" s="106">
        <v>5194.000906750678</v>
      </c>
      <c r="L36" s="106">
        <v>85.387827681428504</v>
      </c>
      <c r="M36" s="106">
        <v>64963.0593000308</v>
      </c>
      <c r="N36" s="106">
        <v>9.2743632681051942</v>
      </c>
      <c r="O36" s="106">
        <v>7055.9355743744309</v>
      </c>
      <c r="P36" s="106">
        <v>49.098599732483031</v>
      </c>
      <c r="Q36" s="106">
        <v>37354.214676473086</v>
      </c>
      <c r="R36" s="106">
        <v>105.68345719162791</v>
      </c>
      <c r="S36" s="106">
        <v>80403.974231390515</v>
      </c>
      <c r="T36" s="106">
        <v>43.947565344898692</v>
      </c>
      <c r="U36" s="106">
        <v>33435.307714398921</v>
      </c>
      <c r="V36" s="106">
        <v>60.027510700259882</v>
      </c>
      <c r="W36" s="106">
        <v>45668.930140757715</v>
      </c>
      <c r="X36" s="106">
        <v>60.660220760702771</v>
      </c>
      <c r="Y36" s="106">
        <v>46150.295954742665</v>
      </c>
      <c r="Z36" s="106">
        <v>53.632528773966904</v>
      </c>
      <c r="AA36" s="106">
        <v>40803.62789123402</v>
      </c>
      <c r="AB36" s="106">
        <v>53.886388110533296</v>
      </c>
      <c r="AC36" s="106">
        <v>40996.764074493731</v>
      </c>
      <c r="AD36" s="106">
        <v>56.239421868672643</v>
      </c>
      <c r="AE36" s="106">
        <v>42786.952157686144</v>
      </c>
      <c r="AF36" s="106">
        <v>49.429673724295341</v>
      </c>
      <c r="AG36" s="106">
        <v>37606.095769443891</v>
      </c>
      <c r="AH36" s="106">
        <v>65.128007009165458</v>
      </c>
      <c r="AI36" s="106">
        <v>49549.387732573079</v>
      </c>
      <c r="AJ36" s="106">
        <v>60.452369991774773</v>
      </c>
      <c r="AK36" s="106">
        <v>45992.163089742244</v>
      </c>
      <c r="AL36" s="106">
        <v>60.131518204030144</v>
      </c>
      <c r="AM36" s="106">
        <v>45748.059049626128</v>
      </c>
      <c r="AN36" s="106">
        <v>58.83457733946377</v>
      </c>
      <c r="AO36" s="106">
        <v>44761.346439864035</v>
      </c>
      <c r="AP36" s="106">
        <v>50.754361952594508</v>
      </c>
      <c r="AQ36" s="106">
        <v>38613.918573533898</v>
      </c>
      <c r="AR36" s="106">
        <v>50.279935877405194</v>
      </c>
      <c r="AS36" s="106">
        <v>38252.97521552987</v>
      </c>
      <c r="AT36" s="106">
        <v>22.002764112559213</v>
      </c>
      <c r="AU36" s="106">
        <v>16739.702936835049</v>
      </c>
      <c r="AV36" s="106">
        <v>98</v>
      </c>
      <c r="AW36" s="106">
        <v>74558.399999999994</v>
      </c>
      <c r="AX36" s="106">
        <v>16.389148940562123</v>
      </c>
      <c r="AY36" s="106">
        <v>12468.864513979663</v>
      </c>
      <c r="AZ36" s="106">
        <v>86.224606138616608</v>
      </c>
      <c r="BA36" s="106">
        <v>65599.680350259514</v>
      </c>
      <c r="BB36" s="106">
        <v>55.508859548684597</v>
      </c>
      <c r="BC36" s="106">
        <v>42231.140344639236</v>
      </c>
      <c r="BD36" s="106">
        <v>65.384400431781145</v>
      </c>
      <c r="BE36" s="106">
        <v>49744.451848499091</v>
      </c>
      <c r="BF36" s="106">
        <v>42.907441364244676</v>
      </c>
      <c r="BG36" s="106">
        <v>32643.981389917346</v>
      </c>
      <c r="BH36" s="106">
        <v>76.27757898521152</v>
      </c>
      <c r="BI36" s="106">
        <v>58031.982091948921</v>
      </c>
      <c r="BJ36" s="106">
        <v>52.740197552322655</v>
      </c>
      <c r="BK36" s="106">
        <v>40124.742297807075</v>
      </c>
      <c r="BL36" s="106">
        <v>57.075904792920994</v>
      </c>
      <c r="BM36" s="106">
        <v>43423.348366454287</v>
      </c>
      <c r="BN36" s="106">
        <v>54.945445392173383</v>
      </c>
      <c r="BO36" s="106">
        <v>41802.494854365505</v>
      </c>
      <c r="BP36" s="106">
        <v>71.318482383452817</v>
      </c>
      <c r="BQ36" s="106">
        <v>54259.101397330902</v>
      </c>
      <c r="BR36" s="106">
        <v>7.8093545793095052</v>
      </c>
      <c r="BS36" s="106">
        <v>5941.3569639386715</v>
      </c>
      <c r="BT36" s="106">
        <v>55.752249806842656</v>
      </c>
      <c r="BU36" s="106">
        <v>42416.311653045886</v>
      </c>
      <c r="BV36" s="106">
        <v>60.997129990469851</v>
      </c>
      <c r="BW36" s="106">
        <v>46406.616496749462</v>
      </c>
      <c r="BX36" s="106">
        <v>63.330213471914703</v>
      </c>
      <c r="BY36" s="106">
        <v>48181.626409432705</v>
      </c>
      <c r="BZ36" s="106">
        <v>6.8092666089166487</v>
      </c>
      <c r="CA36" s="106">
        <v>5180.4900360637857</v>
      </c>
      <c r="CB36" s="106">
        <v>90</v>
      </c>
      <c r="CC36" s="106">
        <v>68472</v>
      </c>
      <c r="CD36" s="106">
        <v>97</v>
      </c>
      <c r="CE36" s="106">
        <v>73797.599999999991</v>
      </c>
      <c r="CF36" s="106">
        <v>51.058285268531641</v>
      </c>
      <c r="CG36" s="106">
        <v>38845.143432298872</v>
      </c>
      <c r="CH36" s="106">
        <v>51.077793493635077</v>
      </c>
      <c r="CI36" s="106">
        <v>38859.985289957564</v>
      </c>
      <c r="CJ36" s="106">
        <v>71.85884607315208</v>
      </c>
      <c r="CK36" s="106">
        <v>54670.210092454101</v>
      </c>
      <c r="CL36" s="106">
        <v>56</v>
      </c>
      <c r="CM36" s="106">
        <v>42604.799999999996</v>
      </c>
      <c r="CN36" s="106">
        <v>92.265904162354701</v>
      </c>
      <c r="CO36" s="106">
        <v>70195.899886719446</v>
      </c>
      <c r="CP36" s="106">
        <v>49.263501894668721</v>
      </c>
      <c r="CQ36" s="106">
        <v>37479.672241463959</v>
      </c>
      <c r="CR36" s="106">
        <v>9.0103986558678137</v>
      </c>
      <c r="CS36" s="106">
        <v>6855.1112973842319</v>
      </c>
      <c r="CT36" s="106">
        <v>21.349365039401206</v>
      </c>
      <c r="CU36" s="106">
        <v>16242.596921976437</v>
      </c>
    </row>
    <row r="37" spans="2:99" x14ac:dyDescent="0.2">
      <c r="B37" s="105" t="s">
        <v>128</v>
      </c>
      <c r="C37" s="105" t="s">
        <v>202</v>
      </c>
      <c r="D37" s="106">
        <v>0</v>
      </c>
      <c r="E37" s="106">
        <v>0</v>
      </c>
      <c r="F37" s="106">
        <v>0</v>
      </c>
      <c r="G37" s="106">
        <v>0</v>
      </c>
      <c r="H37" s="106">
        <v>32.636669041217402</v>
      </c>
      <c r="I37" s="106">
        <v>28080.590043063454</v>
      </c>
      <c r="J37" s="106">
        <v>5.6891878140889842</v>
      </c>
      <c r="K37" s="106">
        <v>4894.9771952421615</v>
      </c>
      <c r="L37" s="106">
        <v>85.387827681428504</v>
      </c>
      <c r="M37" s="106">
        <v>73467.686937101083</v>
      </c>
      <c r="N37" s="106">
        <v>9.5184254593711195</v>
      </c>
      <c r="O37" s="106">
        <v>8189.6532652429114</v>
      </c>
      <c r="P37" s="106">
        <v>33.361869048994883</v>
      </c>
      <c r="Q37" s="106">
        <v>28704.552129755197</v>
      </c>
      <c r="R37" s="106">
        <v>71.047702313699432</v>
      </c>
      <c r="S37" s="106">
        <v>61129.443070706991</v>
      </c>
      <c r="T37" s="106">
        <v>49.581868594244682</v>
      </c>
      <c r="U37" s="106">
        <v>42660.239738488126</v>
      </c>
      <c r="V37" s="106">
        <v>36.761033684655274</v>
      </c>
      <c r="W37" s="106">
        <v>31629.193382277397</v>
      </c>
      <c r="X37" s="106">
        <v>40.852801736799826</v>
      </c>
      <c r="Y37" s="106">
        <v>35149.750614342571</v>
      </c>
      <c r="Z37" s="106">
        <v>21.801840965027196</v>
      </c>
      <c r="AA37" s="106">
        <v>18758.303966309399</v>
      </c>
      <c r="AB37" s="106">
        <v>51.517755666114248</v>
      </c>
      <c r="AC37" s="106">
        <v>44325.876975124695</v>
      </c>
      <c r="AD37" s="106">
        <v>49.469861828925012</v>
      </c>
      <c r="AE37" s="106">
        <v>42563.869117607079</v>
      </c>
      <c r="AF37" s="106">
        <v>36.454384371667814</v>
      </c>
      <c r="AG37" s="106">
        <v>31365.352313382988</v>
      </c>
      <c r="AH37" s="106">
        <v>40.044923228608489</v>
      </c>
      <c r="AI37" s="106">
        <v>34454.651945894744</v>
      </c>
      <c r="AJ37" s="106">
        <v>29.958696633091918</v>
      </c>
      <c r="AK37" s="106">
        <v>25776.462583112287</v>
      </c>
      <c r="AL37" s="106">
        <v>39.059789602617876</v>
      </c>
      <c r="AM37" s="106">
        <v>33607.042974092423</v>
      </c>
      <c r="AN37" s="106">
        <v>49.736446823051843</v>
      </c>
      <c r="AO37" s="106">
        <v>42793.238846553802</v>
      </c>
      <c r="AP37" s="106">
        <v>35.410019966926399</v>
      </c>
      <c r="AQ37" s="106">
        <v>30466.781179543472</v>
      </c>
      <c r="AR37" s="106">
        <v>22.85451630791145</v>
      </c>
      <c r="AS37" s="106">
        <v>19664.02583132701</v>
      </c>
      <c r="AT37" s="106">
        <v>17.520719571111965</v>
      </c>
      <c r="AU37" s="106">
        <v>15074.827118984735</v>
      </c>
      <c r="AV37" s="106">
        <v>63</v>
      </c>
      <c r="AW37" s="106">
        <v>54205.2</v>
      </c>
      <c r="AX37" s="106">
        <v>8.1945744702810615</v>
      </c>
      <c r="AY37" s="106">
        <v>7050.6118742298249</v>
      </c>
      <c r="AZ37" s="106">
        <v>95.397436578894968</v>
      </c>
      <c r="BA37" s="106">
        <v>82079.95443248123</v>
      </c>
      <c r="BB37" s="106">
        <v>42.481270062768829</v>
      </c>
      <c r="BC37" s="106">
        <v>36550.884762006302</v>
      </c>
      <c r="BD37" s="106">
        <v>32.966924587452674</v>
      </c>
      <c r="BE37" s="106">
        <v>28364.74191504428</v>
      </c>
      <c r="BF37" s="106">
        <v>30.434347944406106</v>
      </c>
      <c r="BG37" s="106">
        <v>26185.712971367015</v>
      </c>
      <c r="BH37" s="106">
        <v>40.799635271159651</v>
      </c>
      <c r="BI37" s="106">
        <v>35104.006187305764</v>
      </c>
      <c r="BJ37" s="106">
        <v>28.102441031529594</v>
      </c>
      <c r="BK37" s="106">
        <v>24179.340263528062</v>
      </c>
      <c r="BL37" s="106">
        <v>33.601137499058332</v>
      </c>
      <c r="BM37" s="106">
        <v>28910.418704189789</v>
      </c>
      <c r="BN37" s="106">
        <v>38.31058577802915</v>
      </c>
      <c r="BO37" s="106">
        <v>32962.42800341628</v>
      </c>
      <c r="BP37" s="106">
        <v>34.160953746695881</v>
      </c>
      <c r="BQ37" s="106">
        <v>29392.084603657135</v>
      </c>
      <c r="BR37" s="106">
        <v>5.2478862772959873</v>
      </c>
      <c r="BS37" s="106">
        <v>4515.2813529854675</v>
      </c>
      <c r="BT37" s="106">
        <v>28.805329066868708</v>
      </c>
      <c r="BU37" s="106">
        <v>24784.105129133837</v>
      </c>
      <c r="BV37" s="106">
        <v>36.967957569981728</v>
      </c>
      <c r="BW37" s="106">
        <v>31807.230693212277</v>
      </c>
      <c r="BX37" s="106">
        <v>36.483709934907381</v>
      </c>
      <c r="BY37" s="106">
        <v>31390.584027994311</v>
      </c>
      <c r="BZ37" s="106">
        <v>6.4797859665497137</v>
      </c>
      <c r="CA37" s="106">
        <v>5575.207845619374</v>
      </c>
      <c r="CB37" s="106">
        <v>58</v>
      </c>
      <c r="CC37" s="106">
        <v>49903.199999999997</v>
      </c>
      <c r="CD37" s="106">
        <v>37</v>
      </c>
      <c r="CE37" s="106">
        <v>31834.799999999999</v>
      </c>
      <c r="CF37" s="106">
        <v>35.79948737218885</v>
      </c>
      <c r="CG37" s="106">
        <v>30801.878935031284</v>
      </c>
      <c r="CH37" s="106">
        <v>37.272984441301276</v>
      </c>
      <c r="CI37" s="106">
        <v>32069.675813295617</v>
      </c>
      <c r="CJ37" s="106">
        <v>33.534128167470968</v>
      </c>
      <c r="CK37" s="106">
        <v>28852.763875292021</v>
      </c>
      <c r="CL37" s="106">
        <v>39</v>
      </c>
      <c r="CM37" s="106">
        <v>33555.599999999999</v>
      </c>
      <c r="CN37" s="106">
        <v>46.971733028107849</v>
      </c>
      <c r="CO37" s="106">
        <v>40414.479097383992</v>
      </c>
      <c r="CP37" s="106">
        <v>42.606271908902677</v>
      </c>
      <c r="CQ37" s="106">
        <v>36658.436350419863</v>
      </c>
      <c r="CR37" s="106">
        <v>5.0317810675625454</v>
      </c>
      <c r="CS37" s="106">
        <v>4329.344430530814</v>
      </c>
      <c r="CT37" s="106">
        <v>21.349365039401206</v>
      </c>
      <c r="CU37" s="106">
        <v>18368.993679900799</v>
      </c>
    </row>
    <row r="38" spans="2:99" x14ac:dyDescent="0.2">
      <c r="C38" s="105" t="s">
        <v>203</v>
      </c>
      <c r="D38" s="106">
        <v>0</v>
      </c>
      <c r="E38" s="106">
        <v>0</v>
      </c>
      <c r="F38" s="106">
        <v>0</v>
      </c>
      <c r="G38" s="106">
        <v>0</v>
      </c>
      <c r="H38" s="106">
        <v>33.109664244713308</v>
      </c>
      <c r="I38" s="106">
        <v>41122.202991933926</v>
      </c>
      <c r="J38" s="106">
        <v>4.7138984745308727</v>
      </c>
      <c r="K38" s="106">
        <v>5854.6619053673439</v>
      </c>
      <c r="L38" s="106">
        <v>72.533746094976891</v>
      </c>
      <c r="M38" s="106">
        <v>90086.912649961305</v>
      </c>
      <c r="N38" s="106">
        <v>9.1523321724722297</v>
      </c>
      <c r="O38" s="106">
        <v>11367.196558210509</v>
      </c>
      <c r="P38" s="106">
        <v>26.437707548260093</v>
      </c>
      <c r="Q38" s="106">
        <v>32835.632774939033</v>
      </c>
      <c r="R38" s="106">
        <v>65.719124640171984</v>
      </c>
      <c r="S38" s="106">
        <v>81623.152803093602</v>
      </c>
      <c r="T38" s="106">
        <v>49.581868594244682</v>
      </c>
      <c r="U38" s="106">
        <v>61580.680794051892</v>
      </c>
      <c r="V38" s="106">
        <v>35.365045063719002</v>
      </c>
      <c r="W38" s="106">
        <v>43923.385969139003</v>
      </c>
      <c r="X38" s="106">
        <v>38.376874358811961</v>
      </c>
      <c r="Y38" s="106">
        <v>47664.077953644453</v>
      </c>
      <c r="Z38" s="106">
        <v>22.673914603628283</v>
      </c>
      <c r="AA38" s="106">
        <v>28161.001937706329</v>
      </c>
      <c r="AB38" s="106">
        <v>42.635383999542825</v>
      </c>
      <c r="AC38" s="106">
        <v>52953.146927432186</v>
      </c>
      <c r="AD38" s="106">
        <v>47.386920278233433</v>
      </c>
      <c r="AE38" s="106">
        <v>58854.554985565926</v>
      </c>
      <c r="AF38" s="106">
        <v>32.129287920791974</v>
      </c>
      <c r="AG38" s="106">
        <v>39904.575597623632</v>
      </c>
      <c r="AH38" s="106">
        <v>37.404598620128809</v>
      </c>
      <c r="AI38" s="106">
        <v>46456.511486199983</v>
      </c>
      <c r="AJ38" s="106">
        <v>27.283813005137283</v>
      </c>
      <c r="AK38" s="106">
        <v>33886.495752380506</v>
      </c>
      <c r="AL38" s="106">
        <v>35.462177402376753</v>
      </c>
      <c r="AM38" s="106">
        <v>44044.024333751928</v>
      </c>
      <c r="AN38" s="106">
        <v>40.031774272212459</v>
      </c>
      <c r="AO38" s="106">
        <v>49719.463646087876</v>
      </c>
      <c r="AP38" s="106">
        <v>33.836241301729672</v>
      </c>
      <c r="AQ38" s="106">
        <v>42024.611696748252</v>
      </c>
      <c r="AR38" s="106">
        <v>22.85451630791145</v>
      </c>
      <c r="AS38" s="106">
        <v>28385.309254426022</v>
      </c>
      <c r="AT38" s="106">
        <v>14.464780111034298</v>
      </c>
      <c r="AU38" s="106">
        <v>17965.256897904597</v>
      </c>
      <c r="AV38" s="106">
        <v>58</v>
      </c>
      <c r="AW38" s="106">
        <v>72036</v>
      </c>
      <c r="AX38" s="106">
        <v>7.2305068855421135</v>
      </c>
      <c r="AY38" s="106">
        <v>8980.2895518433052</v>
      </c>
      <c r="AZ38" s="106">
        <v>76.134492654310407</v>
      </c>
      <c r="BA38" s="106">
        <v>94559.039876653522</v>
      </c>
      <c r="BB38" s="106">
        <v>40.215602326087826</v>
      </c>
      <c r="BC38" s="106">
        <v>49947.778089001076</v>
      </c>
      <c r="BD38" s="106">
        <v>26.373539669962138</v>
      </c>
      <c r="BE38" s="106">
        <v>32755.936270092974</v>
      </c>
      <c r="BF38" s="106">
        <v>29.43650047081902</v>
      </c>
      <c r="BG38" s="106">
        <v>36560.133584757219</v>
      </c>
      <c r="BH38" s="106">
        <v>35.477943714051868</v>
      </c>
      <c r="BI38" s="106">
        <v>44063.606092852417</v>
      </c>
      <c r="BJ38" s="106">
        <v>21.943001901331325</v>
      </c>
      <c r="BK38" s="106">
        <v>27253.208361453504</v>
      </c>
      <c r="BL38" s="106">
        <v>27.157083732115634</v>
      </c>
      <c r="BM38" s="106">
        <v>33729.097995287615</v>
      </c>
      <c r="BN38" s="106">
        <v>35.790152503158808</v>
      </c>
      <c r="BO38" s="106">
        <v>44451.369408923238</v>
      </c>
      <c r="BP38" s="106">
        <v>34.760268724708098</v>
      </c>
      <c r="BQ38" s="106">
        <v>43172.253756087455</v>
      </c>
      <c r="BR38" s="106">
        <v>4.4981882376822746</v>
      </c>
      <c r="BS38" s="106">
        <v>5586.7497912013851</v>
      </c>
      <c r="BT38" s="106">
        <v>29.269931148592395</v>
      </c>
      <c r="BU38" s="106">
        <v>36353.254486551756</v>
      </c>
      <c r="BV38" s="106">
        <v>30.806631308318103</v>
      </c>
      <c r="BW38" s="106">
        <v>38261.836084931085</v>
      </c>
      <c r="BX38" s="106">
        <v>36.483709934907381</v>
      </c>
      <c r="BY38" s="106">
        <v>45312.767739154966</v>
      </c>
      <c r="BZ38" s="106">
        <v>6.2601322049717574</v>
      </c>
      <c r="CA38" s="106">
        <v>7775.084198574923</v>
      </c>
      <c r="CB38" s="106">
        <v>52</v>
      </c>
      <c r="CC38" s="106">
        <v>64584</v>
      </c>
      <c r="CD38" s="106">
        <v>37</v>
      </c>
      <c r="CE38" s="106">
        <v>45954</v>
      </c>
      <c r="CF38" s="106">
        <v>35.212610530021827</v>
      </c>
      <c r="CG38" s="106">
        <v>43734.062278287107</v>
      </c>
      <c r="CH38" s="106">
        <v>34.512022630834508</v>
      </c>
      <c r="CI38" s="106">
        <v>42863.932107496461</v>
      </c>
      <c r="CJ38" s="106">
        <v>31.481018279666625</v>
      </c>
      <c r="CK38" s="106">
        <v>39099.424703345947</v>
      </c>
      <c r="CL38" s="106">
        <v>40</v>
      </c>
      <c r="CM38" s="106">
        <v>49680</v>
      </c>
      <c r="CN38" s="106">
        <v>41.939047346524866</v>
      </c>
      <c r="CO38" s="106">
        <v>52088.296804383885</v>
      </c>
      <c r="CP38" s="106">
        <v>40.38719524698066</v>
      </c>
      <c r="CQ38" s="106">
        <v>50160.896496749978</v>
      </c>
      <c r="CR38" s="106">
        <v>4.6807265744767861</v>
      </c>
      <c r="CS38" s="106">
        <v>5813.4624055001686</v>
      </c>
      <c r="CT38" s="106">
        <v>18.953007739060254</v>
      </c>
      <c r="CU38" s="106">
        <v>23539.635611912836</v>
      </c>
    </row>
    <row r="39" spans="2:99" x14ac:dyDescent="0.2">
      <c r="C39" s="105" t="s">
        <v>204</v>
      </c>
      <c r="D39" s="106">
        <v>0</v>
      </c>
      <c r="E39" s="106">
        <v>0</v>
      </c>
      <c r="F39" s="106">
        <v>0</v>
      </c>
      <c r="G39" s="106">
        <v>0</v>
      </c>
      <c r="H39" s="106">
        <v>34.528649855201024</v>
      </c>
      <c r="I39" s="106">
        <v>49141.174473922103</v>
      </c>
      <c r="J39" s="106">
        <v>4.7138984745308727</v>
      </c>
      <c r="K39" s="106">
        <v>6708.8203089523386</v>
      </c>
      <c r="L39" s="106">
        <v>77.124489518709609</v>
      </c>
      <c r="M39" s="106">
        <v>109763.57348302752</v>
      </c>
      <c r="N39" s="106">
        <v>9.7624876506370466</v>
      </c>
      <c r="O39" s="106">
        <v>13893.972424386646</v>
      </c>
      <c r="P39" s="106">
        <v>28.326115230278671</v>
      </c>
      <c r="Q39" s="106">
        <v>40313.727195732608</v>
      </c>
      <c r="R39" s="106">
        <v>62.166739524487006</v>
      </c>
      <c r="S39" s="106">
        <v>88475.703691249917</v>
      </c>
      <c r="T39" s="106">
        <v>45.074425994767893</v>
      </c>
      <c r="U39" s="106">
        <v>64149.923075753664</v>
      </c>
      <c r="V39" s="106">
        <v>39.087681386215735</v>
      </c>
      <c r="W39" s="106">
        <v>55629.588148862233</v>
      </c>
      <c r="X39" s="106">
        <v>34.044001447333187</v>
      </c>
      <c r="Y39" s="106">
        <v>48451.422859844592</v>
      </c>
      <c r="Z39" s="106">
        <v>20.929767326426109</v>
      </c>
      <c r="AA39" s="106">
        <v>29787.24485896964</v>
      </c>
      <c r="AB39" s="106">
        <v>43.22754211064759</v>
      </c>
      <c r="AC39" s="106">
        <v>61521.437931873654</v>
      </c>
      <c r="AD39" s="106">
        <v>44.26250795219606</v>
      </c>
      <c r="AE39" s="106">
        <v>62994.401317565433</v>
      </c>
      <c r="AF39" s="106">
        <v>30.275675156130895</v>
      </c>
      <c r="AG39" s="106">
        <v>43088.340882205492</v>
      </c>
      <c r="AH39" s="106">
        <v>33.444111707409292</v>
      </c>
      <c r="AI39" s="106">
        <v>47597.659781984905</v>
      </c>
      <c r="AJ39" s="106">
        <v>25.143906102773578</v>
      </c>
      <c r="AK39" s="106">
        <v>35784.807165467355</v>
      </c>
      <c r="AL39" s="106">
        <v>33.920343602273419</v>
      </c>
      <c r="AM39" s="106">
        <v>48275.43301475553</v>
      </c>
      <c r="AN39" s="106">
        <v>42.457942409922303</v>
      </c>
      <c r="AO39" s="106">
        <v>60426.143637801426</v>
      </c>
      <c r="AP39" s="106">
        <v>30.295239305037033</v>
      </c>
      <c r="AQ39" s="106">
        <v>43116.184578928704</v>
      </c>
      <c r="AR39" s="106">
        <v>21.483245329436762</v>
      </c>
      <c r="AS39" s="106">
        <v>30574.954752854403</v>
      </c>
      <c r="AT39" s="106">
        <v>13.853592219018765</v>
      </c>
      <c r="AU39" s="106">
        <v>19716.432446107508</v>
      </c>
      <c r="AV39" s="106">
        <v>54</v>
      </c>
      <c r="AW39" s="106">
        <v>76852.800000000003</v>
      </c>
      <c r="AX39" s="106">
        <v>7.5518627471217625</v>
      </c>
      <c r="AY39" s="106">
        <v>10747.811061703693</v>
      </c>
      <c r="AZ39" s="106">
        <v>79.803624830421768</v>
      </c>
      <c r="BA39" s="106">
        <v>113576.51885865626</v>
      </c>
      <c r="BB39" s="106">
        <v>41.348436194428331</v>
      </c>
      <c r="BC39" s="106">
        <v>58847.094391910403</v>
      </c>
      <c r="BD39" s="106">
        <v>28.571334642458986</v>
      </c>
      <c r="BE39" s="106">
        <v>40662.723463147631</v>
      </c>
      <c r="BF39" s="106">
        <v>27.440805523644851</v>
      </c>
      <c r="BG39" s="106">
        <v>39053.754421251353</v>
      </c>
      <c r="BH39" s="106">
        <v>30.747551218844951</v>
      </c>
      <c r="BI39" s="106">
        <v>43759.914894660134</v>
      </c>
      <c r="BJ39" s="106">
        <v>23.097896738243499</v>
      </c>
      <c r="BK39" s="106">
        <v>32872.92663786815</v>
      </c>
      <c r="BL39" s="106">
        <v>30.379110615586981</v>
      </c>
      <c r="BM39" s="106">
        <v>43235.550228103391</v>
      </c>
      <c r="BN39" s="106">
        <v>30.24519929844406</v>
      </c>
      <c r="BO39" s="106">
        <v>43044.967641545591</v>
      </c>
      <c r="BP39" s="106">
        <v>30.565063878622635</v>
      </c>
      <c r="BQ39" s="106">
        <v>43500.198912055734</v>
      </c>
      <c r="BR39" s="106">
        <v>4.7480875842201788</v>
      </c>
      <c r="BS39" s="106">
        <v>6757.4782498621589</v>
      </c>
      <c r="BT39" s="106">
        <v>29.734533230316082</v>
      </c>
      <c r="BU39" s="106">
        <v>42318.187693385851</v>
      </c>
      <c r="BV39" s="106">
        <v>28.958233429819018</v>
      </c>
      <c r="BW39" s="106">
        <v>41213.357817318429</v>
      </c>
      <c r="BX39" s="106">
        <v>33.041850507085933</v>
      </c>
      <c r="BY39" s="106">
        <v>47025.161641684703</v>
      </c>
      <c r="BZ39" s="106">
        <v>5.6011709202378883</v>
      </c>
      <c r="CA39" s="106">
        <v>7971.5864536825629</v>
      </c>
      <c r="CB39" s="106">
        <v>45</v>
      </c>
      <c r="CC39" s="106">
        <v>64044</v>
      </c>
      <c r="CD39" s="106">
        <v>35</v>
      </c>
      <c r="CE39" s="106">
        <v>49812</v>
      </c>
      <c r="CF39" s="106">
        <v>30.517595792685579</v>
      </c>
      <c r="CG39" s="106">
        <v>43432.642332150121</v>
      </c>
      <c r="CH39" s="106">
        <v>33.131541725601132</v>
      </c>
      <c r="CI39" s="106">
        <v>47152.810183875532</v>
      </c>
      <c r="CJ39" s="106">
        <v>28.059168466659383</v>
      </c>
      <c r="CK39" s="106">
        <v>39933.808561749633</v>
      </c>
      <c r="CL39" s="106">
        <v>36</v>
      </c>
      <c r="CM39" s="106">
        <v>51235.200000000004</v>
      </c>
      <c r="CN39" s="106">
        <v>37.745142611872382</v>
      </c>
      <c r="CO39" s="106">
        <v>53718.886965216778</v>
      </c>
      <c r="CP39" s="106">
        <v>38.16811858505865</v>
      </c>
      <c r="CQ39" s="106">
        <v>54320.86637025547</v>
      </c>
      <c r="CR39" s="106">
        <v>4.1541448348481476</v>
      </c>
      <c r="CS39" s="106">
        <v>5912.1789289558837</v>
      </c>
      <c r="CT39" s="106">
        <v>18.735157075392895</v>
      </c>
      <c r="CU39" s="106">
        <v>26663.875549699169</v>
      </c>
    </row>
    <row r="40" spans="2:99" x14ac:dyDescent="0.2">
      <c r="C40" s="105" t="s">
        <v>205</v>
      </c>
      <c r="D40" s="106">
        <v>0</v>
      </c>
      <c r="E40" s="106">
        <v>0</v>
      </c>
      <c r="F40" s="106">
        <v>0</v>
      </c>
      <c r="G40" s="106">
        <v>0</v>
      </c>
      <c r="H40" s="106">
        <v>35.947635465688734</v>
      </c>
      <c r="I40" s="106">
        <v>26054.846185531194</v>
      </c>
      <c r="J40" s="106">
        <v>5.2015431443099285</v>
      </c>
      <c r="K40" s="106">
        <v>3770.0784709958361</v>
      </c>
      <c r="L40" s="106">
        <v>88.142273735668127</v>
      </c>
      <c r="M40" s="106">
        <v>63885.520003612255</v>
      </c>
      <c r="N40" s="106">
        <v>10.860767511333712</v>
      </c>
      <c r="O40" s="106">
        <v>7871.8842922146741</v>
      </c>
      <c r="P40" s="106">
        <v>33.99133827633441</v>
      </c>
      <c r="Q40" s="106">
        <v>24636.921982687178</v>
      </c>
      <c r="R40" s="106">
        <v>71.047702313699432</v>
      </c>
      <c r="S40" s="106">
        <v>51495.374636969347</v>
      </c>
      <c r="T40" s="106">
        <v>52.399020218917677</v>
      </c>
      <c r="U40" s="106">
        <v>37978.809854671526</v>
      </c>
      <c r="V40" s="106">
        <v>43.275647249024573</v>
      </c>
      <c r="W40" s="106">
        <v>31366.18912609301</v>
      </c>
      <c r="X40" s="106">
        <v>44.566692803781628</v>
      </c>
      <c r="Y40" s="106">
        <v>32301.938944180922</v>
      </c>
      <c r="Z40" s="106">
        <v>21.801840965027196</v>
      </c>
      <c r="AA40" s="106">
        <v>15801.974331451711</v>
      </c>
      <c r="AB40" s="106">
        <v>52.10991377721902</v>
      </c>
      <c r="AC40" s="106">
        <v>37769.265505728341</v>
      </c>
      <c r="AD40" s="106">
        <v>51.032067991943698</v>
      </c>
      <c r="AE40" s="106">
        <v>36988.042880560788</v>
      </c>
      <c r="AF40" s="106">
        <v>34.600771607006742</v>
      </c>
      <c r="AG40" s="106">
        <v>25078.639260758486</v>
      </c>
      <c r="AH40" s="106">
        <v>37.844652721542097</v>
      </c>
      <c r="AI40" s="106">
        <v>27429.80429257371</v>
      </c>
      <c r="AJ40" s="106">
        <v>27.283813005137283</v>
      </c>
      <c r="AK40" s="106">
        <v>19775.307666123503</v>
      </c>
      <c r="AL40" s="106">
        <v>38.031900402548985</v>
      </c>
      <c r="AM40" s="106">
        <v>27565.521411767502</v>
      </c>
      <c r="AN40" s="106">
        <v>46.097194616487073</v>
      </c>
      <c r="AO40" s="106">
        <v>33411.246658029828</v>
      </c>
      <c r="AP40" s="106">
        <v>34.229685968028853</v>
      </c>
      <c r="AQ40" s="106">
        <v>24809.676389627311</v>
      </c>
      <c r="AR40" s="106">
        <v>24.225787286386137</v>
      </c>
      <c r="AS40" s="106">
        <v>17558.850625172672</v>
      </c>
      <c r="AT40" s="106">
        <v>15.279697300388342</v>
      </c>
      <c r="AU40" s="106">
        <v>11074.724603321471</v>
      </c>
      <c r="AV40" s="106">
        <v>70</v>
      </c>
      <c r="AW40" s="106">
        <v>50736</v>
      </c>
      <c r="AX40" s="106">
        <v>8.8372861934403595</v>
      </c>
      <c r="AY40" s="106">
        <v>6405.2650330055721</v>
      </c>
      <c r="AZ40" s="106">
        <v>89.893738314727955</v>
      </c>
      <c r="BA40" s="106">
        <v>65154.981530514815</v>
      </c>
      <c r="BB40" s="106">
        <v>45.313354733620088</v>
      </c>
      <c r="BC40" s="106">
        <v>32843.119510927834</v>
      </c>
      <c r="BD40" s="106">
        <v>29.670232128707408</v>
      </c>
      <c r="BE40" s="106">
        <v>21504.984246887128</v>
      </c>
      <c r="BF40" s="106">
        <v>36.920356522722159</v>
      </c>
      <c r="BG40" s="106">
        <v>26759.87440766902</v>
      </c>
      <c r="BH40" s="106">
        <v>41.982233394961376</v>
      </c>
      <c r="BI40" s="106">
        <v>30428.722764668004</v>
      </c>
      <c r="BJ40" s="106">
        <v>24.637756520793069</v>
      </c>
      <c r="BK40" s="106">
        <v>17857.445926270815</v>
      </c>
      <c r="BL40" s="106">
        <v>29.458531506023739</v>
      </c>
      <c r="BM40" s="106">
        <v>21351.543635566006</v>
      </c>
      <c r="BN40" s="106">
        <v>35.286065848184741</v>
      </c>
      <c r="BO40" s="106">
        <v>25575.340526764299</v>
      </c>
      <c r="BP40" s="106">
        <v>38.955473570793551</v>
      </c>
      <c r="BQ40" s="106">
        <v>28234.927244111164</v>
      </c>
      <c r="BR40" s="106">
        <v>4.6231379109512272</v>
      </c>
      <c r="BS40" s="106">
        <v>3350.8503578574491</v>
      </c>
      <c r="BT40" s="106">
        <v>29.269931148592395</v>
      </c>
      <c r="BU40" s="106">
        <v>21214.846096499765</v>
      </c>
      <c r="BV40" s="106">
        <v>36.967957569981728</v>
      </c>
      <c r="BW40" s="106">
        <v>26794.375646722754</v>
      </c>
      <c r="BX40" s="106">
        <v>41.990685019421704</v>
      </c>
      <c r="BY40" s="106">
        <v>30434.848502076849</v>
      </c>
      <c r="BZ40" s="106">
        <v>6.4797859665497137</v>
      </c>
      <c r="CA40" s="106">
        <v>4696.5488685552318</v>
      </c>
      <c r="CB40" s="106">
        <v>51</v>
      </c>
      <c r="CC40" s="106">
        <v>36964.799999999996</v>
      </c>
      <c r="CD40" s="106">
        <v>36</v>
      </c>
      <c r="CE40" s="106">
        <v>26092.799999999999</v>
      </c>
      <c r="CF40" s="106">
        <v>35.79948737218885</v>
      </c>
      <c r="CG40" s="106">
        <v>25947.468447362477</v>
      </c>
      <c r="CH40" s="106">
        <v>32.44130127298444</v>
      </c>
      <c r="CI40" s="106">
        <v>23513.45516265912</v>
      </c>
      <c r="CJ40" s="106">
        <v>35.587238055275314</v>
      </c>
      <c r="CK40" s="106">
        <v>25793.630142463546</v>
      </c>
      <c r="CL40" s="106">
        <v>43</v>
      </c>
      <c r="CM40" s="106">
        <v>31166.399999999998</v>
      </c>
      <c r="CN40" s="106">
        <v>41.939047346524866</v>
      </c>
      <c r="CO40" s="106">
        <v>30397.42151676122</v>
      </c>
      <c r="CP40" s="106">
        <v>44.825348570824694</v>
      </c>
      <c r="CQ40" s="106">
        <v>32489.412644133736</v>
      </c>
      <c r="CR40" s="106">
        <v>4.9732719853815857</v>
      </c>
      <c r="CS40" s="106">
        <v>3604.627535004573</v>
      </c>
      <c r="CT40" s="106">
        <v>21.131514375733847</v>
      </c>
      <c r="CU40" s="106">
        <v>15316.121619531892</v>
      </c>
    </row>
    <row r="41" spans="2:99" x14ac:dyDescent="0.2">
      <c r="C41" s="105" t="s">
        <v>206</v>
      </c>
      <c r="D41" s="106">
        <v>0</v>
      </c>
      <c r="E41" s="106">
        <v>0</v>
      </c>
      <c r="F41" s="106">
        <v>0</v>
      </c>
      <c r="G41" s="106">
        <v>0</v>
      </c>
      <c r="H41" s="106">
        <v>39.258601890160065</v>
      </c>
      <c r="I41" s="106">
        <v>25910.677247505642</v>
      </c>
      <c r="J41" s="106">
        <v>6.0142842606083544</v>
      </c>
      <c r="K41" s="106">
        <v>3969.4276120015138</v>
      </c>
      <c r="L41" s="106">
        <v>82.633381627188854</v>
      </c>
      <c r="M41" s="106">
        <v>54538.031873944645</v>
      </c>
      <c r="N41" s="106">
        <v>10.982798606966677</v>
      </c>
      <c r="O41" s="106">
        <v>7248.6470805980071</v>
      </c>
      <c r="P41" s="106">
        <v>29.585053684957725</v>
      </c>
      <c r="Q41" s="106">
        <v>19526.135432072097</v>
      </c>
      <c r="R41" s="106">
        <v>69.271509755856954</v>
      </c>
      <c r="S41" s="106">
        <v>45719.196438865591</v>
      </c>
      <c r="T41" s="106">
        <v>55.779602168525273</v>
      </c>
      <c r="U41" s="106">
        <v>36814.537431226679</v>
      </c>
      <c r="V41" s="106">
        <v>40.483670007152014</v>
      </c>
      <c r="W41" s="106">
        <v>26719.222204720329</v>
      </c>
      <c r="X41" s="106">
        <v>40.852801736799826</v>
      </c>
      <c r="Y41" s="106">
        <v>26962.849146287885</v>
      </c>
      <c r="Z41" s="106">
        <v>22.23787778432774</v>
      </c>
      <c r="AA41" s="106">
        <v>14676.999337656309</v>
      </c>
      <c r="AB41" s="106">
        <v>56.255020554952338</v>
      </c>
      <c r="AC41" s="106">
        <v>37128.313566268545</v>
      </c>
      <c r="AD41" s="106">
        <v>47.907655665906333</v>
      </c>
      <c r="AE41" s="106">
        <v>31619.05273949818</v>
      </c>
      <c r="AF41" s="106">
        <v>37.690126214775198</v>
      </c>
      <c r="AG41" s="106">
        <v>24875.483301751632</v>
      </c>
      <c r="AH41" s="106">
        <v>37.844652721542097</v>
      </c>
      <c r="AI41" s="106">
        <v>24977.470796217785</v>
      </c>
      <c r="AJ41" s="106">
        <v>31.563626809864701</v>
      </c>
      <c r="AK41" s="106">
        <v>20831.993694510704</v>
      </c>
      <c r="AL41" s="106">
        <v>42.14345720282455</v>
      </c>
      <c r="AM41" s="106">
        <v>27814.681753864203</v>
      </c>
      <c r="AN41" s="106">
        <v>46.703736650914536</v>
      </c>
      <c r="AO41" s="106">
        <v>30824.466189603594</v>
      </c>
      <c r="AP41" s="106">
        <v>33.836241301729672</v>
      </c>
      <c r="AQ41" s="106">
        <v>22331.919259141585</v>
      </c>
      <c r="AR41" s="106">
        <v>24.682877612544367</v>
      </c>
      <c r="AS41" s="106">
        <v>16290.699224279282</v>
      </c>
      <c r="AT41" s="106">
        <v>15.07596800304983</v>
      </c>
      <c r="AU41" s="106">
        <v>9950.1388820128886</v>
      </c>
      <c r="AV41" s="106">
        <v>71</v>
      </c>
      <c r="AW41" s="106">
        <v>46860</v>
      </c>
      <c r="AX41" s="106">
        <v>7.7125406779115879</v>
      </c>
      <c r="AY41" s="106">
        <v>5090.2768474216482</v>
      </c>
      <c r="AZ41" s="106">
        <v>91.728304402783635</v>
      </c>
      <c r="BA41" s="106">
        <v>60540.680905837202</v>
      </c>
      <c r="BB41" s="106">
        <v>48.14543940447134</v>
      </c>
      <c r="BC41" s="106">
        <v>31775.990006951084</v>
      </c>
      <c r="BD41" s="106">
        <v>30.219680871831617</v>
      </c>
      <c r="BE41" s="106">
        <v>19944.989375408866</v>
      </c>
      <c r="BF41" s="106">
        <v>31.432195417993192</v>
      </c>
      <c r="BG41" s="106">
        <v>20745.248975875507</v>
      </c>
      <c r="BH41" s="106">
        <v>41.982233394961376</v>
      </c>
      <c r="BI41" s="106">
        <v>27708.274040674507</v>
      </c>
      <c r="BJ41" s="106">
        <v>26.177616303342635</v>
      </c>
      <c r="BK41" s="106">
        <v>17277.22676020614</v>
      </c>
      <c r="BL41" s="106">
        <v>33.140847944276707</v>
      </c>
      <c r="BM41" s="106">
        <v>21872.959643222628</v>
      </c>
      <c r="BN41" s="106">
        <v>39.318759087977284</v>
      </c>
      <c r="BO41" s="106">
        <v>25950.380998065008</v>
      </c>
      <c r="BP41" s="106">
        <v>35.359583702720307</v>
      </c>
      <c r="BQ41" s="106">
        <v>23337.325243795403</v>
      </c>
      <c r="BR41" s="106">
        <v>5.1854114406615111</v>
      </c>
      <c r="BS41" s="106">
        <v>3422.3715508365972</v>
      </c>
      <c r="BT41" s="106">
        <v>33.451349884105596</v>
      </c>
      <c r="BU41" s="106">
        <v>22077.890923509694</v>
      </c>
      <c r="BV41" s="106">
        <v>40.048620700813537</v>
      </c>
      <c r="BW41" s="106">
        <v>26432.089662536935</v>
      </c>
      <c r="BX41" s="106">
        <v>37.172081820471675</v>
      </c>
      <c r="BY41" s="106">
        <v>24533.574001511304</v>
      </c>
      <c r="BZ41" s="106">
        <v>6.2601322049717574</v>
      </c>
      <c r="CA41" s="106">
        <v>4131.6872552813602</v>
      </c>
      <c r="CB41" s="106">
        <v>55</v>
      </c>
      <c r="CC41" s="106">
        <v>36300</v>
      </c>
      <c r="CD41" s="106">
        <v>44</v>
      </c>
      <c r="CE41" s="106">
        <v>29040</v>
      </c>
      <c r="CF41" s="106">
        <v>32.278226319186665</v>
      </c>
      <c r="CG41" s="106">
        <v>21303.629370663199</v>
      </c>
      <c r="CH41" s="106">
        <v>32.44130127298444</v>
      </c>
      <c r="CI41" s="106">
        <v>21411.258840169729</v>
      </c>
      <c r="CJ41" s="106">
        <v>30.796648317065173</v>
      </c>
      <c r="CK41" s="106">
        <v>20325.787889263014</v>
      </c>
      <c r="CL41" s="106">
        <v>37</v>
      </c>
      <c r="CM41" s="106">
        <v>24420</v>
      </c>
      <c r="CN41" s="106">
        <v>40.261485452663869</v>
      </c>
      <c r="CO41" s="106">
        <v>26572.580398758153</v>
      </c>
      <c r="CP41" s="106">
        <v>43.050087241287081</v>
      </c>
      <c r="CQ41" s="106">
        <v>28413.057579249475</v>
      </c>
      <c r="CR41" s="106">
        <v>5.0317810675625454</v>
      </c>
      <c r="CS41" s="106">
        <v>3320.9755045912798</v>
      </c>
      <c r="CT41" s="106">
        <v>20.042261057397052</v>
      </c>
      <c r="CU41" s="106">
        <v>13227.892297882054</v>
      </c>
    </row>
    <row r="42" spans="2:99" x14ac:dyDescent="0.2">
      <c r="C42" s="105" t="s">
        <v>207</v>
      </c>
      <c r="D42" s="106">
        <v>0</v>
      </c>
      <c r="E42" s="106">
        <v>0</v>
      </c>
      <c r="F42" s="106">
        <v>0</v>
      </c>
      <c r="G42" s="106">
        <v>0</v>
      </c>
      <c r="H42" s="106">
        <v>32.636669041217402</v>
      </c>
      <c r="I42" s="106">
        <v>27610.622008869923</v>
      </c>
      <c r="J42" s="106">
        <v>5.770461925718827</v>
      </c>
      <c r="K42" s="106">
        <v>4881.8107891581276</v>
      </c>
      <c r="L42" s="106">
        <v>78.960786888202691</v>
      </c>
      <c r="M42" s="106">
        <v>66800.82570741947</v>
      </c>
      <c r="N42" s="106">
        <v>10.006549841902972</v>
      </c>
      <c r="O42" s="106">
        <v>8465.5411662499137</v>
      </c>
      <c r="P42" s="106">
        <v>30.214522912297252</v>
      </c>
      <c r="Q42" s="106">
        <v>25561.486383803476</v>
      </c>
      <c r="R42" s="106">
        <v>76.376279987226894</v>
      </c>
      <c r="S42" s="106">
        <v>64614.332869193953</v>
      </c>
      <c r="T42" s="106">
        <v>59.160184118132854</v>
      </c>
      <c r="U42" s="106">
        <v>50049.515763940391</v>
      </c>
      <c r="V42" s="106">
        <v>40.948999547464105</v>
      </c>
      <c r="W42" s="106">
        <v>34642.853617154629</v>
      </c>
      <c r="X42" s="106">
        <v>39.614838047805897</v>
      </c>
      <c r="Y42" s="106">
        <v>33514.152988443791</v>
      </c>
      <c r="Z42" s="106">
        <v>25.290135519431551</v>
      </c>
      <c r="AA42" s="106">
        <v>21395.454649439092</v>
      </c>
      <c r="AB42" s="106">
        <v>46.188332666171398</v>
      </c>
      <c r="AC42" s="106">
        <v>39075.329435580999</v>
      </c>
      <c r="AD42" s="106">
        <v>53.635744930308171</v>
      </c>
      <c r="AE42" s="106">
        <v>45375.840211040711</v>
      </c>
      <c r="AF42" s="106">
        <v>32.747158842345662</v>
      </c>
      <c r="AG42" s="106">
        <v>27704.096380624429</v>
      </c>
      <c r="AH42" s="106">
        <v>40.484977330021771</v>
      </c>
      <c r="AI42" s="106">
        <v>34250.290821198418</v>
      </c>
      <c r="AJ42" s="106">
        <v>29.958696633091918</v>
      </c>
      <c r="AK42" s="106">
        <v>25345.057351595762</v>
      </c>
      <c r="AL42" s="106">
        <v>41.629512602790108</v>
      </c>
      <c r="AM42" s="106">
        <v>35218.567661960435</v>
      </c>
      <c r="AN42" s="106">
        <v>49.129904788624387</v>
      </c>
      <c r="AO42" s="106">
        <v>41563.899451176228</v>
      </c>
      <c r="AP42" s="106">
        <v>32.655907302832127</v>
      </c>
      <c r="AQ42" s="106">
        <v>27626.897578195978</v>
      </c>
      <c r="AR42" s="106">
        <v>21.026155003278536</v>
      </c>
      <c r="AS42" s="106">
        <v>17788.127132773643</v>
      </c>
      <c r="AT42" s="106">
        <v>15.687155895065363</v>
      </c>
      <c r="AU42" s="106">
        <v>13271.333887225297</v>
      </c>
      <c r="AV42" s="106">
        <v>60</v>
      </c>
      <c r="AW42" s="106">
        <v>50760</v>
      </c>
      <c r="AX42" s="106">
        <v>8.0338965394912361</v>
      </c>
      <c r="AY42" s="106">
        <v>6796.6764724095856</v>
      </c>
      <c r="AZ42" s="106">
        <v>86.224606138616608</v>
      </c>
      <c r="BA42" s="106">
        <v>72946.016793269649</v>
      </c>
      <c r="BB42" s="106">
        <v>43.614103931109334</v>
      </c>
      <c r="BC42" s="106">
        <v>36897.531925718496</v>
      </c>
      <c r="BD42" s="106">
        <v>27.47243715621056</v>
      </c>
      <c r="BE42" s="106">
        <v>23241.681834154133</v>
      </c>
      <c r="BF42" s="106">
        <v>30.434347944406106</v>
      </c>
      <c r="BG42" s="106">
        <v>25747.458360967565</v>
      </c>
      <c r="BH42" s="106">
        <v>34.886644652151006</v>
      </c>
      <c r="BI42" s="106">
        <v>29514.101375719751</v>
      </c>
      <c r="BJ42" s="106">
        <v>25.40768641206785</v>
      </c>
      <c r="BK42" s="106">
        <v>21494.902704609402</v>
      </c>
      <c r="BL42" s="106">
        <v>32.220268834713465</v>
      </c>
      <c r="BM42" s="106">
        <v>27258.34743416759</v>
      </c>
      <c r="BN42" s="106">
        <v>36.294239158132868</v>
      </c>
      <c r="BO42" s="106">
        <v>30704.926327780406</v>
      </c>
      <c r="BP42" s="106">
        <v>38.955473570793551</v>
      </c>
      <c r="BQ42" s="106">
        <v>32956.330640891341</v>
      </c>
      <c r="BR42" s="106">
        <v>5.3728359505649399</v>
      </c>
      <c r="BS42" s="106">
        <v>4545.4192141779395</v>
      </c>
      <c r="BT42" s="106">
        <v>27.411522821697641</v>
      </c>
      <c r="BU42" s="106">
        <v>23190.148307156203</v>
      </c>
      <c r="BV42" s="106">
        <v>32.655029186817188</v>
      </c>
      <c r="BW42" s="106">
        <v>27626.154692047341</v>
      </c>
      <c r="BX42" s="106">
        <v>41.990685019421704</v>
      </c>
      <c r="BY42" s="106">
        <v>35524.119526430761</v>
      </c>
      <c r="BZ42" s="106">
        <v>5.9306515626048224</v>
      </c>
      <c r="CA42" s="106">
        <v>5017.33122196368</v>
      </c>
      <c r="CB42" s="106">
        <v>53</v>
      </c>
      <c r="CC42" s="106">
        <v>44838</v>
      </c>
      <c r="CD42" s="106">
        <v>40</v>
      </c>
      <c r="CE42" s="106">
        <v>33840</v>
      </c>
      <c r="CF42" s="106">
        <v>32.865103161353701</v>
      </c>
      <c r="CG42" s="106">
        <v>27803.87727450523</v>
      </c>
      <c r="CH42" s="106">
        <v>35.2022630834512</v>
      </c>
      <c r="CI42" s="106">
        <v>29781.114568599714</v>
      </c>
      <c r="CJ42" s="106">
        <v>34.902868092673863</v>
      </c>
      <c r="CK42" s="106">
        <v>29527.826406402088</v>
      </c>
      <c r="CL42" s="106">
        <v>39</v>
      </c>
      <c r="CM42" s="106">
        <v>32994</v>
      </c>
      <c r="CN42" s="106">
        <v>45.294171134246852</v>
      </c>
      <c r="CO42" s="106">
        <v>38318.86877957284</v>
      </c>
      <c r="CP42" s="106">
        <v>39.49956458221186</v>
      </c>
      <c r="CQ42" s="106">
        <v>33416.631636551232</v>
      </c>
      <c r="CR42" s="106">
        <v>4.8562538210196662</v>
      </c>
      <c r="CS42" s="106">
        <v>4108.3907325826376</v>
      </c>
      <c r="CT42" s="106">
        <v>19.824410393729693</v>
      </c>
      <c r="CU42" s="106">
        <v>16771.451193095319</v>
      </c>
    </row>
    <row r="43" spans="2:99" x14ac:dyDescent="0.2">
      <c r="C43" s="105" t="s">
        <v>208</v>
      </c>
      <c r="D43" s="106">
        <v>0</v>
      </c>
      <c r="E43" s="106">
        <v>0</v>
      </c>
      <c r="F43" s="106">
        <v>0</v>
      </c>
      <c r="G43" s="106">
        <v>0</v>
      </c>
      <c r="H43" s="106">
        <v>30.744688227233784</v>
      </c>
      <c r="I43" s="106">
        <v>31433.369243523819</v>
      </c>
      <c r="J43" s="106">
        <v>5.0389949210502429</v>
      </c>
      <c r="K43" s="106">
        <v>5151.8684072817687</v>
      </c>
      <c r="L43" s="106">
        <v>69.779300040737269</v>
      </c>
      <c r="M43" s="106">
        <v>71342.356361649785</v>
      </c>
      <c r="N43" s="106">
        <v>10.738736415700751</v>
      </c>
      <c r="O43" s="106">
        <v>10979.284111412448</v>
      </c>
      <c r="P43" s="106">
        <v>27.696646002939147</v>
      </c>
      <c r="Q43" s="106">
        <v>28317.050873404984</v>
      </c>
      <c r="R43" s="106">
        <v>71.047702313699432</v>
      </c>
      <c r="S43" s="106">
        <v>72639.1708455263</v>
      </c>
      <c r="T43" s="106">
        <v>51.835589893983084</v>
      </c>
      <c r="U43" s="106">
        <v>52996.707107608301</v>
      </c>
      <c r="V43" s="106">
        <v>37.226363224967365</v>
      </c>
      <c r="W43" s="106">
        <v>38060.233761206633</v>
      </c>
      <c r="X43" s="106">
        <v>39.614838047805897</v>
      </c>
      <c r="Y43" s="106">
        <v>40502.21042007675</v>
      </c>
      <c r="Z43" s="106">
        <v>24.418061880830457</v>
      </c>
      <c r="AA43" s="106">
        <v>24965.026466961059</v>
      </c>
      <c r="AB43" s="106">
        <v>49.741281332799964</v>
      </c>
      <c r="AC43" s="106">
        <v>50855.486034654685</v>
      </c>
      <c r="AD43" s="106">
        <v>47.907655665906333</v>
      </c>
      <c r="AE43" s="106">
        <v>48980.787152822631</v>
      </c>
      <c r="AF43" s="106">
        <v>34.600771607006742</v>
      </c>
      <c r="AG43" s="106">
        <v>35375.828891003694</v>
      </c>
      <c r="AH43" s="106">
        <v>36.524490417302253</v>
      </c>
      <c r="AI43" s="106">
        <v>37342.639002649827</v>
      </c>
      <c r="AJ43" s="106">
        <v>26.748836279546357</v>
      </c>
      <c r="AK43" s="106">
        <v>27348.010212208195</v>
      </c>
      <c r="AL43" s="106">
        <v>37.004011202480093</v>
      </c>
      <c r="AM43" s="106">
        <v>37832.901053415648</v>
      </c>
      <c r="AN43" s="106">
        <v>44.277568513204692</v>
      </c>
      <c r="AO43" s="106">
        <v>45269.386047900472</v>
      </c>
      <c r="AP43" s="106">
        <v>31.869017970233763</v>
      </c>
      <c r="AQ43" s="106">
        <v>32582.883972766998</v>
      </c>
      <c r="AR43" s="106">
        <v>23.31160663406968</v>
      </c>
      <c r="AS43" s="106">
        <v>23833.78662267284</v>
      </c>
      <c r="AT43" s="106">
        <v>16.70580238175792</v>
      </c>
      <c r="AU43" s="106">
        <v>17080.012355109298</v>
      </c>
      <c r="AV43" s="106">
        <v>61</v>
      </c>
      <c r="AW43" s="106">
        <v>62366.400000000001</v>
      </c>
      <c r="AX43" s="106">
        <v>7.5518627471217625</v>
      </c>
      <c r="AY43" s="106">
        <v>7721.0244726572901</v>
      </c>
      <c r="AZ43" s="106">
        <v>82.555473962505275</v>
      </c>
      <c r="BA43" s="106">
        <v>84404.716579265398</v>
      </c>
      <c r="BB43" s="106">
        <v>44.746937799449832</v>
      </c>
      <c r="BC43" s="106">
        <v>45749.269206157507</v>
      </c>
      <c r="BD43" s="106">
        <v>28.021885899334773</v>
      </c>
      <c r="BE43" s="106">
        <v>28649.57614347987</v>
      </c>
      <c r="BF43" s="106">
        <v>31.931119154786739</v>
      </c>
      <c r="BG43" s="106">
        <v>32646.37622385396</v>
      </c>
      <c r="BH43" s="106">
        <v>38.434439023556187</v>
      </c>
      <c r="BI43" s="106">
        <v>39295.370457683843</v>
      </c>
      <c r="BJ43" s="106">
        <v>23.867826629518284</v>
      </c>
      <c r="BK43" s="106">
        <v>24402.465946019493</v>
      </c>
      <c r="BL43" s="106">
        <v>30.379110615586981</v>
      </c>
      <c r="BM43" s="106">
        <v>31059.602693376128</v>
      </c>
      <c r="BN43" s="106">
        <v>31.757459263366265</v>
      </c>
      <c r="BO43" s="106">
        <v>32468.826350865667</v>
      </c>
      <c r="BP43" s="106">
        <v>37.756843614769139</v>
      </c>
      <c r="BQ43" s="106">
        <v>38602.596911739965</v>
      </c>
      <c r="BR43" s="106">
        <v>4.4357134010477992</v>
      </c>
      <c r="BS43" s="106">
        <v>4535.0733812312701</v>
      </c>
      <c r="BT43" s="106">
        <v>30.199135312039775</v>
      </c>
      <c r="BU43" s="106">
        <v>30875.595943029464</v>
      </c>
      <c r="BV43" s="106">
        <v>36.967957569981728</v>
      </c>
      <c r="BW43" s="106">
        <v>37796.039819549318</v>
      </c>
      <c r="BX43" s="106">
        <v>35.795338049343094</v>
      </c>
      <c r="BY43" s="106">
        <v>36597.15362164838</v>
      </c>
      <c r="BZ43" s="106">
        <v>6.1503053241827788</v>
      </c>
      <c r="CA43" s="106">
        <v>6288.0721634444726</v>
      </c>
      <c r="CB43" s="106">
        <v>55</v>
      </c>
      <c r="CC43" s="106">
        <v>56232</v>
      </c>
      <c r="CD43" s="106">
        <v>38</v>
      </c>
      <c r="CE43" s="106">
        <v>38851.199999999997</v>
      </c>
      <c r="CF43" s="106">
        <v>35.212610530021827</v>
      </c>
      <c r="CG43" s="106">
        <v>36001.373005894318</v>
      </c>
      <c r="CH43" s="106">
        <v>31.060820367751063</v>
      </c>
      <c r="CI43" s="106">
        <v>31756.582743988685</v>
      </c>
      <c r="CJ43" s="106">
        <v>34.218498130072419</v>
      </c>
      <c r="CK43" s="106">
        <v>34984.992488186042</v>
      </c>
      <c r="CL43" s="106">
        <v>36</v>
      </c>
      <c r="CM43" s="106">
        <v>36806.400000000001</v>
      </c>
      <c r="CN43" s="106">
        <v>41.100266399594368</v>
      </c>
      <c r="CO43" s="106">
        <v>42020.912366945282</v>
      </c>
      <c r="CP43" s="106">
        <v>41.71864124413387</v>
      </c>
      <c r="CQ43" s="106">
        <v>42653.13880800247</v>
      </c>
      <c r="CR43" s="106">
        <v>4.6807265744767861</v>
      </c>
      <c r="CS43" s="106">
        <v>4785.5748497450659</v>
      </c>
      <c r="CT43" s="106">
        <v>22.656469021405361</v>
      </c>
      <c r="CU43" s="106">
        <v>23163.97392748484</v>
      </c>
    </row>
    <row r="44" spans="2:99" x14ac:dyDescent="0.2">
      <c r="C44" s="105" t="s">
        <v>209</v>
      </c>
      <c r="D44" s="106">
        <v>0</v>
      </c>
      <c r="E44" s="106">
        <v>0</v>
      </c>
      <c r="F44" s="106">
        <v>0</v>
      </c>
      <c r="G44" s="106">
        <v>0</v>
      </c>
      <c r="H44" s="106">
        <v>32.636669041217402</v>
      </c>
      <c r="I44" s="106">
        <v>33367.730427740673</v>
      </c>
      <c r="J44" s="106">
        <v>4.7951725861607146</v>
      </c>
      <c r="K44" s="106">
        <v>4902.5844520907149</v>
      </c>
      <c r="L44" s="106">
        <v>72.533746094976891</v>
      </c>
      <c r="M44" s="106">
        <v>74158.502007504372</v>
      </c>
      <c r="N44" s="106">
        <v>9.1523321724722297</v>
      </c>
      <c r="O44" s="106">
        <v>9357.3444131356082</v>
      </c>
      <c r="P44" s="106">
        <v>29.585053684957725</v>
      </c>
      <c r="Q44" s="106">
        <v>30247.758887500779</v>
      </c>
      <c r="R44" s="106">
        <v>71.047702313699432</v>
      </c>
      <c r="S44" s="106">
        <v>72639.1708455263</v>
      </c>
      <c r="T44" s="106">
        <v>51.835589893983084</v>
      </c>
      <c r="U44" s="106">
        <v>52996.707107608301</v>
      </c>
      <c r="V44" s="106">
        <v>35.830374604031093</v>
      </c>
      <c r="W44" s="106">
        <v>36632.974995161385</v>
      </c>
      <c r="X44" s="106">
        <v>39.614838047805897</v>
      </c>
      <c r="Y44" s="106">
        <v>40502.21042007675</v>
      </c>
      <c r="Z44" s="106">
        <v>24.418061880830457</v>
      </c>
      <c r="AA44" s="106">
        <v>24965.026466961059</v>
      </c>
      <c r="AB44" s="106">
        <v>44.411858332857115</v>
      </c>
      <c r="AC44" s="106">
        <v>45406.68395951311</v>
      </c>
      <c r="AD44" s="106">
        <v>47.907655665906333</v>
      </c>
      <c r="AE44" s="106">
        <v>48980.787152822631</v>
      </c>
      <c r="AF44" s="106">
        <v>35.21864252856043</v>
      </c>
      <c r="AG44" s="106">
        <v>36007.540121200182</v>
      </c>
      <c r="AH44" s="106">
        <v>36.084436315888972</v>
      </c>
      <c r="AI44" s="106">
        <v>36892.727689364881</v>
      </c>
      <c r="AJ44" s="106">
        <v>29.423719907500992</v>
      </c>
      <c r="AK44" s="106">
        <v>30082.811233429013</v>
      </c>
      <c r="AL44" s="106">
        <v>39.059789602617876</v>
      </c>
      <c r="AM44" s="106">
        <v>39934.728889716513</v>
      </c>
      <c r="AN44" s="106">
        <v>43.064484444349766</v>
      </c>
      <c r="AO44" s="106">
        <v>44029.128895903203</v>
      </c>
      <c r="AP44" s="106">
        <v>35.410019966926399</v>
      </c>
      <c r="AQ44" s="106">
        <v>36203.204414185551</v>
      </c>
      <c r="AR44" s="106">
        <v>22.85451630791145</v>
      </c>
      <c r="AS44" s="106">
        <v>23366.457473208666</v>
      </c>
      <c r="AT44" s="106">
        <v>14.261050813695787</v>
      </c>
      <c r="AU44" s="106">
        <v>14580.498351922572</v>
      </c>
      <c r="AV44" s="106">
        <v>58</v>
      </c>
      <c r="AW44" s="106">
        <v>59299.199999999997</v>
      </c>
      <c r="AX44" s="106">
        <v>7.7125406779115879</v>
      </c>
      <c r="AY44" s="106">
        <v>7885.3015890968072</v>
      </c>
      <c r="AZ44" s="106">
        <v>92.645587446811462</v>
      </c>
      <c r="BA44" s="106">
        <v>94720.848605620035</v>
      </c>
      <c r="BB44" s="106">
        <v>45.313354733620088</v>
      </c>
      <c r="BC44" s="106">
        <v>46328.373879653176</v>
      </c>
      <c r="BD44" s="106">
        <v>28.021885899334773</v>
      </c>
      <c r="BE44" s="106">
        <v>28649.57614347987</v>
      </c>
      <c r="BF44" s="106">
        <v>31.432195417993192</v>
      </c>
      <c r="BG44" s="106">
        <v>32136.276595356238</v>
      </c>
      <c r="BH44" s="106">
        <v>35.477943714051868</v>
      </c>
      <c r="BI44" s="106">
        <v>36272.649653246626</v>
      </c>
      <c r="BJ44" s="106">
        <v>23.097896738243499</v>
      </c>
      <c r="BK44" s="106">
        <v>23615.289625180154</v>
      </c>
      <c r="BL44" s="106">
        <v>31.29968972515022</v>
      </c>
      <c r="BM44" s="106">
        <v>32000.802774993583</v>
      </c>
      <c r="BN44" s="106">
        <v>35.790152503158808</v>
      </c>
      <c r="BO44" s="106">
        <v>36591.851919229564</v>
      </c>
      <c r="BP44" s="106">
        <v>35.359583702720307</v>
      </c>
      <c r="BQ44" s="106">
        <v>36151.638377661242</v>
      </c>
      <c r="BR44" s="106">
        <v>4.8105624208546551</v>
      </c>
      <c r="BS44" s="106">
        <v>4918.3190190817995</v>
      </c>
      <c r="BT44" s="106">
        <v>27.411522821697641</v>
      </c>
      <c r="BU44" s="106">
        <v>28025.540932903667</v>
      </c>
      <c r="BV44" s="106">
        <v>32.655029186817188</v>
      </c>
      <c r="BW44" s="106">
        <v>33386.501840601893</v>
      </c>
      <c r="BX44" s="106">
        <v>35.795338049343094</v>
      </c>
      <c r="BY44" s="106">
        <v>36597.15362164838</v>
      </c>
      <c r="BZ44" s="106">
        <v>6.2601322049717574</v>
      </c>
      <c r="CA44" s="106">
        <v>6400.359166363125</v>
      </c>
      <c r="CB44" s="106">
        <v>55</v>
      </c>
      <c r="CC44" s="106">
        <v>56232</v>
      </c>
      <c r="CD44" s="106">
        <v>40</v>
      </c>
      <c r="CE44" s="106">
        <v>40896</v>
      </c>
      <c r="CF44" s="106">
        <v>32.865103161353701</v>
      </c>
      <c r="CG44" s="106">
        <v>33601.281472168026</v>
      </c>
      <c r="CH44" s="106">
        <v>31.751060820367751</v>
      </c>
      <c r="CI44" s="106">
        <v>32462.284582743989</v>
      </c>
      <c r="CJ44" s="106">
        <v>30.796648317065173</v>
      </c>
      <c r="CK44" s="106">
        <v>31486.493239367432</v>
      </c>
      <c r="CL44" s="106">
        <v>42</v>
      </c>
      <c r="CM44" s="106">
        <v>42940.799999999996</v>
      </c>
      <c r="CN44" s="106">
        <v>40.261485452663869</v>
      </c>
      <c r="CO44" s="106">
        <v>41163.342726803538</v>
      </c>
      <c r="CP44" s="106">
        <v>37.280487920289843</v>
      </c>
      <c r="CQ44" s="106">
        <v>38115.570849704338</v>
      </c>
      <c r="CR44" s="106">
        <v>4.7977447388387056</v>
      </c>
      <c r="CS44" s="106">
        <v>4905.2142209886924</v>
      </c>
      <c r="CT44" s="106">
        <v>20.695813048399128</v>
      </c>
      <c r="CU44" s="106">
        <v>21159.399260683269</v>
      </c>
    </row>
    <row r="45" spans="2:99" x14ac:dyDescent="0.2">
      <c r="C45" s="105" t="s">
        <v>210</v>
      </c>
      <c r="D45" s="106">
        <v>0</v>
      </c>
      <c r="E45" s="106">
        <v>0</v>
      </c>
      <c r="F45" s="106">
        <v>0</v>
      </c>
      <c r="G45" s="106">
        <v>0</v>
      </c>
      <c r="H45" s="106">
        <v>32.163673837721497</v>
      </c>
      <c r="I45" s="106">
        <v>40178.861358081696</v>
      </c>
      <c r="J45" s="106">
        <v>4.7951725861607146</v>
      </c>
      <c r="K45" s="106">
        <v>5990.1295946319651</v>
      </c>
      <c r="L45" s="106">
        <v>74.370043464469987</v>
      </c>
      <c r="M45" s="106">
        <v>92903.058295815907</v>
      </c>
      <c r="N45" s="106">
        <v>10.250612033168899</v>
      </c>
      <c r="O45" s="106">
        <v>12805.06455183459</v>
      </c>
      <c r="P45" s="106">
        <v>27.067176775599624</v>
      </c>
      <c r="Q45" s="106">
        <v>33812.317228079053</v>
      </c>
      <c r="R45" s="106">
        <v>71.935798592620671</v>
      </c>
      <c r="S45" s="106">
        <v>89862.199601901739</v>
      </c>
      <c r="T45" s="106">
        <v>48.455007944375488</v>
      </c>
      <c r="U45" s="106">
        <v>60529.995924113864</v>
      </c>
      <c r="V45" s="106">
        <v>34.434385983094813</v>
      </c>
      <c r="W45" s="106">
        <v>43015.434970082046</v>
      </c>
      <c r="X45" s="106">
        <v>39.614838047805897</v>
      </c>
      <c r="Y45" s="106">
        <v>49486.855689319127</v>
      </c>
      <c r="Z45" s="106">
        <v>23.54598824222937</v>
      </c>
      <c r="AA45" s="106">
        <v>29413.648512192929</v>
      </c>
      <c r="AB45" s="106">
        <v>45.596174555066639</v>
      </c>
      <c r="AC45" s="106">
        <v>56958.741254189248</v>
      </c>
      <c r="AD45" s="106">
        <v>43.221037176850274</v>
      </c>
      <c r="AE45" s="106">
        <v>53991.719641321361</v>
      </c>
      <c r="AF45" s="106">
        <v>32.747158842345662</v>
      </c>
      <c r="AG45" s="106">
        <v>40907.750825858202</v>
      </c>
      <c r="AH45" s="106">
        <v>36.084436315888972</v>
      </c>
      <c r="AI45" s="106">
        <v>45076.677845808503</v>
      </c>
      <c r="AJ45" s="106">
        <v>27.283813005137283</v>
      </c>
      <c r="AK45" s="106">
        <v>34082.939206017494</v>
      </c>
      <c r="AL45" s="106">
        <v>34.434288202307862</v>
      </c>
      <c r="AM45" s="106">
        <v>43015.31282232298</v>
      </c>
      <c r="AN45" s="106">
        <v>40.638316306639922</v>
      </c>
      <c r="AO45" s="106">
        <v>50765.384730254591</v>
      </c>
      <c r="AP45" s="106">
        <v>32.655907302832127</v>
      </c>
      <c r="AQ45" s="106">
        <v>40793.759402697891</v>
      </c>
      <c r="AR45" s="106">
        <v>20.111974350962079</v>
      </c>
      <c r="AS45" s="106">
        <v>25123.878359221831</v>
      </c>
      <c r="AT45" s="106">
        <v>15.687155895065363</v>
      </c>
      <c r="AU45" s="106">
        <v>19596.395144115653</v>
      </c>
      <c r="AV45" s="106">
        <v>60</v>
      </c>
      <c r="AW45" s="106">
        <v>74952</v>
      </c>
      <c r="AX45" s="106">
        <v>7.7125406779115879</v>
      </c>
      <c r="AY45" s="106">
        <v>9634.5058148471562</v>
      </c>
      <c r="AZ45" s="106">
        <v>79.803624830421768</v>
      </c>
      <c r="BA45" s="106">
        <v>99690.688138162877</v>
      </c>
      <c r="BB45" s="106">
        <v>41.91485312859858</v>
      </c>
      <c r="BC45" s="106">
        <v>52360.034528245349</v>
      </c>
      <c r="BD45" s="106">
        <v>31.318578358080043</v>
      </c>
      <c r="BE45" s="106">
        <v>39123.168084913588</v>
      </c>
      <c r="BF45" s="106">
        <v>34.425737838754443</v>
      </c>
      <c r="BG45" s="106">
        <v>43004.631708172055</v>
      </c>
      <c r="BH45" s="106">
        <v>33.112747466448411</v>
      </c>
      <c r="BI45" s="106">
        <v>41364.44413508736</v>
      </c>
      <c r="BJ45" s="106">
        <v>24.637756520793069</v>
      </c>
      <c r="BK45" s="106">
        <v>30777.485445774702</v>
      </c>
      <c r="BL45" s="106">
        <v>28.537952396460497</v>
      </c>
      <c r="BM45" s="106">
        <v>35649.610133658454</v>
      </c>
      <c r="BN45" s="106">
        <v>33.773805883262533</v>
      </c>
      <c r="BO45" s="106">
        <v>42190.238309371554</v>
      </c>
      <c r="BP45" s="106">
        <v>36.55821365874472</v>
      </c>
      <c r="BQ45" s="106">
        <v>45668.520502503903</v>
      </c>
      <c r="BR45" s="106">
        <v>4.6856127475857035</v>
      </c>
      <c r="BS45" s="106">
        <v>5853.2674442840607</v>
      </c>
      <c r="BT45" s="106">
        <v>28.805329066868708</v>
      </c>
      <c r="BU45" s="106">
        <v>35983.617070332395</v>
      </c>
      <c r="BV45" s="106">
        <v>32.038896560650834</v>
      </c>
      <c r="BW45" s="106">
        <v>40022.989583565024</v>
      </c>
      <c r="BX45" s="106">
        <v>36.483709934907381</v>
      </c>
      <c r="BY45" s="106">
        <v>45575.450450686301</v>
      </c>
      <c r="BZ45" s="106">
        <v>5.6011709202378883</v>
      </c>
      <c r="CA45" s="106">
        <v>6996.9827135611704</v>
      </c>
      <c r="CB45" s="106">
        <v>49</v>
      </c>
      <c r="CC45" s="106">
        <v>61210.8</v>
      </c>
      <c r="CD45" s="106">
        <v>36</v>
      </c>
      <c r="CE45" s="106">
        <v>44971.200000000004</v>
      </c>
      <c r="CF45" s="106">
        <v>32.865103161353701</v>
      </c>
      <c r="CG45" s="106">
        <v>41055.086869163046</v>
      </c>
      <c r="CH45" s="106">
        <v>32.44130127298444</v>
      </c>
      <c r="CI45" s="106">
        <v>40525.673550212166</v>
      </c>
      <c r="CJ45" s="106">
        <v>28.74353842926083</v>
      </c>
      <c r="CK45" s="106">
        <v>35906.428205832628</v>
      </c>
      <c r="CL45" s="106">
        <v>36</v>
      </c>
      <c r="CM45" s="106">
        <v>44971.200000000004</v>
      </c>
      <c r="CN45" s="106">
        <v>39.422704505733371</v>
      </c>
      <c r="CO45" s="106">
        <v>49246.842468562128</v>
      </c>
      <c r="CP45" s="106">
        <v>42.162456576518274</v>
      </c>
      <c r="CQ45" s="106">
        <v>52669.340755386627</v>
      </c>
      <c r="CR45" s="106">
        <v>4.1541448348481476</v>
      </c>
      <c r="CS45" s="106">
        <v>5189.3577276923061</v>
      </c>
      <c r="CT45" s="106">
        <v>20.695813048399128</v>
      </c>
      <c r="CU45" s="106">
        <v>25853.209660060191</v>
      </c>
    </row>
    <row r="46" spans="2:99" x14ac:dyDescent="0.2">
      <c r="C46" s="105" t="s">
        <v>211</v>
      </c>
      <c r="D46" s="106">
        <v>0</v>
      </c>
      <c r="E46" s="106">
        <v>0</v>
      </c>
      <c r="F46" s="106">
        <v>0</v>
      </c>
      <c r="G46" s="106">
        <v>0</v>
      </c>
      <c r="H46" s="106">
        <v>32.636669041217402</v>
      </c>
      <c r="I46" s="106">
        <v>39555.642877955492</v>
      </c>
      <c r="J46" s="106">
        <v>4.7951725861607146</v>
      </c>
      <c r="K46" s="106">
        <v>5811.7491744267863</v>
      </c>
      <c r="L46" s="106">
        <v>77.124489518709609</v>
      </c>
      <c r="M46" s="106">
        <v>93474.881296676045</v>
      </c>
      <c r="N46" s="106">
        <v>10.128580937535935</v>
      </c>
      <c r="O46" s="106">
        <v>12275.840096293552</v>
      </c>
      <c r="P46" s="106">
        <v>27.696646002939147</v>
      </c>
      <c r="Q46" s="106">
        <v>33568.334955562248</v>
      </c>
      <c r="R46" s="106">
        <v>73.711991150463163</v>
      </c>
      <c r="S46" s="106">
        <v>89338.933274361349</v>
      </c>
      <c r="T46" s="106">
        <v>50.708729244113876</v>
      </c>
      <c r="U46" s="106">
        <v>61458.979843866015</v>
      </c>
      <c r="V46" s="106">
        <v>40.018340466839923</v>
      </c>
      <c r="W46" s="106">
        <v>48502.228645809984</v>
      </c>
      <c r="X46" s="106">
        <v>36.51992882532106</v>
      </c>
      <c r="Y46" s="106">
        <v>44262.153736289125</v>
      </c>
      <c r="Z46" s="106">
        <v>21.365804145726653</v>
      </c>
      <c r="AA46" s="106">
        <v>25895.354624620704</v>
      </c>
      <c r="AB46" s="106">
        <v>49.741281332799964</v>
      </c>
      <c r="AC46" s="106">
        <v>60286.432975353557</v>
      </c>
      <c r="AD46" s="106">
        <v>42.700301789177381</v>
      </c>
      <c r="AE46" s="106">
        <v>51752.765768482983</v>
      </c>
      <c r="AF46" s="106">
        <v>33.365029763899358</v>
      </c>
      <c r="AG46" s="106">
        <v>40438.41607384602</v>
      </c>
      <c r="AH46" s="106">
        <v>36.524490417302253</v>
      </c>
      <c r="AI46" s="106">
        <v>44267.682385770328</v>
      </c>
      <c r="AJ46" s="106">
        <v>28.353766456319139</v>
      </c>
      <c r="AK46" s="106">
        <v>34364.7649450588</v>
      </c>
      <c r="AL46" s="106">
        <v>33.40639900223897</v>
      </c>
      <c r="AM46" s="106">
        <v>40488.555590713629</v>
      </c>
      <c r="AN46" s="106">
        <v>46.097194616487073</v>
      </c>
      <c r="AO46" s="106">
        <v>55869.799875182332</v>
      </c>
      <c r="AP46" s="106">
        <v>34.623130634328042</v>
      </c>
      <c r="AQ46" s="106">
        <v>41963.234328805585</v>
      </c>
      <c r="AR46" s="106">
        <v>22.397425981753219</v>
      </c>
      <c r="AS46" s="106">
        <v>27145.680289884902</v>
      </c>
      <c r="AT46" s="106">
        <v>13.853592219018765</v>
      </c>
      <c r="AU46" s="106">
        <v>16790.553769450744</v>
      </c>
      <c r="AV46" s="106">
        <v>58</v>
      </c>
      <c r="AW46" s="106">
        <v>70296</v>
      </c>
      <c r="AX46" s="106">
        <v>7.2305068855421135</v>
      </c>
      <c r="AY46" s="106">
        <v>8763.3743452770414</v>
      </c>
      <c r="AZ46" s="106">
        <v>76.134492654310407</v>
      </c>
      <c r="BA46" s="106">
        <v>92275.005097024216</v>
      </c>
      <c r="BB46" s="106">
        <v>45.879771667790337</v>
      </c>
      <c r="BC46" s="106">
        <v>55606.283261361888</v>
      </c>
      <c r="BD46" s="106">
        <v>26.922988413086351</v>
      </c>
      <c r="BE46" s="106">
        <v>32630.661956660657</v>
      </c>
      <c r="BF46" s="106">
        <v>30.933271681199653</v>
      </c>
      <c r="BG46" s="106">
        <v>37491.125277613981</v>
      </c>
      <c r="BH46" s="106">
        <v>36.069242775952731</v>
      </c>
      <c r="BI46" s="106">
        <v>43715.922244454712</v>
      </c>
      <c r="BJ46" s="106">
        <v>22.712931792606106</v>
      </c>
      <c r="BK46" s="106">
        <v>27528.0733326386</v>
      </c>
      <c r="BL46" s="106">
        <v>29.91882106080536</v>
      </c>
      <c r="BM46" s="106">
        <v>36261.611125696094</v>
      </c>
      <c r="BN46" s="106">
        <v>36.294239158132868</v>
      </c>
      <c r="BO46" s="106">
        <v>43988.617859657039</v>
      </c>
      <c r="BP46" s="106">
        <v>36.55821365874472</v>
      </c>
      <c r="BQ46" s="106">
        <v>44308.554954398598</v>
      </c>
      <c r="BR46" s="106">
        <v>4.9979869307580831</v>
      </c>
      <c r="BS46" s="106">
        <v>6057.5601600787968</v>
      </c>
      <c r="BT46" s="106">
        <v>26.946920739973951</v>
      </c>
      <c r="BU46" s="106">
        <v>32659.667936848429</v>
      </c>
      <c r="BV46" s="106">
        <v>32.038896560650834</v>
      </c>
      <c r="BW46" s="106">
        <v>38831.14263150881</v>
      </c>
      <c r="BX46" s="106">
        <v>38.548825591600249</v>
      </c>
      <c r="BY46" s="106">
        <v>46721.176617019504</v>
      </c>
      <c r="BZ46" s="106">
        <v>6.1503053241827788</v>
      </c>
      <c r="CA46" s="106">
        <v>7454.1700529095278</v>
      </c>
      <c r="CB46" s="106">
        <v>55</v>
      </c>
      <c r="CC46" s="106">
        <v>66660</v>
      </c>
      <c r="CD46" s="106">
        <v>40</v>
      </c>
      <c r="CE46" s="106">
        <v>48480</v>
      </c>
      <c r="CF46" s="106">
        <v>36.386364214355886</v>
      </c>
      <c r="CG46" s="106">
        <v>44100.273427799337</v>
      </c>
      <c r="CH46" s="106">
        <v>33.131541725601132</v>
      </c>
      <c r="CI46" s="106">
        <v>40155.428571428572</v>
      </c>
      <c r="CJ46" s="106">
        <v>28.74353842926083</v>
      </c>
      <c r="CK46" s="106">
        <v>34837.168576264128</v>
      </c>
      <c r="CL46" s="106">
        <v>36</v>
      </c>
      <c r="CM46" s="106">
        <v>43632</v>
      </c>
      <c r="CN46" s="106">
        <v>39.422704505733371</v>
      </c>
      <c r="CO46" s="106">
        <v>47780.317860948846</v>
      </c>
      <c r="CP46" s="106">
        <v>38.611933917443054</v>
      </c>
      <c r="CQ46" s="106">
        <v>46797.66390794098</v>
      </c>
      <c r="CR46" s="106">
        <v>4.914762903200625</v>
      </c>
      <c r="CS46" s="106">
        <v>5956.6926386791574</v>
      </c>
      <c r="CT46" s="106">
        <v>19.606559730062333</v>
      </c>
      <c r="CU46" s="106">
        <v>23763.150392835549</v>
      </c>
    </row>
    <row r="47" spans="2:99" x14ac:dyDescent="0.2">
      <c r="C47" s="105" t="s">
        <v>212</v>
      </c>
      <c r="D47" s="106">
        <v>0</v>
      </c>
      <c r="E47" s="106">
        <v>0</v>
      </c>
      <c r="F47" s="106">
        <v>0</v>
      </c>
      <c r="G47" s="106">
        <v>0</v>
      </c>
      <c r="H47" s="106">
        <v>31.690678634225595</v>
      </c>
      <c r="I47" s="106">
        <v>48410.680681643018</v>
      </c>
      <c r="J47" s="106">
        <v>4.4700761396413444</v>
      </c>
      <c r="K47" s="106">
        <v>6828.4883109161174</v>
      </c>
      <c r="L47" s="106">
        <v>70.69744872548381</v>
      </c>
      <c r="M47" s="106">
        <v>107997.42267304906</v>
      </c>
      <c r="N47" s="106">
        <v>8.9082699812063044</v>
      </c>
      <c r="O47" s="106">
        <v>13608.273223290749</v>
      </c>
      <c r="P47" s="106">
        <v>27.067176775599624</v>
      </c>
      <c r="Q47" s="106">
        <v>41347.819242405982</v>
      </c>
      <c r="R47" s="106">
        <v>60.390546966644521</v>
      </c>
      <c r="S47" s="106">
        <v>92252.599546246172</v>
      </c>
      <c r="T47" s="106">
        <v>49.581868594244682</v>
      </c>
      <c r="U47" s="106">
        <v>75741.262464568164</v>
      </c>
      <c r="V47" s="106">
        <v>33.969056442782723</v>
      </c>
      <c r="W47" s="106">
        <v>51891.130621994882</v>
      </c>
      <c r="X47" s="106">
        <v>33.425019602836223</v>
      </c>
      <c r="Y47" s="106">
        <v>51060.059945292611</v>
      </c>
      <c r="Z47" s="106">
        <v>21.365804145726653</v>
      </c>
      <c r="AA47" s="106">
        <v>32638.402413012034</v>
      </c>
      <c r="AB47" s="106">
        <v>42.043225888438066</v>
      </c>
      <c r="AC47" s="106">
        <v>64225.231867177987</v>
      </c>
      <c r="AD47" s="106">
        <v>48.428391053579219</v>
      </c>
      <c r="AE47" s="106">
        <v>73979.210173447616</v>
      </c>
      <c r="AF47" s="106">
        <v>29.657804234577206</v>
      </c>
      <c r="AG47" s="106">
        <v>45305.261748740137</v>
      </c>
      <c r="AH47" s="106">
        <v>36.524490417302253</v>
      </c>
      <c r="AI47" s="106">
        <v>55794.811561470917</v>
      </c>
      <c r="AJ47" s="106">
        <v>26.21385955395543</v>
      </c>
      <c r="AK47" s="106">
        <v>40044.291854622315</v>
      </c>
      <c r="AL47" s="106">
        <v>35.976122002411195</v>
      </c>
      <c r="AM47" s="106">
        <v>54957.123970883338</v>
      </c>
      <c r="AN47" s="106">
        <v>42.457942409922303</v>
      </c>
      <c r="AO47" s="106">
        <v>64858.752825397307</v>
      </c>
      <c r="AP47" s="106">
        <v>31.082128637635396</v>
      </c>
      <c r="AQ47" s="106">
        <v>47481.059706851825</v>
      </c>
      <c r="AR47" s="106">
        <v>19.197793698645619</v>
      </c>
      <c r="AS47" s="106">
        <v>29326.549654051047</v>
      </c>
      <c r="AT47" s="106">
        <v>14.261050813695787</v>
      </c>
      <c r="AU47" s="106">
        <v>21785.181223001684</v>
      </c>
      <c r="AV47" s="106">
        <v>58</v>
      </c>
      <c r="AW47" s="106">
        <v>88600.799999999988</v>
      </c>
      <c r="AX47" s="106">
        <v>6.9091510239624627</v>
      </c>
      <c r="AY47" s="106">
        <v>10554.419104205057</v>
      </c>
      <c r="AZ47" s="106">
        <v>78.886341786393913</v>
      </c>
      <c r="BA47" s="106">
        <v>120506.77571289534</v>
      </c>
      <c r="BB47" s="106">
        <v>43.614103931109334</v>
      </c>
      <c r="BC47" s="106">
        <v>66624.905165162621</v>
      </c>
      <c r="BD47" s="106">
        <v>25.274642183713716</v>
      </c>
      <c r="BE47" s="106">
        <v>38609.543399841074</v>
      </c>
      <c r="BF47" s="106">
        <v>31.931119154786739</v>
      </c>
      <c r="BG47" s="106">
        <v>48777.977620852216</v>
      </c>
      <c r="BH47" s="106">
        <v>33.704046528349274</v>
      </c>
      <c r="BI47" s="106">
        <v>51486.301476706351</v>
      </c>
      <c r="BJ47" s="106">
        <v>23.867826629518284</v>
      </c>
      <c r="BK47" s="106">
        <v>36460.491959252126</v>
      </c>
      <c r="BL47" s="106">
        <v>30.379110615586981</v>
      </c>
      <c r="BM47" s="106">
        <v>46407.129376370671</v>
      </c>
      <c r="BN47" s="106">
        <v>33.269719228288466</v>
      </c>
      <c r="BO47" s="106">
        <v>50822.823093133455</v>
      </c>
      <c r="BP47" s="106">
        <v>36.55821365874472</v>
      </c>
      <c r="BQ47" s="106">
        <v>55846.327185098431</v>
      </c>
      <c r="BR47" s="106">
        <v>4.7480875842201788</v>
      </c>
      <c r="BS47" s="106">
        <v>7253.1785936547449</v>
      </c>
      <c r="BT47" s="106">
        <v>27.876124903421328</v>
      </c>
      <c r="BU47" s="106">
        <v>42583.568402466415</v>
      </c>
      <c r="BV47" s="106">
        <v>31.422763934484468</v>
      </c>
      <c r="BW47" s="106">
        <v>48001.41418631847</v>
      </c>
      <c r="BX47" s="106">
        <v>33.041850507085933</v>
      </c>
      <c r="BY47" s="106">
        <v>50474.730834624468</v>
      </c>
      <c r="BZ47" s="106">
        <v>5.1618633970819747</v>
      </c>
      <c r="CA47" s="106">
        <v>7885.2625253824244</v>
      </c>
      <c r="CB47" s="106">
        <v>50</v>
      </c>
      <c r="CC47" s="106">
        <v>76380</v>
      </c>
      <c r="CD47" s="106">
        <v>35</v>
      </c>
      <c r="CE47" s="106">
        <v>53466</v>
      </c>
      <c r="CF47" s="106">
        <v>28.756965266184487</v>
      </c>
      <c r="CG47" s="106">
        <v>43929.140140623422</v>
      </c>
      <c r="CH47" s="106">
        <v>33.131541725601132</v>
      </c>
      <c r="CI47" s="106">
        <v>50611.743140028288</v>
      </c>
      <c r="CJ47" s="106">
        <v>30.796648317065173</v>
      </c>
      <c r="CK47" s="106">
        <v>47044.959969148753</v>
      </c>
      <c r="CL47" s="106">
        <v>38</v>
      </c>
      <c r="CM47" s="106">
        <v>58048.799999999996</v>
      </c>
      <c r="CN47" s="106">
        <v>39.422704505733371</v>
      </c>
      <c r="CO47" s="106">
        <v>60222.123402958292</v>
      </c>
      <c r="CP47" s="106">
        <v>38.16811858505865</v>
      </c>
      <c r="CQ47" s="106">
        <v>58305.61795053559</v>
      </c>
      <c r="CR47" s="106">
        <v>3.9786175883052683</v>
      </c>
      <c r="CS47" s="106">
        <v>6077.7362278951277</v>
      </c>
      <c r="CT47" s="106">
        <v>19.388709066394973</v>
      </c>
      <c r="CU47" s="106">
        <v>29618.191969824959</v>
      </c>
    </row>
    <row r="48" spans="2:99" x14ac:dyDescent="0.2">
      <c r="C48" s="105" t="s">
        <v>213</v>
      </c>
      <c r="D48" s="106">
        <v>0</v>
      </c>
      <c r="E48" s="106">
        <v>0</v>
      </c>
      <c r="F48" s="106">
        <v>0</v>
      </c>
      <c r="G48" s="106">
        <v>0</v>
      </c>
      <c r="H48" s="106">
        <v>31.690678634225595</v>
      </c>
      <c r="I48" s="106">
        <v>27494.832783054128</v>
      </c>
      <c r="J48" s="106">
        <v>5.770461925718827</v>
      </c>
      <c r="K48" s="106">
        <v>5006.452766753654</v>
      </c>
      <c r="L48" s="106">
        <v>71.61559741023035</v>
      </c>
      <c r="M48" s="106">
        <v>62133.692313115855</v>
      </c>
      <c r="N48" s="106">
        <v>9.8845187462700093</v>
      </c>
      <c r="O48" s="106">
        <v>8575.8084642638605</v>
      </c>
      <c r="P48" s="106">
        <v>32.732399821655356</v>
      </c>
      <c r="Q48" s="106">
        <v>28398.630085268189</v>
      </c>
      <c r="R48" s="106">
        <v>75.488183708305655</v>
      </c>
      <c r="S48" s="106">
        <v>65493.548185325992</v>
      </c>
      <c r="T48" s="106">
        <v>48.455007944375488</v>
      </c>
      <c r="U48" s="106">
        <v>42039.564892540177</v>
      </c>
      <c r="V48" s="106">
        <v>40.018340466839923</v>
      </c>
      <c r="W48" s="106">
        <v>34719.912189030321</v>
      </c>
      <c r="X48" s="106">
        <v>38.995856203308925</v>
      </c>
      <c r="Y48" s="106">
        <v>33832.804841990823</v>
      </c>
      <c r="Z48" s="106">
        <v>25.290135519431551</v>
      </c>
      <c r="AA48" s="106">
        <v>21941.721576658816</v>
      </c>
      <c r="AB48" s="106">
        <v>45.004016443961874</v>
      </c>
      <c r="AC48" s="106">
        <v>39045.484666781325</v>
      </c>
      <c r="AD48" s="106">
        <v>46.345449502887639</v>
      </c>
      <c r="AE48" s="106">
        <v>40209.311988705318</v>
      </c>
      <c r="AF48" s="106">
        <v>32.129287920791974</v>
      </c>
      <c r="AG48" s="106">
        <v>27875.370200079116</v>
      </c>
      <c r="AH48" s="106">
        <v>38.724760924368653</v>
      </c>
      <c r="AI48" s="106">
        <v>33597.602577982245</v>
      </c>
      <c r="AJ48" s="106">
        <v>26.21385955395543</v>
      </c>
      <c r="AK48" s="106">
        <v>22743.144549011733</v>
      </c>
      <c r="AL48" s="106">
        <v>35.976122002411195</v>
      </c>
      <c r="AM48" s="106">
        <v>31212.883449291952</v>
      </c>
      <c r="AN48" s="106">
        <v>43.671026478777229</v>
      </c>
      <c r="AO48" s="106">
        <v>37888.982572987123</v>
      </c>
      <c r="AP48" s="106">
        <v>30.688683971336218</v>
      </c>
      <c r="AQ48" s="106">
        <v>26625.502213531305</v>
      </c>
      <c r="AR48" s="106">
        <v>20.111974350962079</v>
      </c>
      <c r="AS48" s="106">
        <v>17449.1489468947</v>
      </c>
      <c r="AT48" s="106">
        <v>15.07596800304983</v>
      </c>
      <c r="AU48" s="106">
        <v>13079.909839446032</v>
      </c>
      <c r="AV48" s="106">
        <v>61</v>
      </c>
      <c r="AW48" s="106">
        <v>52923.6</v>
      </c>
      <c r="AX48" s="106">
        <v>8.1945744702810615</v>
      </c>
      <c r="AY48" s="106">
        <v>7109.6128104158488</v>
      </c>
      <c r="AZ48" s="106">
        <v>80.720907874449594</v>
      </c>
      <c r="BA48" s="106">
        <v>70033.459671872464</v>
      </c>
      <c r="BB48" s="106">
        <v>40.782019260258075</v>
      </c>
      <c r="BC48" s="106">
        <v>35382.479910199909</v>
      </c>
      <c r="BD48" s="106">
        <v>31.868027101204252</v>
      </c>
      <c r="BE48" s="106">
        <v>27648.700313004811</v>
      </c>
      <c r="BF48" s="106">
        <v>36.421432785928616</v>
      </c>
      <c r="BG48" s="106">
        <v>31599.235085071668</v>
      </c>
      <c r="BH48" s="106">
        <v>37.843139961655325</v>
      </c>
      <c r="BI48" s="106">
        <v>32832.708230732162</v>
      </c>
      <c r="BJ48" s="106">
        <v>23.867826629518284</v>
      </c>
      <c r="BK48" s="106">
        <v>20707.726383770063</v>
      </c>
      <c r="BL48" s="106">
        <v>33.601137499058332</v>
      </c>
      <c r="BM48" s="106">
        <v>29152.346894183011</v>
      </c>
      <c r="BN48" s="106">
        <v>37.806499123055076</v>
      </c>
      <c r="BO48" s="106">
        <v>32800.918639162584</v>
      </c>
      <c r="BP48" s="106">
        <v>40.15410352681797</v>
      </c>
      <c r="BQ48" s="106">
        <v>34837.700219867271</v>
      </c>
      <c r="BR48" s="106">
        <v>4.9355120941236077</v>
      </c>
      <c r="BS48" s="106">
        <v>4282.0502928616424</v>
      </c>
      <c r="BT48" s="106">
        <v>31.128339475487149</v>
      </c>
      <c r="BU48" s="106">
        <v>27006.947328932652</v>
      </c>
      <c r="BV48" s="106">
        <v>33.887294439149919</v>
      </c>
      <c r="BW48" s="106">
        <v>29400.616655406469</v>
      </c>
      <c r="BX48" s="106">
        <v>37.172081820471675</v>
      </c>
      <c r="BY48" s="106">
        <v>32250.498187441226</v>
      </c>
      <c r="BZ48" s="106">
        <v>6.4797859665497137</v>
      </c>
      <c r="CA48" s="106">
        <v>5621.8623045785316</v>
      </c>
      <c r="CB48" s="106">
        <v>52</v>
      </c>
      <c r="CC48" s="106">
        <v>45115.200000000004</v>
      </c>
      <c r="CD48" s="106">
        <v>36</v>
      </c>
      <c r="CE48" s="106">
        <v>31233.600000000002</v>
      </c>
      <c r="CF48" s="106">
        <v>34.038856845687761</v>
      </c>
      <c r="CG48" s="106">
        <v>29532.112199318701</v>
      </c>
      <c r="CH48" s="106">
        <v>33.131541725601132</v>
      </c>
      <c r="CI48" s="106">
        <v>28744.925601131541</v>
      </c>
      <c r="CJ48" s="106">
        <v>29.427908391862278</v>
      </c>
      <c r="CK48" s="106">
        <v>25531.653320779715</v>
      </c>
      <c r="CL48" s="106">
        <v>39</v>
      </c>
      <c r="CM48" s="106">
        <v>33836.400000000001</v>
      </c>
      <c r="CN48" s="106">
        <v>41.100266399594368</v>
      </c>
      <c r="CO48" s="106">
        <v>35658.591128288077</v>
      </c>
      <c r="CP48" s="106">
        <v>41.71864124413387</v>
      </c>
      <c r="CQ48" s="106">
        <v>36195.093143410544</v>
      </c>
      <c r="CR48" s="106">
        <v>4.3296720813910277</v>
      </c>
      <c r="CS48" s="106">
        <v>3756.4234978148556</v>
      </c>
      <c r="CT48" s="106">
        <v>20.042261057397052</v>
      </c>
      <c r="CU48" s="106">
        <v>17388.665693397685</v>
      </c>
    </row>
    <row r="49" spans="2:99" x14ac:dyDescent="0.2">
      <c r="B49" s="105" t="s">
        <v>129</v>
      </c>
      <c r="C49" s="105" t="s">
        <v>214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0</v>
      </c>
      <c r="M49" s="106">
        <v>0</v>
      </c>
      <c r="N49" s="106">
        <v>0</v>
      </c>
      <c r="O49" s="106">
        <v>0</v>
      </c>
      <c r="P49" s="106">
        <v>0</v>
      </c>
      <c r="Q49" s="106">
        <v>0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  <c r="AY49" s="106">
        <v>0</v>
      </c>
      <c r="AZ49" s="106">
        <v>0</v>
      </c>
      <c r="BA49" s="106">
        <v>0</v>
      </c>
      <c r="BB49" s="106">
        <v>0</v>
      </c>
      <c r="BC49" s="106">
        <v>0</v>
      </c>
      <c r="BD49" s="106">
        <v>0</v>
      </c>
      <c r="BE49" s="106">
        <v>0</v>
      </c>
      <c r="BF49" s="106">
        <v>0</v>
      </c>
      <c r="BG49" s="106">
        <v>0</v>
      </c>
      <c r="BH49" s="106">
        <v>0</v>
      </c>
      <c r="BI49" s="106">
        <v>0</v>
      </c>
      <c r="BJ49" s="106">
        <v>0</v>
      </c>
      <c r="BK49" s="106">
        <v>0</v>
      </c>
      <c r="BL49" s="106">
        <v>0</v>
      </c>
      <c r="BM49" s="106">
        <v>0</v>
      </c>
      <c r="BN49" s="106">
        <v>0</v>
      </c>
      <c r="BO49" s="106">
        <v>0</v>
      </c>
      <c r="BP49" s="106">
        <v>0</v>
      </c>
      <c r="BQ49" s="106">
        <v>0</v>
      </c>
      <c r="BR49" s="106">
        <v>0</v>
      </c>
      <c r="BS49" s="106">
        <v>0</v>
      </c>
      <c r="BT49" s="106">
        <v>0</v>
      </c>
      <c r="BU49" s="106">
        <v>0</v>
      </c>
      <c r="BV49" s="106">
        <v>0</v>
      </c>
      <c r="BW49" s="106">
        <v>0</v>
      </c>
      <c r="BX49" s="106">
        <v>0</v>
      </c>
      <c r="BY49" s="106">
        <v>0</v>
      </c>
      <c r="BZ49" s="106">
        <v>0</v>
      </c>
      <c r="CA49" s="106">
        <v>0</v>
      </c>
      <c r="CB49" s="106">
        <v>0</v>
      </c>
      <c r="CC49" s="106">
        <v>0</v>
      </c>
      <c r="CD49" s="106">
        <v>0</v>
      </c>
      <c r="CE49" s="106">
        <v>0</v>
      </c>
      <c r="CF49" s="106">
        <v>0</v>
      </c>
      <c r="CG49" s="106">
        <v>0</v>
      </c>
      <c r="CH49" s="106">
        <v>0</v>
      </c>
      <c r="CI49" s="106">
        <v>0</v>
      </c>
      <c r="CJ49" s="106">
        <v>0</v>
      </c>
      <c r="CK49" s="106">
        <v>0</v>
      </c>
      <c r="CL49" s="106">
        <v>0</v>
      </c>
      <c r="CM49" s="106">
        <v>0</v>
      </c>
      <c r="CN49" s="106">
        <v>0</v>
      </c>
      <c r="CO49" s="106">
        <v>0</v>
      </c>
      <c r="CP49" s="106">
        <v>0</v>
      </c>
      <c r="CQ49" s="106">
        <v>0</v>
      </c>
      <c r="CR49" s="106">
        <v>0</v>
      </c>
      <c r="CS49" s="106">
        <v>0</v>
      </c>
      <c r="CT49" s="106">
        <v>0</v>
      </c>
      <c r="CU49" s="106">
        <v>0</v>
      </c>
    </row>
    <row r="50" spans="2:99" x14ac:dyDescent="0.2">
      <c r="C50" s="105" t="s">
        <v>215</v>
      </c>
      <c r="D50" s="106">
        <v>0</v>
      </c>
      <c r="E50" s="106">
        <v>0</v>
      </c>
      <c r="F50" s="106">
        <v>0</v>
      </c>
      <c r="G50" s="106">
        <v>0</v>
      </c>
      <c r="H50" s="106">
        <v>35.001645058696923</v>
      </c>
      <c r="I50" s="106">
        <v>9870.4639065525316</v>
      </c>
      <c r="J50" s="106">
        <v>3.4135126884533902</v>
      </c>
      <c r="K50" s="106">
        <v>962.61057814385606</v>
      </c>
      <c r="L50" s="106">
        <v>51.416326345806404</v>
      </c>
      <c r="M50" s="106">
        <v>14499.404029517405</v>
      </c>
      <c r="N50" s="106">
        <v>6.4676480685470432</v>
      </c>
      <c r="O50" s="106">
        <v>1823.8767553302662</v>
      </c>
      <c r="P50" s="106">
        <v>33.361869048994883</v>
      </c>
      <c r="Q50" s="106">
        <v>9408.0470718165579</v>
      </c>
      <c r="R50" s="106">
        <v>56.838161850959551</v>
      </c>
      <c r="S50" s="106">
        <v>16028.361641970594</v>
      </c>
      <c r="T50" s="106">
        <v>29.861807221533731</v>
      </c>
      <c r="U50" s="106">
        <v>8421.0296364725127</v>
      </c>
      <c r="V50" s="106">
        <v>35.365045063719002</v>
      </c>
      <c r="W50" s="106">
        <v>9972.9427079687594</v>
      </c>
      <c r="X50" s="106">
        <v>35.281965136327123</v>
      </c>
      <c r="Y50" s="106">
        <v>9949.5141684442497</v>
      </c>
      <c r="Z50" s="106">
        <v>36.627092821245689</v>
      </c>
      <c r="AA50" s="106">
        <v>10328.840175591284</v>
      </c>
      <c r="AB50" s="106">
        <v>29.015747444133314</v>
      </c>
      <c r="AC50" s="106">
        <v>8182.440779245595</v>
      </c>
      <c r="AD50" s="106">
        <v>29.161181709682111</v>
      </c>
      <c r="AE50" s="106">
        <v>8223.4532421303556</v>
      </c>
      <c r="AF50" s="106">
        <v>42.633093587204733</v>
      </c>
      <c r="AG50" s="106">
        <v>12022.532391591734</v>
      </c>
      <c r="AH50" s="106">
        <v>29.043570693276489</v>
      </c>
      <c r="AI50" s="106">
        <v>8190.2869355039702</v>
      </c>
      <c r="AJ50" s="106">
        <v>36.913394065773971</v>
      </c>
      <c r="AK50" s="106">
        <v>10409.57712654826</v>
      </c>
      <c r="AL50" s="106">
        <v>31.350620602101188</v>
      </c>
      <c r="AM50" s="106">
        <v>8840.8750097925349</v>
      </c>
      <c r="AN50" s="106">
        <v>38.818690203357534</v>
      </c>
      <c r="AO50" s="106">
        <v>10946.870637346825</v>
      </c>
      <c r="AP50" s="106">
        <v>24.000124644250118</v>
      </c>
      <c r="AQ50" s="106">
        <v>6768.0351496785333</v>
      </c>
      <c r="AR50" s="106">
        <v>35.653045440341863</v>
      </c>
      <c r="AS50" s="106">
        <v>10054.158814176406</v>
      </c>
      <c r="AT50" s="106">
        <v>8.1491718935404496</v>
      </c>
      <c r="AU50" s="106">
        <v>2298.066473978407</v>
      </c>
      <c r="AV50" s="106">
        <v>54</v>
      </c>
      <c r="AW50" s="106">
        <v>15228</v>
      </c>
      <c r="AX50" s="106">
        <v>13.496946186345276</v>
      </c>
      <c r="AY50" s="106">
        <v>3806.1388245493681</v>
      </c>
      <c r="AZ50" s="106">
        <v>70.630794390143393</v>
      </c>
      <c r="BA50" s="106">
        <v>19917.884018020435</v>
      </c>
      <c r="BB50" s="106">
        <v>35.117849918555564</v>
      </c>
      <c r="BC50" s="106">
        <v>9903.2336770326692</v>
      </c>
      <c r="BD50" s="106">
        <v>35.164719559949518</v>
      </c>
      <c r="BE50" s="106">
        <v>9916.4509159057634</v>
      </c>
      <c r="BF50" s="106">
        <v>23.44941562929651</v>
      </c>
      <c r="BG50" s="106">
        <v>6612.7352074616156</v>
      </c>
      <c r="BH50" s="106">
        <v>23.65196247603458</v>
      </c>
      <c r="BI50" s="106">
        <v>6669.8534182417516</v>
      </c>
      <c r="BJ50" s="106">
        <v>29.642300814079157</v>
      </c>
      <c r="BK50" s="106">
        <v>8359.1288295703216</v>
      </c>
      <c r="BL50" s="106">
        <v>38.204033046874535</v>
      </c>
      <c r="BM50" s="106">
        <v>10773.53731921862</v>
      </c>
      <c r="BN50" s="106">
        <v>29.237025988495922</v>
      </c>
      <c r="BO50" s="106">
        <v>8244.8413287558506</v>
      </c>
      <c r="BP50" s="106">
        <v>32.962323790671469</v>
      </c>
      <c r="BQ50" s="106">
        <v>9295.3753089693546</v>
      </c>
      <c r="BR50" s="106">
        <v>3.9359147079719903</v>
      </c>
      <c r="BS50" s="106">
        <v>1109.9279476481013</v>
      </c>
      <c r="BT50" s="106">
        <v>32.986747802381906</v>
      </c>
      <c r="BU50" s="106">
        <v>9302.2628802716972</v>
      </c>
      <c r="BV50" s="106">
        <v>23.413039794321758</v>
      </c>
      <c r="BW50" s="106">
        <v>6602.4772219987353</v>
      </c>
      <c r="BX50" s="106">
        <v>31.665106735957352</v>
      </c>
      <c r="BY50" s="106">
        <v>8929.5600995399727</v>
      </c>
      <c r="BZ50" s="106">
        <v>3.9537677084032152</v>
      </c>
      <c r="CA50" s="106">
        <v>1114.9624937697067</v>
      </c>
      <c r="CB50" s="106">
        <v>35</v>
      </c>
      <c r="CC50" s="106">
        <v>9870</v>
      </c>
      <c r="CD50" s="106">
        <v>43</v>
      </c>
      <c r="CE50" s="106">
        <v>12126</v>
      </c>
      <c r="CF50" s="106">
        <v>26.996334739683398</v>
      </c>
      <c r="CG50" s="106">
        <v>7612.9663965907184</v>
      </c>
      <c r="CH50" s="106">
        <v>32.44130127298444</v>
      </c>
      <c r="CI50" s="106">
        <v>9148.4469589816126</v>
      </c>
      <c r="CJ50" s="106">
        <v>20.531098878043451</v>
      </c>
      <c r="CK50" s="106">
        <v>5789.7698836082536</v>
      </c>
      <c r="CL50" s="106">
        <v>50</v>
      </c>
      <c r="CM50" s="106">
        <v>14100</v>
      </c>
      <c r="CN50" s="106">
        <v>59.553447232065309</v>
      </c>
      <c r="CO50" s="106">
        <v>16794.072119442419</v>
      </c>
      <c r="CP50" s="106">
        <v>19.527874624913725</v>
      </c>
      <c r="CQ50" s="106">
        <v>5506.8606442256705</v>
      </c>
      <c r="CR50" s="106">
        <v>3.2179995199527909</v>
      </c>
      <c r="CS50" s="106">
        <v>907.47586462668698</v>
      </c>
      <c r="CT50" s="106">
        <v>17.210202429721377</v>
      </c>
      <c r="CU50" s="106">
        <v>4853.2770851814284</v>
      </c>
    </row>
    <row r="51" spans="2:99" x14ac:dyDescent="0.2">
      <c r="C51" s="105" t="s">
        <v>216</v>
      </c>
      <c r="D51" s="106">
        <v>0</v>
      </c>
      <c r="E51" s="106">
        <v>0</v>
      </c>
      <c r="F51" s="106">
        <v>0</v>
      </c>
      <c r="G51" s="106">
        <v>0</v>
      </c>
      <c r="H51" s="106">
        <v>28.852707413250169</v>
      </c>
      <c r="I51" s="106">
        <v>24651.753213880944</v>
      </c>
      <c r="J51" s="106">
        <v>2.7633197954146493</v>
      </c>
      <c r="K51" s="106">
        <v>2360.9804332022763</v>
      </c>
      <c r="L51" s="106">
        <v>44.989285552580611</v>
      </c>
      <c r="M51" s="106">
        <v>38438.84557612487</v>
      </c>
      <c r="N51" s="106">
        <v>6.223585877281117</v>
      </c>
      <c r="O51" s="106">
        <v>5317.4317735489858</v>
      </c>
      <c r="P51" s="106">
        <v>30.214522912297252</v>
      </c>
      <c r="Q51" s="106">
        <v>25815.28837626677</v>
      </c>
      <c r="R51" s="106">
        <v>52.397680456353335</v>
      </c>
      <c r="S51" s="106">
        <v>44768.578181908291</v>
      </c>
      <c r="T51" s="106">
        <v>28.171516246729933</v>
      </c>
      <c r="U51" s="106">
        <v>24069.743481206053</v>
      </c>
      <c r="V51" s="106">
        <v>33.503726902470632</v>
      </c>
      <c r="W51" s="106">
        <v>28625.584265470909</v>
      </c>
      <c r="X51" s="106">
        <v>37.757892514314996</v>
      </c>
      <c r="Y51" s="106">
        <v>32260.343364230732</v>
      </c>
      <c r="Z51" s="106">
        <v>33.138798266841341</v>
      </c>
      <c r="AA51" s="106">
        <v>28313.789239189242</v>
      </c>
      <c r="AB51" s="106">
        <v>24.870640666399982</v>
      </c>
      <c r="AC51" s="106">
        <v>21249.475385372145</v>
      </c>
      <c r="AD51" s="106">
        <v>28.119710934336322</v>
      </c>
      <c r="AE51" s="106">
        <v>24025.481022296954</v>
      </c>
      <c r="AF51" s="106">
        <v>32.747158842345662</v>
      </c>
      <c r="AG51" s="106">
        <v>27979.172514900132</v>
      </c>
      <c r="AH51" s="106">
        <v>25.083083780556969</v>
      </c>
      <c r="AI51" s="106">
        <v>21430.986782107873</v>
      </c>
      <c r="AJ51" s="106">
        <v>40.123254419319537</v>
      </c>
      <c r="AK51" s="106">
        <v>34281.308575866613</v>
      </c>
      <c r="AL51" s="106">
        <v>28.78089760192896</v>
      </c>
      <c r="AM51" s="106">
        <v>24590.398911088101</v>
      </c>
      <c r="AN51" s="106">
        <v>32.75326985908292</v>
      </c>
      <c r="AO51" s="106">
        <v>27984.393767600446</v>
      </c>
      <c r="AP51" s="106">
        <v>22.426345979053387</v>
      </c>
      <c r="AQ51" s="106">
        <v>19161.070004503214</v>
      </c>
      <c r="AR51" s="106">
        <v>28.796690547968428</v>
      </c>
      <c r="AS51" s="106">
        <v>24603.892404184226</v>
      </c>
      <c r="AT51" s="106">
        <v>7.5379840015249151</v>
      </c>
      <c r="AU51" s="106">
        <v>6440.453530902887</v>
      </c>
      <c r="AV51" s="106">
        <v>47</v>
      </c>
      <c r="AW51" s="106">
        <v>40156.799999999996</v>
      </c>
      <c r="AX51" s="106">
        <v>11.729488947657206</v>
      </c>
      <c r="AY51" s="106">
        <v>10021.675356878317</v>
      </c>
      <c r="AZ51" s="106">
        <v>62.375246993892866</v>
      </c>
      <c r="BA51" s="106">
        <v>53293.411031582065</v>
      </c>
      <c r="BB51" s="106">
        <v>26.621595906001797</v>
      </c>
      <c r="BC51" s="106">
        <v>22745.491542087933</v>
      </c>
      <c r="BD51" s="106">
        <v>30.76912961495583</v>
      </c>
      <c r="BE51" s="106">
        <v>26289.144343018259</v>
      </c>
      <c r="BF51" s="106">
        <v>19.458025734948166</v>
      </c>
      <c r="BG51" s="106">
        <v>16624.937187939711</v>
      </c>
      <c r="BH51" s="106">
        <v>24.834560599836308</v>
      </c>
      <c r="BI51" s="106">
        <v>21218.648576500142</v>
      </c>
      <c r="BJ51" s="106">
        <v>26.947546194617416</v>
      </c>
      <c r="BK51" s="106">
        <v>23023.983468681119</v>
      </c>
      <c r="BL51" s="106">
        <v>31.29968972515022</v>
      </c>
      <c r="BM51" s="106">
        <v>26742.454901168348</v>
      </c>
      <c r="BN51" s="106">
        <v>23.187986128807115</v>
      </c>
      <c r="BO51" s="106">
        <v>19811.815348452797</v>
      </c>
      <c r="BP51" s="106">
        <v>29.965748900610425</v>
      </c>
      <c r="BQ51" s="106">
        <v>25602.735860681547</v>
      </c>
      <c r="BR51" s="106">
        <v>3.5610656881651339</v>
      </c>
      <c r="BS51" s="106">
        <v>3042.5745239682901</v>
      </c>
      <c r="BT51" s="106">
        <v>26.946920739973951</v>
      </c>
      <c r="BU51" s="106">
        <v>23023.449080233742</v>
      </c>
      <c r="BV51" s="106">
        <v>24.029172420488123</v>
      </c>
      <c r="BW51" s="106">
        <v>20530.524916065053</v>
      </c>
      <c r="BX51" s="106">
        <v>28.911619193700187</v>
      </c>
      <c r="BY51" s="106">
        <v>24702.087439097439</v>
      </c>
      <c r="BZ51" s="106">
        <v>3.6242870660362807</v>
      </c>
      <c r="CA51" s="106">
        <v>3096.590869221398</v>
      </c>
      <c r="CB51" s="106">
        <v>31</v>
      </c>
      <c r="CC51" s="106">
        <v>26486.399999999998</v>
      </c>
      <c r="CD51" s="106">
        <v>41</v>
      </c>
      <c r="CE51" s="106">
        <v>35030.400000000001</v>
      </c>
      <c r="CF51" s="106">
        <v>25.822581055349339</v>
      </c>
      <c r="CG51" s="106">
        <v>22062.813253690474</v>
      </c>
      <c r="CH51" s="106">
        <v>31.060820367751063</v>
      </c>
      <c r="CI51" s="106">
        <v>26538.364922206507</v>
      </c>
      <c r="CJ51" s="106">
        <v>20.531098878043451</v>
      </c>
      <c r="CK51" s="106">
        <v>17541.770881400324</v>
      </c>
      <c r="CL51" s="106">
        <v>45</v>
      </c>
      <c r="CM51" s="106">
        <v>38448</v>
      </c>
      <c r="CN51" s="106">
        <v>50.326856815829842</v>
      </c>
      <c r="CO51" s="106">
        <v>42999.266463445019</v>
      </c>
      <c r="CP51" s="106">
        <v>17.308797962991711</v>
      </c>
      <c r="CQ51" s="106">
        <v>14788.636979580118</v>
      </c>
      <c r="CR51" s="106">
        <v>3.2179995199527909</v>
      </c>
      <c r="CS51" s="106">
        <v>2749.4587898476643</v>
      </c>
      <c r="CT51" s="106">
        <v>15.685247784049865</v>
      </c>
      <c r="CU51" s="106">
        <v>13401.475706692205</v>
      </c>
    </row>
    <row r="52" spans="2:99" x14ac:dyDescent="0.2">
      <c r="C52" s="105" t="s">
        <v>217</v>
      </c>
      <c r="D52" s="106">
        <v>0</v>
      </c>
      <c r="E52" s="106">
        <v>0</v>
      </c>
      <c r="F52" s="106">
        <v>0</v>
      </c>
      <c r="G52" s="106">
        <v>0</v>
      </c>
      <c r="H52" s="106">
        <v>32.636669041217402</v>
      </c>
      <c r="I52" s="106">
        <v>17623.801282257398</v>
      </c>
      <c r="J52" s="106">
        <v>2.9258680186743349</v>
      </c>
      <c r="K52" s="106">
        <v>1579.9687300841408</v>
      </c>
      <c r="L52" s="106">
        <v>44.071136867834063</v>
      </c>
      <c r="M52" s="106">
        <v>23798.413908630395</v>
      </c>
      <c r="N52" s="106">
        <v>6.223585877281117</v>
      </c>
      <c r="O52" s="106">
        <v>3360.7363737318033</v>
      </c>
      <c r="P52" s="106">
        <v>33.361869048994883</v>
      </c>
      <c r="Q52" s="106">
        <v>18015.409286457238</v>
      </c>
      <c r="R52" s="106">
        <v>46.181006503904634</v>
      </c>
      <c r="S52" s="106">
        <v>24937.743512108504</v>
      </c>
      <c r="T52" s="106">
        <v>29.29837689659913</v>
      </c>
      <c r="U52" s="106">
        <v>15821.12352416353</v>
      </c>
      <c r="V52" s="106">
        <v>35.830374604031093</v>
      </c>
      <c r="W52" s="106">
        <v>19348.402286176792</v>
      </c>
      <c r="X52" s="106">
        <v>37.757892514314996</v>
      </c>
      <c r="Y52" s="106">
        <v>20389.261957730097</v>
      </c>
      <c r="Z52" s="106">
        <v>33.574835086141881</v>
      </c>
      <c r="AA52" s="106">
        <v>18130.410946516615</v>
      </c>
      <c r="AB52" s="106">
        <v>27.239273110819031</v>
      </c>
      <c r="AC52" s="106">
        <v>14709.207479842276</v>
      </c>
      <c r="AD52" s="106">
        <v>27.598975546663429</v>
      </c>
      <c r="AE52" s="106">
        <v>14903.446795198251</v>
      </c>
      <c r="AF52" s="106">
        <v>35.21864252856043</v>
      </c>
      <c r="AG52" s="106">
        <v>19018.066965422633</v>
      </c>
      <c r="AH52" s="106">
        <v>30.803787098929611</v>
      </c>
      <c r="AI52" s="106">
        <v>16634.04503342199</v>
      </c>
      <c r="AJ52" s="106">
        <v>38.518324242546754</v>
      </c>
      <c r="AK52" s="106">
        <v>20799.895090975246</v>
      </c>
      <c r="AL52" s="106">
        <v>30.322731402032293</v>
      </c>
      <c r="AM52" s="106">
        <v>16374.274957097437</v>
      </c>
      <c r="AN52" s="106">
        <v>38.212148168930071</v>
      </c>
      <c r="AO52" s="106">
        <v>20634.560011222238</v>
      </c>
      <c r="AP52" s="106">
        <v>21.246011980155842</v>
      </c>
      <c r="AQ52" s="106">
        <v>11472.846469284155</v>
      </c>
      <c r="AR52" s="106">
        <v>34.28177446186718</v>
      </c>
      <c r="AS52" s="106">
        <v>18512.158209408277</v>
      </c>
      <c r="AT52" s="106">
        <v>8.7603597855559823</v>
      </c>
      <c r="AU52" s="106">
        <v>4730.5942842002305</v>
      </c>
      <c r="AV52" s="106">
        <v>46</v>
      </c>
      <c r="AW52" s="106">
        <v>24840</v>
      </c>
      <c r="AX52" s="106">
        <v>13.014912393975804</v>
      </c>
      <c r="AY52" s="106">
        <v>7028.0526927469336</v>
      </c>
      <c r="AZ52" s="106">
        <v>62.375246993892866</v>
      </c>
      <c r="BA52" s="106">
        <v>33682.63337670215</v>
      </c>
      <c r="BB52" s="106">
        <v>28.8872636426828</v>
      </c>
      <c r="BC52" s="106">
        <v>15599.122367048712</v>
      </c>
      <c r="BD52" s="106">
        <v>31.318578358080043</v>
      </c>
      <c r="BE52" s="106">
        <v>16912.032313363223</v>
      </c>
      <c r="BF52" s="106">
        <v>21.952644418915881</v>
      </c>
      <c r="BG52" s="106">
        <v>11854.427986214576</v>
      </c>
      <c r="BH52" s="106">
        <v>24.243261537935442</v>
      </c>
      <c r="BI52" s="106">
        <v>13091.361230485139</v>
      </c>
      <c r="BJ52" s="106">
        <v>28.872370922804372</v>
      </c>
      <c r="BK52" s="106">
        <v>15591.08029831436</v>
      </c>
      <c r="BL52" s="106">
        <v>33.140847944276707</v>
      </c>
      <c r="BM52" s="106">
        <v>17896.057889909422</v>
      </c>
      <c r="BN52" s="106">
        <v>23.692072783781182</v>
      </c>
      <c r="BO52" s="106">
        <v>12793.719303241838</v>
      </c>
      <c r="BP52" s="106">
        <v>32.962323790671469</v>
      </c>
      <c r="BQ52" s="106">
        <v>17799.654846962592</v>
      </c>
      <c r="BR52" s="106">
        <v>3.9359147079719903</v>
      </c>
      <c r="BS52" s="106">
        <v>2125.3939423048746</v>
      </c>
      <c r="BT52" s="106">
        <v>27.411522821697641</v>
      </c>
      <c r="BU52" s="106">
        <v>14802.222323716725</v>
      </c>
      <c r="BV52" s="106">
        <v>22.180774541989038</v>
      </c>
      <c r="BW52" s="106">
        <v>11977.618252674081</v>
      </c>
      <c r="BX52" s="106">
        <v>33.730222392650219</v>
      </c>
      <c r="BY52" s="106">
        <v>18214.320092031117</v>
      </c>
      <c r="BZ52" s="106">
        <v>4.3930752315591279</v>
      </c>
      <c r="CA52" s="106">
        <v>2372.260625041929</v>
      </c>
      <c r="CB52" s="106">
        <v>33</v>
      </c>
      <c r="CC52" s="106">
        <v>17820</v>
      </c>
      <c r="CD52" s="106">
        <v>43</v>
      </c>
      <c r="CE52" s="106">
        <v>23220</v>
      </c>
      <c r="CF52" s="106">
        <v>24.061950528848246</v>
      </c>
      <c r="CG52" s="106">
        <v>12993.453285578053</v>
      </c>
      <c r="CH52" s="106">
        <v>28.990099009900991</v>
      </c>
      <c r="CI52" s="106">
        <v>15654.653465346535</v>
      </c>
      <c r="CJ52" s="106">
        <v>21.215468840644899</v>
      </c>
      <c r="CK52" s="106">
        <v>11456.353173948246</v>
      </c>
      <c r="CL52" s="106">
        <v>44</v>
      </c>
      <c r="CM52" s="106">
        <v>23760</v>
      </c>
      <c r="CN52" s="106">
        <v>58.714666285134811</v>
      </c>
      <c r="CO52" s="106">
        <v>31705.919793972796</v>
      </c>
      <c r="CP52" s="106">
        <v>19.971689957298132</v>
      </c>
      <c r="CQ52" s="106">
        <v>10784.71257694099</v>
      </c>
      <c r="CR52" s="106">
        <v>3.6860721774004688</v>
      </c>
      <c r="CS52" s="106">
        <v>1990.4789757962531</v>
      </c>
      <c r="CT52" s="106">
        <v>16.556650438719302</v>
      </c>
      <c r="CU52" s="106">
        <v>8940.5912369084235</v>
      </c>
    </row>
    <row r="53" spans="2:99" x14ac:dyDescent="0.2">
      <c r="C53" s="105" t="s">
        <v>218</v>
      </c>
      <c r="D53" s="106">
        <v>0</v>
      </c>
      <c r="E53" s="106">
        <v>0</v>
      </c>
      <c r="F53" s="106">
        <v>0</v>
      </c>
      <c r="G53" s="106">
        <v>0</v>
      </c>
      <c r="H53" s="106">
        <v>35.001645058696923</v>
      </c>
      <c r="I53" s="106">
        <v>14238.669209877909</v>
      </c>
      <c r="J53" s="106">
        <v>3.2509644651937055</v>
      </c>
      <c r="K53" s="106">
        <v>1322.4923444407993</v>
      </c>
      <c r="L53" s="106">
        <v>50.498177661059863</v>
      </c>
      <c r="M53" s="106">
        <v>20542.658672519152</v>
      </c>
      <c r="N53" s="106">
        <v>6.3456169729140797</v>
      </c>
      <c r="O53" s="106">
        <v>2581.3969845814477</v>
      </c>
      <c r="P53" s="106">
        <v>30.214522912297252</v>
      </c>
      <c r="Q53" s="106">
        <v>12291.267920722523</v>
      </c>
      <c r="R53" s="106">
        <v>55.061969293117059</v>
      </c>
      <c r="S53" s="106">
        <v>22399.20910844002</v>
      </c>
      <c r="T53" s="106">
        <v>30.425237546468328</v>
      </c>
      <c r="U53" s="106">
        <v>12376.986633903316</v>
      </c>
      <c r="V53" s="106">
        <v>33.503726902470632</v>
      </c>
      <c r="W53" s="106">
        <v>13629.316103925054</v>
      </c>
      <c r="X53" s="106">
        <v>41.471783581296798</v>
      </c>
      <c r="Y53" s="106">
        <v>16870.721560871538</v>
      </c>
      <c r="Z53" s="106">
        <v>34.882945544043515</v>
      </c>
      <c r="AA53" s="106">
        <v>14190.382247316902</v>
      </c>
      <c r="AB53" s="106">
        <v>29.607905555238077</v>
      </c>
      <c r="AC53" s="106">
        <v>12044.49597987085</v>
      </c>
      <c r="AD53" s="106">
        <v>26.036769383644742</v>
      </c>
      <c r="AE53" s="106">
        <v>10591.757785266682</v>
      </c>
      <c r="AF53" s="106">
        <v>40.779480822543654</v>
      </c>
      <c r="AG53" s="106">
        <v>16589.09279861076</v>
      </c>
      <c r="AH53" s="106">
        <v>27.723408389036649</v>
      </c>
      <c r="AI53" s="106">
        <v>11277.882532660109</v>
      </c>
      <c r="AJ53" s="106">
        <v>39.588277693728614</v>
      </c>
      <c r="AK53" s="106">
        <v>16104.511365808801</v>
      </c>
      <c r="AL53" s="106">
        <v>30.322731402032293</v>
      </c>
      <c r="AM53" s="106">
        <v>12335.287134346738</v>
      </c>
      <c r="AN53" s="106">
        <v>35.785980031220227</v>
      </c>
      <c r="AO53" s="106">
        <v>14557.736676700388</v>
      </c>
      <c r="AP53" s="106">
        <v>25.96734797574603</v>
      </c>
      <c r="AQ53" s="106">
        <v>10563.517156533486</v>
      </c>
      <c r="AR53" s="106">
        <v>35.653045440341863</v>
      </c>
      <c r="AS53" s="106">
        <v>14503.65888513107</v>
      </c>
      <c r="AT53" s="106">
        <v>7.7417132988634263</v>
      </c>
      <c r="AU53" s="106">
        <v>3149.3289699776419</v>
      </c>
      <c r="AV53" s="106">
        <v>54</v>
      </c>
      <c r="AW53" s="106">
        <v>21967.200000000001</v>
      </c>
      <c r="AX53" s="106">
        <v>12.050844809236855</v>
      </c>
      <c r="AY53" s="106">
        <v>4902.2836683975529</v>
      </c>
      <c r="AZ53" s="106">
        <v>65.127096125976379</v>
      </c>
      <c r="BA53" s="106">
        <v>26493.702704047191</v>
      </c>
      <c r="BB53" s="106">
        <v>30.020097511023309</v>
      </c>
      <c r="BC53" s="106">
        <v>12212.175667484282</v>
      </c>
      <c r="BD53" s="106">
        <v>29.120783385583195</v>
      </c>
      <c r="BE53" s="106">
        <v>11846.334681255245</v>
      </c>
      <c r="BF53" s="106">
        <v>23.44941562929651</v>
      </c>
      <c r="BG53" s="106">
        <v>9539.2222779978201</v>
      </c>
      <c r="BH53" s="106">
        <v>23.65196247603458</v>
      </c>
      <c r="BI53" s="106">
        <v>9621.6183352508669</v>
      </c>
      <c r="BJ53" s="106">
        <v>28.872370922804372</v>
      </c>
      <c r="BK53" s="106">
        <v>11745.280491396819</v>
      </c>
      <c r="BL53" s="106">
        <v>33.140847944276707</v>
      </c>
      <c r="BM53" s="106">
        <v>13481.696943731766</v>
      </c>
      <c r="BN53" s="106">
        <v>25.204332748703383</v>
      </c>
      <c r="BO53" s="106">
        <v>10253.122562172537</v>
      </c>
      <c r="BP53" s="106">
        <v>32.36300881265926</v>
      </c>
      <c r="BQ53" s="106">
        <v>13165.271984989788</v>
      </c>
      <c r="BR53" s="106">
        <v>3.7484901980685628</v>
      </c>
      <c r="BS53" s="106">
        <v>1524.8858125742913</v>
      </c>
      <c r="BT53" s="106">
        <v>31.592941557210839</v>
      </c>
      <c r="BU53" s="106">
        <v>12852.008625473371</v>
      </c>
      <c r="BV53" s="106">
        <v>27.109835551319932</v>
      </c>
      <c r="BW53" s="106">
        <v>11028.281102276949</v>
      </c>
      <c r="BX53" s="106">
        <v>29.59999107926448</v>
      </c>
      <c r="BY53" s="106">
        <v>12041.276371044791</v>
      </c>
      <c r="BZ53" s="106">
        <v>4.1734214699811716</v>
      </c>
      <c r="CA53" s="106">
        <v>1697.7478539883407</v>
      </c>
      <c r="CB53" s="106">
        <v>33</v>
      </c>
      <c r="CC53" s="106">
        <v>13424.4</v>
      </c>
      <c r="CD53" s="106">
        <v>46</v>
      </c>
      <c r="CE53" s="106">
        <v>18712.8</v>
      </c>
      <c r="CF53" s="106">
        <v>24.648827371015276</v>
      </c>
      <c r="CG53" s="106">
        <v>10027.142974529015</v>
      </c>
      <c r="CH53" s="106">
        <v>32.44130127298444</v>
      </c>
      <c r="CI53" s="106">
        <v>13197.12135785007</v>
      </c>
      <c r="CJ53" s="106">
        <v>18.477988990239105</v>
      </c>
      <c r="CK53" s="106">
        <v>7516.8459212292682</v>
      </c>
      <c r="CL53" s="106">
        <v>51</v>
      </c>
      <c r="CM53" s="106">
        <v>20746.8</v>
      </c>
      <c r="CN53" s="106">
        <v>52.004418709690832</v>
      </c>
      <c r="CO53" s="106">
        <v>21155.39753110223</v>
      </c>
      <c r="CP53" s="106">
        <v>17.752613295376115</v>
      </c>
      <c r="CQ53" s="106">
        <v>7221.7630885590033</v>
      </c>
      <c r="CR53" s="106">
        <v>3.5105449308575896</v>
      </c>
      <c r="CS53" s="106">
        <v>1428.0896778728675</v>
      </c>
      <c r="CT53" s="106">
        <v>16.120949111384583</v>
      </c>
      <c r="CU53" s="106">
        <v>6558.0020985112487</v>
      </c>
    </row>
    <row r="54" spans="2:99" x14ac:dyDescent="0.2">
      <c r="C54" s="105" t="s">
        <v>219</v>
      </c>
      <c r="D54" s="106">
        <v>0</v>
      </c>
      <c r="E54" s="106">
        <v>0</v>
      </c>
      <c r="F54" s="106">
        <v>0</v>
      </c>
      <c r="G54" s="106">
        <v>0</v>
      </c>
      <c r="H54" s="106">
        <v>35.947635465688734</v>
      </c>
      <c r="I54" s="106">
        <v>12035.268353912588</v>
      </c>
      <c r="J54" s="106">
        <v>3.1696903535638628</v>
      </c>
      <c r="K54" s="106">
        <v>1061.2123303731812</v>
      </c>
      <c r="L54" s="106">
        <v>44.989285552580611</v>
      </c>
      <c r="M54" s="106">
        <v>15062.412803003988</v>
      </c>
      <c r="N54" s="106">
        <v>6.4676480685470432</v>
      </c>
      <c r="O54" s="106">
        <v>2165.3685733495499</v>
      </c>
      <c r="P54" s="106">
        <v>35.879745958352984</v>
      </c>
      <c r="Q54" s="106">
        <v>12012.538946856579</v>
      </c>
      <c r="R54" s="106">
        <v>47.069102782825873</v>
      </c>
      <c r="S54" s="106">
        <v>15758.735611690103</v>
      </c>
      <c r="T54" s="106">
        <v>30.425237546468328</v>
      </c>
      <c r="U54" s="106">
        <v>10186.369530557597</v>
      </c>
      <c r="V54" s="106">
        <v>33.969056442782723</v>
      </c>
      <c r="W54" s="106">
        <v>11372.840097043656</v>
      </c>
      <c r="X54" s="106">
        <v>37.757892514314996</v>
      </c>
      <c r="Y54" s="106">
        <v>12641.342413792661</v>
      </c>
      <c r="Z54" s="106">
        <v>30.95861417033862</v>
      </c>
      <c r="AA54" s="106">
        <v>10364.944024229371</v>
      </c>
      <c r="AB54" s="106">
        <v>26.05495688860951</v>
      </c>
      <c r="AC54" s="106">
        <v>8723.1995663064645</v>
      </c>
      <c r="AD54" s="106">
        <v>28.640446322009218</v>
      </c>
      <c r="AE54" s="106">
        <v>9588.8214286086859</v>
      </c>
      <c r="AF54" s="106">
        <v>40.161609900989966</v>
      </c>
      <c r="AG54" s="106">
        <v>13446.106994851441</v>
      </c>
      <c r="AH54" s="106">
        <v>32.123949403169448</v>
      </c>
      <c r="AI54" s="106">
        <v>10755.098260181132</v>
      </c>
      <c r="AJ54" s="106">
        <v>36.378417340183042</v>
      </c>
      <c r="AK54" s="106">
        <v>12179.494125493282</v>
      </c>
      <c r="AL54" s="106">
        <v>32.378509802170079</v>
      </c>
      <c r="AM54" s="106">
        <v>10840.325081766543</v>
      </c>
      <c r="AN54" s="106">
        <v>36.39252206564769</v>
      </c>
      <c r="AO54" s="106">
        <v>12184.216387578846</v>
      </c>
      <c r="AP54" s="106">
        <v>24.000124644250118</v>
      </c>
      <c r="AQ54" s="106">
        <v>8035.2417308949398</v>
      </c>
      <c r="AR54" s="106">
        <v>30.167961526443115</v>
      </c>
      <c r="AS54" s="106">
        <v>10100.233519053156</v>
      </c>
      <c r="AT54" s="106">
        <v>9.1678183802330064</v>
      </c>
      <c r="AU54" s="106">
        <v>3069.3855937020107</v>
      </c>
      <c r="AV54" s="106">
        <v>52</v>
      </c>
      <c r="AW54" s="106">
        <v>17409.600000000002</v>
      </c>
      <c r="AX54" s="106">
        <v>13.175590324765627</v>
      </c>
      <c r="AY54" s="106">
        <v>4411.1876407315322</v>
      </c>
      <c r="AZ54" s="106">
        <v>75.21720961028258</v>
      </c>
      <c r="BA54" s="106">
        <v>25182.721777522609</v>
      </c>
      <c r="BB54" s="106">
        <v>31.15293137936381</v>
      </c>
      <c r="BC54" s="106">
        <v>10430.001425811004</v>
      </c>
      <c r="BD54" s="106">
        <v>32.966924587452674</v>
      </c>
      <c r="BE54" s="106">
        <v>11037.326351879155</v>
      </c>
      <c r="BF54" s="106">
        <v>23.44941562929651</v>
      </c>
      <c r="BG54" s="106">
        <v>7850.8643526884716</v>
      </c>
      <c r="BH54" s="106">
        <v>24.243261537935442</v>
      </c>
      <c r="BI54" s="106">
        <v>8116.6439629007864</v>
      </c>
      <c r="BJ54" s="106">
        <v>31.952090487903508</v>
      </c>
      <c r="BK54" s="106">
        <v>10697.559895350094</v>
      </c>
      <c r="BL54" s="106">
        <v>37.743743492092918</v>
      </c>
      <c r="BM54" s="106">
        <v>12636.605321152709</v>
      </c>
      <c r="BN54" s="106">
        <v>25.204332748703383</v>
      </c>
      <c r="BO54" s="106">
        <v>8438.4106042658932</v>
      </c>
      <c r="BP54" s="106">
        <v>29.965748900610425</v>
      </c>
      <c r="BQ54" s="106">
        <v>10032.53273192437</v>
      </c>
      <c r="BR54" s="106">
        <v>3.9359147079719903</v>
      </c>
      <c r="BS54" s="106">
        <v>1317.7442442290223</v>
      </c>
      <c r="BT54" s="106">
        <v>28.805329066868708</v>
      </c>
      <c r="BU54" s="106">
        <v>9644.0241715876437</v>
      </c>
      <c r="BV54" s="106">
        <v>25.877570298987209</v>
      </c>
      <c r="BW54" s="106">
        <v>8663.8105361009184</v>
      </c>
      <c r="BX54" s="106">
        <v>33.041850507085933</v>
      </c>
      <c r="BY54" s="106">
        <v>11062.411549772371</v>
      </c>
      <c r="BZ54" s="106">
        <v>4.6127289931370843</v>
      </c>
      <c r="CA54" s="106">
        <v>1544.3416669022959</v>
      </c>
      <c r="CB54" s="106">
        <v>32</v>
      </c>
      <c r="CC54" s="106">
        <v>10713.6</v>
      </c>
      <c r="CD54" s="106">
        <v>42</v>
      </c>
      <c r="CE54" s="106">
        <v>14061.6</v>
      </c>
      <c r="CF54" s="106">
        <v>26.996334739683398</v>
      </c>
      <c r="CG54" s="106">
        <v>9038.3728708460021</v>
      </c>
      <c r="CH54" s="106">
        <v>35.2022630834512</v>
      </c>
      <c r="CI54" s="106">
        <v>11785.717680339461</v>
      </c>
      <c r="CJ54" s="106">
        <v>19.162358952840552</v>
      </c>
      <c r="CK54" s="106">
        <v>6415.557777411017</v>
      </c>
      <c r="CL54" s="106">
        <v>46</v>
      </c>
      <c r="CM54" s="106">
        <v>15400.800000000001</v>
      </c>
      <c r="CN54" s="106">
        <v>56.198323444343316</v>
      </c>
      <c r="CO54" s="106">
        <v>18815.198689166144</v>
      </c>
      <c r="CP54" s="106">
        <v>21.303135954451339</v>
      </c>
      <c r="CQ54" s="106">
        <v>7132.289917550308</v>
      </c>
      <c r="CR54" s="106">
        <v>3.4520358486766303</v>
      </c>
      <c r="CS54" s="106">
        <v>1155.7416021369359</v>
      </c>
      <c r="CT54" s="106">
        <v>15.467397120382506</v>
      </c>
      <c r="CU54" s="106">
        <v>5178.4845559040632</v>
      </c>
    </row>
    <row r="55" spans="2:99" x14ac:dyDescent="0.2">
      <c r="C55" s="105" t="s">
        <v>220</v>
      </c>
      <c r="D55" s="106">
        <v>0</v>
      </c>
      <c r="E55" s="106">
        <v>0</v>
      </c>
      <c r="F55" s="106">
        <v>0</v>
      </c>
      <c r="G55" s="106">
        <v>0</v>
      </c>
      <c r="H55" s="106">
        <v>32.163673837721497</v>
      </c>
      <c r="I55" s="106">
        <v>21343.813958711988</v>
      </c>
      <c r="J55" s="106">
        <v>3.0071421303041772</v>
      </c>
      <c r="K55" s="106">
        <v>1995.5395176698521</v>
      </c>
      <c r="L55" s="106">
        <v>44.071136867834063</v>
      </c>
      <c r="M55" s="106">
        <v>29245.606425494687</v>
      </c>
      <c r="N55" s="106">
        <v>5.8574925903822272</v>
      </c>
      <c r="O55" s="106">
        <v>3887.032082977646</v>
      </c>
      <c r="P55" s="106">
        <v>34.62080750367393</v>
      </c>
      <c r="Q55" s="106">
        <v>22974.367859438022</v>
      </c>
      <c r="R55" s="106">
        <v>45.292910224983387</v>
      </c>
      <c r="S55" s="106">
        <v>30056.375225298976</v>
      </c>
      <c r="T55" s="106">
        <v>31.552098196337525</v>
      </c>
      <c r="U55" s="106">
        <v>20937.972363089582</v>
      </c>
      <c r="V55" s="106">
        <v>29.781090579973895</v>
      </c>
      <c r="W55" s="106">
        <v>19762.731708870677</v>
      </c>
      <c r="X55" s="106">
        <v>39.614838047805897</v>
      </c>
      <c r="Y55" s="106">
        <v>26288.406528523996</v>
      </c>
      <c r="Z55" s="106">
        <v>31.830687808939707</v>
      </c>
      <c r="AA55" s="106">
        <v>21122.844430012392</v>
      </c>
      <c r="AB55" s="106">
        <v>24.870640666399982</v>
      </c>
      <c r="AC55" s="106">
        <v>16504.157146223028</v>
      </c>
      <c r="AD55" s="106">
        <v>25.516033995971849</v>
      </c>
      <c r="AE55" s="106">
        <v>16932.440159726921</v>
      </c>
      <c r="AF55" s="106">
        <v>36.454384371667814</v>
      </c>
      <c r="AG55" s="106">
        <v>24191.129469038762</v>
      </c>
      <c r="AH55" s="106">
        <v>25.963191983383528</v>
      </c>
      <c r="AI55" s="106">
        <v>17229.174200173311</v>
      </c>
      <c r="AJ55" s="106">
        <v>39.588277693728614</v>
      </c>
      <c r="AK55" s="106">
        <v>26270.781077558309</v>
      </c>
      <c r="AL55" s="106">
        <v>28.266953001894514</v>
      </c>
      <c r="AM55" s="106">
        <v>18757.950012057201</v>
      </c>
      <c r="AN55" s="106">
        <v>36.999064100075152</v>
      </c>
      <c r="AO55" s="106">
        <v>24552.57893680987</v>
      </c>
      <c r="AP55" s="106">
        <v>25.180458643147666</v>
      </c>
      <c r="AQ55" s="106">
        <v>16709.752355592791</v>
      </c>
      <c r="AR55" s="106">
        <v>31.996322831076032</v>
      </c>
      <c r="AS55" s="106">
        <v>21232.759830702056</v>
      </c>
      <c r="AT55" s="106">
        <v>7.5379840015249151</v>
      </c>
      <c r="AU55" s="106">
        <v>5002.206183411934</v>
      </c>
      <c r="AV55" s="106">
        <v>49</v>
      </c>
      <c r="AW55" s="106">
        <v>32516.400000000001</v>
      </c>
      <c r="AX55" s="106">
        <v>12.854234463185978</v>
      </c>
      <c r="AY55" s="106">
        <v>8530.0699897702161</v>
      </c>
      <c r="AZ55" s="106">
        <v>63.292530037920706</v>
      </c>
      <c r="BA55" s="106">
        <v>42000.922933164184</v>
      </c>
      <c r="BB55" s="106">
        <v>31.719348313534059</v>
      </c>
      <c r="BC55" s="106">
        <v>21048.959540861204</v>
      </c>
      <c r="BD55" s="106">
        <v>31.868027101204252</v>
      </c>
      <c r="BE55" s="106">
        <v>21147.62278435914</v>
      </c>
      <c r="BF55" s="106">
        <v>23.94833936609005</v>
      </c>
      <c r="BG55" s="106">
        <v>15892.118003337357</v>
      </c>
      <c r="BH55" s="106">
        <v>22.469364352232848</v>
      </c>
      <c r="BI55" s="106">
        <v>14910.670184141718</v>
      </c>
      <c r="BJ55" s="106">
        <v>30.027265759716549</v>
      </c>
      <c r="BK55" s="106">
        <v>19926.093558147903</v>
      </c>
      <c r="BL55" s="106">
        <v>33.140847944276707</v>
      </c>
      <c r="BM55" s="106">
        <v>21992.266695822025</v>
      </c>
      <c r="BN55" s="106">
        <v>23.187986128807115</v>
      </c>
      <c r="BO55" s="106">
        <v>15387.547595076401</v>
      </c>
      <c r="BP55" s="106">
        <v>28.767118944586013</v>
      </c>
      <c r="BQ55" s="106">
        <v>19089.86013162728</v>
      </c>
      <c r="BR55" s="106">
        <v>3.686015361434086</v>
      </c>
      <c r="BS55" s="106">
        <v>2446.0397938476594</v>
      </c>
      <c r="BT55" s="106">
        <v>28.340726985145015</v>
      </c>
      <c r="BU55" s="106">
        <v>18806.906427342234</v>
      </c>
      <c r="BV55" s="106">
        <v>22.180774541989038</v>
      </c>
      <c r="BW55" s="106">
        <v>14719.161986063926</v>
      </c>
      <c r="BX55" s="106">
        <v>28.911619193700187</v>
      </c>
      <c r="BY55" s="106">
        <v>19185.750496939443</v>
      </c>
      <c r="BZ55" s="106">
        <v>4.0635945891921939</v>
      </c>
      <c r="CA55" s="106">
        <v>2696.6013693879399</v>
      </c>
      <c r="CB55" s="106">
        <v>31</v>
      </c>
      <c r="CC55" s="106">
        <v>20571.600000000002</v>
      </c>
      <c r="CD55" s="106">
        <v>41</v>
      </c>
      <c r="CE55" s="106">
        <v>27207.600000000002</v>
      </c>
      <c r="CF55" s="106">
        <v>25.822581055349339</v>
      </c>
      <c r="CG55" s="106">
        <v>17135.864788329822</v>
      </c>
      <c r="CH55" s="106">
        <v>31.060820367751063</v>
      </c>
      <c r="CI55" s="106">
        <v>20611.960396039605</v>
      </c>
      <c r="CJ55" s="106">
        <v>18.477988990239105</v>
      </c>
      <c r="CK55" s="106">
        <v>12261.99349392267</v>
      </c>
      <c r="CL55" s="106">
        <v>46</v>
      </c>
      <c r="CM55" s="106">
        <v>30525.600000000002</v>
      </c>
      <c r="CN55" s="106">
        <v>49.488075868899344</v>
      </c>
      <c r="CO55" s="106">
        <v>32840.287146601608</v>
      </c>
      <c r="CP55" s="106">
        <v>16.864982630607312</v>
      </c>
      <c r="CQ55" s="106">
        <v>11191.602473671011</v>
      </c>
      <c r="CR55" s="106">
        <v>3.0424722734099108</v>
      </c>
      <c r="CS55" s="106">
        <v>2018.9846006348168</v>
      </c>
      <c r="CT55" s="106">
        <v>14.813845129380429</v>
      </c>
      <c r="CU55" s="106">
        <v>9830.4676278568531</v>
      </c>
    </row>
    <row r="56" spans="2:99" x14ac:dyDescent="0.2">
      <c r="C56" s="105" t="s">
        <v>221</v>
      </c>
      <c r="D56" s="106">
        <v>0</v>
      </c>
      <c r="E56" s="106">
        <v>0</v>
      </c>
      <c r="F56" s="106">
        <v>0</v>
      </c>
      <c r="G56" s="106">
        <v>0</v>
      </c>
      <c r="H56" s="106">
        <v>0</v>
      </c>
      <c r="I56" s="106">
        <v>0</v>
      </c>
      <c r="J56" s="106">
        <v>0</v>
      </c>
      <c r="K56" s="106">
        <v>0</v>
      </c>
      <c r="L56" s="106">
        <v>0</v>
      </c>
      <c r="M56" s="106">
        <v>0</v>
      </c>
      <c r="N56" s="106">
        <v>0</v>
      </c>
      <c r="O56" s="106">
        <v>0</v>
      </c>
      <c r="P56" s="106">
        <v>0</v>
      </c>
      <c r="Q56" s="106">
        <v>0</v>
      </c>
      <c r="R56" s="106">
        <v>0</v>
      </c>
      <c r="S56" s="106">
        <v>0</v>
      </c>
      <c r="T56" s="106">
        <v>0</v>
      </c>
      <c r="U56" s="106">
        <v>0</v>
      </c>
      <c r="V56" s="106">
        <v>0</v>
      </c>
      <c r="W56" s="106">
        <v>0</v>
      </c>
      <c r="X56" s="106">
        <v>0</v>
      </c>
      <c r="Y56" s="106">
        <v>0</v>
      </c>
      <c r="Z56" s="106">
        <v>0</v>
      </c>
      <c r="AA56" s="106">
        <v>0</v>
      </c>
      <c r="AB56" s="106">
        <v>0</v>
      </c>
      <c r="AC56" s="106">
        <v>0</v>
      </c>
      <c r="AD56" s="106">
        <v>0</v>
      </c>
      <c r="AE56" s="106">
        <v>0</v>
      </c>
      <c r="AF56" s="106">
        <v>0</v>
      </c>
      <c r="AG56" s="106">
        <v>0</v>
      </c>
      <c r="AH56" s="106">
        <v>0</v>
      </c>
      <c r="AI56" s="106">
        <v>0</v>
      </c>
      <c r="AJ56" s="106">
        <v>0</v>
      </c>
      <c r="AK56" s="106">
        <v>0</v>
      </c>
      <c r="AL56" s="106">
        <v>0</v>
      </c>
      <c r="AM56" s="106">
        <v>0</v>
      </c>
      <c r="AN56" s="106">
        <v>0</v>
      </c>
      <c r="AO56" s="106">
        <v>0</v>
      </c>
      <c r="AP56" s="106">
        <v>0</v>
      </c>
      <c r="AQ56" s="106">
        <v>0</v>
      </c>
      <c r="AR56" s="106">
        <v>0</v>
      </c>
      <c r="AS56" s="106">
        <v>0</v>
      </c>
      <c r="AT56" s="106">
        <v>0</v>
      </c>
      <c r="AU56" s="106">
        <v>0</v>
      </c>
      <c r="AV56" s="106">
        <v>0</v>
      </c>
      <c r="AW56" s="106">
        <v>0</v>
      </c>
      <c r="AX56" s="106">
        <v>0</v>
      </c>
      <c r="AY56" s="106">
        <v>0</v>
      </c>
      <c r="AZ56" s="106">
        <v>0</v>
      </c>
      <c r="BA56" s="106">
        <v>0</v>
      </c>
      <c r="BB56" s="106">
        <v>0</v>
      </c>
      <c r="BC56" s="106">
        <v>0</v>
      </c>
      <c r="BD56" s="106">
        <v>0</v>
      </c>
      <c r="BE56" s="106">
        <v>0</v>
      </c>
      <c r="BF56" s="106">
        <v>0</v>
      </c>
      <c r="BG56" s="106">
        <v>0</v>
      </c>
      <c r="BH56" s="106">
        <v>0</v>
      </c>
      <c r="BI56" s="106">
        <v>0</v>
      </c>
      <c r="BJ56" s="106">
        <v>0</v>
      </c>
      <c r="BK56" s="106">
        <v>0</v>
      </c>
      <c r="BL56" s="106">
        <v>0</v>
      </c>
      <c r="BM56" s="106">
        <v>0</v>
      </c>
      <c r="BN56" s="106">
        <v>0</v>
      </c>
      <c r="BO56" s="106">
        <v>0</v>
      </c>
      <c r="BP56" s="106">
        <v>0</v>
      </c>
      <c r="BQ56" s="106">
        <v>0</v>
      </c>
      <c r="BR56" s="106">
        <v>0</v>
      </c>
      <c r="BS56" s="106">
        <v>0</v>
      </c>
      <c r="BT56" s="106">
        <v>0</v>
      </c>
      <c r="BU56" s="106">
        <v>0</v>
      </c>
      <c r="BV56" s="106">
        <v>0</v>
      </c>
      <c r="BW56" s="106">
        <v>0</v>
      </c>
      <c r="BX56" s="106">
        <v>0</v>
      </c>
      <c r="BY56" s="106">
        <v>0</v>
      </c>
      <c r="BZ56" s="106">
        <v>0</v>
      </c>
      <c r="CA56" s="106">
        <v>0</v>
      </c>
      <c r="CB56" s="106">
        <v>0</v>
      </c>
      <c r="CC56" s="106">
        <v>0</v>
      </c>
      <c r="CD56" s="106">
        <v>0</v>
      </c>
      <c r="CE56" s="106">
        <v>0</v>
      </c>
      <c r="CF56" s="106">
        <v>0</v>
      </c>
      <c r="CG56" s="106">
        <v>0</v>
      </c>
      <c r="CH56" s="106">
        <v>0</v>
      </c>
      <c r="CI56" s="106">
        <v>0</v>
      </c>
      <c r="CJ56" s="106">
        <v>0</v>
      </c>
      <c r="CK56" s="106">
        <v>0</v>
      </c>
      <c r="CL56" s="106">
        <v>0</v>
      </c>
      <c r="CM56" s="106">
        <v>0</v>
      </c>
      <c r="CN56" s="106">
        <v>0</v>
      </c>
      <c r="CO56" s="106">
        <v>0</v>
      </c>
      <c r="CP56" s="106">
        <v>0</v>
      </c>
      <c r="CQ56" s="106">
        <v>0</v>
      </c>
      <c r="CR56" s="106">
        <v>0</v>
      </c>
      <c r="CS56" s="106">
        <v>0</v>
      </c>
      <c r="CT56" s="106">
        <v>0</v>
      </c>
      <c r="CU56" s="106">
        <v>0</v>
      </c>
    </row>
    <row r="57" spans="2:99" x14ac:dyDescent="0.2">
      <c r="C57" s="105" t="s">
        <v>222</v>
      </c>
      <c r="D57" s="106">
        <v>0</v>
      </c>
      <c r="E57" s="106">
        <v>0</v>
      </c>
      <c r="F57" s="106">
        <v>0</v>
      </c>
      <c r="G57" s="106">
        <v>0</v>
      </c>
      <c r="H57" s="106">
        <v>30.744688227233784</v>
      </c>
      <c r="I57" s="106">
        <v>43386.904026272314</v>
      </c>
      <c r="J57" s="106">
        <v>2.8445939070444921</v>
      </c>
      <c r="K57" s="106">
        <v>4014.2909216211874</v>
      </c>
      <c r="L57" s="106">
        <v>43.152988183087523</v>
      </c>
      <c r="M57" s="106">
        <v>60897.496923973114</v>
      </c>
      <c r="N57" s="106">
        <v>5.6134303991163019</v>
      </c>
      <c r="O57" s="106">
        <v>7921.6729792329252</v>
      </c>
      <c r="P57" s="106">
        <v>28.326115230278671</v>
      </c>
      <c r="Q57" s="106">
        <v>39973.81381296926</v>
      </c>
      <c r="R57" s="106">
        <v>43.516717667140902</v>
      </c>
      <c r="S57" s="106">
        <v>61410.791971869243</v>
      </c>
      <c r="T57" s="106">
        <v>29.861807221533731</v>
      </c>
      <c r="U57" s="106">
        <v>42140.982351028404</v>
      </c>
      <c r="V57" s="106">
        <v>27.919772418725525</v>
      </c>
      <c r="W57" s="106">
        <v>39400.382837305464</v>
      </c>
      <c r="X57" s="106">
        <v>30.94909222484835</v>
      </c>
      <c r="Y57" s="106">
        <v>43675.358947705994</v>
      </c>
      <c r="Z57" s="106">
        <v>27.470319615934269</v>
      </c>
      <c r="AA57" s="106">
        <v>38766.115042006444</v>
      </c>
      <c r="AB57" s="106">
        <v>23.094166333085699</v>
      </c>
      <c r="AC57" s="106">
        <v>32590.487529250539</v>
      </c>
      <c r="AD57" s="106">
        <v>21.35015089458869</v>
      </c>
      <c r="AE57" s="106">
        <v>30129.332942443561</v>
      </c>
      <c r="AF57" s="106">
        <v>32.129287920791974</v>
      </c>
      <c r="AG57" s="106">
        <v>45340.851113821634</v>
      </c>
      <c r="AH57" s="106">
        <v>23.322867374903847</v>
      </c>
      <c r="AI57" s="106">
        <v>32913.230439464307</v>
      </c>
      <c r="AJ57" s="106">
        <v>33.703533712228406</v>
      </c>
      <c r="AK57" s="106">
        <v>47562.426774696731</v>
      </c>
      <c r="AL57" s="106">
        <v>27.239063801825623</v>
      </c>
      <c r="AM57" s="106">
        <v>38439.766837136318</v>
      </c>
      <c r="AN57" s="106">
        <v>30.327101721373076</v>
      </c>
      <c r="AO57" s="106">
        <v>42797.605949201687</v>
      </c>
      <c r="AP57" s="106">
        <v>22.426345979053387</v>
      </c>
      <c r="AQ57" s="106">
        <v>31648.059445640141</v>
      </c>
      <c r="AR57" s="106">
        <v>25.139967938702597</v>
      </c>
      <c r="AS57" s="106">
        <v>35477.522755097103</v>
      </c>
      <c r="AT57" s="106">
        <v>7.3342547041864039</v>
      </c>
      <c r="AU57" s="106">
        <v>10350.100238547853</v>
      </c>
      <c r="AV57" s="106">
        <v>46</v>
      </c>
      <c r="AW57" s="106">
        <v>64915.200000000004</v>
      </c>
      <c r="AX57" s="106">
        <v>9.4799979165996593</v>
      </c>
      <c r="AY57" s="106">
        <v>13378.173059905439</v>
      </c>
      <c r="AZ57" s="106">
        <v>58.706114817781518</v>
      </c>
      <c r="BA57" s="106">
        <v>82846.069230853274</v>
      </c>
      <c r="BB57" s="106">
        <v>26.621595906001797</v>
      </c>
      <c r="BC57" s="106">
        <v>37568.39614254974</v>
      </c>
      <c r="BD57" s="106">
        <v>26.922988413086351</v>
      </c>
      <c r="BE57" s="106">
        <v>37993.721248547459</v>
      </c>
      <c r="BF57" s="106">
        <v>20.954796945328795</v>
      </c>
      <c r="BG57" s="106">
        <v>29571.409449247996</v>
      </c>
      <c r="BH57" s="106">
        <v>19.512869042728529</v>
      </c>
      <c r="BI57" s="106">
        <v>27536.560793098499</v>
      </c>
      <c r="BJ57" s="106">
        <v>23.097896738243499</v>
      </c>
      <c r="BK57" s="106">
        <v>32595.751877009225</v>
      </c>
      <c r="BL57" s="106">
        <v>28.537952396460497</v>
      </c>
      <c r="BM57" s="106">
        <v>40272.758421885053</v>
      </c>
      <c r="BN57" s="106">
        <v>22.683899473833048</v>
      </c>
      <c r="BO57" s="106">
        <v>32011.518937473196</v>
      </c>
      <c r="BP57" s="106">
        <v>29.965748900610425</v>
      </c>
      <c r="BQ57" s="106">
        <v>42287.664848541433</v>
      </c>
      <c r="BR57" s="106">
        <v>3.1862166683582784</v>
      </c>
      <c r="BS57" s="106">
        <v>4496.3889623872028</v>
      </c>
      <c r="BT57" s="106">
        <v>26.017716576526574</v>
      </c>
      <c r="BU57" s="106">
        <v>36716.201632794306</v>
      </c>
      <c r="BV57" s="106">
        <v>20.332376663489949</v>
      </c>
      <c r="BW57" s="106">
        <v>28693.049947517018</v>
      </c>
      <c r="BX57" s="106">
        <v>25.469759765878742</v>
      </c>
      <c r="BY57" s="106">
        <v>35942.924981608085</v>
      </c>
      <c r="BZ57" s="106">
        <v>3.7341139468252589</v>
      </c>
      <c r="CA57" s="106">
        <v>5269.5816017598054</v>
      </c>
      <c r="CB57" s="106">
        <v>30</v>
      </c>
      <c r="CC57" s="106">
        <v>42336</v>
      </c>
      <c r="CD57" s="106">
        <v>36</v>
      </c>
      <c r="CE57" s="106">
        <v>50803.200000000004</v>
      </c>
      <c r="CF57" s="106">
        <v>22.301320002347154</v>
      </c>
      <c r="CG57" s="106">
        <v>31471.622787312306</v>
      </c>
      <c r="CH57" s="106">
        <v>26.919377652050919</v>
      </c>
      <c r="CI57" s="106">
        <v>37988.625742574259</v>
      </c>
      <c r="CJ57" s="106">
        <v>16.424879102434758</v>
      </c>
      <c r="CK57" s="106">
        <v>23178.78938935593</v>
      </c>
      <c r="CL57" s="106">
        <v>42</v>
      </c>
      <c r="CM57" s="106">
        <v>59270.400000000001</v>
      </c>
      <c r="CN57" s="106">
        <v>44.455390187316354</v>
      </c>
      <c r="CO57" s="106">
        <v>62735.446632340841</v>
      </c>
      <c r="CP57" s="106">
        <v>17.752613295376115</v>
      </c>
      <c r="CQ57" s="106">
        <v>25052.487882434772</v>
      </c>
      <c r="CR57" s="106">
        <v>3.2179995199527909</v>
      </c>
      <c r="CS57" s="106">
        <v>4541.2409225573783</v>
      </c>
      <c r="CT57" s="106">
        <v>12.417487829039477</v>
      </c>
      <c r="CU57" s="106">
        <v>17523.558824340511</v>
      </c>
    </row>
    <row r="58" spans="2:99" x14ac:dyDescent="0.2">
      <c r="C58" s="105" t="s">
        <v>223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  <c r="AY58" s="106">
        <v>0</v>
      </c>
      <c r="AZ58" s="106">
        <v>0</v>
      </c>
      <c r="BA58" s="106">
        <v>0</v>
      </c>
      <c r="BB58" s="106">
        <v>0</v>
      </c>
      <c r="BC58" s="106">
        <v>0</v>
      </c>
      <c r="BD58" s="106">
        <v>0</v>
      </c>
      <c r="BE58" s="106">
        <v>0</v>
      </c>
      <c r="BF58" s="106">
        <v>0</v>
      </c>
      <c r="BG58" s="106">
        <v>0</v>
      </c>
      <c r="BH58" s="106">
        <v>0</v>
      </c>
      <c r="BI58" s="106">
        <v>0</v>
      </c>
      <c r="BJ58" s="106">
        <v>0</v>
      </c>
      <c r="BK58" s="106">
        <v>0</v>
      </c>
      <c r="BL58" s="106">
        <v>0</v>
      </c>
      <c r="BM58" s="106">
        <v>0</v>
      </c>
      <c r="BN58" s="106">
        <v>0</v>
      </c>
      <c r="BO58" s="106">
        <v>0</v>
      </c>
      <c r="BP58" s="106">
        <v>0</v>
      </c>
      <c r="BQ58" s="106">
        <v>0</v>
      </c>
      <c r="BR58" s="106">
        <v>0</v>
      </c>
      <c r="BS58" s="106">
        <v>0</v>
      </c>
      <c r="BT58" s="106">
        <v>0</v>
      </c>
      <c r="BU58" s="106">
        <v>0</v>
      </c>
      <c r="BV58" s="106">
        <v>0</v>
      </c>
      <c r="BW58" s="106">
        <v>0</v>
      </c>
      <c r="BX58" s="106">
        <v>0</v>
      </c>
      <c r="BY58" s="106">
        <v>0</v>
      </c>
      <c r="BZ58" s="106">
        <v>0</v>
      </c>
      <c r="CA58" s="106">
        <v>0</v>
      </c>
      <c r="CB58" s="106">
        <v>0</v>
      </c>
      <c r="CC58" s="106">
        <v>0</v>
      </c>
      <c r="CD58" s="106">
        <v>0</v>
      </c>
      <c r="CE58" s="106">
        <v>0</v>
      </c>
      <c r="CF58" s="106">
        <v>0</v>
      </c>
      <c r="CG58" s="106">
        <v>0</v>
      </c>
      <c r="CH58" s="106">
        <v>0</v>
      </c>
      <c r="CI58" s="106">
        <v>0</v>
      </c>
      <c r="CJ58" s="106">
        <v>0</v>
      </c>
      <c r="CK58" s="106">
        <v>0</v>
      </c>
      <c r="CL58" s="106">
        <v>0</v>
      </c>
      <c r="CM58" s="106">
        <v>0</v>
      </c>
      <c r="CN58" s="106">
        <v>0</v>
      </c>
      <c r="CO58" s="106">
        <v>0</v>
      </c>
      <c r="CP58" s="106">
        <v>0</v>
      </c>
      <c r="CQ58" s="106">
        <v>0</v>
      </c>
      <c r="CR58" s="106">
        <v>0</v>
      </c>
      <c r="CS58" s="106">
        <v>0</v>
      </c>
      <c r="CT58" s="106">
        <v>0</v>
      </c>
      <c r="CU58" s="106">
        <v>0</v>
      </c>
    </row>
    <row r="59" spans="2:99" x14ac:dyDescent="0.2">
      <c r="C59" s="105" t="s">
        <v>224</v>
      </c>
      <c r="D59" s="106">
        <v>0</v>
      </c>
      <c r="E59" s="106">
        <v>0</v>
      </c>
      <c r="F59" s="106">
        <v>0</v>
      </c>
      <c r="G59" s="106">
        <v>0</v>
      </c>
      <c r="H59" s="106">
        <v>35.001645058696923</v>
      </c>
      <c r="I59" s="106">
        <v>10626.499439820385</v>
      </c>
      <c r="J59" s="106">
        <v>3.3322385768235483</v>
      </c>
      <c r="K59" s="106">
        <v>1011.6676319236292</v>
      </c>
      <c r="L59" s="106">
        <v>52.334475030552952</v>
      </c>
      <c r="M59" s="106">
        <v>15888.746619275875</v>
      </c>
      <c r="N59" s="106">
        <v>6.8337413554459321</v>
      </c>
      <c r="O59" s="106">
        <v>2074.7238755133849</v>
      </c>
      <c r="P59" s="106">
        <v>35.250276731013457</v>
      </c>
      <c r="Q59" s="106">
        <v>10701.984015535685</v>
      </c>
      <c r="R59" s="106">
        <v>55.061969293117059</v>
      </c>
      <c r="S59" s="106">
        <v>16716.813877390337</v>
      </c>
      <c r="T59" s="106">
        <v>36.059540795814314</v>
      </c>
      <c r="U59" s="106">
        <v>10947.676585609224</v>
      </c>
      <c r="V59" s="106">
        <v>31.177079200910171</v>
      </c>
      <c r="W59" s="106">
        <v>9465.3612453963269</v>
      </c>
      <c r="X59" s="106">
        <v>40.852801736799826</v>
      </c>
      <c r="Y59" s="106">
        <v>12402.910607292426</v>
      </c>
      <c r="Z59" s="106">
        <v>30.522577351038077</v>
      </c>
      <c r="AA59" s="106">
        <v>9266.654483775159</v>
      </c>
      <c r="AB59" s="106">
        <v>30.792221777447601</v>
      </c>
      <c r="AC59" s="106">
        <v>9348.5185316330899</v>
      </c>
      <c r="AD59" s="106">
        <v>29.161181709682111</v>
      </c>
      <c r="AE59" s="106">
        <v>8853.3347670594885</v>
      </c>
      <c r="AF59" s="106">
        <v>40.779480822543654</v>
      </c>
      <c r="AG59" s="106">
        <v>12380.650377724252</v>
      </c>
      <c r="AH59" s="106">
        <v>30.803787098929611</v>
      </c>
      <c r="AI59" s="106">
        <v>9352.0297632350284</v>
      </c>
      <c r="AJ59" s="106">
        <v>36.913394065773971</v>
      </c>
      <c r="AK59" s="106">
        <v>11206.906438368977</v>
      </c>
      <c r="AL59" s="106">
        <v>35.462177402376753</v>
      </c>
      <c r="AM59" s="106">
        <v>10766.317059361581</v>
      </c>
      <c r="AN59" s="106">
        <v>36.999064100075152</v>
      </c>
      <c r="AO59" s="106">
        <v>11232.915860782816</v>
      </c>
      <c r="AP59" s="106">
        <v>25.96734797574603</v>
      </c>
      <c r="AQ59" s="106">
        <v>7883.686845436494</v>
      </c>
      <c r="AR59" s="106">
        <v>31.539232504917802</v>
      </c>
      <c r="AS59" s="106">
        <v>9575.3109884930436</v>
      </c>
      <c r="AT59" s="106">
        <v>8.556630488217472</v>
      </c>
      <c r="AU59" s="106">
        <v>2597.793016222824</v>
      </c>
      <c r="AV59" s="106">
        <v>51</v>
      </c>
      <c r="AW59" s="106">
        <v>15483.599999999999</v>
      </c>
      <c r="AX59" s="106">
        <v>12.050844809236855</v>
      </c>
      <c r="AY59" s="106">
        <v>3658.6364840843089</v>
      </c>
      <c r="AZ59" s="106">
        <v>64.209813081948539</v>
      </c>
      <c r="BA59" s="106">
        <v>19494.099251679574</v>
      </c>
      <c r="BB59" s="106">
        <v>33.418599116044817</v>
      </c>
      <c r="BC59" s="106">
        <v>10145.886691631205</v>
      </c>
      <c r="BD59" s="106">
        <v>34.065822073701099</v>
      </c>
      <c r="BE59" s="106">
        <v>10342.383581575652</v>
      </c>
      <c r="BF59" s="106">
        <v>22.451568155709424</v>
      </c>
      <c r="BG59" s="106">
        <v>6816.2960920733804</v>
      </c>
      <c r="BH59" s="106">
        <v>25.425859661737171</v>
      </c>
      <c r="BI59" s="106">
        <v>7719.2909933034043</v>
      </c>
      <c r="BJ59" s="106">
        <v>30.027265759716549</v>
      </c>
      <c r="BK59" s="106">
        <v>9116.2778846499441</v>
      </c>
      <c r="BL59" s="106">
        <v>38.66432260165616</v>
      </c>
      <c r="BM59" s="106">
        <v>11738.488341862809</v>
      </c>
      <c r="BN59" s="106">
        <v>28.732939333521855</v>
      </c>
      <c r="BO59" s="106">
        <v>8723.320381657235</v>
      </c>
      <c r="BP59" s="106">
        <v>32.962323790671469</v>
      </c>
      <c r="BQ59" s="106">
        <v>10007.361502847856</v>
      </c>
      <c r="BR59" s="106">
        <v>3.998389544606467</v>
      </c>
      <c r="BS59" s="106">
        <v>1213.9110657425233</v>
      </c>
      <c r="BT59" s="106">
        <v>28.805329066868708</v>
      </c>
      <c r="BU59" s="106">
        <v>8745.2979047013396</v>
      </c>
      <c r="BV59" s="106">
        <v>25.261437672820847</v>
      </c>
      <c r="BW59" s="106">
        <v>7669.3724774684079</v>
      </c>
      <c r="BX59" s="106">
        <v>29.59999107926448</v>
      </c>
      <c r="BY59" s="106">
        <v>8986.5572916646961</v>
      </c>
      <c r="BZ59" s="106">
        <v>4.0635945891921939</v>
      </c>
      <c r="CA59" s="106">
        <v>1233.70731727875</v>
      </c>
      <c r="CB59" s="106">
        <v>34</v>
      </c>
      <c r="CC59" s="106">
        <v>10322.4</v>
      </c>
      <c r="CD59" s="106">
        <v>41</v>
      </c>
      <c r="CE59" s="106">
        <v>12447.599999999999</v>
      </c>
      <c r="CF59" s="106">
        <v>24.648827371015276</v>
      </c>
      <c r="CG59" s="106">
        <v>7483.3839898402366</v>
      </c>
      <c r="CH59" s="106">
        <v>35.2022630834512</v>
      </c>
      <c r="CI59" s="106">
        <v>10687.407072135784</v>
      </c>
      <c r="CJ59" s="106">
        <v>20.531098878043451</v>
      </c>
      <c r="CK59" s="106">
        <v>6233.2416193739909</v>
      </c>
      <c r="CL59" s="106">
        <v>51</v>
      </c>
      <c r="CM59" s="106">
        <v>15483.599999999999</v>
      </c>
      <c r="CN59" s="106">
        <v>52.004418709690832</v>
      </c>
      <c r="CO59" s="106">
        <v>15788.541520262135</v>
      </c>
      <c r="CP59" s="106">
        <v>21.746951286835742</v>
      </c>
      <c r="CQ59" s="106">
        <v>6602.3744106833301</v>
      </c>
      <c r="CR59" s="106">
        <v>3.2765086021337502</v>
      </c>
      <c r="CS59" s="106">
        <v>994.74801160780646</v>
      </c>
      <c r="CT59" s="106">
        <v>17.210202429721377</v>
      </c>
      <c r="CU59" s="106">
        <v>5225.0174576634099</v>
      </c>
    </row>
    <row r="60" spans="2:99" x14ac:dyDescent="0.2">
      <c r="C60" s="105" t="s">
        <v>225</v>
      </c>
      <c r="D60" s="106">
        <v>0</v>
      </c>
      <c r="E60" s="106">
        <v>0</v>
      </c>
      <c r="F60" s="106">
        <v>0</v>
      </c>
      <c r="G60" s="106">
        <v>0</v>
      </c>
      <c r="H60" s="106">
        <v>34.528649855201024</v>
      </c>
      <c r="I60" s="106">
        <v>22498.868245648988</v>
      </c>
      <c r="J60" s="106">
        <v>2.9258680186743349</v>
      </c>
      <c r="K60" s="106">
        <v>1906.4956009681966</v>
      </c>
      <c r="L60" s="106">
        <v>49.580028976313315</v>
      </c>
      <c r="M60" s="106">
        <v>32306.346880965757</v>
      </c>
      <c r="N60" s="106">
        <v>5.9795236860151908</v>
      </c>
      <c r="O60" s="106">
        <v>3896.2576338074987</v>
      </c>
      <c r="P60" s="106">
        <v>28.955584457618201</v>
      </c>
      <c r="Q60" s="106">
        <v>18867.45883258402</v>
      </c>
      <c r="R60" s="106">
        <v>50.621487898510843</v>
      </c>
      <c r="S60" s="106">
        <v>32984.961514669667</v>
      </c>
      <c r="T60" s="106">
        <v>33.80581949607592</v>
      </c>
      <c r="U60" s="106">
        <v>22027.871983643068</v>
      </c>
      <c r="V60" s="106">
        <v>33.969056442782723</v>
      </c>
      <c r="W60" s="106">
        <v>22134.237178117222</v>
      </c>
      <c r="X60" s="106">
        <v>37.757892514314996</v>
      </c>
      <c r="Y60" s="106">
        <v>24603.042762327652</v>
      </c>
      <c r="Z60" s="106">
        <v>30.95861417033862</v>
      </c>
      <c r="AA60" s="106">
        <v>20172.632993392646</v>
      </c>
      <c r="AB60" s="106">
        <v>29.015747444133314</v>
      </c>
      <c r="AC60" s="106">
        <v>18906.661034597269</v>
      </c>
      <c r="AD60" s="106">
        <v>29.161181709682111</v>
      </c>
      <c r="AE60" s="106">
        <v>19001.426002028864</v>
      </c>
      <c r="AF60" s="106">
        <v>33.982900685453046</v>
      </c>
      <c r="AG60" s="106">
        <v>22143.258086641206</v>
      </c>
      <c r="AH60" s="106">
        <v>30.36373299751633</v>
      </c>
      <c r="AI60" s="106">
        <v>19785.008421181643</v>
      </c>
      <c r="AJ60" s="106">
        <v>34.238510437819336</v>
      </c>
      <c r="AK60" s="106">
        <v>22309.813401283081</v>
      </c>
      <c r="AL60" s="106">
        <v>27.753008401860068</v>
      </c>
      <c r="AM60" s="106">
        <v>18083.860274652023</v>
      </c>
      <c r="AN60" s="106">
        <v>36.999064100075152</v>
      </c>
      <c r="AO60" s="106">
        <v>24108.590167608971</v>
      </c>
      <c r="AP60" s="106">
        <v>22.426345979053387</v>
      </c>
      <c r="AQ60" s="106">
        <v>14613.007039951188</v>
      </c>
      <c r="AR60" s="106">
        <v>32.910503483392489</v>
      </c>
      <c r="AS60" s="106">
        <v>21444.484069778548</v>
      </c>
      <c r="AT60" s="106">
        <v>8.556630488217472</v>
      </c>
      <c r="AU60" s="106">
        <v>5575.5004261225049</v>
      </c>
      <c r="AV60" s="106">
        <v>50</v>
      </c>
      <c r="AW60" s="106">
        <v>32580</v>
      </c>
      <c r="AX60" s="106">
        <v>12.693556532396153</v>
      </c>
      <c r="AY60" s="106">
        <v>8271.1214365093329</v>
      </c>
      <c r="AZ60" s="106">
        <v>67.878945258059886</v>
      </c>
      <c r="BA60" s="106">
        <v>44229.920730151825</v>
      </c>
      <c r="BB60" s="106">
        <v>27.18801284017205</v>
      </c>
      <c r="BC60" s="106">
        <v>17715.70916665611</v>
      </c>
      <c r="BD60" s="106">
        <v>33.516373330576883</v>
      </c>
      <c r="BE60" s="106">
        <v>21839.268862203899</v>
      </c>
      <c r="BF60" s="106">
        <v>21.453720682122338</v>
      </c>
      <c r="BG60" s="106">
        <v>13979.244396470916</v>
      </c>
      <c r="BH60" s="106">
        <v>21.878065290331985</v>
      </c>
      <c r="BI60" s="106">
        <v>14255.747343180323</v>
      </c>
      <c r="BJ60" s="106">
        <v>29.257335868441764</v>
      </c>
      <c r="BK60" s="106">
        <v>19064.080051876655</v>
      </c>
      <c r="BL60" s="106">
        <v>31.759979279931841</v>
      </c>
      <c r="BM60" s="106">
        <v>20694.802498803587</v>
      </c>
      <c r="BN60" s="106">
        <v>27.220679368599654</v>
      </c>
      <c r="BO60" s="106">
        <v>17736.994676579536</v>
      </c>
      <c r="BP60" s="106">
        <v>28.1678039665738</v>
      </c>
      <c r="BQ60" s="106">
        <v>18354.141064619489</v>
      </c>
      <c r="BR60" s="106">
        <v>3.3111663416272306</v>
      </c>
      <c r="BS60" s="106">
        <v>2157.5559882043035</v>
      </c>
      <c r="BT60" s="106">
        <v>30.199135312039775</v>
      </c>
      <c r="BU60" s="106">
        <v>19677.75656932512</v>
      </c>
      <c r="BV60" s="106">
        <v>23.413039794321758</v>
      </c>
      <c r="BW60" s="106">
        <v>15255.936729980058</v>
      </c>
      <c r="BX60" s="106">
        <v>30.288362964828771</v>
      </c>
      <c r="BY60" s="106">
        <v>19735.897307882427</v>
      </c>
      <c r="BZ60" s="106">
        <v>3.7341139468252589</v>
      </c>
      <c r="CA60" s="106">
        <v>2433.1486477513386</v>
      </c>
      <c r="CB60" s="106">
        <v>34</v>
      </c>
      <c r="CC60" s="106">
        <v>22154.400000000001</v>
      </c>
      <c r="CD60" s="106">
        <v>45</v>
      </c>
      <c r="CE60" s="106">
        <v>29322</v>
      </c>
      <c r="CF60" s="106">
        <v>26.996334739683398</v>
      </c>
      <c r="CG60" s="106">
        <v>17590.811716377702</v>
      </c>
      <c r="CH60" s="106">
        <v>31.060820367751063</v>
      </c>
      <c r="CI60" s="106">
        <v>20239.230551626595</v>
      </c>
      <c r="CJ60" s="106">
        <v>19.162358952840552</v>
      </c>
      <c r="CK60" s="106">
        <v>12486.193093670905</v>
      </c>
      <c r="CL60" s="106">
        <v>48</v>
      </c>
      <c r="CM60" s="106">
        <v>31276.800000000003</v>
      </c>
      <c r="CN60" s="106">
        <v>51.16563776276034</v>
      </c>
      <c r="CO60" s="106">
        <v>33339.529566214638</v>
      </c>
      <c r="CP60" s="106">
        <v>20.415505289682532</v>
      </c>
      <c r="CQ60" s="106">
        <v>13302.743246757138</v>
      </c>
      <c r="CR60" s="106">
        <v>3.100981355590871</v>
      </c>
      <c r="CS60" s="106">
        <v>2020.5994513030116</v>
      </c>
      <c r="CT60" s="106">
        <v>15.903098447717225</v>
      </c>
      <c r="CU60" s="106">
        <v>10362.458948532545</v>
      </c>
    </row>
    <row r="61" spans="2:99" x14ac:dyDescent="0.2">
      <c r="C61" s="105" t="s">
        <v>226</v>
      </c>
      <c r="D61" s="106">
        <v>0</v>
      </c>
      <c r="E61" s="106">
        <v>0</v>
      </c>
      <c r="F61" s="106">
        <v>0</v>
      </c>
      <c r="G61" s="106">
        <v>0</v>
      </c>
      <c r="H61" s="106">
        <v>31.690678634225595</v>
      </c>
      <c r="I61" s="106">
        <v>30156.849788329073</v>
      </c>
      <c r="J61" s="106">
        <v>2.8445939070444921</v>
      </c>
      <c r="K61" s="106">
        <v>2706.9155619435383</v>
      </c>
      <c r="L61" s="106">
        <v>44.989285552580611</v>
      </c>
      <c r="M61" s="106">
        <v>42811.804131835706</v>
      </c>
      <c r="N61" s="106">
        <v>6.1015547816481535</v>
      </c>
      <c r="O61" s="106">
        <v>5806.2395302163823</v>
      </c>
      <c r="P61" s="106">
        <v>30.843992139636775</v>
      </c>
      <c r="Q61" s="106">
        <v>29351.142920078353</v>
      </c>
      <c r="R61" s="106">
        <v>51.509584177432089</v>
      </c>
      <c r="S61" s="106">
        <v>49016.520303244368</v>
      </c>
      <c r="T61" s="106">
        <v>28.171516246729933</v>
      </c>
      <c r="U61" s="106">
        <v>26808.014860388201</v>
      </c>
      <c r="V61" s="106">
        <v>29.315761039661805</v>
      </c>
      <c r="W61" s="106">
        <v>27896.878205342171</v>
      </c>
      <c r="X61" s="106">
        <v>35.281965136327123</v>
      </c>
      <c r="Y61" s="106">
        <v>33574.318023728891</v>
      </c>
      <c r="Z61" s="106">
        <v>28.342393254535356</v>
      </c>
      <c r="AA61" s="106">
        <v>26970.621421015843</v>
      </c>
      <c r="AB61" s="106">
        <v>24.870640666399982</v>
      </c>
      <c r="AC61" s="106">
        <v>23666.90165814622</v>
      </c>
      <c r="AD61" s="106">
        <v>27.598975546663429</v>
      </c>
      <c r="AE61" s="106">
        <v>26263.185130204914</v>
      </c>
      <c r="AF61" s="106">
        <v>37.072255293221509</v>
      </c>
      <c r="AG61" s="106">
        <v>35277.958137029585</v>
      </c>
      <c r="AH61" s="106">
        <v>26.843300186210087</v>
      </c>
      <c r="AI61" s="106">
        <v>25544.084457197518</v>
      </c>
      <c r="AJ61" s="106">
        <v>34.773487163410266</v>
      </c>
      <c r="AK61" s="106">
        <v>33090.450384701209</v>
      </c>
      <c r="AL61" s="106">
        <v>30.836676002066742</v>
      </c>
      <c r="AM61" s="106">
        <v>29344.180883566711</v>
      </c>
      <c r="AN61" s="106">
        <v>33.966353927937845</v>
      </c>
      <c r="AO61" s="106">
        <v>32322.382397825651</v>
      </c>
      <c r="AP61" s="106">
        <v>21.639456646455024</v>
      </c>
      <c r="AQ61" s="106">
        <v>20592.106944766598</v>
      </c>
      <c r="AR61" s="106">
        <v>30.625051852601345</v>
      </c>
      <c r="AS61" s="106">
        <v>29142.799342935436</v>
      </c>
      <c r="AT61" s="106">
        <v>7.9454425962019384</v>
      </c>
      <c r="AU61" s="106">
        <v>7560.8831745457637</v>
      </c>
      <c r="AV61" s="106">
        <v>45</v>
      </c>
      <c r="AW61" s="106">
        <v>42821.999999999993</v>
      </c>
      <c r="AX61" s="106">
        <v>12.21152274002668</v>
      </c>
      <c r="AY61" s="106">
        <v>11620.485039409388</v>
      </c>
      <c r="AZ61" s="106">
        <v>66.044379170004206</v>
      </c>
      <c r="BA61" s="106">
        <v>62847.831218175997</v>
      </c>
      <c r="BB61" s="106">
        <v>26.621595906001797</v>
      </c>
      <c r="BC61" s="106">
        <v>25333.110664151307</v>
      </c>
      <c r="BD61" s="106">
        <v>28.571334642458986</v>
      </c>
      <c r="BE61" s="106">
        <v>27188.482045763969</v>
      </c>
      <c r="BF61" s="106">
        <v>20.954796945328795</v>
      </c>
      <c r="BG61" s="106">
        <v>19940.58477317488</v>
      </c>
      <c r="BH61" s="106">
        <v>23.65196247603458</v>
      </c>
      <c r="BI61" s="106">
        <v>22507.207492194506</v>
      </c>
      <c r="BJ61" s="106">
        <v>25.792651357705243</v>
      </c>
      <c r="BK61" s="106">
        <v>24544.287031992306</v>
      </c>
      <c r="BL61" s="106">
        <v>31.759979279931841</v>
      </c>
      <c r="BM61" s="106">
        <v>30222.796282783136</v>
      </c>
      <c r="BN61" s="106">
        <v>26.21250605865152</v>
      </c>
      <c r="BO61" s="106">
        <v>24943.820765412784</v>
      </c>
      <c r="BP61" s="106">
        <v>28.767118944586013</v>
      </c>
      <c r="BQ61" s="106">
        <v>27374.790387668047</v>
      </c>
      <c r="BR61" s="106">
        <v>3.3736411782617064</v>
      </c>
      <c r="BS61" s="106">
        <v>3210.3569452338397</v>
      </c>
      <c r="BT61" s="106">
        <v>30.199135312039775</v>
      </c>
      <c r="BU61" s="106">
        <v>28737.497162937048</v>
      </c>
      <c r="BV61" s="106">
        <v>22.180774541989038</v>
      </c>
      <c r="BW61" s="106">
        <v>21107.225054156766</v>
      </c>
      <c r="BX61" s="106">
        <v>26.846503537007319</v>
      </c>
      <c r="BY61" s="106">
        <v>25547.132765816161</v>
      </c>
      <c r="BZ61" s="106">
        <v>3.7341139468252589</v>
      </c>
      <c r="CA61" s="106">
        <v>3553.382831798916</v>
      </c>
      <c r="CB61" s="106">
        <v>28</v>
      </c>
      <c r="CC61" s="106">
        <v>26644.799999999996</v>
      </c>
      <c r="CD61" s="106">
        <v>44</v>
      </c>
      <c r="CE61" s="106">
        <v>41870.399999999994</v>
      </c>
      <c r="CF61" s="106">
        <v>22.301320002347154</v>
      </c>
      <c r="CG61" s="106">
        <v>21221.936114233551</v>
      </c>
      <c r="CH61" s="106">
        <v>31.060820367751063</v>
      </c>
      <c r="CI61" s="106">
        <v>29557.476661951911</v>
      </c>
      <c r="CJ61" s="106">
        <v>19.846728915442</v>
      </c>
      <c r="CK61" s="106">
        <v>18886.147235934604</v>
      </c>
      <c r="CL61" s="106">
        <v>39</v>
      </c>
      <c r="CM61" s="106">
        <v>37112.399999999994</v>
      </c>
      <c r="CN61" s="106">
        <v>49.488075868899344</v>
      </c>
      <c r="CO61" s="106">
        <v>47092.852996844609</v>
      </c>
      <c r="CP61" s="106">
        <v>16.864982630607312</v>
      </c>
      <c r="CQ61" s="106">
        <v>16048.717471285916</v>
      </c>
      <c r="CR61" s="106">
        <v>2.9254541090479913</v>
      </c>
      <c r="CS61" s="106">
        <v>2783.8621301700682</v>
      </c>
      <c r="CT61" s="106">
        <v>14.813845129380429</v>
      </c>
      <c r="CU61" s="106">
        <v>14096.855025118415</v>
      </c>
    </row>
    <row r="62" spans="2:99" x14ac:dyDescent="0.2">
      <c r="C62" s="105" t="s">
        <v>227</v>
      </c>
      <c r="D62" s="106">
        <v>0</v>
      </c>
      <c r="E62" s="106">
        <v>0</v>
      </c>
      <c r="F62" s="106">
        <v>0</v>
      </c>
      <c r="G62" s="106">
        <v>0</v>
      </c>
      <c r="H62" s="106">
        <v>27.906717006258361</v>
      </c>
      <c r="I62" s="106">
        <v>47586.533839071759</v>
      </c>
      <c r="J62" s="106">
        <v>2.4382233488952787</v>
      </c>
      <c r="K62" s="106">
        <v>4157.6584545362293</v>
      </c>
      <c r="L62" s="106">
        <v>42.234839498340975</v>
      </c>
      <c r="M62" s="106">
        <v>72018.848312571034</v>
      </c>
      <c r="N62" s="106">
        <v>5.9795236860151908</v>
      </c>
      <c r="O62" s="106">
        <v>10196.283789393103</v>
      </c>
      <c r="P62" s="106">
        <v>26.437707548260093</v>
      </c>
      <c r="Q62" s="106">
        <v>45081.578911293109</v>
      </c>
      <c r="R62" s="106">
        <v>46.181006503904634</v>
      </c>
      <c r="S62" s="106">
        <v>78747.852290458177</v>
      </c>
      <c r="T62" s="106">
        <v>25.354364622056938</v>
      </c>
      <c r="U62" s="106">
        <v>43234.262553531495</v>
      </c>
      <c r="V62" s="106">
        <v>27.454442878413435</v>
      </c>
      <c r="W62" s="106">
        <v>46815.31599627059</v>
      </c>
      <c r="X62" s="106">
        <v>29.092146691357449</v>
      </c>
      <c r="Y62" s="106">
        <v>49607.928538102722</v>
      </c>
      <c r="Z62" s="106">
        <v>29.214466893136443</v>
      </c>
      <c r="AA62" s="106">
        <v>49816.508946176262</v>
      </c>
      <c r="AB62" s="106">
        <v>22.502008221980937</v>
      </c>
      <c r="AC62" s="106">
        <v>38370.424420121897</v>
      </c>
      <c r="AD62" s="106">
        <v>21.35015089458869</v>
      </c>
      <c r="AE62" s="106">
        <v>36406.277305452633</v>
      </c>
      <c r="AF62" s="106">
        <v>29.657804234577206</v>
      </c>
      <c r="AG62" s="106">
        <v>50572.48778080105</v>
      </c>
      <c r="AH62" s="106">
        <v>23.322867374903847</v>
      </c>
      <c r="AI62" s="106">
        <v>39770.15344768604</v>
      </c>
      <c r="AJ62" s="106">
        <v>33.703533712228406</v>
      </c>
      <c r="AK62" s="106">
        <v>57471.26568609188</v>
      </c>
      <c r="AL62" s="106">
        <v>27.239063801825623</v>
      </c>
      <c r="AM62" s="106">
        <v>46448.051594873054</v>
      </c>
      <c r="AN62" s="106">
        <v>27.294391549235765</v>
      </c>
      <c r="AO62" s="106">
        <v>46542.39646975683</v>
      </c>
      <c r="AP62" s="106">
        <v>18.491899316061566</v>
      </c>
      <c r="AQ62" s="106">
        <v>31532.386713748183</v>
      </c>
      <c r="AR62" s="106">
        <v>25.597058264860824</v>
      </c>
      <c r="AS62" s="106">
        <v>43648.103753240677</v>
      </c>
      <c r="AT62" s="106">
        <v>6.51933751483236</v>
      </c>
      <c r="AU62" s="106">
        <v>11116.774330292141</v>
      </c>
      <c r="AV62" s="106">
        <v>38</v>
      </c>
      <c r="AW62" s="106">
        <v>64797.599999999999</v>
      </c>
      <c r="AX62" s="106">
        <v>9.4799979165996593</v>
      </c>
      <c r="AY62" s="106">
        <v>16165.29244738574</v>
      </c>
      <c r="AZ62" s="106">
        <v>59.623397861809359</v>
      </c>
      <c r="BA62" s="106">
        <v>101669.81803395732</v>
      </c>
      <c r="BB62" s="106">
        <v>24.922345103491047</v>
      </c>
      <c r="BC62" s="106">
        <v>42497.582870472936</v>
      </c>
      <c r="BD62" s="106">
        <v>28.021885899334773</v>
      </c>
      <c r="BE62" s="106">
        <v>47782.919835545654</v>
      </c>
      <c r="BF62" s="106">
        <v>18.460178261361079</v>
      </c>
      <c r="BG62" s="106">
        <v>31478.295971272913</v>
      </c>
      <c r="BH62" s="106">
        <v>21.286766228431119</v>
      </c>
      <c r="BI62" s="106">
        <v>36298.193772720748</v>
      </c>
      <c r="BJ62" s="106">
        <v>23.867826629518284</v>
      </c>
      <c r="BK62" s="106">
        <v>40699.417968654576</v>
      </c>
      <c r="BL62" s="106">
        <v>28.537952396460497</v>
      </c>
      <c r="BM62" s="106">
        <v>48662.916426444441</v>
      </c>
      <c r="BN62" s="106">
        <v>21.171639508910843</v>
      </c>
      <c r="BO62" s="106">
        <v>36101.879690594767</v>
      </c>
      <c r="BP62" s="106">
        <v>28.1678039665738</v>
      </c>
      <c r="BQ62" s="106">
        <v>48031.739323801645</v>
      </c>
      <c r="BR62" s="106">
        <v>3.2486915049927543</v>
      </c>
      <c r="BS62" s="106">
        <v>5539.668754313645</v>
      </c>
      <c r="BT62" s="106">
        <v>23.23010408618444</v>
      </c>
      <c r="BU62" s="106">
        <v>39611.973487761708</v>
      </c>
      <c r="BV62" s="106">
        <v>18.483978784990864</v>
      </c>
      <c r="BW62" s="106">
        <v>31518.880624166421</v>
      </c>
      <c r="BX62" s="106">
        <v>24.781387880314448</v>
      </c>
      <c r="BY62" s="106">
        <v>42257.222613512196</v>
      </c>
      <c r="BZ62" s="106">
        <v>3.4046333044583243</v>
      </c>
      <c r="CA62" s="106">
        <v>5805.580710762335</v>
      </c>
      <c r="CB62" s="106">
        <v>28</v>
      </c>
      <c r="CC62" s="106">
        <v>47745.599999999999</v>
      </c>
      <c r="CD62" s="106">
        <v>37</v>
      </c>
      <c r="CE62" s="106">
        <v>63092.4</v>
      </c>
      <c r="CF62" s="106">
        <v>22.888196844514184</v>
      </c>
      <c r="CG62" s="106">
        <v>39028.953259265589</v>
      </c>
      <c r="CH62" s="106">
        <v>24.848656294200847</v>
      </c>
      <c r="CI62" s="106">
        <v>42371.928712871282</v>
      </c>
      <c r="CJ62" s="106">
        <v>17.109249065036209</v>
      </c>
      <c r="CK62" s="106">
        <v>29174.691505699746</v>
      </c>
      <c r="CL62" s="106">
        <v>42</v>
      </c>
      <c r="CM62" s="106">
        <v>71618.400000000009</v>
      </c>
      <c r="CN62" s="106">
        <v>45.294171134246852</v>
      </c>
      <c r="CO62" s="106">
        <v>77235.62061811774</v>
      </c>
      <c r="CP62" s="106">
        <v>15.0897213010697</v>
      </c>
      <c r="CQ62" s="106">
        <v>25730.992762584054</v>
      </c>
      <c r="CR62" s="106">
        <v>2.5743996159622329</v>
      </c>
      <c r="CS62" s="106">
        <v>4389.8662251387996</v>
      </c>
      <c r="CT62" s="106">
        <v>12.635338492706836</v>
      </c>
      <c r="CU62" s="106">
        <v>21545.779197763699</v>
      </c>
    </row>
    <row r="63" spans="2:99" x14ac:dyDescent="0.2">
      <c r="C63" s="105" t="s">
        <v>228</v>
      </c>
      <c r="D63" s="106">
        <v>0</v>
      </c>
      <c r="E63" s="106">
        <v>0</v>
      </c>
      <c r="F63" s="106">
        <v>0</v>
      </c>
      <c r="G63" s="106">
        <v>0</v>
      </c>
      <c r="H63" s="106">
        <v>29.79869782024198</v>
      </c>
      <c r="I63" s="106">
        <v>23707.843985784519</v>
      </c>
      <c r="J63" s="106">
        <v>2.7633197954146493</v>
      </c>
      <c r="K63" s="106">
        <v>2198.4972292318953</v>
      </c>
      <c r="L63" s="106">
        <v>45.907434237327145</v>
      </c>
      <c r="M63" s="106">
        <v>36523.954679217481</v>
      </c>
      <c r="N63" s="106">
        <v>6.9557724510788956</v>
      </c>
      <c r="O63" s="106">
        <v>5534.0125620783692</v>
      </c>
      <c r="P63" s="106">
        <v>28.955584457618201</v>
      </c>
      <c r="Q63" s="106">
        <v>23037.062994481043</v>
      </c>
      <c r="R63" s="106">
        <v>51.509584177432089</v>
      </c>
      <c r="S63" s="106">
        <v>40981.025171564972</v>
      </c>
      <c r="T63" s="106">
        <v>31.552098196337525</v>
      </c>
      <c r="U63" s="106">
        <v>25102.849325006136</v>
      </c>
      <c r="V63" s="106">
        <v>29.315761039661805</v>
      </c>
      <c r="W63" s="106">
        <v>23323.619483154933</v>
      </c>
      <c r="X63" s="106">
        <v>37.138910669818024</v>
      </c>
      <c r="Y63" s="106">
        <v>29547.71732890722</v>
      </c>
      <c r="Z63" s="106">
        <v>30.95861417033862</v>
      </c>
      <c r="AA63" s="106">
        <v>24630.673433921405</v>
      </c>
      <c r="AB63" s="106">
        <v>29.015747444133314</v>
      </c>
      <c r="AC63" s="106">
        <v>23084.928666552467</v>
      </c>
      <c r="AD63" s="106">
        <v>25.516033995971849</v>
      </c>
      <c r="AE63" s="106">
        <v>20300.556647195204</v>
      </c>
      <c r="AF63" s="106">
        <v>39.54373897943627</v>
      </c>
      <c r="AG63" s="106">
        <v>31460.998732039498</v>
      </c>
      <c r="AH63" s="106">
        <v>29.043570693276489</v>
      </c>
      <c r="AI63" s="106">
        <v>23107.064843570777</v>
      </c>
      <c r="AJ63" s="106">
        <v>35.308463889001189</v>
      </c>
      <c r="AK63" s="106">
        <v>28091.413870089345</v>
      </c>
      <c r="AL63" s="106">
        <v>31.350620602101188</v>
      </c>
      <c r="AM63" s="106">
        <v>24942.553751031704</v>
      </c>
      <c r="AN63" s="106">
        <v>33.359811893510383</v>
      </c>
      <c r="AO63" s="106">
        <v>26541.066342476861</v>
      </c>
      <c r="AP63" s="106">
        <v>23.213235311651751</v>
      </c>
      <c r="AQ63" s="106">
        <v>18468.450013950132</v>
      </c>
      <c r="AR63" s="106">
        <v>29.253780874126655</v>
      </c>
      <c r="AS63" s="106">
        <v>23274.308063455166</v>
      </c>
      <c r="AT63" s="106">
        <v>7.5379840015249151</v>
      </c>
      <c r="AU63" s="106">
        <v>5997.2200716132229</v>
      </c>
      <c r="AV63" s="106">
        <v>50</v>
      </c>
      <c r="AW63" s="106">
        <v>39780</v>
      </c>
      <c r="AX63" s="106">
        <v>11.890166878447031</v>
      </c>
      <c r="AY63" s="106">
        <v>9459.8167684924592</v>
      </c>
      <c r="AZ63" s="106">
        <v>60.540680905837199</v>
      </c>
      <c r="BA63" s="106">
        <v>48166.165728684078</v>
      </c>
      <c r="BB63" s="106">
        <v>31.15293137936381</v>
      </c>
      <c r="BC63" s="106">
        <v>24785.272205421847</v>
      </c>
      <c r="BD63" s="106">
        <v>29.670232128707408</v>
      </c>
      <c r="BE63" s="106">
        <v>23605.636681599615</v>
      </c>
      <c r="BF63" s="106">
        <v>22.451568155709424</v>
      </c>
      <c r="BG63" s="106">
        <v>17862.467624682416</v>
      </c>
      <c r="BH63" s="106">
        <v>22.469364352232848</v>
      </c>
      <c r="BI63" s="106">
        <v>17876.626278636453</v>
      </c>
      <c r="BJ63" s="106">
        <v>25.792651357705243</v>
      </c>
      <c r="BK63" s="106">
        <v>20520.63342019029</v>
      </c>
      <c r="BL63" s="106">
        <v>34.06142705383995</v>
      </c>
      <c r="BM63" s="106">
        <v>27099.271364035063</v>
      </c>
      <c r="BN63" s="106">
        <v>23.187986128807115</v>
      </c>
      <c r="BO63" s="106">
        <v>18448.361764078942</v>
      </c>
      <c r="BP63" s="106">
        <v>32.36300881265926</v>
      </c>
      <c r="BQ63" s="106">
        <v>25748.009811351709</v>
      </c>
      <c r="BR63" s="106">
        <v>3.8734398713375149</v>
      </c>
      <c r="BS63" s="106">
        <v>3081.7087616361268</v>
      </c>
      <c r="BT63" s="106">
        <v>29.269931148592395</v>
      </c>
      <c r="BU63" s="106">
        <v>23287.157221820111</v>
      </c>
      <c r="BV63" s="106">
        <v>21.564641915822673</v>
      </c>
      <c r="BW63" s="106">
        <v>17156.829108228518</v>
      </c>
      <c r="BX63" s="106">
        <v>27.534875422571609</v>
      </c>
      <c r="BY63" s="106">
        <v>21906.746886197972</v>
      </c>
      <c r="BZ63" s="106">
        <v>4.2832483507701502</v>
      </c>
      <c r="CA63" s="106">
        <v>3407.7523878727316</v>
      </c>
      <c r="CB63" s="106">
        <v>31</v>
      </c>
      <c r="CC63" s="106">
        <v>24663.600000000002</v>
      </c>
      <c r="CD63" s="106">
        <v>38</v>
      </c>
      <c r="CE63" s="106">
        <v>30232.799999999999</v>
      </c>
      <c r="CF63" s="106">
        <v>24.061950528848246</v>
      </c>
      <c r="CG63" s="106">
        <v>19143.687840751667</v>
      </c>
      <c r="CH63" s="106">
        <v>28.990099009900991</v>
      </c>
      <c r="CI63" s="106">
        <v>23064.522772277229</v>
      </c>
      <c r="CJ63" s="106">
        <v>17.793619027637657</v>
      </c>
      <c r="CK63" s="106">
        <v>14156.60329838852</v>
      </c>
      <c r="CL63" s="106">
        <v>45</v>
      </c>
      <c r="CM63" s="106">
        <v>35802</v>
      </c>
      <c r="CN63" s="106">
        <v>50.326856815829842</v>
      </c>
      <c r="CO63" s="106">
        <v>40040.047282674226</v>
      </c>
      <c r="CP63" s="106">
        <v>17.308797962991711</v>
      </c>
      <c r="CQ63" s="106">
        <v>13770.879659356206</v>
      </c>
      <c r="CR63" s="106">
        <v>3.2179995199527909</v>
      </c>
      <c r="CS63" s="106">
        <v>2560.2404180744406</v>
      </c>
      <c r="CT63" s="106">
        <v>13.724591811043631</v>
      </c>
      <c r="CU63" s="106">
        <v>10919.285244866312</v>
      </c>
    </row>
    <row r="64" spans="2:99" x14ac:dyDescent="0.2">
      <c r="C64" s="105" t="s">
        <v>229</v>
      </c>
      <c r="D64" s="106">
        <v>0</v>
      </c>
      <c r="E64" s="106">
        <v>0</v>
      </c>
      <c r="F64" s="106">
        <v>0</v>
      </c>
      <c r="G64" s="106">
        <v>0</v>
      </c>
      <c r="H64" s="106">
        <v>27.906717006258361</v>
      </c>
      <c r="I64" s="106">
        <v>28163.458802715933</v>
      </c>
      <c r="J64" s="106">
        <v>3.08841624193402</v>
      </c>
      <c r="K64" s="106">
        <v>3116.8296713598124</v>
      </c>
      <c r="L64" s="106">
        <v>41.316690813594427</v>
      </c>
      <c r="M64" s="106">
        <v>41696.804369079488</v>
      </c>
      <c r="N64" s="106">
        <v>6.1015547816481535</v>
      </c>
      <c r="O64" s="106">
        <v>6157.6890856393156</v>
      </c>
      <c r="P64" s="106">
        <v>29.585053684957725</v>
      </c>
      <c r="Q64" s="106">
        <v>29857.23617885933</v>
      </c>
      <c r="R64" s="106">
        <v>47.957199061747119</v>
      </c>
      <c r="S64" s="106">
        <v>48398.405293115182</v>
      </c>
      <c r="T64" s="106">
        <v>30.425237546468328</v>
      </c>
      <c r="U64" s="106">
        <v>30705.149731895832</v>
      </c>
      <c r="V64" s="106">
        <v>33.503726902470632</v>
      </c>
      <c r="W64" s="106">
        <v>33811.961189973357</v>
      </c>
      <c r="X64" s="106">
        <v>32.187055913842286</v>
      </c>
      <c r="Y64" s="106">
        <v>32483.17682824963</v>
      </c>
      <c r="Z64" s="106">
        <v>31.394650989639164</v>
      </c>
      <c r="AA64" s="106">
        <v>31683.481778743837</v>
      </c>
      <c r="AB64" s="106">
        <v>24.870640666399982</v>
      </c>
      <c r="AC64" s="106">
        <v>25099.450560530859</v>
      </c>
      <c r="AD64" s="106">
        <v>24.474563220626059</v>
      </c>
      <c r="AE64" s="106">
        <v>24699.729202255814</v>
      </c>
      <c r="AF64" s="106">
        <v>32.129287920791974</v>
      </c>
      <c r="AG64" s="106">
        <v>32424.877369663252</v>
      </c>
      <c r="AH64" s="106">
        <v>24.643029679143691</v>
      </c>
      <c r="AI64" s="106">
        <v>24869.745552191809</v>
      </c>
      <c r="AJ64" s="106">
        <v>35.308463889001189</v>
      </c>
      <c r="AK64" s="106">
        <v>35633.301756779991</v>
      </c>
      <c r="AL64" s="106">
        <v>26.725119201791177</v>
      </c>
      <c r="AM64" s="106">
        <v>26970.99029844765</v>
      </c>
      <c r="AN64" s="106">
        <v>33.359811893510383</v>
      </c>
      <c r="AO64" s="106">
        <v>33666.722162930673</v>
      </c>
      <c r="AP64" s="106">
        <v>22.032901312754205</v>
      </c>
      <c r="AQ64" s="106">
        <v>22235.604004831541</v>
      </c>
      <c r="AR64" s="106">
        <v>28.339600221810198</v>
      </c>
      <c r="AS64" s="106">
        <v>28600.324543850846</v>
      </c>
      <c r="AT64" s="106">
        <v>8.3529011908789599</v>
      </c>
      <c r="AU64" s="106">
        <v>8429.7478818350446</v>
      </c>
      <c r="AV64" s="106">
        <v>50</v>
      </c>
      <c r="AW64" s="106">
        <v>50459.999999999993</v>
      </c>
      <c r="AX64" s="106">
        <v>11.890166878447031</v>
      </c>
      <c r="AY64" s="106">
        <v>11999.556413728742</v>
      </c>
      <c r="AZ64" s="106">
        <v>63.292530037920706</v>
      </c>
      <c r="BA64" s="106">
        <v>63874.821314269568</v>
      </c>
      <c r="BB64" s="106">
        <v>26.621595906001797</v>
      </c>
      <c r="BC64" s="106">
        <v>26866.51458833701</v>
      </c>
      <c r="BD64" s="106">
        <v>31.318578358080043</v>
      </c>
      <c r="BE64" s="106">
        <v>31606.709278974373</v>
      </c>
      <c r="BF64" s="106">
        <v>21.952644418915881</v>
      </c>
      <c r="BG64" s="106">
        <v>22154.608747569902</v>
      </c>
      <c r="BH64" s="106">
        <v>20.695467166530257</v>
      </c>
      <c r="BI64" s="106">
        <v>20885.865464462331</v>
      </c>
      <c r="BJ64" s="106">
        <v>25.792651357705243</v>
      </c>
      <c r="BK64" s="106">
        <v>26029.943750196126</v>
      </c>
      <c r="BL64" s="106">
        <v>28.537952396460497</v>
      </c>
      <c r="BM64" s="106">
        <v>28800.501558507927</v>
      </c>
      <c r="BN64" s="106">
        <v>24.700246093729316</v>
      </c>
      <c r="BO64" s="106">
        <v>24927.488357791623</v>
      </c>
      <c r="BP64" s="106">
        <v>30.565063878622635</v>
      </c>
      <c r="BQ64" s="106">
        <v>30846.262466305958</v>
      </c>
      <c r="BR64" s="106">
        <v>3.2486915049927543</v>
      </c>
      <c r="BS64" s="106">
        <v>3278.579466838687</v>
      </c>
      <c r="BT64" s="106">
        <v>25.553114494802884</v>
      </c>
      <c r="BU64" s="106">
        <v>25788.203148155066</v>
      </c>
      <c r="BV64" s="106">
        <v>22.796907168155396</v>
      </c>
      <c r="BW64" s="106">
        <v>23006.638714102421</v>
      </c>
      <c r="BX64" s="106">
        <v>28.2232473081359</v>
      </c>
      <c r="BY64" s="106">
        <v>28482.901183370745</v>
      </c>
      <c r="BZ64" s="106">
        <v>3.7341139468252589</v>
      </c>
      <c r="CA64" s="106">
        <v>3768.4677951360504</v>
      </c>
      <c r="CB64" s="106">
        <v>29</v>
      </c>
      <c r="CC64" s="106">
        <v>29266.799999999996</v>
      </c>
      <c r="CD64" s="106">
        <v>42</v>
      </c>
      <c r="CE64" s="106">
        <v>42386.399999999994</v>
      </c>
      <c r="CF64" s="106">
        <v>26.409457897516369</v>
      </c>
      <c r="CG64" s="106">
        <v>26652.424910173515</v>
      </c>
      <c r="CH64" s="106">
        <v>27.609618104667611</v>
      </c>
      <c r="CI64" s="106">
        <v>27863.626591230546</v>
      </c>
      <c r="CJ64" s="106">
        <v>17.793619027637657</v>
      </c>
      <c r="CK64" s="106">
        <v>17957.320322691921</v>
      </c>
      <c r="CL64" s="106">
        <v>40</v>
      </c>
      <c r="CM64" s="106">
        <v>40367.999999999993</v>
      </c>
      <c r="CN64" s="106">
        <v>48.649294921968846</v>
      </c>
      <c r="CO64" s="106">
        <v>49096.868435250952</v>
      </c>
      <c r="CP64" s="106">
        <v>16.421167298222908</v>
      </c>
      <c r="CQ64" s="106">
        <v>16572.242037366555</v>
      </c>
      <c r="CR64" s="106">
        <v>3.100981355590871</v>
      </c>
      <c r="CS64" s="106">
        <v>3129.5103840623065</v>
      </c>
      <c r="CT64" s="106">
        <v>13.071039820041554</v>
      </c>
      <c r="CU64" s="106">
        <v>13191.293386385934</v>
      </c>
    </row>
    <row r="65" spans="2:99" x14ac:dyDescent="0.2">
      <c r="C65" s="105" t="s">
        <v>230</v>
      </c>
      <c r="D65" s="106">
        <v>0</v>
      </c>
      <c r="E65" s="106">
        <v>0</v>
      </c>
      <c r="F65" s="106">
        <v>0</v>
      </c>
      <c r="G65" s="106">
        <v>0</v>
      </c>
      <c r="H65" s="106">
        <v>28.852707413250169</v>
      </c>
      <c r="I65" s="106">
        <v>29602.877805994674</v>
      </c>
      <c r="J65" s="106">
        <v>3.1696903535638628</v>
      </c>
      <c r="K65" s="106">
        <v>3252.1023027565234</v>
      </c>
      <c r="L65" s="106">
        <v>44.989285552580611</v>
      </c>
      <c r="M65" s="106">
        <v>46159.006976947705</v>
      </c>
      <c r="N65" s="106">
        <v>6.1015547816481535</v>
      </c>
      <c r="O65" s="106">
        <v>6260.1952059710056</v>
      </c>
      <c r="P65" s="106">
        <v>27.696646002939147</v>
      </c>
      <c r="Q65" s="106">
        <v>28416.758799015566</v>
      </c>
      <c r="R65" s="106">
        <v>49.733391619589604</v>
      </c>
      <c r="S65" s="106">
        <v>51026.459801698933</v>
      </c>
      <c r="T65" s="106">
        <v>28.171516246729933</v>
      </c>
      <c r="U65" s="106">
        <v>28903.975669144911</v>
      </c>
      <c r="V65" s="106">
        <v>31.642408741222262</v>
      </c>
      <c r="W65" s="106">
        <v>32465.111368494039</v>
      </c>
      <c r="X65" s="106">
        <v>30.94909222484835</v>
      </c>
      <c r="Y65" s="106">
        <v>31753.768622694406</v>
      </c>
      <c r="Z65" s="106">
        <v>31.394650989639164</v>
      </c>
      <c r="AA65" s="106">
        <v>32210.911915369783</v>
      </c>
      <c r="AB65" s="106">
        <v>23.686324444190458</v>
      </c>
      <c r="AC65" s="106">
        <v>24302.168879739409</v>
      </c>
      <c r="AD65" s="106">
        <v>23.43309244528027</v>
      </c>
      <c r="AE65" s="106">
        <v>24042.352848857558</v>
      </c>
      <c r="AF65" s="106">
        <v>35.21864252856043</v>
      </c>
      <c r="AG65" s="106">
        <v>36134.327234303004</v>
      </c>
      <c r="AH65" s="106">
        <v>25.963191983383528</v>
      </c>
      <c r="AI65" s="106">
        <v>26638.234974951498</v>
      </c>
      <c r="AJ65" s="106">
        <v>35.843440614592119</v>
      </c>
      <c r="AK65" s="106">
        <v>36775.370070571516</v>
      </c>
      <c r="AL65" s="106">
        <v>29.808786801997851</v>
      </c>
      <c r="AM65" s="106">
        <v>30583.815258849794</v>
      </c>
      <c r="AN65" s="106">
        <v>30.933643755800535</v>
      </c>
      <c r="AO65" s="106">
        <v>31737.918493451351</v>
      </c>
      <c r="AP65" s="106">
        <v>23.213235311651751</v>
      </c>
      <c r="AQ65" s="106">
        <v>23816.779429754697</v>
      </c>
      <c r="AR65" s="106">
        <v>30.625051852601345</v>
      </c>
      <c r="AS65" s="106">
        <v>31421.30320076898</v>
      </c>
      <c r="AT65" s="106">
        <v>8.3529011908789599</v>
      </c>
      <c r="AU65" s="106">
        <v>8570.0766218418121</v>
      </c>
      <c r="AV65" s="106">
        <v>42</v>
      </c>
      <c r="AW65" s="106">
        <v>43092</v>
      </c>
      <c r="AX65" s="106">
        <v>12.050844809236855</v>
      </c>
      <c r="AY65" s="106">
        <v>12364.166774277013</v>
      </c>
      <c r="AZ65" s="106">
        <v>60.540680905837199</v>
      </c>
      <c r="BA65" s="106">
        <v>62114.738609388965</v>
      </c>
      <c r="BB65" s="106">
        <v>28.320846708512555</v>
      </c>
      <c r="BC65" s="106">
        <v>29057.188722933883</v>
      </c>
      <c r="BD65" s="106">
        <v>27.47243715621056</v>
      </c>
      <c r="BE65" s="106">
        <v>28186.720522272033</v>
      </c>
      <c r="BF65" s="106">
        <v>18.959101998154626</v>
      </c>
      <c r="BG65" s="106">
        <v>19452.038650106646</v>
      </c>
      <c r="BH65" s="106">
        <v>20.695467166530257</v>
      </c>
      <c r="BI65" s="106">
        <v>21233.549312860043</v>
      </c>
      <c r="BJ65" s="106">
        <v>26.177616303342635</v>
      </c>
      <c r="BK65" s="106">
        <v>26858.234327229544</v>
      </c>
      <c r="BL65" s="106">
        <v>31.29968972515022</v>
      </c>
      <c r="BM65" s="106">
        <v>32113.481658004126</v>
      </c>
      <c r="BN65" s="106">
        <v>24.196159438755249</v>
      </c>
      <c r="BO65" s="106">
        <v>24825.259584162886</v>
      </c>
      <c r="BP65" s="106">
        <v>26.369859032537175</v>
      </c>
      <c r="BQ65" s="106">
        <v>27055.47536738314</v>
      </c>
      <c r="BR65" s="106">
        <v>3.2486915049927543</v>
      </c>
      <c r="BS65" s="106">
        <v>3333.1574841225661</v>
      </c>
      <c r="BT65" s="106">
        <v>27.876124903421328</v>
      </c>
      <c r="BU65" s="106">
        <v>28600.904150910283</v>
      </c>
      <c r="BV65" s="106">
        <v>22.796907168155396</v>
      </c>
      <c r="BW65" s="106">
        <v>23389.626754527435</v>
      </c>
      <c r="BX65" s="106">
        <v>31.665106735957352</v>
      </c>
      <c r="BY65" s="106">
        <v>32488.399511092244</v>
      </c>
      <c r="BZ65" s="106">
        <v>4.0635945891921939</v>
      </c>
      <c r="CA65" s="106">
        <v>4169.248048511191</v>
      </c>
      <c r="CB65" s="106">
        <v>28</v>
      </c>
      <c r="CC65" s="106">
        <v>28728</v>
      </c>
      <c r="CD65" s="106">
        <v>38</v>
      </c>
      <c r="CE65" s="106">
        <v>38988</v>
      </c>
      <c r="CF65" s="106">
        <v>25.822581055349339</v>
      </c>
      <c r="CG65" s="106">
        <v>26493.96816278842</v>
      </c>
      <c r="CH65" s="106">
        <v>33.131541725601132</v>
      </c>
      <c r="CI65" s="106">
        <v>33992.961810466761</v>
      </c>
      <c r="CJ65" s="106">
        <v>17.109249065036209</v>
      </c>
      <c r="CK65" s="106">
        <v>17554.089540727149</v>
      </c>
      <c r="CL65" s="106">
        <v>41</v>
      </c>
      <c r="CM65" s="106">
        <v>42066</v>
      </c>
      <c r="CN65" s="106">
        <v>54.520761550482327</v>
      </c>
      <c r="CO65" s="106">
        <v>55938.301350794864</v>
      </c>
      <c r="CP65" s="106">
        <v>19.084059292529325</v>
      </c>
      <c r="CQ65" s="106">
        <v>19580.244834135086</v>
      </c>
      <c r="CR65" s="106">
        <v>3.3350176843147104</v>
      </c>
      <c r="CS65" s="106">
        <v>3421.7281441068926</v>
      </c>
      <c r="CT65" s="106">
        <v>13.724591811043631</v>
      </c>
      <c r="CU65" s="106">
        <v>14081.431198130766</v>
      </c>
    </row>
    <row r="66" spans="2:99" x14ac:dyDescent="0.2">
      <c r="C66" s="105" t="s">
        <v>231</v>
      </c>
      <c r="D66" s="106">
        <v>0</v>
      </c>
      <c r="E66" s="106">
        <v>0</v>
      </c>
      <c r="F66" s="106">
        <v>0</v>
      </c>
      <c r="G66" s="106">
        <v>0</v>
      </c>
      <c r="H66" s="106">
        <v>30.271693023737882</v>
      </c>
      <c r="I66" s="106">
        <v>36035.423375457569</v>
      </c>
      <c r="J66" s="106">
        <v>2.6007715721549642</v>
      </c>
      <c r="K66" s="106">
        <v>3095.9584794932689</v>
      </c>
      <c r="L66" s="106">
        <v>45.907434237327145</v>
      </c>
      <c r="M66" s="106">
        <v>54648.20971611423</v>
      </c>
      <c r="N66" s="106">
        <v>5.4913993034833384</v>
      </c>
      <c r="O66" s="106">
        <v>6536.9617308665656</v>
      </c>
      <c r="P66" s="106">
        <v>28.955584457618201</v>
      </c>
      <c r="Q66" s="106">
        <v>34468.727738348702</v>
      </c>
      <c r="R66" s="106">
        <v>44.404813946062148</v>
      </c>
      <c r="S66" s="106">
        <v>52859.490521392378</v>
      </c>
      <c r="T66" s="106">
        <v>30.988667871402924</v>
      </c>
      <c r="U66" s="106">
        <v>36888.910234118041</v>
      </c>
      <c r="V66" s="106">
        <v>26.989113338101344</v>
      </c>
      <c r="W66" s="106">
        <v>32127.840517675835</v>
      </c>
      <c r="X66" s="106">
        <v>35.281965136327123</v>
      </c>
      <c r="Y66" s="106">
        <v>41999.651298283803</v>
      </c>
      <c r="Z66" s="106">
        <v>26.598245977333182</v>
      </c>
      <c r="AA66" s="106">
        <v>31662.552011417418</v>
      </c>
      <c r="AB66" s="106">
        <v>24.870640666399982</v>
      </c>
      <c r="AC66" s="106">
        <v>29606.010649282536</v>
      </c>
      <c r="AD66" s="106">
        <v>23.953827832953166</v>
      </c>
      <c r="AE66" s="106">
        <v>28514.636652347446</v>
      </c>
      <c r="AF66" s="106">
        <v>33.365029763899358</v>
      </c>
      <c r="AG66" s="106">
        <v>39717.731430945794</v>
      </c>
      <c r="AH66" s="106">
        <v>27.283354287623371</v>
      </c>
      <c r="AI66" s="106">
        <v>32478.104943986858</v>
      </c>
      <c r="AJ66" s="106">
        <v>33.703533712228406</v>
      </c>
      <c r="AK66" s="106">
        <v>40120.686531036692</v>
      </c>
      <c r="AL66" s="106">
        <v>28.78089760192896</v>
      </c>
      <c r="AM66" s="106">
        <v>34260.780505336232</v>
      </c>
      <c r="AN66" s="106">
        <v>32.146727824655457</v>
      </c>
      <c r="AO66" s="106">
        <v>38267.464802469854</v>
      </c>
      <c r="AP66" s="106">
        <v>21.246011980155842</v>
      </c>
      <c r="AQ66" s="106">
        <v>25291.25266117751</v>
      </c>
      <c r="AR66" s="106">
        <v>26.054148591019054</v>
      </c>
      <c r="AS66" s="106">
        <v>31014.858482749078</v>
      </c>
      <c r="AT66" s="106">
        <v>7.5379840015249151</v>
      </c>
      <c r="AU66" s="106">
        <v>8973.2161554152572</v>
      </c>
      <c r="AV66" s="106">
        <v>43</v>
      </c>
      <c r="AW66" s="106">
        <v>51187.199999999997</v>
      </c>
      <c r="AX66" s="106">
        <v>10.444065501338608</v>
      </c>
      <c r="AY66" s="106">
        <v>12432.615572793478</v>
      </c>
      <c r="AZ66" s="106">
        <v>64.209813081948539</v>
      </c>
      <c r="BA66" s="106">
        <v>76435.36149275153</v>
      </c>
      <c r="BB66" s="106">
        <v>27.754429774342299</v>
      </c>
      <c r="BC66" s="106">
        <v>33038.873203377072</v>
      </c>
      <c r="BD66" s="106">
        <v>30.219680871831617</v>
      </c>
      <c r="BE66" s="106">
        <v>35973.508109828355</v>
      </c>
      <c r="BF66" s="106">
        <v>21.453720682122338</v>
      </c>
      <c r="BG66" s="106">
        <v>25538.509099998428</v>
      </c>
      <c r="BH66" s="106">
        <v>23.060663414133714</v>
      </c>
      <c r="BI66" s="106">
        <v>27451.413728184769</v>
      </c>
      <c r="BJ66" s="106">
        <v>26.177616303342635</v>
      </c>
      <c r="BK66" s="106">
        <v>31161.83444749907</v>
      </c>
      <c r="BL66" s="106">
        <v>30.379110615586981</v>
      </c>
      <c r="BM66" s="106">
        <v>36163.293276794735</v>
      </c>
      <c r="BN66" s="106">
        <v>25.204332748703383</v>
      </c>
      <c r="BO66" s="106">
        <v>30003.237704056504</v>
      </c>
      <c r="BP66" s="106">
        <v>30.565063878622635</v>
      </c>
      <c r="BQ66" s="106">
        <v>36384.652041112378</v>
      </c>
      <c r="BR66" s="106">
        <v>3.2486915049927543</v>
      </c>
      <c r="BS66" s="106">
        <v>3867.2423675433743</v>
      </c>
      <c r="BT66" s="106">
        <v>27.411522821697641</v>
      </c>
      <c r="BU66" s="106">
        <v>32630.676766948869</v>
      </c>
      <c r="BV66" s="106">
        <v>23.413039794321758</v>
      </c>
      <c r="BW66" s="106">
        <v>27870.882571160619</v>
      </c>
      <c r="BX66" s="106">
        <v>28.2232473081359</v>
      </c>
      <c r="BY66" s="106">
        <v>33596.953595604973</v>
      </c>
      <c r="BZ66" s="106">
        <v>3.6242870660362807</v>
      </c>
      <c r="CA66" s="106">
        <v>4314.3513234095881</v>
      </c>
      <c r="CB66" s="106">
        <v>32</v>
      </c>
      <c r="CC66" s="106">
        <v>38092.799999999996</v>
      </c>
      <c r="CD66" s="106">
        <v>42</v>
      </c>
      <c r="CE66" s="106">
        <v>49996.799999999996</v>
      </c>
      <c r="CF66" s="106">
        <v>22.888196844514184</v>
      </c>
      <c r="CG66" s="106">
        <v>27246.109523709682</v>
      </c>
      <c r="CH66" s="106">
        <v>27.609618104667611</v>
      </c>
      <c r="CI66" s="106">
        <v>32866.48939179632</v>
      </c>
      <c r="CJ66" s="106">
        <v>17.793619027637657</v>
      </c>
      <c r="CK66" s="106">
        <v>21181.524090499865</v>
      </c>
      <c r="CL66" s="106">
        <v>44</v>
      </c>
      <c r="CM66" s="106">
        <v>52377.599999999991</v>
      </c>
      <c r="CN66" s="106">
        <v>46.971733028107849</v>
      </c>
      <c r="CO66" s="106">
        <v>55915.150996659577</v>
      </c>
      <c r="CP66" s="106">
        <v>18.640243960144922</v>
      </c>
      <c r="CQ66" s="106">
        <v>22189.346410156511</v>
      </c>
      <c r="CR66" s="106">
        <v>3.3350176843147104</v>
      </c>
      <c r="CS66" s="106">
        <v>3970.0050514082309</v>
      </c>
      <c r="CT66" s="106">
        <v>13.724591811043631</v>
      </c>
      <c r="CU66" s="106">
        <v>16337.754091866336</v>
      </c>
    </row>
    <row r="67" spans="2:99" x14ac:dyDescent="0.2">
      <c r="C67" s="105" t="s">
        <v>232</v>
      </c>
      <c r="D67" s="106">
        <v>0</v>
      </c>
      <c r="E67" s="106">
        <v>0</v>
      </c>
      <c r="F67" s="106">
        <v>0</v>
      </c>
      <c r="G67" s="106">
        <v>0</v>
      </c>
      <c r="H67" s="106">
        <v>33.109664244713308</v>
      </c>
      <c r="I67" s="106">
        <v>37188.774879661985</v>
      </c>
      <c r="J67" s="106">
        <v>2.6820456837848066</v>
      </c>
      <c r="K67" s="106">
        <v>3012.4737120270947</v>
      </c>
      <c r="L67" s="106">
        <v>45.907434237327145</v>
      </c>
      <c r="M67" s="106">
        <v>51563.230135365848</v>
      </c>
      <c r="N67" s="106">
        <v>5.6134303991163019</v>
      </c>
      <c r="O67" s="106">
        <v>6305.0050242874304</v>
      </c>
      <c r="P67" s="106">
        <v>30.843992139636775</v>
      </c>
      <c r="Q67" s="106">
        <v>34643.971971240026</v>
      </c>
      <c r="R67" s="106">
        <v>49.733391619589604</v>
      </c>
      <c r="S67" s="106">
        <v>55860.545467123047</v>
      </c>
      <c r="T67" s="106">
        <v>30.425237546468328</v>
      </c>
      <c r="U67" s="106">
        <v>34173.62681219323</v>
      </c>
      <c r="V67" s="106">
        <v>31.642408741222262</v>
      </c>
      <c r="W67" s="106">
        <v>35540.753498140846</v>
      </c>
      <c r="X67" s="106">
        <v>35.900946980824088</v>
      </c>
      <c r="Y67" s="106">
        <v>40323.943648861619</v>
      </c>
      <c r="Z67" s="106">
        <v>27.034282796633725</v>
      </c>
      <c r="AA67" s="106">
        <v>30364.906437179001</v>
      </c>
      <c r="AB67" s="106">
        <v>25.462798777504744</v>
      </c>
      <c r="AC67" s="106">
        <v>28599.815586893332</v>
      </c>
      <c r="AD67" s="106">
        <v>22.39162166993448</v>
      </c>
      <c r="AE67" s="106">
        <v>25150.26945967041</v>
      </c>
      <c r="AF67" s="106">
        <v>33.982900685453046</v>
      </c>
      <c r="AG67" s="106">
        <v>38169.594049900865</v>
      </c>
      <c r="AH67" s="106">
        <v>24.643029679143691</v>
      </c>
      <c r="AI67" s="106">
        <v>27679.050935614196</v>
      </c>
      <c r="AJ67" s="106">
        <v>34.238510437819336</v>
      </c>
      <c r="AK67" s="106">
        <v>38456.694923758681</v>
      </c>
      <c r="AL67" s="106">
        <v>30.836676002066742</v>
      </c>
      <c r="AM67" s="106">
        <v>34635.754485521364</v>
      </c>
      <c r="AN67" s="106">
        <v>29.114017652518154</v>
      </c>
      <c r="AO67" s="106">
        <v>32700.86462730839</v>
      </c>
      <c r="AP67" s="106">
        <v>20.459122647557479</v>
      </c>
      <c r="AQ67" s="106">
        <v>22979.686557736561</v>
      </c>
      <c r="AR67" s="106">
        <v>28.339600221810198</v>
      </c>
      <c r="AS67" s="106">
        <v>31831.038969137215</v>
      </c>
      <c r="AT67" s="106">
        <v>6.9267961095093824</v>
      </c>
      <c r="AU67" s="106">
        <v>7780.177390200939</v>
      </c>
      <c r="AV67" s="106">
        <v>49</v>
      </c>
      <c r="AW67" s="106">
        <v>55036.800000000003</v>
      </c>
      <c r="AX67" s="106">
        <v>11.247455155287732</v>
      </c>
      <c r="AY67" s="106">
        <v>12633.141630419181</v>
      </c>
      <c r="AZ67" s="106">
        <v>63.292530037920706</v>
      </c>
      <c r="BA67" s="106">
        <v>71090.169738592536</v>
      </c>
      <c r="BB67" s="106">
        <v>26.621595906001797</v>
      </c>
      <c r="BC67" s="106">
        <v>29901.37652162122</v>
      </c>
      <c r="BD67" s="106">
        <v>30.76912961495583</v>
      </c>
      <c r="BE67" s="106">
        <v>34559.886383518387</v>
      </c>
      <c r="BF67" s="106">
        <v>21.453720682122338</v>
      </c>
      <c r="BG67" s="106">
        <v>24096.819070159811</v>
      </c>
      <c r="BH67" s="106">
        <v>20.104168104629391</v>
      </c>
      <c r="BI67" s="106">
        <v>22581.001615119734</v>
      </c>
      <c r="BJ67" s="106">
        <v>28.487405977166983</v>
      </c>
      <c r="BK67" s="106">
        <v>31997.054393553957</v>
      </c>
      <c r="BL67" s="106">
        <v>32.680558389495083</v>
      </c>
      <c r="BM67" s="106">
        <v>36706.803183080876</v>
      </c>
      <c r="BN67" s="106">
        <v>23.692072783781182</v>
      </c>
      <c r="BO67" s="106">
        <v>26610.936150743026</v>
      </c>
      <c r="BP67" s="106">
        <v>28.1678039665738</v>
      </c>
      <c r="BQ67" s="106">
        <v>31638.077415255691</v>
      </c>
      <c r="BR67" s="106">
        <v>3.1237418317238022</v>
      </c>
      <c r="BS67" s="106">
        <v>3508.5868253921749</v>
      </c>
      <c r="BT67" s="106">
        <v>24.623910331355507</v>
      </c>
      <c r="BU67" s="106">
        <v>27657.576084178505</v>
      </c>
      <c r="BV67" s="106">
        <v>24.029172420488123</v>
      </c>
      <c r="BW67" s="106">
        <v>26989.566462692263</v>
      </c>
      <c r="BX67" s="106">
        <v>27.534875422571609</v>
      </c>
      <c r="BY67" s="106">
        <v>30927.172074632432</v>
      </c>
      <c r="BZ67" s="106">
        <v>3.7341139468252589</v>
      </c>
      <c r="CA67" s="106">
        <v>4194.1567850741312</v>
      </c>
      <c r="CB67" s="106">
        <v>29</v>
      </c>
      <c r="CC67" s="106">
        <v>32572.800000000003</v>
      </c>
      <c r="CD67" s="106">
        <v>37</v>
      </c>
      <c r="CE67" s="106">
        <v>41558.400000000001</v>
      </c>
      <c r="CF67" s="106">
        <v>22.301320002347154</v>
      </c>
      <c r="CG67" s="106">
        <v>25048.842626636324</v>
      </c>
      <c r="CH67" s="106">
        <v>27.609618104667611</v>
      </c>
      <c r="CI67" s="106">
        <v>31011.123055162661</v>
      </c>
      <c r="CJ67" s="106">
        <v>18.477988990239105</v>
      </c>
      <c r="CK67" s="106">
        <v>20754.477233836562</v>
      </c>
      <c r="CL67" s="106">
        <v>39</v>
      </c>
      <c r="CM67" s="106">
        <v>43804.800000000003</v>
      </c>
      <c r="CN67" s="106">
        <v>47.810513975038347</v>
      </c>
      <c r="CO67" s="106">
        <v>53700.769296763072</v>
      </c>
      <c r="CP67" s="106">
        <v>18.196428627760518</v>
      </c>
      <c r="CQ67" s="106">
        <v>20438.228634700616</v>
      </c>
      <c r="CR67" s="106">
        <v>2.9254541090479913</v>
      </c>
      <c r="CS67" s="106">
        <v>3285.870055282704</v>
      </c>
      <c r="CT67" s="106">
        <v>13.94244247471099</v>
      </c>
      <c r="CU67" s="106">
        <v>15660.151387595384</v>
      </c>
    </row>
    <row r="68" spans="2:99" x14ac:dyDescent="0.2">
      <c r="C68" s="105" t="s">
        <v>233</v>
      </c>
      <c r="D68" s="106">
        <v>0</v>
      </c>
      <c r="E68" s="106">
        <v>0</v>
      </c>
      <c r="F68" s="106">
        <v>0</v>
      </c>
      <c r="G68" s="106">
        <v>0</v>
      </c>
      <c r="H68" s="106">
        <v>28.852707413250169</v>
      </c>
      <c r="I68" s="106">
        <v>29810.617299370075</v>
      </c>
      <c r="J68" s="106">
        <v>3.08841624193402</v>
      </c>
      <c r="K68" s="106">
        <v>3190.9516611662298</v>
      </c>
      <c r="L68" s="106">
        <v>41.316690813594427</v>
      </c>
      <c r="M68" s="106">
        <v>42688.404948605763</v>
      </c>
      <c r="N68" s="106">
        <v>5.8574925903822272</v>
      </c>
      <c r="O68" s="106">
        <v>6051.9613443829176</v>
      </c>
      <c r="P68" s="106">
        <v>32.102930594315829</v>
      </c>
      <c r="Q68" s="106">
        <v>33168.747890047118</v>
      </c>
      <c r="R68" s="106">
        <v>48.845295340668365</v>
      </c>
      <c r="S68" s="106">
        <v>50466.959145978559</v>
      </c>
      <c r="T68" s="106">
        <v>31.552098196337525</v>
      </c>
      <c r="U68" s="106">
        <v>32599.627856455932</v>
      </c>
      <c r="V68" s="106">
        <v>28.385101959037616</v>
      </c>
      <c r="W68" s="106">
        <v>29327.487344077665</v>
      </c>
      <c r="X68" s="106">
        <v>36.51992882532106</v>
      </c>
      <c r="Y68" s="106">
        <v>37732.390462321724</v>
      </c>
      <c r="Z68" s="106">
        <v>30.522577351038077</v>
      </c>
      <c r="AA68" s="106">
        <v>31535.926919092541</v>
      </c>
      <c r="AB68" s="106">
        <v>26.05495688860951</v>
      </c>
      <c r="AC68" s="106">
        <v>26919.981457311347</v>
      </c>
      <c r="AD68" s="106">
        <v>24.474563220626059</v>
      </c>
      <c r="AE68" s="106">
        <v>25287.118719550846</v>
      </c>
      <c r="AF68" s="106">
        <v>33.982900685453046</v>
      </c>
      <c r="AG68" s="106">
        <v>35111.132988210091</v>
      </c>
      <c r="AH68" s="106">
        <v>25.963191983383528</v>
      </c>
      <c r="AI68" s="106">
        <v>26825.169957231861</v>
      </c>
      <c r="AJ68" s="106">
        <v>33.168556986637483</v>
      </c>
      <c r="AK68" s="106">
        <v>34269.753078593851</v>
      </c>
      <c r="AL68" s="106">
        <v>26.725119201791177</v>
      </c>
      <c r="AM68" s="106">
        <v>27612.393159290645</v>
      </c>
      <c r="AN68" s="106">
        <v>33.966353927937845</v>
      </c>
      <c r="AO68" s="106">
        <v>35094.036878345381</v>
      </c>
      <c r="AP68" s="106">
        <v>20.065677981258293</v>
      </c>
      <c r="AQ68" s="106">
        <v>20731.858490236071</v>
      </c>
      <c r="AR68" s="106">
        <v>30.625051852601345</v>
      </c>
      <c r="AS68" s="106">
        <v>31641.803574107711</v>
      </c>
      <c r="AT68" s="106">
        <v>6.9267961095093824</v>
      </c>
      <c r="AU68" s="106">
        <v>7156.7657403450939</v>
      </c>
      <c r="AV68" s="106">
        <v>42</v>
      </c>
      <c r="AW68" s="106">
        <v>43394.400000000001</v>
      </c>
      <c r="AX68" s="106">
        <v>11.568811016867381</v>
      </c>
      <c r="AY68" s="106">
        <v>11952.895542627379</v>
      </c>
      <c r="AZ68" s="106">
        <v>66.044379170004206</v>
      </c>
      <c r="BA68" s="106">
        <v>68237.052558448355</v>
      </c>
      <c r="BB68" s="106">
        <v>28.8872636426828</v>
      </c>
      <c r="BC68" s="106">
        <v>29846.320795619871</v>
      </c>
      <c r="BD68" s="106">
        <v>28.021885899334773</v>
      </c>
      <c r="BE68" s="106">
        <v>28952.212511192687</v>
      </c>
      <c r="BF68" s="106">
        <v>18.959101998154626</v>
      </c>
      <c r="BG68" s="106">
        <v>19588.544184493359</v>
      </c>
      <c r="BH68" s="106">
        <v>20.695467166530257</v>
      </c>
      <c r="BI68" s="106">
        <v>21382.556676459062</v>
      </c>
      <c r="BJ68" s="106">
        <v>28.102441031529594</v>
      </c>
      <c r="BK68" s="106">
        <v>29035.442073776379</v>
      </c>
      <c r="BL68" s="106">
        <v>32.220268834713465</v>
      </c>
      <c r="BM68" s="106">
        <v>33289.981760025956</v>
      </c>
      <c r="BN68" s="106">
        <v>21.67572616388491</v>
      </c>
      <c r="BO68" s="106">
        <v>22395.36027252589</v>
      </c>
      <c r="BP68" s="106">
        <v>30.565063878622635</v>
      </c>
      <c r="BQ68" s="106">
        <v>31579.823999392909</v>
      </c>
      <c r="BR68" s="106">
        <v>3.2486915049927543</v>
      </c>
      <c r="BS68" s="106">
        <v>3356.548062958514</v>
      </c>
      <c r="BT68" s="106">
        <v>24.623910331355507</v>
      </c>
      <c r="BU68" s="106">
        <v>25441.424154356511</v>
      </c>
      <c r="BV68" s="106">
        <v>22.796907168155396</v>
      </c>
      <c r="BW68" s="106">
        <v>23553.764486138156</v>
      </c>
      <c r="BX68" s="106">
        <v>26.846503537007319</v>
      </c>
      <c r="BY68" s="106">
        <v>27737.807454435962</v>
      </c>
      <c r="BZ68" s="106">
        <v>4.0635945891921939</v>
      </c>
      <c r="CA68" s="106">
        <v>4198.5059295533747</v>
      </c>
      <c r="CB68" s="106">
        <v>31</v>
      </c>
      <c r="CC68" s="106">
        <v>32029.200000000001</v>
      </c>
      <c r="CD68" s="106">
        <v>41</v>
      </c>
      <c r="CE68" s="106">
        <v>42361.200000000004</v>
      </c>
      <c r="CF68" s="106">
        <v>22.301320002347154</v>
      </c>
      <c r="CG68" s="106">
        <v>23041.723826425081</v>
      </c>
      <c r="CH68" s="106">
        <v>29.680339462517679</v>
      </c>
      <c r="CI68" s="106">
        <v>30665.726732673269</v>
      </c>
      <c r="CJ68" s="106">
        <v>17.109249065036209</v>
      </c>
      <c r="CK68" s="106">
        <v>17677.276133995412</v>
      </c>
      <c r="CL68" s="106">
        <v>46</v>
      </c>
      <c r="CM68" s="106">
        <v>47527.200000000004</v>
      </c>
      <c r="CN68" s="106">
        <v>45.294171134246852</v>
      </c>
      <c r="CO68" s="106">
        <v>46797.937615903851</v>
      </c>
      <c r="CP68" s="106">
        <v>19.527874624913725</v>
      </c>
      <c r="CQ68" s="106">
        <v>20176.200062460863</v>
      </c>
      <c r="CR68" s="106">
        <v>2.8084359446860714</v>
      </c>
      <c r="CS68" s="106">
        <v>2901.676018049649</v>
      </c>
      <c r="CT68" s="106">
        <v>13.94244247471099</v>
      </c>
      <c r="CU68" s="106">
        <v>14405.331564871396</v>
      </c>
    </row>
    <row r="69" spans="2:99" x14ac:dyDescent="0.2">
      <c r="C69" s="105" t="s">
        <v>234</v>
      </c>
      <c r="D69" s="106">
        <v>0</v>
      </c>
      <c r="E69" s="106">
        <v>0</v>
      </c>
      <c r="F69" s="106">
        <v>0</v>
      </c>
      <c r="G69" s="106">
        <v>0</v>
      </c>
      <c r="H69" s="106">
        <v>30.271693023737882</v>
      </c>
      <c r="I69" s="106">
        <v>22958.05198920281</v>
      </c>
      <c r="J69" s="106">
        <v>2.9258680186743349</v>
      </c>
      <c r="K69" s="106">
        <v>2218.9783053626156</v>
      </c>
      <c r="L69" s="106">
        <v>47.743731606820234</v>
      </c>
      <c r="M69" s="106">
        <v>36208.846050612461</v>
      </c>
      <c r="N69" s="106">
        <v>6.1015547816481535</v>
      </c>
      <c r="O69" s="106">
        <v>4627.4191464019596</v>
      </c>
      <c r="P69" s="106">
        <v>30.214522912297252</v>
      </c>
      <c r="Q69" s="106">
        <v>22914.694176686236</v>
      </c>
      <c r="R69" s="106">
        <v>47.957199061747119</v>
      </c>
      <c r="S69" s="106">
        <v>36370.739768429012</v>
      </c>
      <c r="T69" s="106">
        <v>29.29837689659913</v>
      </c>
      <c r="U69" s="106">
        <v>22219.889038380781</v>
      </c>
      <c r="V69" s="106">
        <v>32.10773828153436</v>
      </c>
      <c r="W69" s="106">
        <v>24350.508712715658</v>
      </c>
      <c r="X69" s="106">
        <v>33.425019602836223</v>
      </c>
      <c r="Y69" s="106">
        <v>25349.534866790989</v>
      </c>
      <c r="Z69" s="106">
        <v>33.574835086141881</v>
      </c>
      <c r="AA69" s="106">
        <v>25463.154929330001</v>
      </c>
      <c r="AB69" s="106">
        <v>27.239273110819031</v>
      </c>
      <c r="AC69" s="106">
        <v>20658.264727245154</v>
      </c>
      <c r="AD69" s="106">
        <v>26.036769383644742</v>
      </c>
      <c r="AE69" s="106">
        <v>19746.285900556173</v>
      </c>
      <c r="AF69" s="106">
        <v>35.21864252856043</v>
      </c>
      <c r="AG69" s="106">
        <v>26709.81849366023</v>
      </c>
      <c r="AH69" s="106">
        <v>25.963191983383528</v>
      </c>
      <c r="AI69" s="106">
        <v>19690.484800198068</v>
      </c>
      <c r="AJ69" s="106">
        <v>38.518324242546754</v>
      </c>
      <c r="AK69" s="106">
        <v>29212.297105547459</v>
      </c>
      <c r="AL69" s="106">
        <v>31.864565202135637</v>
      </c>
      <c r="AM69" s="106">
        <v>24166.086249299668</v>
      </c>
      <c r="AN69" s="106">
        <v>35.785980031220227</v>
      </c>
      <c r="AO69" s="106">
        <v>27140.087255677419</v>
      </c>
      <c r="AP69" s="106">
        <v>24.787013976848481</v>
      </c>
      <c r="AQ69" s="106">
        <v>18798.471400041886</v>
      </c>
      <c r="AR69" s="106">
        <v>27.882509895651967</v>
      </c>
      <c r="AS69" s="106">
        <v>21146.095504862453</v>
      </c>
      <c r="AT69" s="106">
        <v>7.9454425962019384</v>
      </c>
      <c r="AU69" s="106">
        <v>6025.8236649595501</v>
      </c>
      <c r="AV69" s="106">
        <v>48</v>
      </c>
      <c r="AW69" s="106">
        <v>36403.199999999997</v>
      </c>
      <c r="AX69" s="106">
        <v>10.604743432128432</v>
      </c>
      <c r="AY69" s="106">
        <v>8042.6374189262024</v>
      </c>
      <c r="AZ69" s="106">
        <v>67.878945258059886</v>
      </c>
      <c r="BA69" s="106">
        <v>51479.392083712613</v>
      </c>
      <c r="BB69" s="106">
        <v>27.18801284017205</v>
      </c>
      <c r="BC69" s="106">
        <v>20619.388937986481</v>
      </c>
      <c r="BD69" s="106">
        <v>31.868027101204252</v>
      </c>
      <c r="BE69" s="106">
        <v>24168.711753553303</v>
      </c>
      <c r="BF69" s="106">
        <v>23.44941562929651</v>
      </c>
      <c r="BG69" s="106">
        <v>17784.036813258474</v>
      </c>
      <c r="BH69" s="106">
        <v>21.286766228431119</v>
      </c>
      <c r="BI69" s="106">
        <v>16143.88350764216</v>
      </c>
      <c r="BJ69" s="106">
        <v>25.792651357705243</v>
      </c>
      <c r="BK69" s="106">
        <v>19561.146789683655</v>
      </c>
      <c r="BL69" s="106">
        <v>30.839400170368602</v>
      </c>
      <c r="BM69" s="106">
        <v>23388.601089207546</v>
      </c>
      <c r="BN69" s="106">
        <v>23.692072783781182</v>
      </c>
      <c r="BO69" s="106">
        <v>17968.067999219649</v>
      </c>
      <c r="BP69" s="106">
        <v>29.965748900610425</v>
      </c>
      <c r="BQ69" s="106">
        <v>22726.023966222947</v>
      </c>
      <c r="BR69" s="106">
        <v>3.2486915049927543</v>
      </c>
      <c r="BS69" s="106">
        <v>2463.8076373865047</v>
      </c>
      <c r="BT69" s="106">
        <v>27.411522821697641</v>
      </c>
      <c r="BU69" s="106">
        <v>20788.89890797549</v>
      </c>
      <c r="BV69" s="106">
        <v>24.645305046654482</v>
      </c>
      <c r="BW69" s="106">
        <v>18690.99934738276</v>
      </c>
      <c r="BX69" s="106">
        <v>29.59999107926448</v>
      </c>
      <c r="BY69" s="106">
        <v>22448.633234514182</v>
      </c>
      <c r="BZ69" s="106">
        <v>4.1734214699811716</v>
      </c>
      <c r="CA69" s="106">
        <v>3165.1228428337204</v>
      </c>
      <c r="CB69" s="106">
        <v>31</v>
      </c>
      <c r="CC69" s="106">
        <v>23510.399999999998</v>
      </c>
      <c r="CD69" s="106">
        <v>45</v>
      </c>
      <c r="CE69" s="106">
        <v>34128</v>
      </c>
      <c r="CF69" s="106">
        <v>23.475073686681213</v>
      </c>
      <c r="CG69" s="106">
        <v>17803.495883979031</v>
      </c>
      <c r="CH69" s="106">
        <v>33.821782178217823</v>
      </c>
      <c r="CI69" s="106">
        <v>25650.439603960396</v>
      </c>
      <c r="CJ69" s="106">
        <v>20.531098878043451</v>
      </c>
      <c r="CK69" s="106">
        <v>15570.785389108152</v>
      </c>
      <c r="CL69" s="106">
        <v>41</v>
      </c>
      <c r="CM69" s="106">
        <v>31094.399999999998</v>
      </c>
      <c r="CN69" s="106">
        <v>57.037104391273814</v>
      </c>
      <c r="CO69" s="106">
        <v>43256.939970342057</v>
      </c>
      <c r="CP69" s="106">
        <v>19.971689957298132</v>
      </c>
      <c r="CQ69" s="106">
        <v>15146.529663614903</v>
      </c>
      <c r="CR69" s="106">
        <v>3.4520358486766303</v>
      </c>
      <c r="CS69" s="106">
        <v>2618.0239876363562</v>
      </c>
      <c r="CT69" s="106">
        <v>14.813845129380429</v>
      </c>
      <c r="CU69" s="106">
        <v>11234.820146122116</v>
      </c>
    </row>
    <row r="70" spans="2:99" x14ac:dyDescent="0.2">
      <c r="C70" s="105" t="s">
        <v>235</v>
      </c>
      <c r="D70" s="106">
        <v>0</v>
      </c>
      <c r="E70" s="106">
        <v>0</v>
      </c>
      <c r="F70" s="106">
        <v>0</v>
      </c>
      <c r="G70" s="106">
        <v>0</v>
      </c>
      <c r="H70" s="106">
        <v>29.79869782024198</v>
      </c>
      <c r="I70" s="106">
        <v>15948.263073393506</v>
      </c>
      <c r="J70" s="106">
        <v>3.2509644651937055</v>
      </c>
      <c r="K70" s="106">
        <v>1739.9161817716711</v>
      </c>
      <c r="L70" s="106">
        <v>46.825582922073693</v>
      </c>
      <c r="M70" s="106">
        <v>25061.051979893837</v>
      </c>
      <c r="N70" s="106">
        <v>5.9795236860151908</v>
      </c>
      <c r="O70" s="106">
        <v>3200.2410767553297</v>
      </c>
      <c r="P70" s="106">
        <v>33.99133827633441</v>
      </c>
      <c r="Q70" s="106">
        <v>18192.164245494176</v>
      </c>
      <c r="R70" s="106">
        <v>53.285776735274581</v>
      </c>
      <c r="S70" s="106">
        <v>28518.547708718954</v>
      </c>
      <c r="T70" s="106">
        <v>32.678958846206719</v>
      </c>
      <c r="U70" s="106">
        <v>17489.778774489834</v>
      </c>
      <c r="V70" s="106">
        <v>32.10773828153436</v>
      </c>
      <c r="W70" s="106">
        <v>17184.061528277187</v>
      </c>
      <c r="X70" s="106">
        <v>35.281965136327123</v>
      </c>
      <c r="Y70" s="106">
        <v>18882.907740962273</v>
      </c>
      <c r="Z70" s="106">
        <v>32.266724628240254</v>
      </c>
      <c r="AA70" s="106">
        <v>17269.15102103418</v>
      </c>
      <c r="AB70" s="106">
        <v>28.423589333028556</v>
      </c>
      <c r="AC70" s="106">
        <v>15212.30501103688</v>
      </c>
      <c r="AD70" s="106">
        <v>26.557504771317639</v>
      </c>
      <c r="AE70" s="106">
        <v>14213.576553609199</v>
      </c>
      <c r="AF70" s="106">
        <v>38.925868057882582</v>
      </c>
      <c r="AG70" s="106">
        <v>20833.124584578756</v>
      </c>
      <c r="AH70" s="106">
        <v>27.723408389036649</v>
      </c>
      <c r="AI70" s="106">
        <v>14837.568169812414</v>
      </c>
      <c r="AJ70" s="106">
        <v>39.053300968137677</v>
      </c>
      <c r="AK70" s="106">
        <v>20901.326678147281</v>
      </c>
      <c r="AL70" s="106">
        <v>30.836676002066742</v>
      </c>
      <c r="AM70" s="106">
        <v>16503.788996306117</v>
      </c>
      <c r="AN70" s="106">
        <v>35.785980031220227</v>
      </c>
      <c r="AO70" s="106">
        <v>19152.656512709062</v>
      </c>
      <c r="AP70" s="106">
        <v>22.819790645352573</v>
      </c>
      <c r="AQ70" s="106">
        <v>12213.151953392695</v>
      </c>
      <c r="AR70" s="106">
        <v>33.824684135708949</v>
      </c>
      <c r="AS70" s="106">
        <v>18102.970949431427</v>
      </c>
      <c r="AT70" s="106">
        <v>8.556630488217472</v>
      </c>
      <c r="AU70" s="106">
        <v>4579.5086372939904</v>
      </c>
      <c r="AV70" s="106">
        <v>47</v>
      </c>
      <c r="AW70" s="106">
        <v>25154.399999999998</v>
      </c>
      <c r="AX70" s="106">
        <v>10.926099293708081</v>
      </c>
      <c r="AY70" s="106">
        <v>5847.6483419925644</v>
      </c>
      <c r="AZ70" s="106">
        <v>68.796228302087712</v>
      </c>
      <c r="BA70" s="106">
        <v>36819.74138727734</v>
      </c>
      <c r="BB70" s="106">
        <v>31.15293137936381</v>
      </c>
      <c r="BC70" s="106">
        <v>16673.048874235508</v>
      </c>
      <c r="BD70" s="106">
        <v>32.966924587452674</v>
      </c>
      <c r="BE70" s="106">
        <v>17643.898039204669</v>
      </c>
      <c r="BF70" s="106">
        <v>20.455873208535252</v>
      </c>
      <c r="BG70" s="106">
        <v>10947.983341208066</v>
      </c>
      <c r="BH70" s="106">
        <v>24.834560599836308</v>
      </c>
      <c r="BI70" s="106">
        <v>13291.456833032391</v>
      </c>
      <c r="BJ70" s="106">
        <v>28.872370922804372</v>
      </c>
      <c r="BK70" s="106">
        <v>15452.492917884898</v>
      </c>
      <c r="BL70" s="106">
        <v>34.521716608621574</v>
      </c>
      <c r="BM70" s="106">
        <v>18476.022728934266</v>
      </c>
      <c r="BN70" s="106">
        <v>25.70841940367745</v>
      </c>
      <c r="BO70" s="106">
        <v>13759.14606484817</v>
      </c>
      <c r="BP70" s="106">
        <v>34.160953746695881</v>
      </c>
      <c r="BQ70" s="106">
        <v>18282.942445231634</v>
      </c>
      <c r="BR70" s="106">
        <v>3.7484901980685628</v>
      </c>
      <c r="BS70" s="106">
        <v>2006.1919540062945</v>
      </c>
      <c r="BT70" s="106">
        <v>29.269931148592395</v>
      </c>
      <c r="BU70" s="106">
        <v>15665.267150726648</v>
      </c>
      <c r="BV70" s="106">
        <v>22.796907168155396</v>
      </c>
      <c r="BW70" s="106">
        <v>12200.904716396766</v>
      </c>
      <c r="BX70" s="106">
        <v>30.288362964828771</v>
      </c>
      <c r="BY70" s="106">
        <v>16210.331858776357</v>
      </c>
      <c r="BZ70" s="106">
        <v>4.5029021123481057</v>
      </c>
      <c r="CA70" s="106">
        <v>2409.9532105287058</v>
      </c>
      <c r="CB70" s="106">
        <v>34</v>
      </c>
      <c r="CC70" s="106">
        <v>18196.8</v>
      </c>
      <c r="CD70" s="106">
        <v>43</v>
      </c>
      <c r="CE70" s="106">
        <v>23013.599999999999</v>
      </c>
      <c r="CF70" s="106">
        <v>24.648827371015276</v>
      </c>
      <c r="CG70" s="106">
        <v>13192.052408967375</v>
      </c>
      <c r="CH70" s="106">
        <v>31.060820367751063</v>
      </c>
      <c r="CI70" s="106">
        <v>16623.751060820367</v>
      </c>
      <c r="CJ70" s="106">
        <v>19.846728915442</v>
      </c>
      <c r="CK70" s="106">
        <v>10621.969315544557</v>
      </c>
      <c r="CL70" s="106">
        <v>41</v>
      </c>
      <c r="CM70" s="106">
        <v>21943.199999999997</v>
      </c>
      <c r="CN70" s="106">
        <v>54.520761550482327</v>
      </c>
      <c r="CO70" s="106">
        <v>29179.511581818137</v>
      </c>
      <c r="CP70" s="106">
        <v>18.640243960144922</v>
      </c>
      <c r="CQ70" s="106">
        <v>9976.2585674695601</v>
      </c>
      <c r="CR70" s="106">
        <v>3.2179995199527909</v>
      </c>
      <c r="CS70" s="106">
        <v>1722.2733430787334</v>
      </c>
      <c r="CT70" s="106">
        <v>15.685247784049865</v>
      </c>
      <c r="CU70" s="106">
        <v>8394.7446140234861</v>
      </c>
    </row>
    <row r="71" spans="2:99" x14ac:dyDescent="0.2">
      <c r="B71" s="105" t="s">
        <v>130</v>
      </c>
      <c r="C71" s="105" t="s">
        <v>236</v>
      </c>
      <c r="D71" s="106">
        <v>0</v>
      </c>
      <c r="E71" s="106">
        <v>0</v>
      </c>
      <c r="F71" s="106">
        <v>0</v>
      </c>
      <c r="G71" s="106">
        <v>0</v>
      </c>
      <c r="H71" s="106">
        <v>0</v>
      </c>
      <c r="I71" s="106">
        <v>0</v>
      </c>
      <c r="J71" s="106">
        <v>0</v>
      </c>
      <c r="K71" s="106">
        <v>0</v>
      </c>
      <c r="L71" s="106">
        <v>0</v>
      </c>
      <c r="M71" s="106">
        <v>0</v>
      </c>
      <c r="N71" s="106">
        <v>0</v>
      </c>
      <c r="O71" s="106">
        <v>0</v>
      </c>
      <c r="P71" s="106">
        <v>0</v>
      </c>
      <c r="Q71" s="106">
        <v>0</v>
      </c>
      <c r="R71" s="106">
        <v>0</v>
      </c>
      <c r="S71" s="106">
        <v>0</v>
      </c>
      <c r="T71" s="106">
        <v>0</v>
      </c>
      <c r="U71" s="106">
        <v>0</v>
      </c>
      <c r="V71" s="106">
        <v>0</v>
      </c>
      <c r="W71" s="106">
        <v>0</v>
      </c>
      <c r="X71" s="106">
        <v>0</v>
      </c>
      <c r="Y71" s="106">
        <v>0</v>
      </c>
      <c r="Z71" s="106">
        <v>0</v>
      </c>
      <c r="AA71" s="106">
        <v>0</v>
      </c>
      <c r="AB71" s="106">
        <v>0</v>
      </c>
      <c r="AC71" s="106">
        <v>0</v>
      </c>
      <c r="AD71" s="106">
        <v>0</v>
      </c>
      <c r="AE71" s="106">
        <v>0</v>
      </c>
      <c r="AF71" s="106">
        <v>0</v>
      </c>
      <c r="AG71" s="106">
        <v>0</v>
      </c>
      <c r="AH71" s="106">
        <v>0</v>
      </c>
      <c r="AI71" s="106">
        <v>0</v>
      </c>
      <c r="AJ71" s="106">
        <v>0</v>
      </c>
      <c r="AK71" s="106">
        <v>0</v>
      </c>
      <c r="AL71" s="106">
        <v>0</v>
      </c>
      <c r="AM71" s="106">
        <v>0</v>
      </c>
      <c r="AN71" s="106">
        <v>0</v>
      </c>
      <c r="AO71" s="106">
        <v>0</v>
      </c>
      <c r="AP71" s="106">
        <v>0</v>
      </c>
      <c r="AQ71" s="106">
        <v>0</v>
      </c>
      <c r="AR71" s="106">
        <v>0</v>
      </c>
      <c r="AS71" s="106">
        <v>0</v>
      </c>
      <c r="AT71" s="106">
        <v>0</v>
      </c>
      <c r="AU71" s="106">
        <v>0</v>
      </c>
      <c r="AV71" s="106">
        <v>0</v>
      </c>
      <c r="AW71" s="106">
        <v>0</v>
      </c>
      <c r="AX71" s="106">
        <v>0</v>
      </c>
      <c r="AY71" s="106">
        <v>0</v>
      </c>
      <c r="AZ71" s="106">
        <v>0</v>
      </c>
      <c r="BA71" s="106">
        <v>0</v>
      </c>
      <c r="BB71" s="106">
        <v>0</v>
      </c>
      <c r="BC71" s="106">
        <v>0</v>
      </c>
      <c r="BD71" s="106">
        <v>0</v>
      </c>
      <c r="BE71" s="106">
        <v>0</v>
      </c>
      <c r="BF71" s="106">
        <v>0</v>
      </c>
      <c r="BG71" s="106">
        <v>0</v>
      </c>
      <c r="BH71" s="106">
        <v>0</v>
      </c>
      <c r="BI71" s="106">
        <v>0</v>
      </c>
      <c r="BJ71" s="106">
        <v>0</v>
      </c>
      <c r="BK71" s="106">
        <v>0</v>
      </c>
      <c r="BL71" s="106">
        <v>0</v>
      </c>
      <c r="BM71" s="106">
        <v>0</v>
      </c>
      <c r="BN71" s="106">
        <v>0</v>
      </c>
      <c r="BO71" s="106">
        <v>0</v>
      </c>
      <c r="BP71" s="106">
        <v>0</v>
      </c>
      <c r="BQ71" s="106">
        <v>0</v>
      </c>
      <c r="BR71" s="106">
        <v>0</v>
      </c>
      <c r="BS71" s="106">
        <v>0</v>
      </c>
      <c r="BT71" s="106">
        <v>0</v>
      </c>
      <c r="BU71" s="106">
        <v>0</v>
      </c>
      <c r="BV71" s="106">
        <v>0</v>
      </c>
      <c r="BW71" s="106">
        <v>0</v>
      </c>
      <c r="BX71" s="106">
        <v>0</v>
      </c>
      <c r="BY71" s="106">
        <v>0</v>
      </c>
      <c r="BZ71" s="106">
        <v>0</v>
      </c>
      <c r="CA71" s="106">
        <v>0</v>
      </c>
      <c r="CB71" s="106">
        <v>0</v>
      </c>
      <c r="CC71" s="106">
        <v>0</v>
      </c>
      <c r="CD71" s="106">
        <v>0</v>
      </c>
      <c r="CE71" s="106">
        <v>0</v>
      </c>
      <c r="CF71" s="106">
        <v>0</v>
      </c>
      <c r="CG71" s="106">
        <v>0</v>
      </c>
      <c r="CH71" s="106">
        <v>0</v>
      </c>
      <c r="CI71" s="106">
        <v>0</v>
      </c>
      <c r="CJ71" s="106">
        <v>0</v>
      </c>
      <c r="CK71" s="106">
        <v>0</v>
      </c>
      <c r="CL71" s="106">
        <v>0</v>
      </c>
      <c r="CM71" s="106">
        <v>0</v>
      </c>
      <c r="CN71" s="106">
        <v>0</v>
      </c>
      <c r="CO71" s="106">
        <v>0</v>
      </c>
      <c r="CP71" s="106">
        <v>0</v>
      </c>
      <c r="CQ71" s="106">
        <v>0</v>
      </c>
      <c r="CR71" s="106">
        <v>0</v>
      </c>
      <c r="CS71" s="106">
        <v>0</v>
      </c>
      <c r="CT71" s="106">
        <v>0</v>
      </c>
      <c r="CU71" s="106">
        <v>0</v>
      </c>
    </row>
    <row r="72" spans="2:99" x14ac:dyDescent="0.2">
      <c r="C72" s="105" t="s">
        <v>237</v>
      </c>
      <c r="D72" s="106">
        <v>0</v>
      </c>
      <c r="E72" s="106">
        <v>0</v>
      </c>
      <c r="F72" s="106">
        <v>0</v>
      </c>
      <c r="G72" s="106">
        <v>0</v>
      </c>
      <c r="H72" s="106">
        <v>0</v>
      </c>
      <c r="I72" s="106">
        <v>0</v>
      </c>
      <c r="J72" s="106">
        <v>0</v>
      </c>
      <c r="K72" s="106">
        <v>0</v>
      </c>
      <c r="L72" s="106">
        <v>0</v>
      </c>
      <c r="M72" s="106">
        <v>0</v>
      </c>
      <c r="N72" s="106">
        <v>0</v>
      </c>
      <c r="O72" s="106">
        <v>0</v>
      </c>
      <c r="P72" s="106">
        <v>0</v>
      </c>
      <c r="Q72" s="106">
        <v>0</v>
      </c>
      <c r="R72" s="106">
        <v>0</v>
      </c>
      <c r="S72" s="106">
        <v>0</v>
      </c>
      <c r="T72" s="106">
        <v>0</v>
      </c>
      <c r="U72" s="106">
        <v>0</v>
      </c>
      <c r="V72" s="106">
        <v>0</v>
      </c>
      <c r="W72" s="106">
        <v>0</v>
      </c>
      <c r="X72" s="106">
        <v>0</v>
      </c>
      <c r="Y72" s="106">
        <v>0</v>
      </c>
      <c r="Z72" s="106">
        <v>0</v>
      </c>
      <c r="AA72" s="106">
        <v>0</v>
      </c>
      <c r="AB72" s="106">
        <v>0</v>
      </c>
      <c r="AC72" s="106">
        <v>0</v>
      </c>
      <c r="AD72" s="106">
        <v>0</v>
      </c>
      <c r="AE72" s="106">
        <v>0</v>
      </c>
      <c r="AF72" s="106">
        <v>0</v>
      </c>
      <c r="AG72" s="106">
        <v>0</v>
      </c>
      <c r="AH72" s="106">
        <v>0</v>
      </c>
      <c r="AI72" s="106">
        <v>0</v>
      </c>
      <c r="AJ72" s="106">
        <v>0</v>
      </c>
      <c r="AK72" s="106">
        <v>0</v>
      </c>
      <c r="AL72" s="106">
        <v>0</v>
      </c>
      <c r="AM72" s="106">
        <v>0</v>
      </c>
      <c r="AN72" s="106">
        <v>0</v>
      </c>
      <c r="AO72" s="106">
        <v>0</v>
      </c>
      <c r="AP72" s="106">
        <v>0</v>
      </c>
      <c r="AQ72" s="106">
        <v>0</v>
      </c>
      <c r="AR72" s="106">
        <v>0</v>
      </c>
      <c r="AS72" s="106">
        <v>0</v>
      </c>
      <c r="AT72" s="106">
        <v>0</v>
      </c>
      <c r="AU72" s="106">
        <v>0</v>
      </c>
      <c r="AV72" s="106">
        <v>0</v>
      </c>
      <c r="AW72" s="106">
        <v>0</v>
      </c>
      <c r="AX72" s="106">
        <v>0</v>
      </c>
      <c r="AY72" s="106">
        <v>0</v>
      </c>
      <c r="AZ72" s="106">
        <v>0</v>
      </c>
      <c r="BA72" s="106">
        <v>0</v>
      </c>
      <c r="BB72" s="106">
        <v>0</v>
      </c>
      <c r="BC72" s="106">
        <v>0</v>
      </c>
      <c r="BD72" s="106">
        <v>0</v>
      </c>
      <c r="BE72" s="106">
        <v>0</v>
      </c>
      <c r="BF72" s="106">
        <v>0</v>
      </c>
      <c r="BG72" s="106">
        <v>0</v>
      </c>
      <c r="BH72" s="106">
        <v>0</v>
      </c>
      <c r="BI72" s="106">
        <v>0</v>
      </c>
      <c r="BJ72" s="106">
        <v>0</v>
      </c>
      <c r="BK72" s="106">
        <v>0</v>
      </c>
      <c r="BL72" s="106">
        <v>0</v>
      </c>
      <c r="BM72" s="106">
        <v>0</v>
      </c>
      <c r="BN72" s="106">
        <v>0</v>
      </c>
      <c r="BO72" s="106">
        <v>0</v>
      </c>
      <c r="BP72" s="106">
        <v>0</v>
      </c>
      <c r="BQ72" s="106">
        <v>0</v>
      </c>
      <c r="BR72" s="106">
        <v>0</v>
      </c>
      <c r="BS72" s="106">
        <v>0</v>
      </c>
      <c r="BT72" s="106">
        <v>0</v>
      </c>
      <c r="BU72" s="106">
        <v>0</v>
      </c>
      <c r="BV72" s="106">
        <v>0</v>
      </c>
      <c r="BW72" s="106">
        <v>0</v>
      </c>
      <c r="BX72" s="106">
        <v>0</v>
      </c>
      <c r="BY72" s="106">
        <v>0</v>
      </c>
      <c r="BZ72" s="106">
        <v>0</v>
      </c>
      <c r="CA72" s="106">
        <v>0</v>
      </c>
      <c r="CB72" s="106">
        <v>0</v>
      </c>
      <c r="CC72" s="106">
        <v>0</v>
      </c>
      <c r="CD72" s="106">
        <v>0</v>
      </c>
      <c r="CE72" s="106">
        <v>0</v>
      </c>
      <c r="CF72" s="106">
        <v>0</v>
      </c>
      <c r="CG72" s="106">
        <v>0</v>
      </c>
      <c r="CH72" s="106">
        <v>0</v>
      </c>
      <c r="CI72" s="106">
        <v>0</v>
      </c>
      <c r="CJ72" s="106">
        <v>0</v>
      </c>
      <c r="CK72" s="106">
        <v>0</v>
      </c>
      <c r="CL72" s="106">
        <v>0</v>
      </c>
      <c r="CM72" s="106">
        <v>0</v>
      </c>
      <c r="CN72" s="106">
        <v>0</v>
      </c>
      <c r="CO72" s="106">
        <v>0</v>
      </c>
      <c r="CP72" s="106">
        <v>0</v>
      </c>
      <c r="CQ72" s="106">
        <v>0</v>
      </c>
      <c r="CR72" s="106">
        <v>0</v>
      </c>
      <c r="CS72" s="106">
        <v>0</v>
      </c>
      <c r="CT72" s="106">
        <v>0</v>
      </c>
      <c r="CU72" s="106">
        <v>0</v>
      </c>
    </row>
    <row r="73" spans="2:99" x14ac:dyDescent="0.2">
      <c r="C73" s="105" t="s">
        <v>238</v>
      </c>
      <c r="D73" s="106">
        <v>0</v>
      </c>
      <c r="E73" s="106">
        <v>0</v>
      </c>
      <c r="F73" s="106">
        <v>0</v>
      </c>
      <c r="G73" s="106">
        <v>0</v>
      </c>
      <c r="H73" s="106">
        <v>0</v>
      </c>
      <c r="I73" s="106">
        <v>0</v>
      </c>
      <c r="J73" s="106">
        <v>0</v>
      </c>
      <c r="K73" s="106">
        <v>0</v>
      </c>
      <c r="L73" s="106">
        <v>0</v>
      </c>
      <c r="M73" s="106">
        <v>0</v>
      </c>
      <c r="N73" s="106">
        <v>0</v>
      </c>
      <c r="O73" s="106">
        <v>0</v>
      </c>
      <c r="P73" s="106">
        <v>0</v>
      </c>
      <c r="Q73" s="106">
        <v>0</v>
      </c>
      <c r="R73" s="106">
        <v>0</v>
      </c>
      <c r="S73" s="106">
        <v>0</v>
      </c>
      <c r="T73" s="106">
        <v>0</v>
      </c>
      <c r="U73" s="106">
        <v>0</v>
      </c>
      <c r="V73" s="106">
        <v>0</v>
      </c>
      <c r="W73" s="106">
        <v>0</v>
      </c>
      <c r="X73" s="106">
        <v>0</v>
      </c>
      <c r="Y73" s="106">
        <v>0</v>
      </c>
      <c r="Z73" s="106">
        <v>0</v>
      </c>
      <c r="AA73" s="106">
        <v>0</v>
      </c>
      <c r="AB73" s="106">
        <v>0</v>
      </c>
      <c r="AC73" s="106">
        <v>0</v>
      </c>
      <c r="AD73" s="106">
        <v>0</v>
      </c>
      <c r="AE73" s="106">
        <v>0</v>
      </c>
      <c r="AF73" s="106">
        <v>0</v>
      </c>
      <c r="AG73" s="106">
        <v>0</v>
      </c>
      <c r="AH73" s="106">
        <v>0</v>
      </c>
      <c r="AI73" s="106">
        <v>0</v>
      </c>
      <c r="AJ73" s="106">
        <v>0</v>
      </c>
      <c r="AK73" s="106">
        <v>0</v>
      </c>
      <c r="AL73" s="106">
        <v>0</v>
      </c>
      <c r="AM73" s="106">
        <v>0</v>
      </c>
      <c r="AN73" s="106">
        <v>0</v>
      </c>
      <c r="AO73" s="106">
        <v>0</v>
      </c>
      <c r="AP73" s="106">
        <v>0</v>
      </c>
      <c r="AQ73" s="106">
        <v>0</v>
      </c>
      <c r="AR73" s="106">
        <v>0</v>
      </c>
      <c r="AS73" s="106">
        <v>0</v>
      </c>
      <c r="AT73" s="106">
        <v>0</v>
      </c>
      <c r="AU73" s="106">
        <v>0</v>
      </c>
      <c r="AV73" s="106">
        <v>0</v>
      </c>
      <c r="AW73" s="106">
        <v>0</v>
      </c>
      <c r="AX73" s="106">
        <v>0</v>
      </c>
      <c r="AY73" s="106">
        <v>0</v>
      </c>
      <c r="AZ73" s="106">
        <v>0</v>
      </c>
      <c r="BA73" s="106">
        <v>0</v>
      </c>
      <c r="BB73" s="106">
        <v>0</v>
      </c>
      <c r="BC73" s="106">
        <v>0</v>
      </c>
      <c r="BD73" s="106">
        <v>0</v>
      </c>
      <c r="BE73" s="106">
        <v>0</v>
      </c>
      <c r="BF73" s="106">
        <v>0</v>
      </c>
      <c r="BG73" s="106">
        <v>0</v>
      </c>
      <c r="BH73" s="106">
        <v>0</v>
      </c>
      <c r="BI73" s="106">
        <v>0</v>
      </c>
      <c r="BJ73" s="106">
        <v>0</v>
      </c>
      <c r="BK73" s="106">
        <v>0</v>
      </c>
      <c r="BL73" s="106">
        <v>0</v>
      </c>
      <c r="BM73" s="106">
        <v>0</v>
      </c>
      <c r="BN73" s="106">
        <v>0</v>
      </c>
      <c r="BO73" s="106">
        <v>0</v>
      </c>
      <c r="BP73" s="106">
        <v>0</v>
      </c>
      <c r="BQ73" s="106">
        <v>0</v>
      </c>
      <c r="BR73" s="106">
        <v>0</v>
      </c>
      <c r="BS73" s="106">
        <v>0</v>
      </c>
      <c r="BT73" s="106">
        <v>0</v>
      </c>
      <c r="BU73" s="106">
        <v>0</v>
      </c>
      <c r="BV73" s="106">
        <v>0</v>
      </c>
      <c r="BW73" s="106">
        <v>0</v>
      </c>
      <c r="BX73" s="106">
        <v>0</v>
      </c>
      <c r="BY73" s="106">
        <v>0</v>
      </c>
      <c r="BZ73" s="106">
        <v>0</v>
      </c>
      <c r="CA73" s="106">
        <v>0</v>
      </c>
      <c r="CB73" s="106">
        <v>0</v>
      </c>
      <c r="CC73" s="106">
        <v>0</v>
      </c>
      <c r="CD73" s="106">
        <v>0</v>
      </c>
      <c r="CE73" s="106">
        <v>0</v>
      </c>
      <c r="CF73" s="106">
        <v>0</v>
      </c>
      <c r="CG73" s="106">
        <v>0</v>
      </c>
      <c r="CH73" s="106">
        <v>0</v>
      </c>
      <c r="CI73" s="106">
        <v>0</v>
      </c>
      <c r="CJ73" s="106">
        <v>0</v>
      </c>
      <c r="CK73" s="106">
        <v>0</v>
      </c>
      <c r="CL73" s="106">
        <v>0</v>
      </c>
      <c r="CM73" s="106">
        <v>0</v>
      </c>
      <c r="CN73" s="106">
        <v>0</v>
      </c>
      <c r="CO73" s="106">
        <v>0</v>
      </c>
      <c r="CP73" s="106">
        <v>0</v>
      </c>
      <c r="CQ73" s="106">
        <v>0</v>
      </c>
      <c r="CR73" s="106">
        <v>0</v>
      </c>
      <c r="CS73" s="106">
        <v>0</v>
      </c>
      <c r="CT73" s="106">
        <v>0</v>
      </c>
      <c r="CU73" s="106">
        <v>0</v>
      </c>
    </row>
    <row r="74" spans="2:99" x14ac:dyDescent="0.2">
      <c r="C74" s="105" t="s">
        <v>239</v>
      </c>
      <c r="D74" s="106">
        <v>0</v>
      </c>
      <c r="E74" s="106">
        <v>0</v>
      </c>
      <c r="F74" s="106">
        <v>0</v>
      </c>
      <c r="G74" s="106">
        <v>0</v>
      </c>
      <c r="H74" s="106">
        <v>0</v>
      </c>
      <c r="I74" s="106">
        <v>0</v>
      </c>
      <c r="J74" s="106">
        <v>0</v>
      </c>
      <c r="K74" s="106">
        <v>0</v>
      </c>
      <c r="L74" s="106">
        <v>0</v>
      </c>
      <c r="M74" s="106">
        <v>0</v>
      </c>
      <c r="N74" s="106">
        <v>0</v>
      </c>
      <c r="O74" s="106">
        <v>0</v>
      </c>
      <c r="P74" s="106">
        <v>0</v>
      </c>
      <c r="Q74" s="106">
        <v>0</v>
      </c>
      <c r="R74" s="106">
        <v>0</v>
      </c>
      <c r="S74" s="106">
        <v>0</v>
      </c>
      <c r="T74" s="106">
        <v>0</v>
      </c>
      <c r="U74" s="106">
        <v>0</v>
      </c>
      <c r="V74" s="106">
        <v>0</v>
      </c>
      <c r="W74" s="106">
        <v>0</v>
      </c>
      <c r="X74" s="106">
        <v>0</v>
      </c>
      <c r="Y74" s="106">
        <v>0</v>
      </c>
      <c r="Z74" s="106">
        <v>0</v>
      </c>
      <c r="AA74" s="106">
        <v>0</v>
      </c>
      <c r="AB74" s="106">
        <v>0</v>
      </c>
      <c r="AC74" s="106">
        <v>0</v>
      </c>
      <c r="AD74" s="106">
        <v>0</v>
      </c>
      <c r="AE74" s="106">
        <v>0</v>
      </c>
      <c r="AF74" s="106">
        <v>0</v>
      </c>
      <c r="AG74" s="106">
        <v>0</v>
      </c>
      <c r="AH74" s="106">
        <v>0</v>
      </c>
      <c r="AI74" s="106">
        <v>0</v>
      </c>
      <c r="AJ74" s="106">
        <v>0</v>
      </c>
      <c r="AK74" s="106">
        <v>0</v>
      </c>
      <c r="AL74" s="106">
        <v>0</v>
      </c>
      <c r="AM74" s="106">
        <v>0</v>
      </c>
      <c r="AN74" s="106">
        <v>0</v>
      </c>
      <c r="AO74" s="106">
        <v>0</v>
      </c>
      <c r="AP74" s="106">
        <v>0</v>
      </c>
      <c r="AQ74" s="106">
        <v>0</v>
      </c>
      <c r="AR74" s="106">
        <v>0</v>
      </c>
      <c r="AS74" s="106">
        <v>0</v>
      </c>
      <c r="AT74" s="106">
        <v>0</v>
      </c>
      <c r="AU74" s="106">
        <v>0</v>
      </c>
      <c r="AV74" s="106">
        <v>0</v>
      </c>
      <c r="AW74" s="106">
        <v>0</v>
      </c>
      <c r="AX74" s="106">
        <v>0</v>
      </c>
      <c r="AY74" s="106">
        <v>0</v>
      </c>
      <c r="AZ74" s="106">
        <v>0</v>
      </c>
      <c r="BA74" s="106">
        <v>0</v>
      </c>
      <c r="BB74" s="106">
        <v>0</v>
      </c>
      <c r="BC74" s="106">
        <v>0</v>
      </c>
      <c r="BD74" s="106">
        <v>0</v>
      </c>
      <c r="BE74" s="106">
        <v>0</v>
      </c>
      <c r="BF74" s="106">
        <v>0</v>
      </c>
      <c r="BG74" s="106">
        <v>0</v>
      </c>
      <c r="BH74" s="106">
        <v>0</v>
      </c>
      <c r="BI74" s="106">
        <v>0</v>
      </c>
      <c r="BJ74" s="106">
        <v>0</v>
      </c>
      <c r="BK74" s="106">
        <v>0</v>
      </c>
      <c r="BL74" s="106">
        <v>0</v>
      </c>
      <c r="BM74" s="106">
        <v>0</v>
      </c>
      <c r="BN74" s="106">
        <v>0</v>
      </c>
      <c r="BO74" s="106">
        <v>0</v>
      </c>
      <c r="BP74" s="106">
        <v>0</v>
      </c>
      <c r="BQ74" s="106">
        <v>0</v>
      </c>
      <c r="BR74" s="106">
        <v>0</v>
      </c>
      <c r="BS74" s="106">
        <v>0</v>
      </c>
      <c r="BT74" s="106">
        <v>0</v>
      </c>
      <c r="BU74" s="106">
        <v>0</v>
      </c>
      <c r="BV74" s="106">
        <v>0</v>
      </c>
      <c r="BW74" s="106">
        <v>0</v>
      </c>
      <c r="BX74" s="106">
        <v>0</v>
      </c>
      <c r="BY74" s="106">
        <v>0</v>
      </c>
      <c r="BZ74" s="106">
        <v>0</v>
      </c>
      <c r="CA74" s="106">
        <v>0</v>
      </c>
      <c r="CB74" s="106">
        <v>0</v>
      </c>
      <c r="CC74" s="106">
        <v>0</v>
      </c>
      <c r="CD74" s="106">
        <v>0</v>
      </c>
      <c r="CE74" s="106">
        <v>0</v>
      </c>
      <c r="CF74" s="106">
        <v>0</v>
      </c>
      <c r="CG74" s="106">
        <v>0</v>
      </c>
      <c r="CH74" s="106">
        <v>0</v>
      </c>
      <c r="CI74" s="106">
        <v>0</v>
      </c>
      <c r="CJ74" s="106">
        <v>0</v>
      </c>
      <c r="CK74" s="106">
        <v>0</v>
      </c>
      <c r="CL74" s="106">
        <v>0</v>
      </c>
      <c r="CM74" s="106">
        <v>0</v>
      </c>
      <c r="CN74" s="106">
        <v>0</v>
      </c>
      <c r="CO74" s="106">
        <v>0</v>
      </c>
      <c r="CP74" s="106">
        <v>0</v>
      </c>
      <c r="CQ74" s="106">
        <v>0</v>
      </c>
      <c r="CR74" s="106">
        <v>0</v>
      </c>
      <c r="CS74" s="106">
        <v>0</v>
      </c>
      <c r="CT74" s="106">
        <v>0</v>
      </c>
      <c r="CU74" s="106">
        <v>0</v>
      </c>
    </row>
    <row r="75" spans="2:99" x14ac:dyDescent="0.2">
      <c r="C75" s="105" t="s">
        <v>240</v>
      </c>
      <c r="D75" s="106">
        <v>0</v>
      </c>
      <c r="E75" s="106">
        <v>0</v>
      </c>
      <c r="F75" s="106">
        <v>0</v>
      </c>
      <c r="G75" s="106">
        <v>0</v>
      </c>
      <c r="H75" s="106">
        <v>0</v>
      </c>
      <c r="I75" s="106">
        <v>0</v>
      </c>
      <c r="J75" s="106">
        <v>0</v>
      </c>
      <c r="K75" s="106">
        <v>0</v>
      </c>
      <c r="L75" s="106">
        <v>0</v>
      </c>
      <c r="M75" s="106">
        <v>0</v>
      </c>
      <c r="N75" s="106">
        <v>0</v>
      </c>
      <c r="O75" s="106">
        <v>0</v>
      </c>
      <c r="P75" s="106">
        <v>0</v>
      </c>
      <c r="Q75" s="106">
        <v>0</v>
      </c>
      <c r="R75" s="106">
        <v>0</v>
      </c>
      <c r="S75" s="106">
        <v>0</v>
      </c>
      <c r="T75" s="106">
        <v>0</v>
      </c>
      <c r="U75" s="106">
        <v>0</v>
      </c>
      <c r="V75" s="106">
        <v>0</v>
      </c>
      <c r="W75" s="106">
        <v>0</v>
      </c>
      <c r="X75" s="106">
        <v>0</v>
      </c>
      <c r="Y75" s="106">
        <v>0</v>
      </c>
      <c r="Z75" s="106">
        <v>0</v>
      </c>
      <c r="AA75" s="106">
        <v>0</v>
      </c>
      <c r="AB75" s="106">
        <v>0</v>
      </c>
      <c r="AC75" s="106">
        <v>0</v>
      </c>
      <c r="AD75" s="106">
        <v>0</v>
      </c>
      <c r="AE75" s="106">
        <v>0</v>
      </c>
      <c r="AF75" s="106">
        <v>0</v>
      </c>
      <c r="AG75" s="106">
        <v>0</v>
      </c>
      <c r="AH75" s="106">
        <v>0</v>
      </c>
      <c r="AI75" s="106">
        <v>0</v>
      </c>
      <c r="AJ75" s="106">
        <v>0</v>
      </c>
      <c r="AK75" s="106">
        <v>0</v>
      </c>
      <c r="AL75" s="106">
        <v>0</v>
      </c>
      <c r="AM75" s="106">
        <v>0</v>
      </c>
      <c r="AN75" s="106">
        <v>0</v>
      </c>
      <c r="AO75" s="106">
        <v>0</v>
      </c>
      <c r="AP75" s="106">
        <v>0</v>
      </c>
      <c r="AQ75" s="106">
        <v>0</v>
      </c>
      <c r="AR75" s="106">
        <v>0</v>
      </c>
      <c r="AS75" s="106">
        <v>0</v>
      </c>
      <c r="AT75" s="106">
        <v>0</v>
      </c>
      <c r="AU75" s="106">
        <v>0</v>
      </c>
      <c r="AV75" s="106">
        <v>0</v>
      </c>
      <c r="AW75" s="106">
        <v>0</v>
      </c>
      <c r="AX75" s="106">
        <v>0</v>
      </c>
      <c r="AY75" s="106">
        <v>0</v>
      </c>
      <c r="AZ75" s="106">
        <v>0</v>
      </c>
      <c r="BA75" s="106">
        <v>0</v>
      </c>
      <c r="BB75" s="106">
        <v>0</v>
      </c>
      <c r="BC75" s="106">
        <v>0</v>
      </c>
      <c r="BD75" s="106">
        <v>0</v>
      </c>
      <c r="BE75" s="106">
        <v>0</v>
      </c>
      <c r="BF75" s="106">
        <v>0</v>
      </c>
      <c r="BG75" s="106">
        <v>0</v>
      </c>
      <c r="BH75" s="106">
        <v>0</v>
      </c>
      <c r="BI75" s="106">
        <v>0</v>
      </c>
      <c r="BJ75" s="106">
        <v>0</v>
      </c>
      <c r="BK75" s="106">
        <v>0</v>
      </c>
      <c r="BL75" s="106">
        <v>0</v>
      </c>
      <c r="BM75" s="106">
        <v>0</v>
      </c>
      <c r="BN75" s="106">
        <v>0</v>
      </c>
      <c r="BO75" s="106">
        <v>0</v>
      </c>
      <c r="BP75" s="106">
        <v>0</v>
      </c>
      <c r="BQ75" s="106">
        <v>0</v>
      </c>
      <c r="BR75" s="106">
        <v>0</v>
      </c>
      <c r="BS75" s="106">
        <v>0</v>
      </c>
      <c r="BT75" s="106">
        <v>0</v>
      </c>
      <c r="BU75" s="106">
        <v>0</v>
      </c>
      <c r="BV75" s="106">
        <v>0</v>
      </c>
      <c r="BW75" s="106">
        <v>0</v>
      </c>
      <c r="BX75" s="106">
        <v>0</v>
      </c>
      <c r="BY75" s="106">
        <v>0</v>
      </c>
      <c r="BZ75" s="106">
        <v>0</v>
      </c>
      <c r="CA75" s="106">
        <v>0</v>
      </c>
      <c r="CB75" s="106">
        <v>0</v>
      </c>
      <c r="CC75" s="106">
        <v>0</v>
      </c>
      <c r="CD75" s="106">
        <v>0</v>
      </c>
      <c r="CE75" s="106">
        <v>0</v>
      </c>
      <c r="CF75" s="106">
        <v>0</v>
      </c>
      <c r="CG75" s="106">
        <v>0</v>
      </c>
      <c r="CH75" s="106">
        <v>0</v>
      </c>
      <c r="CI75" s="106">
        <v>0</v>
      </c>
      <c r="CJ75" s="106">
        <v>0</v>
      </c>
      <c r="CK75" s="106">
        <v>0</v>
      </c>
      <c r="CL75" s="106">
        <v>0</v>
      </c>
      <c r="CM75" s="106">
        <v>0</v>
      </c>
      <c r="CN75" s="106">
        <v>0</v>
      </c>
      <c r="CO75" s="106">
        <v>0</v>
      </c>
      <c r="CP75" s="106">
        <v>0</v>
      </c>
      <c r="CQ75" s="106">
        <v>0</v>
      </c>
      <c r="CR75" s="106">
        <v>0</v>
      </c>
      <c r="CS75" s="106">
        <v>0</v>
      </c>
      <c r="CT75" s="106">
        <v>0</v>
      </c>
      <c r="CU75" s="106">
        <v>0</v>
      </c>
    </row>
    <row r="76" spans="2:99" x14ac:dyDescent="0.2">
      <c r="C76" s="105" t="s">
        <v>241</v>
      </c>
      <c r="D76" s="106">
        <v>0</v>
      </c>
      <c r="E76" s="106">
        <v>0</v>
      </c>
      <c r="F76" s="106">
        <v>0</v>
      </c>
      <c r="G76" s="106">
        <v>0</v>
      </c>
      <c r="H76" s="106">
        <v>0</v>
      </c>
      <c r="I76" s="106">
        <v>0</v>
      </c>
      <c r="J76" s="106">
        <v>0</v>
      </c>
      <c r="K76" s="106">
        <v>0</v>
      </c>
      <c r="L76" s="106">
        <v>0</v>
      </c>
      <c r="M76" s="106">
        <v>0</v>
      </c>
      <c r="N76" s="106">
        <v>0</v>
      </c>
      <c r="O76" s="106">
        <v>0</v>
      </c>
      <c r="P76" s="106">
        <v>0</v>
      </c>
      <c r="Q76" s="106">
        <v>0</v>
      </c>
      <c r="R76" s="106">
        <v>0</v>
      </c>
      <c r="S76" s="106">
        <v>0</v>
      </c>
      <c r="T76" s="106">
        <v>0</v>
      </c>
      <c r="U76" s="106">
        <v>0</v>
      </c>
      <c r="V76" s="106">
        <v>0</v>
      </c>
      <c r="W76" s="106">
        <v>0</v>
      </c>
      <c r="X76" s="106">
        <v>0</v>
      </c>
      <c r="Y76" s="106">
        <v>0</v>
      </c>
      <c r="Z76" s="106">
        <v>0</v>
      </c>
      <c r="AA76" s="106">
        <v>0</v>
      </c>
      <c r="AB76" s="106">
        <v>0</v>
      </c>
      <c r="AC76" s="106">
        <v>0</v>
      </c>
      <c r="AD76" s="106">
        <v>0</v>
      </c>
      <c r="AE76" s="106">
        <v>0</v>
      </c>
      <c r="AF76" s="106">
        <v>0</v>
      </c>
      <c r="AG76" s="106">
        <v>0</v>
      </c>
      <c r="AH76" s="106">
        <v>0</v>
      </c>
      <c r="AI76" s="106">
        <v>0</v>
      </c>
      <c r="AJ76" s="106">
        <v>0</v>
      </c>
      <c r="AK76" s="106">
        <v>0</v>
      </c>
      <c r="AL76" s="106">
        <v>0</v>
      </c>
      <c r="AM76" s="106">
        <v>0</v>
      </c>
      <c r="AN76" s="106">
        <v>0</v>
      </c>
      <c r="AO76" s="106">
        <v>0</v>
      </c>
      <c r="AP76" s="106">
        <v>0</v>
      </c>
      <c r="AQ76" s="106">
        <v>0</v>
      </c>
      <c r="AR76" s="106">
        <v>0</v>
      </c>
      <c r="AS76" s="106">
        <v>0</v>
      </c>
      <c r="AT76" s="106">
        <v>0</v>
      </c>
      <c r="AU76" s="106">
        <v>0</v>
      </c>
      <c r="AV76" s="106">
        <v>0</v>
      </c>
      <c r="AW76" s="106">
        <v>0</v>
      </c>
      <c r="AX76" s="106">
        <v>0</v>
      </c>
      <c r="AY76" s="106">
        <v>0</v>
      </c>
      <c r="AZ76" s="106">
        <v>0</v>
      </c>
      <c r="BA76" s="106">
        <v>0</v>
      </c>
      <c r="BB76" s="106">
        <v>0</v>
      </c>
      <c r="BC76" s="106">
        <v>0</v>
      </c>
      <c r="BD76" s="106">
        <v>0</v>
      </c>
      <c r="BE76" s="106">
        <v>0</v>
      </c>
      <c r="BF76" s="106">
        <v>0</v>
      </c>
      <c r="BG76" s="106">
        <v>0</v>
      </c>
      <c r="BH76" s="106">
        <v>0</v>
      </c>
      <c r="BI76" s="106">
        <v>0</v>
      </c>
      <c r="BJ76" s="106">
        <v>0</v>
      </c>
      <c r="BK76" s="106">
        <v>0</v>
      </c>
      <c r="BL76" s="106">
        <v>0</v>
      </c>
      <c r="BM76" s="106">
        <v>0</v>
      </c>
      <c r="BN76" s="106">
        <v>0</v>
      </c>
      <c r="BO76" s="106">
        <v>0</v>
      </c>
      <c r="BP76" s="106">
        <v>0</v>
      </c>
      <c r="BQ76" s="106">
        <v>0</v>
      </c>
      <c r="BR76" s="106">
        <v>0</v>
      </c>
      <c r="BS76" s="106">
        <v>0</v>
      </c>
      <c r="BT76" s="106">
        <v>0</v>
      </c>
      <c r="BU76" s="106">
        <v>0</v>
      </c>
      <c r="BV76" s="106">
        <v>0</v>
      </c>
      <c r="BW76" s="106">
        <v>0</v>
      </c>
      <c r="BX76" s="106">
        <v>0</v>
      </c>
      <c r="BY76" s="106">
        <v>0</v>
      </c>
      <c r="BZ76" s="106">
        <v>0</v>
      </c>
      <c r="CA76" s="106">
        <v>0</v>
      </c>
      <c r="CB76" s="106">
        <v>0</v>
      </c>
      <c r="CC76" s="106">
        <v>0</v>
      </c>
      <c r="CD76" s="106">
        <v>0</v>
      </c>
      <c r="CE76" s="106">
        <v>0</v>
      </c>
      <c r="CF76" s="106">
        <v>0</v>
      </c>
      <c r="CG76" s="106">
        <v>0</v>
      </c>
      <c r="CH76" s="106">
        <v>0</v>
      </c>
      <c r="CI76" s="106">
        <v>0</v>
      </c>
      <c r="CJ76" s="106">
        <v>0</v>
      </c>
      <c r="CK76" s="106">
        <v>0</v>
      </c>
      <c r="CL76" s="106">
        <v>0</v>
      </c>
      <c r="CM76" s="106">
        <v>0</v>
      </c>
      <c r="CN76" s="106">
        <v>0</v>
      </c>
      <c r="CO76" s="106">
        <v>0</v>
      </c>
      <c r="CP76" s="106">
        <v>0</v>
      </c>
      <c r="CQ76" s="106">
        <v>0</v>
      </c>
      <c r="CR76" s="106">
        <v>0</v>
      </c>
      <c r="CS76" s="106">
        <v>0</v>
      </c>
      <c r="CT76" s="106">
        <v>0</v>
      </c>
      <c r="CU76" s="106">
        <v>0</v>
      </c>
    </row>
    <row r="77" spans="2:99" x14ac:dyDescent="0.2">
      <c r="C77" s="105" t="s">
        <v>242</v>
      </c>
      <c r="D77" s="106">
        <v>0</v>
      </c>
      <c r="E77" s="106">
        <v>0</v>
      </c>
      <c r="F77" s="106">
        <v>0</v>
      </c>
      <c r="G77" s="106">
        <v>0</v>
      </c>
      <c r="H77" s="106">
        <v>0</v>
      </c>
      <c r="I77" s="106">
        <v>0</v>
      </c>
      <c r="J77" s="106">
        <v>0</v>
      </c>
      <c r="K77" s="106">
        <v>0</v>
      </c>
      <c r="L77" s="106">
        <v>0</v>
      </c>
      <c r="M77" s="106">
        <v>0</v>
      </c>
      <c r="N77" s="106">
        <v>0</v>
      </c>
      <c r="O77" s="106">
        <v>0</v>
      </c>
      <c r="P77" s="106">
        <v>0</v>
      </c>
      <c r="Q77" s="106">
        <v>0</v>
      </c>
      <c r="R77" s="106">
        <v>0</v>
      </c>
      <c r="S77" s="106">
        <v>0</v>
      </c>
      <c r="T77" s="106">
        <v>0</v>
      </c>
      <c r="U77" s="106">
        <v>0</v>
      </c>
      <c r="V77" s="106">
        <v>0</v>
      </c>
      <c r="W77" s="106">
        <v>0</v>
      </c>
      <c r="X77" s="106">
        <v>0</v>
      </c>
      <c r="Y77" s="106">
        <v>0</v>
      </c>
      <c r="Z77" s="106">
        <v>0</v>
      </c>
      <c r="AA77" s="106">
        <v>0</v>
      </c>
      <c r="AB77" s="106">
        <v>0</v>
      </c>
      <c r="AC77" s="106">
        <v>0</v>
      </c>
      <c r="AD77" s="106">
        <v>0</v>
      </c>
      <c r="AE77" s="106">
        <v>0</v>
      </c>
      <c r="AF77" s="106">
        <v>0</v>
      </c>
      <c r="AG77" s="106">
        <v>0</v>
      </c>
      <c r="AH77" s="106">
        <v>0</v>
      </c>
      <c r="AI77" s="106">
        <v>0</v>
      </c>
      <c r="AJ77" s="106">
        <v>0</v>
      </c>
      <c r="AK77" s="106">
        <v>0</v>
      </c>
      <c r="AL77" s="106">
        <v>0</v>
      </c>
      <c r="AM77" s="106">
        <v>0</v>
      </c>
      <c r="AN77" s="106">
        <v>0</v>
      </c>
      <c r="AO77" s="106">
        <v>0</v>
      </c>
      <c r="AP77" s="106">
        <v>0</v>
      </c>
      <c r="AQ77" s="106">
        <v>0</v>
      </c>
      <c r="AR77" s="106">
        <v>0</v>
      </c>
      <c r="AS77" s="106">
        <v>0</v>
      </c>
      <c r="AT77" s="106">
        <v>0</v>
      </c>
      <c r="AU77" s="106">
        <v>0</v>
      </c>
      <c r="AV77" s="106">
        <v>0</v>
      </c>
      <c r="AW77" s="106">
        <v>0</v>
      </c>
      <c r="AX77" s="106">
        <v>0</v>
      </c>
      <c r="AY77" s="106">
        <v>0</v>
      </c>
      <c r="AZ77" s="106">
        <v>0</v>
      </c>
      <c r="BA77" s="106">
        <v>0</v>
      </c>
      <c r="BB77" s="106">
        <v>0</v>
      </c>
      <c r="BC77" s="106">
        <v>0</v>
      </c>
      <c r="BD77" s="106">
        <v>0</v>
      </c>
      <c r="BE77" s="106">
        <v>0</v>
      </c>
      <c r="BF77" s="106">
        <v>0</v>
      </c>
      <c r="BG77" s="106">
        <v>0</v>
      </c>
      <c r="BH77" s="106">
        <v>0</v>
      </c>
      <c r="BI77" s="106">
        <v>0</v>
      </c>
      <c r="BJ77" s="106">
        <v>0</v>
      </c>
      <c r="BK77" s="106">
        <v>0</v>
      </c>
      <c r="BL77" s="106">
        <v>0</v>
      </c>
      <c r="BM77" s="106">
        <v>0</v>
      </c>
      <c r="BN77" s="106">
        <v>0</v>
      </c>
      <c r="BO77" s="106">
        <v>0</v>
      </c>
      <c r="BP77" s="106">
        <v>0</v>
      </c>
      <c r="BQ77" s="106">
        <v>0</v>
      </c>
      <c r="BR77" s="106">
        <v>0</v>
      </c>
      <c r="BS77" s="106">
        <v>0</v>
      </c>
      <c r="BT77" s="106">
        <v>0</v>
      </c>
      <c r="BU77" s="106">
        <v>0</v>
      </c>
      <c r="BV77" s="106">
        <v>0</v>
      </c>
      <c r="BW77" s="106">
        <v>0</v>
      </c>
      <c r="BX77" s="106">
        <v>0</v>
      </c>
      <c r="BY77" s="106">
        <v>0</v>
      </c>
      <c r="BZ77" s="106">
        <v>0</v>
      </c>
      <c r="CA77" s="106">
        <v>0</v>
      </c>
      <c r="CB77" s="106">
        <v>0</v>
      </c>
      <c r="CC77" s="106">
        <v>0</v>
      </c>
      <c r="CD77" s="106">
        <v>0</v>
      </c>
      <c r="CE77" s="106">
        <v>0</v>
      </c>
      <c r="CF77" s="106">
        <v>0</v>
      </c>
      <c r="CG77" s="106">
        <v>0</v>
      </c>
      <c r="CH77" s="106">
        <v>0</v>
      </c>
      <c r="CI77" s="106">
        <v>0</v>
      </c>
      <c r="CJ77" s="106">
        <v>0</v>
      </c>
      <c r="CK77" s="106">
        <v>0</v>
      </c>
      <c r="CL77" s="106">
        <v>0</v>
      </c>
      <c r="CM77" s="106">
        <v>0</v>
      </c>
      <c r="CN77" s="106">
        <v>0</v>
      </c>
      <c r="CO77" s="106">
        <v>0</v>
      </c>
      <c r="CP77" s="106">
        <v>0</v>
      </c>
      <c r="CQ77" s="106">
        <v>0</v>
      </c>
      <c r="CR77" s="106">
        <v>0</v>
      </c>
      <c r="CS77" s="106">
        <v>0</v>
      </c>
      <c r="CT77" s="106">
        <v>0</v>
      </c>
      <c r="CU77" s="106">
        <v>0</v>
      </c>
    </row>
    <row r="78" spans="2:99" x14ac:dyDescent="0.2">
      <c r="C78" s="105" t="s">
        <v>243</v>
      </c>
      <c r="D78" s="106">
        <v>0</v>
      </c>
      <c r="E78" s="106">
        <v>0</v>
      </c>
      <c r="F78" s="106">
        <v>0</v>
      </c>
      <c r="G78" s="106">
        <v>0</v>
      </c>
      <c r="H78" s="106">
        <v>0</v>
      </c>
      <c r="I78" s="106">
        <v>0</v>
      </c>
      <c r="J78" s="106">
        <v>0</v>
      </c>
      <c r="K78" s="106">
        <v>0</v>
      </c>
      <c r="L78" s="106">
        <v>0</v>
      </c>
      <c r="M78" s="106">
        <v>0</v>
      </c>
      <c r="N78" s="106">
        <v>0</v>
      </c>
      <c r="O78" s="106">
        <v>0</v>
      </c>
      <c r="P78" s="106">
        <v>0</v>
      </c>
      <c r="Q78" s="106">
        <v>0</v>
      </c>
      <c r="R78" s="106">
        <v>0</v>
      </c>
      <c r="S78" s="106">
        <v>0</v>
      </c>
      <c r="T78" s="106">
        <v>0</v>
      </c>
      <c r="U78" s="106">
        <v>0</v>
      </c>
      <c r="V78" s="106">
        <v>0</v>
      </c>
      <c r="W78" s="106">
        <v>0</v>
      </c>
      <c r="X78" s="106">
        <v>0</v>
      </c>
      <c r="Y78" s="106">
        <v>0</v>
      </c>
      <c r="Z78" s="106">
        <v>0</v>
      </c>
      <c r="AA78" s="106">
        <v>0</v>
      </c>
      <c r="AB78" s="106">
        <v>0</v>
      </c>
      <c r="AC78" s="106">
        <v>0</v>
      </c>
      <c r="AD78" s="106">
        <v>0</v>
      </c>
      <c r="AE78" s="106">
        <v>0</v>
      </c>
      <c r="AF78" s="106">
        <v>0</v>
      </c>
      <c r="AG78" s="106">
        <v>0</v>
      </c>
      <c r="AH78" s="106">
        <v>0</v>
      </c>
      <c r="AI78" s="106">
        <v>0</v>
      </c>
      <c r="AJ78" s="106">
        <v>0</v>
      </c>
      <c r="AK78" s="106">
        <v>0</v>
      </c>
      <c r="AL78" s="106">
        <v>0</v>
      </c>
      <c r="AM78" s="106">
        <v>0</v>
      </c>
      <c r="AN78" s="106">
        <v>0</v>
      </c>
      <c r="AO78" s="106">
        <v>0</v>
      </c>
      <c r="AP78" s="106">
        <v>0</v>
      </c>
      <c r="AQ78" s="106">
        <v>0</v>
      </c>
      <c r="AR78" s="106">
        <v>0</v>
      </c>
      <c r="AS78" s="106">
        <v>0</v>
      </c>
      <c r="AT78" s="106">
        <v>0</v>
      </c>
      <c r="AU78" s="106">
        <v>0</v>
      </c>
      <c r="AV78" s="106">
        <v>0</v>
      </c>
      <c r="AW78" s="106">
        <v>0</v>
      </c>
      <c r="AX78" s="106">
        <v>0</v>
      </c>
      <c r="AY78" s="106">
        <v>0</v>
      </c>
      <c r="AZ78" s="106">
        <v>0</v>
      </c>
      <c r="BA78" s="106">
        <v>0</v>
      </c>
      <c r="BB78" s="106">
        <v>0</v>
      </c>
      <c r="BC78" s="106">
        <v>0</v>
      </c>
      <c r="BD78" s="106">
        <v>0</v>
      </c>
      <c r="BE78" s="106">
        <v>0</v>
      </c>
      <c r="BF78" s="106">
        <v>0</v>
      </c>
      <c r="BG78" s="106">
        <v>0</v>
      </c>
      <c r="BH78" s="106">
        <v>0</v>
      </c>
      <c r="BI78" s="106">
        <v>0</v>
      </c>
      <c r="BJ78" s="106">
        <v>0</v>
      </c>
      <c r="BK78" s="106">
        <v>0</v>
      </c>
      <c r="BL78" s="106">
        <v>0</v>
      </c>
      <c r="BM78" s="106">
        <v>0</v>
      </c>
      <c r="BN78" s="106">
        <v>0</v>
      </c>
      <c r="BO78" s="106">
        <v>0</v>
      </c>
      <c r="BP78" s="106">
        <v>0</v>
      </c>
      <c r="BQ78" s="106">
        <v>0</v>
      </c>
      <c r="BR78" s="106">
        <v>0</v>
      </c>
      <c r="BS78" s="106">
        <v>0</v>
      </c>
      <c r="BT78" s="106">
        <v>0</v>
      </c>
      <c r="BU78" s="106">
        <v>0</v>
      </c>
      <c r="BV78" s="106">
        <v>0</v>
      </c>
      <c r="BW78" s="106">
        <v>0</v>
      </c>
      <c r="BX78" s="106">
        <v>0</v>
      </c>
      <c r="BY78" s="106">
        <v>0</v>
      </c>
      <c r="BZ78" s="106">
        <v>0</v>
      </c>
      <c r="CA78" s="106">
        <v>0</v>
      </c>
      <c r="CB78" s="106">
        <v>0</v>
      </c>
      <c r="CC78" s="106">
        <v>0</v>
      </c>
      <c r="CD78" s="106">
        <v>0</v>
      </c>
      <c r="CE78" s="106">
        <v>0</v>
      </c>
      <c r="CF78" s="106">
        <v>0</v>
      </c>
      <c r="CG78" s="106">
        <v>0</v>
      </c>
      <c r="CH78" s="106">
        <v>0</v>
      </c>
      <c r="CI78" s="106">
        <v>0</v>
      </c>
      <c r="CJ78" s="106">
        <v>0</v>
      </c>
      <c r="CK78" s="106">
        <v>0</v>
      </c>
      <c r="CL78" s="106">
        <v>0</v>
      </c>
      <c r="CM78" s="106">
        <v>0</v>
      </c>
      <c r="CN78" s="106">
        <v>0</v>
      </c>
      <c r="CO78" s="106">
        <v>0</v>
      </c>
      <c r="CP78" s="106">
        <v>0</v>
      </c>
      <c r="CQ78" s="106">
        <v>0</v>
      </c>
      <c r="CR78" s="106">
        <v>0</v>
      </c>
      <c r="CS78" s="106">
        <v>0</v>
      </c>
      <c r="CT78" s="106">
        <v>0</v>
      </c>
      <c r="CU78" s="106">
        <v>0</v>
      </c>
    </row>
    <row r="79" spans="2:99" x14ac:dyDescent="0.2">
      <c r="C79" s="105" t="s">
        <v>244</v>
      </c>
      <c r="D79" s="106">
        <v>0</v>
      </c>
      <c r="E79" s="106">
        <v>0</v>
      </c>
      <c r="F79" s="106">
        <v>0</v>
      </c>
      <c r="G79" s="106">
        <v>0</v>
      </c>
      <c r="H79" s="106">
        <v>0</v>
      </c>
      <c r="I79" s="106">
        <v>0</v>
      </c>
      <c r="J79" s="106">
        <v>0</v>
      </c>
      <c r="K79" s="106">
        <v>0</v>
      </c>
      <c r="L79" s="106">
        <v>0</v>
      </c>
      <c r="M79" s="106">
        <v>0</v>
      </c>
      <c r="N79" s="106">
        <v>0</v>
      </c>
      <c r="O79" s="106">
        <v>0</v>
      </c>
      <c r="P79" s="106">
        <v>0</v>
      </c>
      <c r="Q79" s="106">
        <v>0</v>
      </c>
      <c r="R79" s="106">
        <v>0</v>
      </c>
      <c r="S79" s="106">
        <v>0</v>
      </c>
      <c r="T79" s="106">
        <v>0</v>
      </c>
      <c r="U79" s="106">
        <v>0</v>
      </c>
      <c r="V79" s="106">
        <v>0</v>
      </c>
      <c r="W79" s="106">
        <v>0</v>
      </c>
      <c r="X79" s="106">
        <v>0</v>
      </c>
      <c r="Y79" s="106">
        <v>0</v>
      </c>
      <c r="Z79" s="106">
        <v>0</v>
      </c>
      <c r="AA79" s="106">
        <v>0</v>
      </c>
      <c r="AB79" s="106">
        <v>0</v>
      </c>
      <c r="AC79" s="106">
        <v>0</v>
      </c>
      <c r="AD79" s="106">
        <v>0</v>
      </c>
      <c r="AE79" s="106">
        <v>0</v>
      </c>
      <c r="AF79" s="106">
        <v>0</v>
      </c>
      <c r="AG79" s="106">
        <v>0</v>
      </c>
      <c r="AH79" s="106">
        <v>0</v>
      </c>
      <c r="AI79" s="106">
        <v>0</v>
      </c>
      <c r="AJ79" s="106">
        <v>0</v>
      </c>
      <c r="AK79" s="106">
        <v>0</v>
      </c>
      <c r="AL79" s="106">
        <v>0</v>
      </c>
      <c r="AM79" s="106">
        <v>0</v>
      </c>
      <c r="AN79" s="106">
        <v>0</v>
      </c>
      <c r="AO79" s="106">
        <v>0</v>
      </c>
      <c r="AP79" s="106">
        <v>0</v>
      </c>
      <c r="AQ79" s="106">
        <v>0</v>
      </c>
      <c r="AR79" s="106">
        <v>0</v>
      </c>
      <c r="AS79" s="106">
        <v>0</v>
      </c>
      <c r="AT79" s="106">
        <v>0</v>
      </c>
      <c r="AU79" s="106">
        <v>0</v>
      </c>
      <c r="AV79" s="106">
        <v>0</v>
      </c>
      <c r="AW79" s="106">
        <v>0</v>
      </c>
      <c r="AX79" s="106">
        <v>0</v>
      </c>
      <c r="AY79" s="106">
        <v>0</v>
      </c>
      <c r="AZ79" s="106">
        <v>0</v>
      </c>
      <c r="BA79" s="106">
        <v>0</v>
      </c>
      <c r="BB79" s="106">
        <v>0</v>
      </c>
      <c r="BC79" s="106">
        <v>0</v>
      </c>
      <c r="BD79" s="106">
        <v>0</v>
      </c>
      <c r="BE79" s="106">
        <v>0</v>
      </c>
      <c r="BF79" s="106">
        <v>0</v>
      </c>
      <c r="BG79" s="106">
        <v>0</v>
      </c>
      <c r="BH79" s="106">
        <v>0</v>
      </c>
      <c r="BI79" s="106">
        <v>0</v>
      </c>
      <c r="BJ79" s="106">
        <v>0</v>
      </c>
      <c r="BK79" s="106">
        <v>0</v>
      </c>
      <c r="BL79" s="106">
        <v>0</v>
      </c>
      <c r="BM79" s="106">
        <v>0</v>
      </c>
      <c r="BN79" s="106">
        <v>0</v>
      </c>
      <c r="BO79" s="106">
        <v>0</v>
      </c>
      <c r="BP79" s="106">
        <v>0</v>
      </c>
      <c r="BQ79" s="106">
        <v>0</v>
      </c>
      <c r="BR79" s="106">
        <v>0</v>
      </c>
      <c r="BS79" s="106">
        <v>0</v>
      </c>
      <c r="BT79" s="106">
        <v>0</v>
      </c>
      <c r="BU79" s="106">
        <v>0</v>
      </c>
      <c r="BV79" s="106">
        <v>0</v>
      </c>
      <c r="BW79" s="106">
        <v>0</v>
      </c>
      <c r="BX79" s="106">
        <v>0</v>
      </c>
      <c r="BY79" s="106">
        <v>0</v>
      </c>
      <c r="BZ79" s="106">
        <v>0</v>
      </c>
      <c r="CA79" s="106">
        <v>0</v>
      </c>
      <c r="CB79" s="106">
        <v>0</v>
      </c>
      <c r="CC79" s="106">
        <v>0</v>
      </c>
      <c r="CD79" s="106">
        <v>0</v>
      </c>
      <c r="CE79" s="106">
        <v>0</v>
      </c>
      <c r="CF79" s="106">
        <v>0</v>
      </c>
      <c r="CG79" s="106">
        <v>0</v>
      </c>
      <c r="CH79" s="106">
        <v>0</v>
      </c>
      <c r="CI79" s="106">
        <v>0</v>
      </c>
      <c r="CJ79" s="106">
        <v>0</v>
      </c>
      <c r="CK79" s="106">
        <v>0</v>
      </c>
      <c r="CL79" s="106">
        <v>0</v>
      </c>
      <c r="CM79" s="106">
        <v>0</v>
      </c>
      <c r="CN79" s="106">
        <v>0</v>
      </c>
      <c r="CO79" s="106">
        <v>0</v>
      </c>
      <c r="CP79" s="106">
        <v>0</v>
      </c>
      <c r="CQ79" s="106">
        <v>0</v>
      </c>
      <c r="CR79" s="106">
        <v>0</v>
      </c>
      <c r="CS79" s="106">
        <v>0</v>
      </c>
      <c r="CT79" s="106">
        <v>0</v>
      </c>
      <c r="CU79" s="106">
        <v>0</v>
      </c>
    </row>
    <row r="80" spans="2:99" x14ac:dyDescent="0.2">
      <c r="C80" s="105" t="s">
        <v>245</v>
      </c>
      <c r="D80" s="106">
        <v>0</v>
      </c>
      <c r="E80" s="106">
        <v>0</v>
      </c>
      <c r="F80" s="106">
        <v>0</v>
      </c>
      <c r="G80" s="106">
        <v>0</v>
      </c>
      <c r="H80" s="106">
        <v>0</v>
      </c>
      <c r="I80" s="106">
        <v>0</v>
      </c>
      <c r="J80" s="106">
        <v>0</v>
      </c>
      <c r="K80" s="106">
        <v>0</v>
      </c>
      <c r="L80" s="106">
        <v>0</v>
      </c>
      <c r="M80" s="106">
        <v>0</v>
      </c>
      <c r="N80" s="106">
        <v>0</v>
      </c>
      <c r="O80" s="106">
        <v>0</v>
      </c>
      <c r="P80" s="106">
        <v>0</v>
      </c>
      <c r="Q80" s="106">
        <v>0</v>
      </c>
      <c r="R80" s="106">
        <v>0</v>
      </c>
      <c r="S80" s="106">
        <v>0</v>
      </c>
      <c r="T80" s="106">
        <v>0</v>
      </c>
      <c r="U80" s="106">
        <v>0</v>
      </c>
      <c r="V80" s="106">
        <v>0</v>
      </c>
      <c r="W80" s="106">
        <v>0</v>
      </c>
      <c r="X80" s="106">
        <v>0</v>
      </c>
      <c r="Y80" s="106">
        <v>0</v>
      </c>
      <c r="Z80" s="106">
        <v>0</v>
      </c>
      <c r="AA80" s="106">
        <v>0</v>
      </c>
      <c r="AB80" s="106">
        <v>0</v>
      </c>
      <c r="AC80" s="106">
        <v>0</v>
      </c>
      <c r="AD80" s="106">
        <v>0</v>
      </c>
      <c r="AE80" s="106">
        <v>0</v>
      </c>
      <c r="AF80" s="106">
        <v>0</v>
      </c>
      <c r="AG80" s="106">
        <v>0</v>
      </c>
      <c r="AH80" s="106">
        <v>0</v>
      </c>
      <c r="AI80" s="106">
        <v>0</v>
      </c>
      <c r="AJ80" s="106">
        <v>0</v>
      </c>
      <c r="AK80" s="106">
        <v>0</v>
      </c>
      <c r="AL80" s="106">
        <v>0</v>
      </c>
      <c r="AM80" s="106">
        <v>0</v>
      </c>
      <c r="AN80" s="106">
        <v>0</v>
      </c>
      <c r="AO80" s="106">
        <v>0</v>
      </c>
      <c r="AP80" s="106">
        <v>0</v>
      </c>
      <c r="AQ80" s="106">
        <v>0</v>
      </c>
      <c r="AR80" s="106">
        <v>0</v>
      </c>
      <c r="AS80" s="106">
        <v>0</v>
      </c>
      <c r="AT80" s="106">
        <v>0</v>
      </c>
      <c r="AU80" s="106">
        <v>0</v>
      </c>
      <c r="AV80" s="106">
        <v>0</v>
      </c>
      <c r="AW80" s="106">
        <v>0</v>
      </c>
      <c r="AX80" s="106">
        <v>0</v>
      </c>
      <c r="AY80" s="106">
        <v>0</v>
      </c>
      <c r="AZ80" s="106">
        <v>0</v>
      </c>
      <c r="BA80" s="106">
        <v>0</v>
      </c>
      <c r="BB80" s="106">
        <v>0</v>
      </c>
      <c r="BC80" s="106">
        <v>0</v>
      </c>
      <c r="BD80" s="106">
        <v>0</v>
      </c>
      <c r="BE80" s="106">
        <v>0</v>
      </c>
      <c r="BF80" s="106">
        <v>0</v>
      </c>
      <c r="BG80" s="106">
        <v>0</v>
      </c>
      <c r="BH80" s="106">
        <v>0</v>
      </c>
      <c r="BI80" s="106">
        <v>0</v>
      </c>
      <c r="BJ80" s="106">
        <v>0</v>
      </c>
      <c r="BK80" s="106">
        <v>0</v>
      </c>
      <c r="BL80" s="106">
        <v>0</v>
      </c>
      <c r="BM80" s="106">
        <v>0</v>
      </c>
      <c r="BN80" s="106">
        <v>0</v>
      </c>
      <c r="BO80" s="106">
        <v>0</v>
      </c>
      <c r="BP80" s="106">
        <v>0</v>
      </c>
      <c r="BQ80" s="106">
        <v>0</v>
      </c>
      <c r="BR80" s="106">
        <v>0</v>
      </c>
      <c r="BS80" s="106">
        <v>0</v>
      </c>
      <c r="BT80" s="106">
        <v>0</v>
      </c>
      <c r="BU80" s="106">
        <v>0</v>
      </c>
      <c r="BV80" s="106">
        <v>0</v>
      </c>
      <c r="BW80" s="106">
        <v>0</v>
      </c>
      <c r="BX80" s="106">
        <v>0</v>
      </c>
      <c r="BY80" s="106">
        <v>0</v>
      </c>
      <c r="BZ80" s="106">
        <v>0</v>
      </c>
      <c r="CA80" s="106">
        <v>0</v>
      </c>
      <c r="CB80" s="106">
        <v>0</v>
      </c>
      <c r="CC80" s="106">
        <v>0</v>
      </c>
      <c r="CD80" s="106">
        <v>0</v>
      </c>
      <c r="CE80" s="106">
        <v>0</v>
      </c>
      <c r="CF80" s="106">
        <v>0</v>
      </c>
      <c r="CG80" s="106">
        <v>0</v>
      </c>
      <c r="CH80" s="106">
        <v>0</v>
      </c>
      <c r="CI80" s="106">
        <v>0</v>
      </c>
      <c r="CJ80" s="106">
        <v>0</v>
      </c>
      <c r="CK80" s="106">
        <v>0</v>
      </c>
      <c r="CL80" s="106">
        <v>0</v>
      </c>
      <c r="CM80" s="106">
        <v>0</v>
      </c>
      <c r="CN80" s="106">
        <v>0</v>
      </c>
      <c r="CO80" s="106">
        <v>0</v>
      </c>
      <c r="CP80" s="106">
        <v>0</v>
      </c>
      <c r="CQ80" s="106">
        <v>0</v>
      </c>
      <c r="CR80" s="106">
        <v>0</v>
      </c>
      <c r="CS80" s="106">
        <v>0</v>
      </c>
      <c r="CT80" s="106">
        <v>0</v>
      </c>
      <c r="CU80" s="106">
        <v>0</v>
      </c>
    </row>
    <row r="81" spans="2:99" x14ac:dyDescent="0.2">
      <c r="C81" s="105" t="s">
        <v>246</v>
      </c>
      <c r="D81" s="106">
        <v>0</v>
      </c>
      <c r="E81" s="106">
        <v>0</v>
      </c>
      <c r="F81" s="106">
        <v>0</v>
      </c>
      <c r="G81" s="106">
        <v>0</v>
      </c>
      <c r="H81" s="106">
        <v>0</v>
      </c>
      <c r="I81" s="106">
        <v>0</v>
      </c>
      <c r="J81" s="106">
        <v>0</v>
      </c>
      <c r="K81" s="106">
        <v>0</v>
      </c>
      <c r="L81" s="106">
        <v>0</v>
      </c>
      <c r="M81" s="106">
        <v>0</v>
      </c>
      <c r="N81" s="106">
        <v>0</v>
      </c>
      <c r="O81" s="106">
        <v>0</v>
      </c>
      <c r="P81" s="106">
        <v>0</v>
      </c>
      <c r="Q81" s="106">
        <v>0</v>
      </c>
      <c r="R81" s="106">
        <v>0</v>
      </c>
      <c r="S81" s="106">
        <v>0</v>
      </c>
      <c r="T81" s="106">
        <v>0</v>
      </c>
      <c r="U81" s="106">
        <v>0</v>
      </c>
      <c r="V81" s="106">
        <v>0</v>
      </c>
      <c r="W81" s="106">
        <v>0</v>
      </c>
      <c r="X81" s="106">
        <v>0</v>
      </c>
      <c r="Y81" s="106">
        <v>0</v>
      </c>
      <c r="Z81" s="106">
        <v>0</v>
      </c>
      <c r="AA81" s="106">
        <v>0</v>
      </c>
      <c r="AB81" s="106">
        <v>0</v>
      </c>
      <c r="AC81" s="106">
        <v>0</v>
      </c>
      <c r="AD81" s="106">
        <v>0</v>
      </c>
      <c r="AE81" s="106">
        <v>0</v>
      </c>
      <c r="AF81" s="106">
        <v>0</v>
      </c>
      <c r="AG81" s="106">
        <v>0</v>
      </c>
      <c r="AH81" s="106">
        <v>0</v>
      </c>
      <c r="AI81" s="106">
        <v>0</v>
      </c>
      <c r="AJ81" s="106">
        <v>0</v>
      </c>
      <c r="AK81" s="106">
        <v>0</v>
      </c>
      <c r="AL81" s="106">
        <v>0</v>
      </c>
      <c r="AM81" s="106">
        <v>0</v>
      </c>
      <c r="AN81" s="106">
        <v>0</v>
      </c>
      <c r="AO81" s="106">
        <v>0</v>
      </c>
      <c r="AP81" s="106">
        <v>0</v>
      </c>
      <c r="AQ81" s="106">
        <v>0</v>
      </c>
      <c r="AR81" s="106">
        <v>0</v>
      </c>
      <c r="AS81" s="106">
        <v>0</v>
      </c>
      <c r="AT81" s="106">
        <v>0</v>
      </c>
      <c r="AU81" s="106">
        <v>0</v>
      </c>
      <c r="AV81" s="106">
        <v>0</v>
      </c>
      <c r="AW81" s="106">
        <v>0</v>
      </c>
      <c r="AX81" s="106">
        <v>0</v>
      </c>
      <c r="AY81" s="106">
        <v>0</v>
      </c>
      <c r="AZ81" s="106">
        <v>0</v>
      </c>
      <c r="BA81" s="106">
        <v>0</v>
      </c>
      <c r="BB81" s="106">
        <v>0</v>
      </c>
      <c r="BC81" s="106">
        <v>0</v>
      </c>
      <c r="BD81" s="106">
        <v>0</v>
      </c>
      <c r="BE81" s="106">
        <v>0</v>
      </c>
      <c r="BF81" s="106">
        <v>0</v>
      </c>
      <c r="BG81" s="106">
        <v>0</v>
      </c>
      <c r="BH81" s="106">
        <v>0</v>
      </c>
      <c r="BI81" s="106">
        <v>0</v>
      </c>
      <c r="BJ81" s="106">
        <v>0</v>
      </c>
      <c r="BK81" s="106">
        <v>0</v>
      </c>
      <c r="BL81" s="106">
        <v>0</v>
      </c>
      <c r="BM81" s="106">
        <v>0</v>
      </c>
      <c r="BN81" s="106">
        <v>0</v>
      </c>
      <c r="BO81" s="106">
        <v>0</v>
      </c>
      <c r="BP81" s="106">
        <v>0</v>
      </c>
      <c r="BQ81" s="106">
        <v>0</v>
      </c>
      <c r="BR81" s="106">
        <v>0</v>
      </c>
      <c r="BS81" s="106">
        <v>0</v>
      </c>
      <c r="BT81" s="106">
        <v>0</v>
      </c>
      <c r="BU81" s="106">
        <v>0</v>
      </c>
      <c r="BV81" s="106">
        <v>0</v>
      </c>
      <c r="BW81" s="106">
        <v>0</v>
      </c>
      <c r="BX81" s="106">
        <v>0</v>
      </c>
      <c r="BY81" s="106">
        <v>0</v>
      </c>
      <c r="BZ81" s="106">
        <v>0</v>
      </c>
      <c r="CA81" s="106">
        <v>0</v>
      </c>
      <c r="CB81" s="106">
        <v>0</v>
      </c>
      <c r="CC81" s="106">
        <v>0</v>
      </c>
      <c r="CD81" s="106">
        <v>0</v>
      </c>
      <c r="CE81" s="106">
        <v>0</v>
      </c>
      <c r="CF81" s="106">
        <v>0</v>
      </c>
      <c r="CG81" s="106">
        <v>0</v>
      </c>
      <c r="CH81" s="106">
        <v>0</v>
      </c>
      <c r="CI81" s="106">
        <v>0</v>
      </c>
      <c r="CJ81" s="106">
        <v>0</v>
      </c>
      <c r="CK81" s="106">
        <v>0</v>
      </c>
      <c r="CL81" s="106">
        <v>0</v>
      </c>
      <c r="CM81" s="106">
        <v>0</v>
      </c>
      <c r="CN81" s="106">
        <v>0</v>
      </c>
      <c r="CO81" s="106">
        <v>0</v>
      </c>
      <c r="CP81" s="106">
        <v>0</v>
      </c>
      <c r="CQ81" s="106">
        <v>0</v>
      </c>
      <c r="CR81" s="106">
        <v>0</v>
      </c>
      <c r="CS81" s="106">
        <v>0</v>
      </c>
      <c r="CT81" s="106">
        <v>0</v>
      </c>
      <c r="CU81" s="106">
        <v>0</v>
      </c>
    </row>
    <row r="82" spans="2:99" x14ac:dyDescent="0.2">
      <c r="C82" s="105" t="s">
        <v>247</v>
      </c>
      <c r="D82" s="106">
        <v>0</v>
      </c>
      <c r="E82" s="106">
        <v>0</v>
      </c>
      <c r="F82" s="106">
        <v>0</v>
      </c>
      <c r="G82" s="106">
        <v>0</v>
      </c>
      <c r="H82" s="106">
        <v>0</v>
      </c>
      <c r="I82" s="106">
        <v>0</v>
      </c>
      <c r="J82" s="106">
        <v>0</v>
      </c>
      <c r="K82" s="106">
        <v>0</v>
      </c>
      <c r="L82" s="106">
        <v>0</v>
      </c>
      <c r="M82" s="106">
        <v>0</v>
      </c>
      <c r="N82" s="106">
        <v>0</v>
      </c>
      <c r="O82" s="106">
        <v>0</v>
      </c>
      <c r="P82" s="106">
        <v>0</v>
      </c>
      <c r="Q82" s="106">
        <v>0</v>
      </c>
      <c r="R82" s="106">
        <v>0</v>
      </c>
      <c r="S82" s="106">
        <v>0</v>
      </c>
      <c r="T82" s="106">
        <v>0</v>
      </c>
      <c r="U82" s="106">
        <v>0</v>
      </c>
      <c r="V82" s="106">
        <v>0</v>
      </c>
      <c r="W82" s="106">
        <v>0</v>
      </c>
      <c r="X82" s="106">
        <v>0</v>
      </c>
      <c r="Y82" s="106">
        <v>0</v>
      </c>
      <c r="Z82" s="106">
        <v>0</v>
      </c>
      <c r="AA82" s="106">
        <v>0</v>
      </c>
      <c r="AB82" s="106">
        <v>0</v>
      </c>
      <c r="AC82" s="106">
        <v>0</v>
      </c>
      <c r="AD82" s="106">
        <v>0</v>
      </c>
      <c r="AE82" s="106">
        <v>0</v>
      </c>
      <c r="AF82" s="106">
        <v>0</v>
      </c>
      <c r="AG82" s="106">
        <v>0</v>
      </c>
      <c r="AH82" s="106">
        <v>0</v>
      </c>
      <c r="AI82" s="106">
        <v>0</v>
      </c>
      <c r="AJ82" s="106">
        <v>0</v>
      </c>
      <c r="AK82" s="106">
        <v>0</v>
      </c>
      <c r="AL82" s="106">
        <v>0</v>
      </c>
      <c r="AM82" s="106">
        <v>0</v>
      </c>
      <c r="AN82" s="106">
        <v>0</v>
      </c>
      <c r="AO82" s="106">
        <v>0</v>
      </c>
      <c r="AP82" s="106">
        <v>0</v>
      </c>
      <c r="AQ82" s="106">
        <v>0</v>
      </c>
      <c r="AR82" s="106">
        <v>0</v>
      </c>
      <c r="AS82" s="106">
        <v>0</v>
      </c>
      <c r="AT82" s="106">
        <v>0</v>
      </c>
      <c r="AU82" s="106">
        <v>0</v>
      </c>
      <c r="AV82" s="106">
        <v>0</v>
      </c>
      <c r="AW82" s="106">
        <v>0</v>
      </c>
      <c r="AX82" s="106">
        <v>0</v>
      </c>
      <c r="AY82" s="106">
        <v>0</v>
      </c>
      <c r="AZ82" s="106">
        <v>0</v>
      </c>
      <c r="BA82" s="106">
        <v>0</v>
      </c>
      <c r="BB82" s="106">
        <v>0</v>
      </c>
      <c r="BC82" s="106">
        <v>0</v>
      </c>
      <c r="BD82" s="106">
        <v>0</v>
      </c>
      <c r="BE82" s="106">
        <v>0</v>
      </c>
      <c r="BF82" s="106">
        <v>0</v>
      </c>
      <c r="BG82" s="106">
        <v>0</v>
      </c>
      <c r="BH82" s="106">
        <v>0</v>
      </c>
      <c r="BI82" s="106">
        <v>0</v>
      </c>
      <c r="BJ82" s="106">
        <v>0</v>
      </c>
      <c r="BK82" s="106">
        <v>0</v>
      </c>
      <c r="BL82" s="106">
        <v>0</v>
      </c>
      <c r="BM82" s="106">
        <v>0</v>
      </c>
      <c r="BN82" s="106">
        <v>0</v>
      </c>
      <c r="BO82" s="106">
        <v>0</v>
      </c>
      <c r="BP82" s="106">
        <v>0</v>
      </c>
      <c r="BQ82" s="106">
        <v>0</v>
      </c>
      <c r="BR82" s="106">
        <v>0</v>
      </c>
      <c r="BS82" s="106">
        <v>0</v>
      </c>
      <c r="BT82" s="106">
        <v>0</v>
      </c>
      <c r="BU82" s="106">
        <v>0</v>
      </c>
      <c r="BV82" s="106">
        <v>0</v>
      </c>
      <c r="BW82" s="106">
        <v>0</v>
      </c>
      <c r="BX82" s="106">
        <v>0</v>
      </c>
      <c r="BY82" s="106">
        <v>0</v>
      </c>
      <c r="BZ82" s="106">
        <v>0</v>
      </c>
      <c r="CA82" s="106">
        <v>0</v>
      </c>
      <c r="CB82" s="106">
        <v>0</v>
      </c>
      <c r="CC82" s="106">
        <v>0</v>
      </c>
      <c r="CD82" s="106">
        <v>0</v>
      </c>
      <c r="CE82" s="106">
        <v>0</v>
      </c>
      <c r="CF82" s="106">
        <v>0</v>
      </c>
      <c r="CG82" s="106">
        <v>0</v>
      </c>
      <c r="CH82" s="106">
        <v>0</v>
      </c>
      <c r="CI82" s="106">
        <v>0</v>
      </c>
      <c r="CJ82" s="106">
        <v>0</v>
      </c>
      <c r="CK82" s="106">
        <v>0</v>
      </c>
      <c r="CL82" s="106">
        <v>0</v>
      </c>
      <c r="CM82" s="106">
        <v>0</v>
      </c>
      <c r="CN82" s="106">
        <v>0</v>
      </c>
      <c r="CO82" s="106">
        <v>0</v>
      </c>
      <c r="CP82" s="106">
        <v>0</v>
      </c>
      <c r="CQ82" s="106">
        <v>0</v>
      </c>
      <c r="CR82" s="106">
        <v>0</v>
      </c>
      <c r="CS82" s="106">
        <v>0</v>
      </c>
      <c r="CT82" s="106">
        <v>0</v>
      </c>
      <c r="CU82" s="106">
        <v>0</v>
      </c>
    </row>
    <row r="83" spans="2:99" x14ac:dyDescent="0.2">
      <c r="C83" s="105" t="s">
        <v>248</v>
      </c>
      <c r="D83" s="106">
        <v>0</v>
      </c>
      <c r="E83" s="106">
        <v>0</v>
      </c>
      <c r="F83" s="106">
        <v>0</v>
      </c>
      <c r="G83" s="106">
        <v>0</v>
      </c>
      <c r="H83" s="106">
        <v>0</v>
      </c>
      <c r="I83" s="106">
        <v>0</v>
      </c>
      <c r="J83" s="106">
        <v>0</v>
      </c>
      <c r="K83" s="106">
        <v>0</v>
      </c>
      <c r="L83" s="106">
        <v>0</v>
      </c>
      <c r="M83" s="106">
        <v>0</v>
      </c>
      <c r="N83" s="106">
        <v>0</v>
      </c>
      <c r="O83" s="106">
        <v>0</v>
      </c>
      <c r="P83" s="106">
        <v>0</v>
      </c>
      <c r="Q83" s="106">
        <v>0</v>
      </c>
      <c r="R83" s="106">
        <v>0</v>
      </c>
      <c r="S83" s="106">
        <v>0</v>
      </c>
      <c r="T83" s="106">
        <v>0</v>
      </c>
      <c r="U83" s="106">
        <v>0</v>
      </c>
      <c r="V83" s="106">
        <v>0</v>
      </c>
      <c r="W83" s="106">
        <v>0</v>
      </c>
      <c r="X83" s="106">
        <v>0</v>
      </c>
      <c r="Y83" s="106">
        <v>0</v>
      </c>
      <c r="Z83" s="106">
        <v>0</v>
      </c>
      <c r="AA83" s="106">
        <v>0</v>
      </c>
      <c r="AB83" s="106">
        <v>0</v>
      </c>
      <c r="AC83" s="106">
        <v>0</v>
      </c>
      <c r="AD83" s="106">
        <v>0</v>
      </c>
      <c r="AE83" s="106">
        <v>0</v>
      </c>
      <c r="AF83" s="106">
        <v>0</v>
      </c>
      <c r="AG83" s="106">
        <v>0</v>
      </c>
      <c r="AH83" s="106">
        <v>0</v>
      </c>
      <c r="AI83" s="106">
        <v>0</v>
      </c>
      <c r="AJ83" s="106">
        <v>0</v>
      </c>
      <c r="AK83" s="106">
        <v>0</v>
      </c>
      <c r="AL83" s="106">
        <v>0</v>
      </c>
      <c r="AM83" s="106">
        <v>0</v>
      </c>
      <c r="AN83" s="106">
        <v>0</v>
      </c>
      <c r="AO83" s="106">
        <v>0</v>
      </c>
      <c r="AP83" s="106">
        <v>0</v>
      </c>
      <c r="AQ83" s="106">
        <v>0</v>
      </c>
      <c r="AR83" s="106">
        <v>0</v>
      </c>
      <c r="AS83" s="106">
        <v>0</v>
      </c>
      <c r="AT83" s="106">
        <v>0</v>
      </c>
      <c r="AU83" s="106">
        <v>0</v>
      </c>
      <c r="AV83" s="106">
        <v>0</v>
      </c>
      <c r="AW83" s="106">
        <v>0</v>
      </c>
      <c r="AX83" s="106">
        <v>0</v>
      </c>
      <c r="AY83" s="106">
        <v>0</v>
      </c>
      <c r="AZ83" s="106">
        <v>0</v>
      </c>
      <c r="BA83" s="106">
        <v>0</v>
      </c>
      <c r="BB83" s="106">
        <v>0</v>
      </c>
      <c r="BC83" s="106">
        <v>0</v>
      </c>
      <c r="BD83" s="106">
        <v>0</v>
      </c>
      <c r="BE83" s="106">
        <v>0</v>
      </c>
      <c r="BF83" s="106">
        <v>0</v>
      </c>
      <c r="BG83" s="106">
        <v>0</v>
      </c>
      <c r="BH83" s="106">
        <v>0</v>
      </c>
      <c r="BI83" s="106">
        <v>0</v>
      </c>
      <c r="BJ83" s="106">
        <v>0</v>
      </c>
      <c r="BK83" s="106">
        <v>0</v>
      </c>
      <c r="BL83" s="106">
        <v>0</v>
      </c>
      <c r="BM83" s="106">
        <v>0</v>
      </c>
      <c r="BN83" s="106">
        <v>0</v>
      </c>
      <c r="BO83" s="106">
        <v>0</v>
      </c>
      <c r="BP83" s="106">
        <v>0</v>
      </c>
      <c r="BQ83" s="106">
        <v>0</v>
      </c>
      <c r="BR83" s="106">
        <v>0</v>
      </c>
      <c r="BS83" s="106">
        <v>0</v>
      </c>
      <c r="BT83" s="106">
        <v>0</v>
      </c>
      <c r="BU83" s="106">
        <v>0</v>
      </c>
      <c r="BV83" s="106">
        <v>0</v>
      </c>
      <c r="BW83" s="106">
        <v>0</v>
      </c>
      <c r="BX83" s="106">
        <v>0</v>
      </c>
      <c r="BY83" s="106">
        <v>0</v>
      </c>
      <c r="BZ83" s="106">
        <v>0</v>
      </c>
      <c r="CA83" s="106">
        <v>0</v>
      </c>
      <c r="CB83" s="106">
        <v>0</v>
      </c>
      <c r="CC83" s="106">
        <v>0</v>
      </c>
      <c r="CD83" s="106">
        <v>0</v>
      </c>
      <c r="CE83" s="106">
        <v>0</v>
      </c>
      <c r="CF83" s="106">
        <v>0</v>
      </c>
      <c r="CG83" s="106">
        <v>0</v>
      </c>
      <c r="CH83" s="106">
        <v>0</v>
      </c>
      <c r="CI83" s="106">
        <v>0</v>
      </c>
      <c r="CJ83" s="106">
        <v>0</v>
      </c>
      <c r="CK83" s="106">
        <v>0</v>
      </c>
      <c r="CL83" s="106">
        <v>0</v>
      </c>
      <c r="CM83" s="106">
        <v>0</v>
      </c>
      <c r="CN83" s="106">
        <v>0</v>
      </c>
      <c r="CO83" s="106">
        <v>0</v>
      </c>
      <c r="CP83" s="106">
        <v>0</v>
      </c>
      <c r="CQ83" s="106">
        <v>0</v>
      </c>
      <c r="CR83" s="106">
        <v>0</v>
      </c>
      <c r="CS83" s="106">
        <v>0</v>
      </c>
      <c r="CT83" s="106">
        <v>0</v>
      </c>
      <c r="CU83" s="106">
        <v>0</v>
      </c>
    </row>
    <row r="84" spans="2:99" x14ac:dyDescent="0.2">
      <c r="C84" s="105" t="s">
        <v>249</v>
      </c>
      <c r="D84" s="106">
        <v>0</v>
      </c>
      <c r="E84" s="106">
        <v>0</v>
      </c>
      <c r="F84" s="106">
        <v>0</v>
      </c>
      <c r="G84" s="106">
        <v>0</v>
      </c>
      <c r="H84" s="106">
        <v>0</v>
      </c>
      <c r="I84" s="106">
        <v>0</v>
      </c>
      <c r="J84" s="106">
        <v>0</v>
      </c>
      <c r="K84" s="106">
        <v>0</v>
      </c>
      <c r="L84" s="106">
        <v>0</v>
      </c>
      <c r="M84" s="106">
        <v>0</v>
      </c>
      <c r="N84" s="106">
        <v>0</v>
      </c>
      <c r="O84" s="106">
        <v>0</v>
      </c>
      <c r="P84" s="106">
        <v>0</v>
      </c>
      <c r="Q84" s="106">
        <v>0</v>
      </c>
      <c r="R84" s="106">
        <v>0</v>
      </c>
      <c r="S84" s="106">
        <v>0</v>
      </c>
      <c r="T84" s="106">
        <v>0</v>
      </c>
      <c r="U84" s="106">
        <v>0</v>
      </c>
      <c r="V84" s="106">
        <v>0</v>
      </c>
      <c r="W84" s="106">
        <v>0</v>
      </c>
      <c r="X84" s="106">
        <v>0</v>
      </c>
      <c r="Y84" s="106">
        <v>0</v>
      </c>
      <c r="Z84" s="106">
        <v>0</v>
      </c>
      <c r="AA84" s="106">
        <v>0</v>
      </c>
      <c r="AB84" s="106">
        <v>0</v>
      </c>
      <c r="AC84" s="106">
        <v>0</v>
      </c>
      <c r="AD84" s="106">
        <v>0</v>
      </c>
      <c r="AE84" s="106">
        <v>0</v>
      </c>
      <c r="AF84" s="106">
        <v>0</v>
      </c>
      <c r="AG84" s="106">
        <v>0</v>
      </c>
      <c r="AH84" s="106">
        <v>0</v>
      </c>
      <c r="AI84" s="106">
        <v>0</v>
      </c>
      <c r="AJ84" s="106">
        <v>0</v>
      </c>
      <c r="AK84" s="106">
        <v>0</v>
      </c>
      <c r="AL84" s="106">
        <v>0</v>
      </c>
      <c r="AM84" s="106">
        <v>0</v>
      </c>
      <c r="AN84" s="106">
        <v>0</v>
      </c>
      <c r="AO84" s="106">
        <v>0</v>
      </c>
      <c r="AP84" s="106">
        <v>0</v>
      </c>
      <c r="AQ84" s="106">
        <v>0</v>
      </c>
      <c r="AR84" s="106">
        <v>0</v>
      </c>
      <c r="AS84" s="106">
        <v>0</v>
      </c>
      <c r="AT84" s="106">
        <v>0</v>
      </c>
      <c r="AU84" s="106">
        <v>0</v>
      </c>
      <c r="AV84" s="106">
        <v>0</v>
      </c>
      <c r="AW84" s="106">
        <v>0</v>
      </c>
      <c r="AX84" s="106">
        <v>0</v>
      </c>
      <c r="AY84" s="106">
        <v>0</v>
      </c>
      <c r="AZ84" s="106">
        <v>0</v>
      </c>
      <c r="BA84" s="106">
        <v>0</v>
      </c>
      <c r="BB84" s="106">
        <v>0</v>
      </c>
      <c r="BC84" s="106">
        <v>0</v>
      </c>
      <c r="BD84" s="106">
        <v>0</v>
      </c>
      <c r="BE84" s="106">
        <v>0</v>
      </c>
      <c r="BF84" s="106">
        <v>0</v>
      </c>
      <c r="BG84" s="106">
        <v>0</v>
      </c>
      <c r="BH84" s="106">
        <v>0</v>
      </c>
      <c r="BI84" s="106">
        <v>0</v>
      </c>
      <c r="BJ84" s="106">
        <v>0</v>
      </c>
      <c r="BK84" s="106">
        <v>0</v>
      </c>
      <c r="BL84" s="106">
        <v>0</v>
      </c>
      <c r="BM84" s="106">
        <v>0</v>
      </c>
      <c r="BN84" s="106">
        <v>0</v>
      </c>
      <c r="BO84" s="106">
        <v>0</v>
      </c>
      <c r="BP84" s="106">
        <v>0</v>
      </c>
      <c r="BQ84" s="106">
        <v>0</v>
      </c>
      <c r="BR84" s="106">
        <v>0</v>
      </c>
      <c r="BS84" s="106">
        <v>0</v>
      </c>
      <c r="BT84" s="106">
        <v>0</v>
      </c>
      <c r="BU84" s="106">
        <v>0</v>
      </c>
      <c r="BV84" s="106">
        <v>0</v>
      </c>
      <c r="BW84" s="106">
        <v>0</v>
      </c>
      <c r="BX84" s="106">
        <v>0</v>
      </c>
      <c r="BY84" s="106">
        <v>0</v>
      </c>
      <c r="BZ84" s="106">
        <v>0</v>
      </c>
      <c r="CA84" s="106">
        <v>0</v>
      </c>
      <c r="CB84" s="106">
        <v>0</v>
      </c>
      <c r="CC84" s="106">
        <v>0</v>
      </c>
      <c r="CD84" s="106">
        <v>0</v>
      </c>
      <c r="CE84" s="106">
        <v>0</v>
      </c>
      <c r="CF84" s="106">
        <v>0</v>
      </c>
      <c r="CG84" s="106">
        <v>0</v>
      </c>
      <c r="CH84" s="106">
        <v>0</v>
      </c>
      <c r="CI84" s="106">
        <v>0</v>
      </c>
      <c r="CJ84" s="106">
        <v>0</v>
      </c>
      <c r="CK84" s="106">
        <v>0</v>
      </c>
      <c r="CL84" s="106">
        <v>0</v>
      </c>
      <c r="CM84" s="106">
        <v>0</v>
      </c>
      <c r="CN84" s="106">
        <v>0</v>
      </c>
      <c r="CO84" s="106">
        <v>0</v>
      </c>
      <c r="CP84" s="106">
        <v>0</v>
      </c>
      <c r="CQ84" s="106">
        <v>0</v>
      </c>
      <c r="CR84" s="106">
        <v>0</v>
      </c>
      <c r="CS84" s="106">
        <v>0</v>
      </c>
      <c r="CT84" s="106">
        <v>0</v>
      </c>
      <c r="CU84" s="106">
        <v>0</v>
      </c>
    </row>
    <row r="85" spans="2:99" x14ac:dyDescent="0.2">
      <c r="C85" s="105" t="s">
        <v>250</v>
      </c>
      <c r="D85" s="106">
        <v>0</v>
      </c>
      <c r="E85" s="106">
        <v>0</v>
      </c>
      <c r="F85" s="106">
        <v>0</v>
      </c>
      <c r="G85" s="106">
        <v>0</v>
      </c>
      <c r="H85" s="106">
        <v>0</v>
      </c>
      <c r="I85" s="106">
        <v>0</v>
      </c>
      <c r="J85" s="106">
        <v>0</v>
      </c>
      <c r="K85" s="106">
        <v>0</v>
      </c>
      <c r="L85" s="106">
        <v>0</v>
      </c>
      <c r="M85" s="106">
        <v>0</v>
      </c>
      <c r="N85" s="106">
        <v>0</v>
      </c>
      <c r="O85" s="106">
        <v>0</v>
      </c>
      <c r="P85" s="106">
        <v>0</v>
      </c>
      <c r="Q85" s="106">
        <v>0</v>
      </c>
      <c r="R85" s="106">
        <v>0</v>
      </c>
      <c r="S85" s="106">
        <v>0</v>
      </c>
      <c r="T85" s="106">
        <v>0</v>
      </c>
      <c r="U85" s="106">
        <v>0</v>
      </c>
      <c r="V85" s="106">
        <v>0</v>
      </c>
      <c r="W85" s="106">
        <v>0</v>
      </c>
      <c r="X85" s="106">
        <v>0</v>
      </c>
      <c r="Y85" s="106">
        <v>0</v>
      </c>
      <c r="Z85" s="106">
        <v>0</v>
      </c>
      <c r="AA85" s="106">
        <v>0</v>
      </c>
      <c r="AB85" s="106">
        <v>0</v>
      </c>
      <c r="AC85" s="106">
        <v>0</v>
      </c>
      <c r="AD85" s="106">
        <v>0</v>
      </c>
      <c r="AE85" s="106">
        <v>0</v>
      </c>
      <c r="AF85" s="106">
        <v>0</v>
      </c>
      <c r="AG85" s="106">
        <v>0</v>
      </c>
      <c r="AH85" s="106">
        <v>0</v>
      </c>
      <c r="AI85" s="106">
        <v>0</v>
      </c>
      <c r="AJ85" s="106">
        <v>0</v>
      </c>
      <c r="AK85" s="106">
        <v>0</v>
      </c>
      <c r="AL85" s="106">
        <v>0</v>
      </c>
      <c r="AM85" s="106">
        <v>0</v>
      </c>
      <c r="AN85" s="106">
        <v>0</v>
      </c>
      <c r="AO85" s="106">
        <v>0</v>
      </c>
      <c r="AP85" s="106">
        <v>0</v>
      </c>
      <c r="AQ85" s="106">
        <v>0</v>
      </c>
      <c r="AR85" s="106">
        <v>0</v>
      </c>
      <c r="AS85" s="106">
        <v>0</v>
      </c>
      <c r="AT85" s="106">
        <v>0</v>
      </c>
      <c r="AU85" s="106">
        <v>0</v>
      </c>
      <c r="AV85" s="106">
        <v>0</v>
      </c>
      <c r="AW85" s="106">
        <v>0</v>
      </c>
      <c r="AX85" s="106">
        <v>0</v>
      </c>
      <c r="AY85" s="106">
        <v>0</v>
      </c>
      <c r="AZ85" s="106">
        <v>0</v>
      </c>
      <c r="BA85" s="106">
        <v>0</v>
      </c>
      <c r="BB85" s="106">
        <v>0</v>
      </c>
      <c r="BC85" s="106">
        <v>0</v>
      </c>
      <c r="BD85" s="106">
        <v>0</v>
      </c>
      <c r="BE85" s="106">
        <v>0</v>
      </c>
      <c r="BF85" s="106">
        <v>0</v>
      </c>
      <c r="BG85" s="106">
        <v>0</v>
      </c>
      <c r="BH85" s="106">
        <v>0</v>
      </c>
      <c r="BI85" s="106">
        <v>0</v>
      </c>
      <c r="BJ85" s="106">
        <v>0</v>
      </c>
      <c r="BK85" s="106">
        <v>0</v>
      </c>
      <c r="BL85" s="106">
        <v>0</v>
      </c>
      <c r="BM85" s="106">
        <v>0</v>
      </c>
      <c r="BN85" s="106">
        <v>0</v>
      </c>
      <c r="BO85" s="106">
        <v>0</v>
      </c>
      <c r="BP85" s="106">
        <v>0</v>
      </c>
      <c r="BQ85" s="106">
        <v>0</v>
      </c>
      <c r="BR85" s="106">
        <v>0</v>
      </c>
      <c r="BS85" s="106">
        <v>0</v>
      </c>
      <c r="BT85" s="106">
        <v>0</v>
      </c>
      <c r="BU85" s="106">
        <v>0</v>
      </c>
      <c r="BV85" s="106">
        <v>0</v>
      </c>
      <c r="BW85" s="106">
        <v>0</v>
      </c>
      <c r="BX85" s="106">
        <v>0</v>
      </c>
      <c r="BY85" s="106">
        <v>0</v>
      </c>
      <c r="BZ85" s="106">
        <v>0</v>
      </c>
      <c r="CA85" s="106">
        <v>0</v>
      </c>
      <c r="CB85" s="106">
        <v>0</v>
      </c>
      <c r="CC85" s="106">
        <v>0</v>
      </c>
      <c r="CD85" s="106">
        <v>0</v>
      </c>
      <c r="CE85" s="106">
        <v>0</v>
      </c>
      <c r="CF85" s="106">
        <v>0</v>
      </c>
      <c r="CG85" s="106">
        <v>0</v>
      </c>
      <c r="CH85" s="106">
        <v>0</v>
      </c>
      <c r="CI85" s="106">
        <v>0</v>
      </c>
      <c r="CJ85" s="106">
        <v>0</v>
      </c>
      <c r="CK85" s="106">
        <v>0</v>
      </c>
      <c r="CL85" s="106">
        <v>0</v>
      </c>
      <c r="CM85" s="106">
        <v>0</v>
      </c>
      <c r="CN85" s="106">
        <v>0</v>
      </c>
      <c r="CO85" s="106">
        <v>0</v>
      </c>
      <c r="CP85" s="106">
        <v>0</v>
      </c>
      <c r="CQ85" s="106">
        <v>0</v>
      </c>
      <c r="CR85" s="106">
        <v>0</v>
      </c>
      <c r="CS85" s="106">
        <v>0</v>
      </c>
      <c r="CT85" s="106">
        <v>0</v>
      </c>
      <c r="CU85" s="106">
        <v>0</v>
      </c>
    </row>
    <row r="86" spans="2:99" x14ac:dyDescent="0.2">
      <c r="C86" s="105" t="s">
        <v>251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06">
        <v>0</v>
      </c>
      <c r="J86" s="106">
        <v>0</v>
      </c>
      <c r="K86" s="106">
        <v>0</v>
      </c>
      <c r="L86" s="106">
        <v>0</v>
      </c>
      <c r="M86" s="106">
        <v>0</v>
      </c>
      <c r="N86" s="106">
        <v>0</v>
      </c>
      <c r="O86" s="106">
        <v>0</v>
      </c>
      <c r="P86" s="106">
        <v>0</v>
      </c>
      <c r="Q86" s="106">
        <v>0</v>
      </c>
      <c r="R86" s="106">
        <v>0</v>
      </c>
      <c r="S86" s="106">
        <v>0</v>
      </c>
      <c r="T86" s="106">
        <v>0</v>
      </c>
      <c r="U86" s="106">
        <v>0</v>
      </c>
      <c r="V86" s="106">
        <v>0</v>
      </c>
      <c r="W86" s="106">
        <v>0</v>
      </c>
      <c r="X86" s="106">
        <v>0</v>
      </c>
      <c r="Y86" s="106">
        <v>0</v>
      </c>
      <c r="Z86" s="106">
        <v>0</v>
      </c>
      <c r="AA86" s="106">
        <v>0</v>
      </c>
      <c r="AB86" s="106">
        <v>0</v>
      </c>
      <c r="AC86" s="106">
        <v>0</v>
      </c>
      <c r="AD86" s="106">
        <v>0</v>
      </c>
      <c r="AE86" s="106">
        <v>0</v>
      </c>
      <c r="AF86" s="106">
        <v>0</v>
      </c>
      <c r="AG86" s="106">
        <v>0</v>
      </c>
      <c r="AH86" s="106">
        <v>0</v>
      </c>
      <c r="AI86" s="106">
        <v>0</v>
      </c>
      <c r="AJ86" s="106">
        <v>0</v>
      </c>
      <c r="AK86" s="106">
        <v>0</v>
      </c>
      <c r="AL86" s="106">
        <v>0</v>
      </c>
      <c r="AM86" s="106">
        <v>0</v>
      </c>
      <c r="AN86" s="106">
        <v>0</v>
      </c>
      <c r="AO86" s="106">
        <v>0</v>
      </c>
      <c r="AP86" s="106">
        <v>0</v>
      </c>
      <c r="AQ86" s="106">
        <v>0</v>
      </c>
      <c r="AR86" s="106">
        <v>0</v>
      </c>
      <c r="AS86" s="106">
        <v>0</v>
      </c>
      <c r="AT86" s="106">
        <v>0</v>
      </c>
      <c r="AU86" s="106">
        <v>0</v>
      </c>
      <c r="AV86" s="106">
        <v>0</v>
      </c>
      <c r="AW86" s="106">
        <v>0</v>
      </c>
      <c r="AX86" s="106">
        <v>0</v>
      </c>
      <c r="AY86" s="106">
        <v>0</v>
      </c>
      <c r="AZ86" s="106">
        <v>0</v>
      </c>
      <c r="BA86" s="106">
        <v>0</v>
      </c>
      <c r="BB86" s="106">
        <v>0</v>
      </c>
      <c r="BC86" s="106">
        <v>0</v>
      </c>
      <c r="BD86" s="106">
        <v>0</v>
      </c>
      <c r="BE86" s="106">
        <v>0</v>
      </c>
      <c r="BF86" s="106">
        <v>0</v>
      </c>
      <c r="BG86" s="106">
        <v>0</v>
      </c>
      <c r="BH86" s="106">
        <v>0</v>
      </c>
      <c r="BI86" s="106">
        <v>0</v>
      </c>
      <c r="BJ86" s="106">
        <v>0</v>
      </c>
      <c r="BK86" s="106">
        <v>0</v>
      </c>
      <c r="BL86" s="106">
        <v>0</v>
      </c>
      <c r="BM86" s="106">
        <v>0</v>
      </c>
      <c r="BN86" s="106">
        <v>0</v>
      </c>
      <c r="BO86" s="106">
        <v>0</v>
      </c>
      <c r="BP86" s="106">
        <v>0</v>
      </c>
      <c r="BQ86" s="106">
        <v>0</v>
      </c>
      <c r="BR86" s="106">
        <v>0</v>
      </c>
      <c r="BS86" s="106">
        <v>0</v>
      </c>
      <c r="BT86" s="106">
        <v>0</v>
      </c>
      <c r="BU86" s="106">
        <v>0</v>
      </c>
      <c r="BV86" s="106">
        <v>0</v>
      </c>
      <c r="BW86" s="106">
        <v>0</v>
      </c>
      <c r="BX86" s="106">
        <v>0</v>
      </c>
      <c r="BY86" s="106">
        <v>0</v>
      </c>
      <c r="BZ86" s="106">
        <v>0</v>
      </c>
      <c r="CA86" s="106">
        <v>0</v>
      </c>
      <c r="CB86" s="106">
        <v>0</v>
      </c>
      <c r="CC86" s="106">
        <v>0</v>
      </c>
      <c r="CD86" s="106">
        <v>0</v>
      </c>
      <c r="CE86" s="106">
        <v>0</v>
      </c>
      <c r="CF86" s="106">
        <v>0</v>
      </c>
      <c r="CG86" s="106">
        <v>0</v>
      </c>
      <c r="CH86" s="106">
        <v>0</v>
      </c>
      <c r="CI86" s="106">
        <v>0</v>
      </c>
      <c r="CJ86" s="106">
        <v>0</v>
      </c>
      <c r="CK86" s="106">
        <v>0</v>
      </c>
      <c r="CL86" s="106">
        <v>0</v>
      </c>
      <c r="CM86" s="106">
        <v>0</v>
      </c>
      <c r="CN86" s="106">
        <v>0</v>
      </c>
      <c r="CO86" s="106">
        <v>0</v>
      </c>
      <c r="CP86" s="106">
        <v>0</v>
      </c>
      <c r="CQ86" s="106">
        <v>0</v>
      </c>
      <c r="CR86" s="106">
        <v>0</v>
      </c>
      <c r="CS86" s="106">
        <v>0</v>
      </c>
      <c r="CT86" s="106">
        <v>0</v>
      </c>
      <c r="CU86" s="106">
        <v>0</v>
      </c>
    </row>
    <row r="87" spans="2:99" x14ac:dyDescent="0.2">
      <c r="B87" s="105" t="s">
        <v>131</v>
      </c>
      <c r="C87" s="105" t="s">
        <v>252</v>
      </c>
      <c r="D87" s="106">
        <v>0</v>
      </c>
      <c r="E87" s="106">
        <v>0</v>
      </c>
      <c r="F87" s="106">
        <v>0</v>
      </c>
      <c r="G87" s="106">
        <v>0</v>
      </c>
      <c r="H87" s="106">
        <v>0</v>
      </c>
      <c r="I87" s="106">
        <v>0</v>
      </c>
      <c r="J87" s="106">
        <v>0</v>
      </c>
      <c r="K87" s="106">
        <v>0</v>
      </c>
      <c r="L87" s="106">
        <v>0</v>
      </c>
      <c r="M87" s="106">
        <v>0</v>
      </c>
      <c r="N87" s="106">
        <v>0</v>
      </c>
      <c r="O87" s="106">
        <v>0</v>
      </c>
      <c r="P87" s="106">
        <v>0</v>
      </c>
      <c r="Q87" s="106">
        <v>0</v>
      </c>
      <c r="R87" s="106">
        <v>0</v>
      </c>
      <c r="S87" s="106">
        <v>0</v>
      </c>
      <c r="T87" s="106">
        <v>0</v>
      </c>
      <c r="U87" s="106">
        <v>0</v>
      </c>
      <c r="V87" s="106">
        <v>0</v>
      </c>
      <c r="W87" s="106">
        <v>0</v>
      </c>
      <c r="X87" s="106">
        <v>0</v>
      </c>
      <c r="Y87" s="106">
        <v>0</v>
      </c>
      <c r="Z87" s="106">
        <v>0</v>
      </c>
      <c r="AA87" s="106">
        <v>0</v>
      </c>
      <c r="AB87" s="106">
        <v>0</v>
      </c>
      <c r="AC87" s="106">
        <v>0</v>
      </c>
      <c r="AD87" s="106">
        <v>0</v>
      </c>
      <c r="AE87" s="106">
        <v>0</v>
      </c>
      <c r="AF87" s="106">
        <v>0</v>
      </c>
      <c r="AG87" s="106">
        <v>0</v>
      </c>
      <c r="AH87" s="106">
        <v>0</v>
      </c>
      <c r="AI87" s="106">
        <v>0</v>
      </c>
      <c r="AJ87" s="106">
        <v>0</v>
      </c>
      <c r="AK87" s="106">
        <v>0</v>
      </c>
      <c r="AL87" s="106">
        <v>0</v>
      </c>
      <c r="AM87" s="106">
        <v>0</v>
      </c>
      <c r="AN87" s="106">
        <v>0</v>
      </c>
      <c r="AO87" s="106">
        <v>0</v>
      </c>
      <c r="AP87" s="106">
        <v>0</v>
      </c>
      <c r="AQ87" s="106">
        <v>0</v>
      </c>
      <c r="AR87" s="106">
        <v>0</v>
      </c>
      <c r="AS87" s="106">
        <v>0</v>
      </c>
      <c r="AT87" s="106">
        <v>0</v>
      </c>
      <c r="AU87" s="106">
        <v>0</v>
      </c>
      <c r="AV87" s="106">
        <v>0</v>
      </c>
      <c r="AW87" s="106">
        <v>0</v>
      </c>
      <c r="AX87" s="106">
        <v>0</v>
      </c>
      <c r="AY87" s="106">
        <v>0</v>
      </c>
      <c r="AZ87" s="106">
        <v>0</v>
      </c>
      <c r="BA87" s="106">
        <v>0</v>
      </c>
      <c r="BB87" s="106">
        <v>0</v>
      </c>
      <c r="BC87" s="106">
        <v>0</v>
      </c>
      <c r="BD87" s="106">
        <v>0</v>
      </c>
      <c r="BE87" s="106">
        <v>0</v>
      </c>
      <c r="BF87" s="106">
        <v>0</v>
      </c>
      <c r="BG87" s="106">
        <v>0</v>
      </c>
      <c r="BH87" s="106">
        <v>0</v>
      </c>
      <c r="BI87" s="106">
        <v>0</v>
      </c>
      <c r="BJ87" s="106">
        <v>0</v>
      </c>
      <c r="BK87" s="106">
        <v>0</v>
      </c>
      <c r="BL87" s="106">
        <v>0</v>
      </c>
      <c r="BM87" s="106">
        <v>0</v>
      </c>
      <c r="BN87" s="106">
        <v>0</v>
      </c>
      <c r="BO87" s="106">
        <v>0</v>
      </c>
      <c r="BP87" s="106">
        <v>0</v>
      </c>
      <c r="BQ87" s="106">
        <v>0</v>
      </c>
      <c r="BR87" s="106">
        <v>0</v>
      </c>
      <c r="BS87" s="106">
        <v>0</v>
      </c>
      <c r="BT87" s="106">
        <v>0</v>
      </c>
      <c r="BU87" s="106">
        <v>0</v>
      </c>
      <c r="BV87" s="106">
        <v>0</v>
      </c>
      <c r="BW87" s="106">
        <v>0</v>
      </c>
      <c r="BX87" s="106">
        <v>0</v>
      </c>
      <c r="BY87" s="106">
        <v>0</v>
      </c>
      <c r="BZ87" s="106">
        <v>0</v>
      </c>
      <c r="CA87" s="106">
        <v>0</v>
      </c>
      <c r="CB87" s="106">
        <v>0</v>
      </c>
      <c r="CC87" s="106">
        <v>0</v>
      </c>
      <c r="CD87" s="106">
        <v>0</v>
      </c>
      <c r="CE87" s="106">
        <v>0</v>
      </c>
      <c r="CF87" s="106">
        <v>0</v>
      </c>
      <c r="CG87" s="106">
        <v>0</v>
      </c>
      <c r="CH87" s="106">
        <v>0</v>
      </c>
      <c r="CI87" s="106">
        <v>0</v>
      </c>
      <c r="CJ87" s="106">
        <v>0</v>
      </c>
      <c r="CK87" s="106">
        <v>0</v>
      </c>
      <c r="CL87" s="106">
        <v>0</v>
      </c>
      <c r="CM87" s="106">
        <v>0</v>
      </c>
      <c r="CN87" s="106">
        <v>0</v>
      </c>
      <c r="CO87" s="106">
        <v>0</v>
      </c>
      <c r="CP87" s="106">
        <v>0</v>
      </c>
      <c r="CQ87" s="106">
        <v>0</v>
      </c>
      <c r="CR87" s="106">
        <v>0</v>
      </c>
      <c r="CS87" s="106">
        <v>0</v>
      </c>
      <c r="CT87" s="106">
        <v>0</v>
      </c>
      <c r="CU87" s="106">
        <v>0</v>
      </c>
    </row>
    <row r="88" spans="2:99" x14ac:dyDescent="0.2">
      <c r="C88" s="105" t="s">
        <v>253</v>
      </c>
      <c r="D88" s="106">
        <v>0</v>
      </c>
      <c r="E88" s="106">
        <v>0</v>
      </c>
      <c r="F88" s="106">
        <v>0</v>
      </c>
      <c r="G88" s="106">
        <v>0</v>
      </c>
      <c r="H88" s="106">
        <v>0</v>
      </c>
      <c r="I88" s="106">
        <v>0</v>
      </c>
      <c r="J88" s="106">
        <v>0</v>
      </c>
      <c r="K88" s="106">
        <v>0</v>
      </c>
      <c r="L88" s="106">
        <v>0</v>
      </c>
      <c r="M88" s="106">
        <v>0</v>
      </c>
      <c r="N88" s="106">
        <v>0</v>
      </c>
      <c r="O88" s="106">
        <v>0</v>
      </c>
      <c r="P88" s="106">
        <v>0</v>
      </c>
      <c r="Q88" s="106">
        <v>0</v>
      </c>
      <c r="R88" s="106">
        <v>0</v>
      </c>
      <c r="S88" s="106">
        <v>0</v>
      </c>
      <c r="T88" s="106">
        <v>0</v>
      </c>
      <c r="U88" s="106">
        <v>0</v>
      </c>
      <c r="V88" s="106">
        <v>0</v>
      </c>
      <c r="W88" s="106">
        <v>0</v>
      </c>
      <c r="X88" s="106">
        <v>0</v>
      </c>
      <c r="Y88" s="106">
        <v>0</v>
      </c>
      <c r="Z88" s="106">
        <v>0</v>
      </c>
      <c r="AA88" s="106">
        <v>0</v>
      </c>
      <c r="AB88" s="106">
        <v>0</v>
      </c>
      <c r="AC88" s="106">
        <v>0</v>
      </c>
      <c r="AD88" s="106">
        <v>0</v>
      </c>
      <c r="AE88" s="106">
        <v>0</v>
      </c>
      <c r="AF88" s="106">
        <v>0</v>
      </c>
      <c r="AG88" s="106">
        <v>0</v>
      </c>
      <c r="AH88" s="106">
        <v>0</v>
      </c>
      <c r="AI88" s="106">
        <v>0</v>
      </c>
      <c r="AJ88" s="106">
        <v>0</v>
      </c>
      <c r="AK88" s="106">
        <v>0</v>
      </c>
      <c r="AL88" s="106">
        <v>0</v>
      </c>
      <c r="AM88" s="106">
        <v>0</v>
      </c>
      <c r="AN88" s="106">
        <v>0</v>
      </c>
      <c r="AO88" s="106">
        <v>0</v>
      </c>
      <c r="AP88" s="106">
        <v>0</v>
      </c>
      <c r="AQ88" s="106">
        <v>0</v>
      </c>
      <c r="AR88" s="106">
        <v>0</v>
      </c>
      <c r="AS88" s="106">
        <v>0</v>
      </c>
      <c r="AT88" s="106">
        <v>0</v>
      </c>
      <c r="AU88" s="106">
        <v>0</v>
      </c>
      <c r="AV88" s="106">
        <v>0</v>
      </c>
      <c r="AW88" s="106">
        <v>0</v>
      </c>
      <c r="AX88" s="106">
        <v>0</v>
      </c>
      <c r="AY88" s="106">
        <v>0</v>
      </c>
      <c r="AZ88" s="106">
        <v>0</v>
      </c>
      <c r="BA88" s="106">
        <v>0</v>
      </c>
      <c r="BB88" s="106">
        <v>0</v>
      </c>
      <c r="BC88" s="106">
        <v>0</v>
      </c>
      <c r="BD88" s="106">
        <v>0</v>
      </c>
      <c r="BE88" s="106">
        <v>0</v>
      </c>
      <c r="BF88" s="106">
        <v>0</v>
      </c>
      <c r="BG88" s="106">
        <v>0</v>
      </c>
      <c r="BH88" s="106">
        <v>0</v>
      </c>
      <c r="BI88" s="106">
        <v>0</v>
      </c>
      <c r="BJ88" s="106">
        <v>0</v>
      </c>
      <c r="BK88" s="106">
        <v>0</v>
      </c>
      <c r="BL88" s="106">
        <v>0</v>
      </c>
      <c r="BM88" s="106">
        <v>0</v>
      </c>
      <c r="BN88" s="106">
        <v>0</v>
      </c>
      <c r="BO88" s="106">
        <v>0</v>
      </c>
      <c r="BP88" s="106">
        <v>0</v>
      </c>
      <c r="BQ88" s="106">
        <v>0</v>
      </c>
      <c r="BR88" s="106">
        <v>0</v>
      </c>
      <c r="BS88" s="106">
        <v>0</v>
      </c>
      <c r="BT88" s="106">
        <v>0</v>
      </c>
      <c r="BU88" s="106">
        <v>0</v>
      </c>
      <c r="BV88" s="106">
        <v>0</v>
      </c>
      <c r="BW88" s="106">
        <v>0</v>
      </c>
      <c r="BX88" s="106">
        <v>0</v>
      </c>
      <c r="BY88" s="106">
        <v>0</v>
      </c>
      <c r="BZ88" s="106">
        <v>0</v>
      </c>
      <c r="CA88" s="106">
        <v>0</v>
      </c>
      <c r="CB88" s="106">
        <v>0</v>
      </c>
      <c r="CC88" s="106">
        <v>0</v>
      </c>
      <c r="CD88" s="106">
        <v>0</v>
      </c>
      <c r="CE88" s="106">
        <v>0</v>
      </c>
      <c r="CF88" s="106">
        <v>0</v>
      </c>
      <c r="CG88" s="106">
        <v>0</v>
      </c>
      <c r="CH88" s="106">
        <v>0</v>
      </c>
      <c r="CI88" s="106">
        <v>0</v>
      </c>
      <c r="CJ88" s="106">
        <v>0</v>
      </c>
      <c r="CK88" s="106">
        <v>0</v>
      </c>
      <c r="CL88" s="106">
        <v>0</v>
      </c>
      <c r="CM88" s="106">
        <v>0</v>
      </c>
      <c r="CN88" s="106">
        <v>0</v>
      </c>
      <c r="CO88" s="106">
        <v>0</v>
      </c>
      <c r="CP88" s="106">
        <v>0</v>
      </c>
      <c r="CQ88" s="106">
        <v>0</v>
      </c>
      <c r="CR88" s="106">
        <v>0</v>
      </c>
      <c r="CS88" s="106">
        <v>0</v>
      </c>
      <c r="CT88" s="106">
        <v>0</v>
      </c>
      <c r="CU88" s="106">
        <v>0</v>
      </c>
    </row>
    <row r="89" spans="2:99" x14ac:dyDescent="0.2">
      <c r="C89" s="105" t="s">
        <v>254</v>
      </c>
      <c r="D89" s="106">
        <v>0</v>
      </c>
      <c r="E89" s="106">
        <v>0</v>
      </c>
      <c r="F89" s="106">
        <v>0</v>
      </c>
      <c r="G89" s="106">
        <v>0</v>
      </c>
      <c r="H89" s="106">
        <v>0</v>
      </c>
      <c r="I89" s="106">
        <v>0</v>
      </c>
      <c r="J89" s="106">
        <v>0</v>
      </c>
      <c r="K89" s="106">
        <v>0</v>
      </c>
      <c r="L89" s="106">
        <v>0</v>
      </c>
      <c r="M89" s="106">
        <v>0</v>
      </c>
      <c r="N89" s="106">
        <v>0</v>
      </c>
      <c r="O89" s="106">
        <v>0</v>
      </c>
      <c r="P89" s="106">
        <v>0</v>
      </c>
      <c r="Q89" s="106">
        <v>0</v>
      </c>
      <c r="R89" s="106">
        <v>0</v>
      </c>
      <c r="S89" s="106">
        <v>0</v>
      </c>
      <c r="T89" s="106">
        <v>0</v>
      </c>
      <c r="U89" s="106">
        <v>0</v>
      </c>
      <c r="V89" s="106">
        <v>0</v>
      </c>
      <c r="W89" s="106">
        <v>0</v>
      </c>
      <c r="X89" s="106">
        <v>0</v>
      </c>
      <c r="Y89" s="106">
        <v>0</v>
      </c>
      <c r="Z89" s="106">
        <v>0</v>
      </c>
      <c r="AA89" s="106">
        <v>0</v>
      </c>
      <c r="AB89" s="106">
        <v>0</v>
      </c>
      <c r="AC89" s="106">
        <v>0</v>
      </c>
      <c r="AD89" s="106">
        <v>0</v>
      </c>
      <c r="AE89" s="106">
        <v>0</v>
      </c>
      <c r="AF89" s="106">
        <v>0</v>
      </c>
      <c r="AG89" s="106">
        <v>0</v>
      </c>
      <c r="AH89" s="106">
        <v>0</v>
      </c>
      <c r="AI89" s="106">
        <v>0</v>
      </c>
      <c r="AJ89" s="106">
        <v>0</v>
      </c>
      <c r="AK89" s="106">
        <v>0</v>
      </c>
      <c r="AL89" s="106">
        <v>0</v>
      </c>
      <c r="AM89" s="106">
        <v>0</v>
      </c>
      <c r="AN89" s="106">
        <v>0</v>
      </c>
      <c r="AO89" s="106">
        <v>0</v>
      </c>
      <c r="AP89" s="106">
        <v>0</v>
      </c>
      <c r="AQ89" s="106">
        <v>0</v>
      </c>
      <c r="AR89" s="106">
        <v>0</v>
      </c>
      <c r="AS89" s="106">
        <v>0</v>
      </c>
      <c r="AT89" s="106">
        <v>0</v>
      </c>
      <c r="AU89" s="106">
        <v>0</v>
      </c>
      <c r="AV89" s="106">
        <v>0</v>
      </c>
      <c r="AW89" s="106">
        <v>0</v>
      </c>
      <c r="AX89" s="106">
        <v>0</v>
      </c>
      <c r="AY89" s="106">
        <v>0</v>
      </c>
      <c r="AZ89" s="106">
        <v>0</v>
      </c>
      <c r="BA89" s="106">
        <v>0</v>
      </c>
      <c r="BB89" s="106">
        <v>0</v>
      </c>
      <c r="BC89" s="106">
        <v>0</v>
      </c>
      <c r="BD89" s="106">
        <v>0</v>
      </c>
      <c r="BE89" s="106">
        <v>0</v>
      </c>
      <c r="BF89" s="106">
        <v>0</v>
      </c>
      <c r="BG89" s="106">
        <v>0</v>
      </c>
      <c r="BH89" s="106">
        <v>0</v>
      </c>
      <c r="BI89" s="106">
        <v>0</v>
      </c>
      <c r="BJ89" s="106">
        <v>0</v>
      </c>
      <c r="BK89" s="106">
        <v>0</v>
      </c>
      <c r="BL89" s="106">
        <v>0</v>
      </c>
      <c r="BM89" s="106">
        <v>0</v>
      </c>
      <c r="BN89" s="106">
        <v>0</v>
      </c>
      <c r="BO89" s="106">
        <v>0</v>
      </c>
      <c r="BP89" s="106">
        <v>0</v>
      </c>
      <c r="BQ89" s="106">
        <v>0</v>
      </c>
      <c r="BR89" s="106">
        <v>0</v>
      </c>
      <c r="BS89" s="106">
        <v>0</v>
      </c>
      <c r="BT89" s="106">
        <v>0</v>
      </c>
      <c r="BU89" s="106">
        <v>0</v>
      </c>
      <c r="BV89" s="106">
        <v>0</v>
      </c>
      <c r="BW89" s="106">
        <v>0</v>
      </c>
      <c r="BX89" s="106">
        <v>0</v>
      </c>
      <c r="BY89" s="106">
        <v>0</v>
      </c>
      <c r="BZ89" s="106">
        <v>0</v>
      </c>
      <c r="CA89" s="106">
        <v>0</v>
      </c>
      <c r="CB89" s="106">
        <v>0</v>
      </c>
      <c r="CC89" s="106">
        <v>0</v>
      </c>
      <c r="CD89" s="106">
        <v>0</v>
      </c>
      <c r="CE89" s="106">
        <v>0</v>
      </c>
      <c r="CF89" s="106">
        <v>0</v>
      </c>
      <c r="CG89" s="106">
        <v>0</v>
      </c>
      <c r="CH89" s="106">
        <v>0</v>
      </c>
      <c r="CI89" s="106">
        <v>0</v>
      </c>
      <c r="CJ89" s="106">
        <v>0</v>
      </c>
      <c r="CK89" s="106">
        <v>0</v>
      </c>
      <c r="CL89" s="106">
        <v>0</v>
      </c>
      <c r="CM89" s="106">
        <v>0</v>
      </c>
      <c r="CN89" s="106">
        <v>0</v>
      </c>
      <c r="CO89" s="106">
        <v>0</v>
      </c>
      <c r="CP89" s="106">
        <v>0</v>
      </c>
      <c r="CQ89" s="106">
        <v>0</v>
      </c>
      <c r="CR89" s="106">
        <v>0</v>
      </c>
      <c r="CS89" s="106">
        <v>0</v>
      </c>
      <c r="CT89" s="106">
        <v>0</v>
      </c>
      <c r="CU89" s="106">
        <v>0</v>
      </c>
    </row>
    <row r="90" spans="2:99" x14ac:dyDescent="0.2">
      <c r="C90" s="105" t="s">
        <v>255</v>
      </c>
      <c r="D90" s="106">
        <v>0</v>
      </c>
      <c r="E90" s="106">
        <v>0</v>
      </c>
      <c r="F90" s="106">
        <v>0</v>
      </c>
      <c r="G90" s="106">
        <v>0</v>
      </c>
      <c r="H90" s="106">
        <v>0</v>
      </c>
      <c r="I90" s="106">
        <v>0</v>
      </c>
      <c r="J90" s="106">
        <v>0</v>
      </c>
      <c r="K90" s="106">
        <v>0</v>
      </c>
      <c r="L90" s="106">
        <v>0</v>
      </c>
      <c r="M90" s="106">
        <v>0</v>
      </c>
      <c r="N90" s="106">
        <v>0</v>
      </c>
      <c r="O90" s="106">
        <v>0</v>
      </c>
      <c r="P90" s="106">
        <v>0</v>
      </c>
      <c r="Q90" s="106">
        <v>0</v>
      </c>
      <c r="R90" s="106">
        <v>0</v>
      </c>
      <c r="S90" s="106">
        <v>0</v>
      </c>
      <c r="T90" s="106">
        <v>0</v>
      </c>
      <c r="U90" s="106">
        <v>0</v>
      </c>
      <c r="V90" s="106">
        <v>0</v>
      </c>
      <c r="W90" s="106">
        <v>0</v>
      </c>
      <c r="X90" s="106">
        <v>0</v>
      </c>
      <c r="Y90" s="106">
        <v>0</v>
      </c>
      <c r="Z90" s="106">
        <v>0</v>
      </c>
      <c r="AA90" s="106">
        <v>0</v>
      </c>
      <c r="AB90" s="106">
        <v>0</v>
      </c>
      <c r="AC90" s="106">
        <v>0</v>
      </c>
      <c r="AD90" s="106">
        <v>0</v>
      </c>
      <c r="AE90" s="106">
        <v>0</v>
      </c>
      <c r="AF90" s="106">
        <v>0</v>
      </c>
      <c r="AG90" s="106">
        <v>0</v>
      </c>
      <c r="AH90" s="106">
        <v>0</v>
      </c>
      <c r="AI90" s="106">
        <v>0</v>
      </c>
      <c r="AJ90" s="106">
        <v>0</v>
      </c>
      <c r="AK90" s="106">
        <v>0</v>
      </c>
      <c r="AL90" s="106">
        <v>0</v>
      </c>
      <c r="AM90" s="106">
        <v>0</v>
      </c>
      <c r="AN90" s="106">
        <v>0</v>
      </c>
      <c r="AO90" s="106">
        <v>0</v>
      </c>
      <c r="AP90" s="106">
        <v>0</v>
      </c>
      <c r="AQ90" s="106">
        <v>0</v>
      </c>
      <c r="AR90" s="106">
        <v>0</v>
      </c>
      <c r="AS90" s="106">
        <v>0</v>
      </c>
      <c r="AT90" s="106">
        <v>0</v>
      </c>
      <c r="AU90" s="106">
        <v>0</v>
      </c>
      <c r="AV90" s="106">
        <v>0</v>
      </c>
      <c r="AW90" s="106">
        <v>0</v>
      </c>
      <c r="AX90" s="106">
        <v>0</v>
      </c>
      <c r="AY90" s="106">
        <v>0</v>
      </c>
      <c r="AZ90" s="106">
        <v>0</v>
      </c>
      <c r="BA90" s="106">
        <v>0</v>
      </c>
      <c r="BB90" s="106">
        <v>0</v>
      </c>
      <c r="BC90" s="106">
        <v>0</v>
      </c>
      <c r="BD90" s="106">
        <v>0</v>
      </c>
      <c r="BE90" s="106">
        <v>0</v>
      </c>
      <c r="BF90" s="106">
        <v>0</v>
      </c>
      <c r="BG90" s="106">
        <v>0</v>
      </c>
      <c r="BH90" s="106">
        <v>0</v>
      </c>
      <c r="BI90" s="106">
        <v>0</v>
      </c>
      <c r="BJ90" s="106">
        <v>0</v>
      </c>
      <c r="BK90" s="106">
        <v>0</v>
      </c>
      <c r="BL90" s="106">
        <v>0</v>
      </c>
      <c r="BM90" s="106">
        <v>0</v>
      </c>
      <c r="BN90" s="106">
        <v>0</v>
      </c>
      <c r="BO90" s="106">
        <v>0</v>
      </c>
      <c r="BP90" s="106">
        <v>0</v>
      </c>
      <c r="BQ90" s="106">
        <v>0</v>
      </c>
      <c r="BR90" s="106">
        <v>0</v>
      </c>
      <c r="BS90" s="106">
        <v>0</v>
      </c>
      <c r="BT90" s="106">
        <v>0</v>
      </c>
      <c r="BU90" s="106">
        <v>0</v>
      </c>
      <c r="BV90" s="106">
        <v>0</v>
      </c>
      <c r="BW90" s="106">
        <v>0</v>
      </c>
      <c r="BX90" s="106">
        <v>0</v>
      </c>
      <c r="BY90" s="106">
        <v>0</v>
      </c>
      <c r="BZ90" s="106">
        <v>0</v>
      </c>
      <c r="CA90" s="106">
        <v>0</v>
      </c>
      <c r="CB90" s="106">
        <v>0</v>
      </c>
      <c r="CC90" s="106">
        <v>0</v>
      </c>
      <c r="CD90" s="106">
        <v>0</v>
      </c>
      <c r="CE90" s="106">
        <v>0</v>
      </c>
      <c r="CF90" s="106">
        <v>0</v>
      </c>
      <c r="CG90" s="106">
        <v>0</v>
      </c>
      <c r="CH90" s="106">
        <v>0</v>
      </c>
      <c r="CI90" s="106">
        <v>0</v>
      </c>
      <c r="CJ90" s="106">
        <v>0</v>
      </c>
      <c r="CK90" s="106">
        <v>0</v>
      </c>
      <c r="CL90" s="106">
        <v>0</v>
      </c>
      <c r="CM90" s="106">
        <v>0</v>
      </c>
      <c r="CN90" s="106">
        <v>0</v>
      </c>
      <c r="CO90" s="106">
        <v>0</v>
      </c>
      <c r="CP90" s="106">
        <v>0</v>
      </c>
      <c r="CQ90" s="106">
        <v>0</v>
      </c>
      <c r="CR90" s="106">
        <v>0</v>
      </c>
      <c r="CS90" s="106">
        <v>0</v>
      </c>
      <c r="CT90" s="106">
        <v>0</v>
      </c>
      <c r="CU90" s="106">
        <v>0</v>
      </c>
    </row>
    <row r="91" spans="2:99" x14ac:dyDescent="0.2">
      <c r="C91" s="105" t="s">
        <v>256</v>
      </c>
      <c r="D91" s="106">
        <v>0</v>
      </c>
      <c r="E91" s="106">
        <v>0</v>
      </c>
      <c r="F91" s="106">
        <v>0</v>
      </c>
      <c r="G91" s="106">
        <v>0</v>
      </c>
      <c r="H91" s="106">
        <v>0</v>
      </c>
      <c r="I91" s="106">
        <v>0</v>
      </c>
      <c r="J91" s="106">
        <v>0</v>
      </c>
      <c r="K91" s="106">
        <v>0</v>
      </c>
      <c r="L91" s="106">
        <v>0</v>
      </c>
      <c r="M91" s="106">
        <v>0</v>
      </c>
      <c r="N91" s="106">
        <v>0</v>
      </c>
      <c r="O91" s="106">
        <v>0</v>
      </c>
      <c r="P91" s="106">
        <v>0</v>
      </c>
      <c r="Q91" s="106">
        <v>0</v>
      </c>
      <c r="R91" s="106">
        <v>0</v>
      </c>
      <c r="S91" s="106">
        <v>0</v>
      </c>
      <c r="T91" s="106">
        <v>0</v>
      </c>
      <c r="U91" s="106">
        <v>0</v>
      </c>
      <c r="V91" s="106">
        <v>0</v>
      </c>
      <c r="W91" s="106">
        <v>0</v>
      </c>
      <c r="X91" s="106">
        <v>0</v>
      </c>
      <c r="Y91" s="106">
        <v>0</v>
      </c>
      <c r="Z91" s="106">
        <v>0</v>
      </c>
      <c r="AA91" s="106">
        <v>0</v>
      </c>
      <c r="AB91" s="106">
        <v>0</v>
      </c>
      <c r="AC91" s="106">
        <v>0</v>
      </c>
      <c r="AD91" s="106">
        <v>0</v>
      </c>
      <c r="AE91" s="106">
        <v>0</v>
      </c>
      <c r="AF91" s="106">
        <v>0</v>
      </c>
      <c r="AG91" s="106">
        <v>0</v>
      </c>
      <c r="AH91" s="106">
        <v>0</v>
      </c>
      <c r="AI91" s="106">
        <v>0</v>
      </c>
      <c r="AJ91" s="106">
        <v>0</v>
      </c>
      <c r="AK91" s="106">
        <v>0</v>
      </c>
      <c r="AL91" s="106">
        <v>0</v>
      </c>
      <c r="AM91" s="106">
        <v>0</v>
      </c>
      <c r="AN91" s="106">
        <v>0</v>
      </c>
      <c r="AO91" s="106">
        <v>0</v>
      </c>
      <c r="AP91" s="106">
        <v>0</v>
      </c>
      <c r="AQ91" s="106">
        <v>0</v>
      </c>
      <c r="AR91" s="106">
        <v>0</v>
      </c>
      <c r="AS91" s="106">
        <v>0</v>
      </c>
      <c r="AT91" s="106">
        <v>0</v>
      </c>
      <c r="AU91" s="106">
        <v>0</v>
      </c>
      <c r="AV91" s="106">
        <v>0</v>
      </c>
      <c r="AW91" s="106">
        <v>0</v>
      </c>
      <c r="AX91" s="106">
        <v>0</v>
      </c>
      <c r="AY91" s="106">
        <v>0</v>
      </c>
      <c r="AZ91" s="106">
        <v>0</v>
      </c>
      <c r="BA91" s="106">
        <v>0</v>
      </c>
      <c r="BB91" s="106">
        <v>0</v>
      </c>
      <c r="BC91" s="106">
        <v>0</v>
      </c>
      <c r="BD91" s="106">
        <v>0</v>
      </c>
      <c r="BE91" s="106">
        <v>0</v>
      </c>
      <c r="BF91" s="106">
        <v>0</v>
      </c>
      <c r="BG91" s="106">
        <v>0</v>
      </c>
      <c r="BH91" s="106">
        <v>0</v>
      </c>
      <c r="BI91" s="106">
        <v>0</v>
      </c>
      <c r="BJ91" s="106">
        <v>0</v>
      </c>
      <c r="BK91" s="106">
        <v>0</v>
      </c>
      <c r="BL91" s="106">
        <v>0</v>
      </c>
      <c r="BM91" s="106">
        <v>0</v>
      </c>
      <c r="BN91" s="106">
        <v>0</v>
      </c>
      <c r="BO91" s="106">
        <v>0</v>
      </c>
      <c r="BP91" s="106">
        <v>0</v>
      </c>
      <c r="BQ91" s="106">
        <v>0</v>
      </c>
      <c r="BR91" s="106">
        <v>0</v>
      </c>
      <c r="BS91" s="106">
        <v>0</v>
      </c>
      <c r="BT91" s="106">
        <v>0</v>
      </c>
      <c r="BU91" s="106">
        <v>0</v>
      </c>
      <c r="BV91" s="106">
        <v>0</v>
      </c>
      <c r="BW91" s="106">
        <v>0</v>
      </c>
      <c r="BX91" s="106">
        <v>0</v>
      </c>
      <c r="BY91" s="106">
        <v>0</v>
      </c>
      <c r="BZ91" s="106">
        <v>0</v>
      </c>
      <c r="CA91" s="106">
        <v>0</v>
      </c>
      <c r="CB91" s="106">
        <v>0</v>
      </c>
      <c r="CC91" s="106">
        <v>0</v>
      </c>
      <c r="CD91" s="106">
        <v>0</v>
      </c>
      <c r="CE91" s="106">
        <v>0</v>
      </c>
      <c r="CF91" s="106">
        <v>0</v>
      </c>
      <c r="CG91" s="106">
        <v>0</v>
      </c>
      <c r="CH91" s="106">
        <v>0</v>
      </c>
      <c r="CI91" s="106">
        <v>0</v>
      </c>
      <c r="CJ91" s="106">
        <v>0</v>
      </c>
      <c r="CK91" s="106">
        <v>0</v>
      </c>
      <c r="CL91" s="106">
        <v>0</v>
      </c>
      <c r="CM91" s="106">
        <v>0</v>
      </c>
      <c r="CN91" s="106">
        <v>0</v>
      </c>
      <c r="CO91" s="106">
        <v>0</v>
      </c>
      <c r="CP91" s="106">
        <v>0</v>
      </c>
      <c r="CQ91" s="106">
        <v>0</v>
      </c>
      <c r="CR91" s="106">
        <v>0</v>
      </c>
      <c r="CS91" s="106">
        <v>0</v>
      </c>
      <c r="CT91" s="106">
        <v>0</v>
      </c>
      <c r="CU91" s="106">
        <v>0</v>
      </c>
    </row>
    <row r="92" spans="2:99" x14ac:dyDescent="0.2">
      <c r="C92" s="105" t="s">
        <v>257</v>
      </c>
      <c r="D92" s="106">
        <v>0</v>
      </c>
      <c r="E92" s="106">
        <v>0</v>
      </c>
      <c r="F92" s="106">
        <v>0</v>
      </c>
      <c r="G92" s="106">
        <v>0</v>
      </c>
      <c r="H92" s="106">
        <v>0</v>
      </c>
      <c r="I92" s="106">
        <v>0</v>
      </c>
      <c r="J92" s="106">
        <v>0</v>
      </c>
      <c r="K92" s="106">
        <v>0</v>
      </c>
      <c r="L92" s="106">
        <v>0</v>
      </c>
      <c r="M92" s="106">
        <v>0</v>
      </c>
      <c r="N92" s="106">
        <v>0</v>
      </c>
      <c r="O92" s="106">
        <v>0</v>
      </c>
      <c r="P92" s="106">
        <v>0</v>
      </c>
      <c r="Q92" s="106">
        <v>0</v>
      </c>
      <c r="R92" s="106">
        <v>0</v>
      </c>
      <c r="S92" s="106">
        <v>0</v>
      </c>
      <c r="T92" s="106">
        <v>0</v>
      </c>
      <c r="U92" s="106">
        <v>0</v>
      </c>
      <c r="V92" s="106">
        <v>0</v>
      </c>
      <c r="W92" s="106">
        <v>0</v>
      </c>
      <c r="X92" s="106">
        <v>0</v>
      </c>
      <c r="Y92" s="106">
        <v>0</v>
      </c>
      <c r="Z92" s="106">
        <v>0</v>
      </c>
      <c r="AA92" s="106">
        <v>0</v>
      </c>
      <c r="AB92" s="106">
        <v>0</v>
      </c>
      <c r="AC92" s="106">
        <v>0</v>
      </c>
      <c r="AD92" s="106">
        <v>0</v>
      </c>
      <c r="AE92" s="106">
        <v>0</v>
      </c>
      <c r="AF92" s="106">
        <v>0</v>
      </c>
      <c r="AG92" s="106">
        <v>0</v>
      </c>
      <c r="AH92" s="106">
        <v>0</v>
      </c>
      <c r="AI92" s="106">
        <v>0</v>
      </c>
      <c r="AJ92" s="106">
        <v>0</v>
      </c>
      <c r="AK92" s="106">
        <v>0</v>
      </c>
      <c r="AL92" s="106">
        <v>0</v>
      </c>
      <c r="AM92" s="106">
        <v>0</v>
      </c>
      <c r="AN92" s="106">
        <v>0</v>
      </c>
      <c r="AO92" s="106">
        <v>0</v>
      </c>
      <c r="AP92" s="106">
        <v>0</v>
      </c>
      <c r="AQ92" s="106">
        <v>0</v>
      </c>
      <c r="AR92" s="106">
        <v>0</v>
      </c>
      <c r="AS92" s="106">
        <v>0</v>
      </c>
      <c r="AT92" s="106">
        <v>0</v>
      </c>
      <c r="AU92" s="106">
        <v>0</v>
      </c>
      <c r="AV92" s="106">
        <v>0</v>
      </c>
      <c r="AW92" s="106">
        <v>0</v>
      </c>
      <c r="AX92" s="106">
        <v>0</v>
      </c>
      <c r="AY92" s="106">
        <v>0</v>
      </c>
      <c r="AZ92" s="106">
        <v>0</v>
      </c>
      <c r="BA92" s="106">
        <v>0</v>
      </c>
      <c r="BB92" s="106">
        <v>0</v>
      </c>
      <c r="BC92" s="106">
        <v>0</v>
      </c>
      <c r="BD92" s="106">
        <v>0</v>
      </c>
      <c r="BE92" s="106">
        <v>0</v>
      </c>
      <c r="BF92" s="106">
        <v>0</v>
      </c>
      <c r="BG92" s="106">
        <v>0</v>
      </c>
      <c r="BH92" s="106">
        <v>0</v>
      </c>
      <c r="BI92" s="106">
        <v>0</v>
      </c>
      <c r="BJ92" s="106">
        <v>0</v>
      </c>
      <c r="BK92" s="106">
        <v>0</v>
      </c>
      <c r="BL92" s="106">
        <v>0</v>
      </c>
      <c r="BM92" s="106">
        <v>0</v>
      </c>
      <c r="BN92" s="106">
        <v>0</v>
      </c>
      <c r="BO92" s="106">
        <v>0</v>
      </c>
      <c r="BP92" s="106">
        <v>0</v>
      </c>
      <c r="BQ92" s="106">
        <v>0</v>
      </c>
      <c r="BR92" s="106">
        <v>0</v>
      </c>
      <c r="BS92" s="106">
        <v>0</v>
      </c>
      <c r="BT92" s="106">
        <v>0</v>
      </c>
      <c r="BU92" s="106">
        <v>0</v>
      </c>
      <c r="BV92" s="106">
        <v>0</v>
      </c>
      <c r="BW92" s="106">
        <v>0</v>
      </c>
      <c r="BX92" s="106">
        <v>0</v>
      </c>
      <c r="BY92" s="106">
        <v>0</v>
      </c>
      <c r="BZ92" s="106">
        <v>0</v>
      </c>
      <c r="CA92" s="106">
        <v>0</v>
      </c>
      <c r="CB92" s="106">
        <v>0</v>
      </c>
      <c r="CC92" s="106">
        <v>0</v>
      </c>
      <c r="CD92" s="106">
        <v>0</v>
      </c>
      <c r="CE92" s="106">
        <v>0</v>
      </c>
      <c r="CF92" s="106">
        <v>0</v>
      </c>
      <c r="CG92" s="106">
        <v>0</v>
      </c>
      <c r="CH92" s="106">
        <v>0</v>
      </c>
      <c r="CI92" s="106">
        <v>0</v>
      </c>
      <c r="CJ92" s="106">
        <v>0</v>
      </c>
      <c r="CK92" s="106">
        <v>0</v>
      </c>
      <c r="CL92" s="106">
        <v>0</v>
      </c>
      <c r="CM92" s="106">
        <v>0</v>
      </c>
      <c r="CN92" s="106">
        <v>0</v>
      </c>
      <c r="CO92" s="106">
        <v>0</v>
      </c>
      <c r="CP92" s="106">
        <v>0</v>
      </c>
      <c r="CQ92" s="106">
        <v>0</v>
      </c>
      <c r="CR92" s="106">
        <v>0</v>
      </c>
      <c r="CS92" s="106">
        <v>0</v>
      </c>
      <c r="CT92" s="106">
        <v>0</v>
      </c>
      <c r="CU92" s="106">
        <v>0</v>
      </c>
    </row>
    <row r="93" spans="2:99" x14ac:dyDescent="0.2">
      <c r="C93" s="105" t="s">
        <v>258</v>
      </c>
      <c r="D93" s="106">
        <v>0</v>
      </c>
      <c r="E93" s="106">
        <v>0</v>
      </c>
      <c r="F93" s="106">
        <v>0</v>
      </c>
      <c r="G93" s="106">
        <v>0</v>
      </c>
      <c r="H93" s="106">
        <v>0</v>
      </c>
      <c r="I93" s="106">
        <v>0</v>
      </c>
      <c r="J93" s="106">
        <v>0</v>
      </c>
      <c r="K93" s="106">
        <v>0</v>
      </c>
      <c r="L93" s="106">
        <v>0</v>
      </c>
      <c r="M93" s="106">
        <v>0</v>
      </c>
      <c r="N93" s="106">
        <v>0</v>
      </c>
      <c r="O93" s="106">
        <v>0</v>
      </c>
      <c r="P93" s="106">
        <v>0</v>
      </c>
      <c r="Q93" s="106">
        <v>0</v>
      </c>
      <c r="R93" s="106">
        <v>0</v>
      </c>
      <c r="S93" s="106">
        <v>0</v>
      </c>
      <c r="T93" s="106">
        <v>0</v>
      </c>
      <c r="U93" s="106">
        <v>0</v>
      </c>
      <c r="V93" s="106">
        <v>0</v>
      </c>
      <c r="W93" s="106">
        <v>0</v>
      </c>
      <c r="X93" s="106">
        <v>0</v>
      </c>
      <c r="Y93" s="106">
        <v>0</v>
      </c>
      <c r="Z93" s="106">
        <v>0</v>
      </c>
      <c r="AA93" s="106">
        <v>0</v>
      </c>
      <c r="AB93" s="106">
        <v>0</v>
      </c>
      <c r="AC93" s="106">
        <v>0</v>
      </c>
      <c r="AD93" s="106">
        <v>0</v>
      </c>
      <c r="AE93" s="106">
        <v>0</v>
      </c>
      <c r="AF93" s="106">
        <v>0</v>
      </c>
      <c r="AG93" s="106">
        <v>0</v>
      </c>
      <c r="AH93" s="106">
        <v>0</v>
      </c>
      <c r="AI93" s="106">
        <v>0</v>
      </c>
      <c r="AJ93" s="106">
        <v>0</v>
      </c>
      <c r="AK93" s="106">
        <v>0</v>
      </c>
      <c r="AL93" s="106">
        <v>0</v>
      </c>
      <c r="AM93" s="106">
        <v>0</v>
      </c>
      <c r="AN93" s="106">
        <v>0</v>
      </c>
      <c r="AO93" s="106">
        <v>0</v>
      </c>
      <c r="AP93" s="106">
        <v>0</v>
      </c>
      <c r="AQ93" s="106">
        <v>0</v>
      </c>
      <c r="AR93" s="106">
        <v>0</v>
      </c>
      <c r="AS93" s="106">
        <v>0</v>
      </c>
      <c r="AT93" s="106">
        <v>0</v>
      </c>
      <c r="AU93" s="106">
        <v>0</v>
      </c>
      <c r="AV93" s="106">
        <v>0</v>
      </c>
      <c r="AW93" s="106">
        <v>0</v>
      </c>
      <c r="AX93" s="106">
        <v>0</v>
      </c>
      <c r="AY93" s="106">
        <v>0</v>
      </c>
      <c r="AZ93" s="106">
        <v>0</v>
      </c>
      <c r="BA93" s="106">
        <v>0</v>
      </c>
      <c r="BB93" s="106">
        <v>0</v>
      </c>
      <c r="BC93" s="106">
        <v>0</v>
      </c>
      <c r="BD93" s="106">
        <v>0</v>
      </c>
      <c r="BE93" s="106">
        <v>0</v>
      </c>
      <c r="BF93" s="106">
        <v>0</v>
      </c>
      <c r="BG93" s="106">
        <v>0</v>
      </c>
      <c r="BH93" s="106">
        <v>0</v>
      </c>
      <c r="BI93" s="106">
        <v>0</v>
      </c>
      <c r="BJ93" s="106">
        <v>0</v>
      </c>
      <c r="BK93" s="106">
        <v>0</v>
      </c>
      <c r="BL93" s="106">
        <v>0</v>
      </c>
      <c r="BM93" s="106">
        <v>0</v>
      </c>
      <c r="BN93" s="106">
        <v>0</v>
      </c>
      <c r="BO93" s="106">
        <v>0</v>
      </c>
      <c r="BP93" s="106">
        <v>0</v>
      </c>
      <c r="BQ93" s="106">
        <v>0</v>
      </c>
      <c r="BR93" s="106">
        <v>0</v>
      </c>
      <c r="BS93" s="106">
        <v>0</v>
      </c>
      <c r="BT93" s="106">
        <v>0</v>
      </c>
      <c r="BU93" s="106">
        <v>0</v>
      </c>
      <c r="BV93" s="106">
        <v>0</v>
      </c>
      <c r="BW93" s="106">
        <v>0</v>
      </c>
      <c r="BX93" s="106">
        <v>0</v>
      </c>
      <c r="BY93" s="106">
        <v>0</v>
      </c>
      <c r="BZ93" s="106">
        <v>0</v>
      </c>
      <c r="CA93" s="106">
        <v>0</v>
      </c>
      <c r="CB93" s="106">
        <v>0</v>
      </c>
      <c r="CC93" s="106">
        <v>0</v>
      </c>
      <c r="CD93" s="106">
        <v>0</v>
      </c>
      <c r="CE93" s="106">
        <v>0</v>
      </c>
      <c r="CF93" s="106">
        <v>0</v>
      </c>
      <c r="CG93" s="106">
        <v>0</v>
      </c>
      <c r="CH93" s="106">
        <v>0</v>
      </c>
      <c r="CI93" s="106">
        <v>0</v>
      </c>
      <c r="CJ93" s="106">
        <v>0</v>
      </c>
      <c r="CK93" s="106">
        <v>0</v>
      </c>
      <c r="CL93" s="106">
        <v>0</v>
      </c>
      <c r="CM93" s="106">
        <v>0</v>
      </c>
      <c r="CN93" s="106">
        <v>0</v>
      </c>
      <c r="CO93" s="106">
        <v>0</v>
      </c>
      <c r="CP93" s="106">
        <v>0</v>
      </c>
      <c r="CQ93" s="106">
        <v>0</v>
      </c>
      <c r="CR93" s="106">
        <v>0</v>
      </c>
      <c r="CS93" s="106">
        <v>0</v>
      </c>
      <c r="CT93" s="106">
        <v>0</v>
      </c>
      <c r="CU93" s="106">
        <v>0</v>
      </c>
    </row>
    <row r="94" spans="2:99" x14ac:dyDescent="0.2">
      <c r="C94" s="105" t="s">
        <v>259</v>
      </c>
      <c r="D94" s="106">
        <v>0</v>
      </c>
      <c r="E94" s="106">
        <v>0</v>
      </c>
      <c r="F94" s="106">
        <v>0</v>
      </c>
      <c r="G94" s="106">
        <v>0</v>
      </c>
      <c r="H94" s="106">
        <v>0</v>
      </c>
      <c r="I94" s="106">
        <v>0</v>
      </c>
      <c r="J94" s="106">
        <v>0</v>
      </c>
      <c r="K94" s="106">
        <v>0</v>
      </c>
      <c r="L94" s="106">
        <v>0</v>
      </c>
      <c r="M94" s="106">
        <v>0</v>
      </c>
      <c r="N94" s="106">
        <v>0</v>
      </c>
      <c r="O94" s="106">
        <v>0</v>
      </c>
      <c r="P94" s="106">
        <v>0</v>
      </c>
      <c r="Q94" s="106">
        <v>0</v>
      </c>
      <c r="R94" s="106">
        <v>0</v>
      </c>
      <c r="S94" s="106">
        <v>0</v>
      </c>
      <c r="T94" s="106">
        <v>0</v>
      </c>
      <c r="U94" s="106">
        <v>0</v>
      </c>
      <c r="V94" s="106">
        <v>0</v>
      </c>
      <c r="W94" s="106">
        <v>0</v>
      </c>
      <c r="X94" s="106">
        <v>0</v>
      </c>
      <c r="Y94" s="106">
        <v>0</v>
      </c>
      <c r="Z94" s="106">
        <v>0</v>
      </c>
      <c r="AA94" s="106">
        <v>0</v>
      </c>
      <c r="AB94" s="106">
        <v>0</v>
      </c>
      <c r="AC94" s="106">
        <v>0</v>
      </c>
      <c r="AD94" s="106">
        <v>0</v>
      </c>
      <c r="AE94" s="106">
        <v>0</v>
      </c>
      <c r="AF94" s="106">
        <v>0</v>
      </c>
      <c r="AG94" s="106">
        <v>0</v>
      </c>
      <c r="AH94" s="106">
        <v>0</v>
      </c>
      <c r="AI94" s="106">
        <v>0</v>
      </c>
      <c r="AJ94" s="106">
        <v>0</v>
      </c>
      <c r="AK94" s="106">
        <v>0</v>
      </c>
      <c r="AL94" s="106">
        <v>0</v>
      </c>
      <c r="AM94" s="106">
        <v>0</v>
      </c>
      <c r="AN94" s="106">
        <v>0</v>
      </c>
      <c r="AO94" s="106">
        <v>0</v>
      </c>
      <c r="AP94" s="106">
        <v>0</v>
      </c>
      <c r="AQ94" s="106">
        <v>0</v>
      </c>
      <c r="AR94" s="106">
        <v>0</v>
      </c>
      <c r="AS94" s="106">
        <v>0</v>
      </c>
      <c r="AT94" s="106">
        <v>0</v>
      </c>
      <c r="AU94" s="106">
        <v>0</v>
      </c>
      <c r="AV94" s="106">
        <v>0</v>
      </c>
      <c r="AW94" s="106">
        <v>0</v>
      </c>
      <c r="AX94" s="106">
        <v>0</v>
      </c>
      <c r="AY94" s="106">
        <v>0</v>
      </c>
      <c r="AZ94" s="106">
        <v>0</v>
      </c>
      <c r="BA94" s="106">
        <v>0</v>
      </c>
      <c r="BB94" s="106">
        <v>0</v>
      </c>
      <c r="BC94" s="106">
        <v>0</v>
      </c>
      <c r="BD94" s="106">
        <v>0</v>
      </c>
      <c r="BE94" s="106">
        <v>0</v>
      </c>
      <c r="BF94" s="106">
        <v>0</v>
      </c>
      <c r="BG94" s="106">
        <v>0</v>
      </c>
      <c r="BH94" s="106">
        <v>0</v>
      </c>
      <c r="BI94" s="106">
        <v>0</v>
      </c>
      <c r="BJ94" s="106">
        <v>0</v>
      </c>
      <c r="BK94" s="106">
        <v>0</v>
      </c>
      <c r="BL94" s="106">
        <v>0</v>
      </c>
      <c r="BM94" s="106">
        <v>0</v>
      </c>
      <c r="BN94" s="106">
        <v>0</v>
      </c>
      <c r="BO94" s="106">
        <v>0</v>
      </c>
      <c r="BP94" s="106">
        <v>0</v>
      </c>
      <c r="BQ94" s="106">
        <v>0</v>
      </c>
      <c r="BR94" s="106">
        <v>0</v>
      </c>
      <c r="BS94" s="106">
        <v>0</v>
      </c>
      <c r="BT94" s="106">
        <v>0</v>
      </c>
      <c r="BU94" s="106">
        <v>0</v>
      </c>
      <c r="BV94" s="106">
        <v>0</v>
      </c>
      <c r="BW94" s="106">
        <v>0</v>
      </c>
      <c r="BX94" s="106">
        <v>0</v>
      </c>
      <c r="BY94" s="106">
        <v>0</v>
      </c>
      <c r="BZ94" s="106">
        <v>0</v>
      </c>
      <c r="CA94" s="106">
        <v>0</v>
      </c>
      <c r="CB94" s="106">
        <v>0</v>
      </c>
      <c r="CC94" s="106">
        <v>0</v>
      </c>
      <c r="CD94" s="106">
        <v>0</v>
      </c>
      <c r="CE94" s="106">
        <v>0</v>
      </c>
      <c r="CF94" s="106">
        <v>0</v>
      </c>
      <c r="CG94" s="106">
        <v>0</v>
      </c>
      <c r="CH94" s="106">
        <v>0</v>
      </c>
      <c r="CI94" s="106">
        <v>0</v>
      </c>
      <c r="CJ94" s="106">
        <v>0</v>
      </c>
      <c r="CK94" s="106">
        <v>0</v>
      </c>
      <c r="CL94" s="106">
        <v>0</v>
      </c>
      <c r="CM94" s="106">
        <v>0</v>
      </c>
      <c r="CN94" s="106">
        <v>0</v>
      </c>
      <c r="CO94" s="106">
        <v>0</v>
      </c>
      <c r="CP94" s="106">
        <v>0</v>
      </c>
      <c r="CQ94" s="106">
        <v>0</v>
      </c>
      <c r="CR94" s="106">
        <v>0</v>
      </c>
      <c r="CS94" s="106">
        <v>0</v>
      </c>
      <c r="CT94" s="106">
        <v>0</v>
      </c>
      <c r="CU94" s="106">
        <v>0</v>
      </c>
    </row>
    <row r="95" spans="2:99" x14ac:dyDescent="0.2">
      <c r="B95" s="105" t="s">
        <v>132</v>
      </c>
      <c r="C95" s="105" t="s">
        <v>260</v>
      </c>
      <c r="D95" s="106">
        <v>0</v>
      </c>
      <c r="E95" s="106">
        <v>0</v>
      </c>
      <c r="F95" s="106">
        <v>0</v>
      </c>
      <c r="G95" s="106">
        <v>0</v>
      </c>
      <c r="H95" s="106">
        <v>0</v>
      </c>
      <c r="I95" s="106">
        <v>0</v>
      </c>
      <c r="J95" s="106">
        <v>0</v>
      </c>
      <c r="K95" s="106">
        <v>0</v>
      </c>
      <c r="L95" s="106">
        <v>0</v>
      </c>
      <c r="M95" s="106">
        <v>0</v>
      </c>
      <c r="N95" s="106">
        <v>0</v>
      </c>
      <c r="O95" s="106">
        <v>0</v>
      </c>
      <c r="P95" s="106">
        <v>0</v>
      </c>
      <c r="Q95" s="106">
        <v>0</v>
      </c>
      <c r="R95" s="106">
        <v>0</v>
      </c>
      <c r="S95" s="106">
        <v>0</v>
      </c>
      <c r="T95" s="106">
        <v>0</v>
      </c>
      <c r="U95" s="106">
        <v>0</v>
      </c>
      <c r="V95" s="106">
        <v>0</v>
      </c>
      <c r="W95" s="106">
        <v>0</v>
      </c>
      <c r="X95" s="106">
        <v>0</v>
      </c>
      <c r="Y95" s="106">
        <v>0</v>
      </c>
      <c r="Z95" s="106">
        <v>0</v>
      </c>
      <c r="AA95" s="106">
        <v>0</v>
      </c>
      <c r="AB95" s="106">
        <v>0</v>
      </c>
      <c r="AC95" s="106">
        <v>0</v>
      </c>
      <c r="AD95" s="106">
        <v>0</v>
      </c>
      <c r="AE95" s="106">
        <v>0</v>
      </c>
      <c r="AF95" s="106">
        <v>0</v>
      </c>
      <c r="AG95" s="106">
        <v>0</v>
      </c>
      <c r="AH95" s="106">
        <v>0</v>
      </c>
      <c r="AI95" s="106">
        <v>0</v>
      </c>
      <c r="AJ95" s="106">
        <v>0</v>
      </c>
      <c r="AK95" s="106">
        <v>0</v>
      </c>
      <c r="AL95" s="106">
        <v>0</v>
      </c>
      <c r="AM95" s="106">
        <v>0</v>
      </c>
      <c r="AN95" s="106">
        <v>0</v>
      </c>
      <c r="AO95" s="106">
        <v>0</v>
      </c>
      <c r="AP95" s="106">
        <v>0</v>
      </c>
      <c r="AQ95" s="106">
        <v>0</v>
      </c>
      <c r="AR95" s="106">
        <v>0</v>
      </c>
      <c r="AS95" s="106">
        <v>0</v>
      </c>
      <c r="AT95" s="106">
        <v>0</v>
      </c>
      <c r="AU95" s="106">
        <v>0</v>
      </c>
      <c r="AV95" s="106">
        <v>0</v>
      </c>
      <c r="AW95" s="106">
        <v>0</v>
      </c>
      <c r="AX95" s="106">
        <v>0</v>
      </c>
      <c r="AY95" s="106">
        <v>0</v>
      </c>
      <c r="AZ95" s="106">
        <v>0</v>
      </c>
      <c r="BA95" s="106">
        <v>0</v>
      </c>
      <c r="BB95" s="106">
        <v>0</v>
      </c>
      <c r="BC95" s="106">
        <v>0</v>
      </c>
      <c r="BD95" s="106">
        <v>0</v>
      </c>
      <c r="BE95" s="106">
        <v>0</v>
      </c>
      <c r="BF95" s="106">
        <v>0</v>
      </c>
      <c r="BG95" s="106">
        <v>0</v>
      </c>
      <c r="BH95" s="106">
        <v>0</v>
      </c>
      <c r="BI95" s="106">
        <v>0</v>
      </c>
      <c r="BJ95" s="106">
        <v>0</v>
      </c>
      <c r="BK95" s="106">
        <v>0</v>
      </c>
      <c r="BL95" s="106">
        <v>0</v>
      </c>
      <c r="BM95" s="106">
        <v>0</v>
      </c>
      <c r="BN95" s="106">
        <v>0</v>
      </c>
      <c r="BO95" s="106">
        <v>0</v>
      </c>
      <c r="BP95" s="106">
        <v>0</v>
      </c>
      <c r="BQ95" s="106">
        <v>0</v>
      </c>
      <c r="BR95" s="106">
        <v>0</v>
      </c>
      <c r="BS95" s="106">
        <v>0</v>
      </c>
      <c r="BT95" s="106">
        <v>0</v>
      </c>
      <c r="BU95" s="106">
        <v>0</v>
      </c>
      <c r="BV95" s="106">
        <v>0</v>
      </c>
      <c r="BW95" s="106">
        <v>0</v>
      </c>
      <c r="BX95" s="106">
        <v>0</v>
      </c>
      <c r="BY95" s="106">
        <v>0</v>
      </c>
      <c r="BZ95" s="106">
        <v>0</v>
      </c>
      <c r="CA95" s="106">
        <v>0</v>
      </c>
      <c r="CB95" s="106">
        <v>0</v>
      </c>
      <c r="CC95" s="106">
        <v>0</v>
      </c>
      <c r="CD95" s="106">
        <v>0</v>
      </c>
      <c r="CE95" s="106">
        <v>0</v>
      </c>
      <c r="CF95" s="106">
        <v>0</v>
      </c>
      <c r="CG95" s="106">
        <v>0</v>
      </c>
      <c r="CH95" s="106">
        <v>0</v>
      </c>
      <c r="CI95" s="106">
        <v>0</v>
      </c>
      <c r="CJ95" s="106">
        <v>0</v>
      </c>
      <c r="CK95" s="106">
        <v>0</v>
      </c>
      <c r="CL95" s="106">
        <v>0</v>
      </c>
      <c r="CM95" s="106">
        <v>0</v>
      </c>
      <c r="CN95" s="106">
        <v>0</v>
      </c>
      <c r="CO95" s="106">
        <v>0</v>
      </c>
      <c r="CP95" s="106">
        <v>0</v>
      </c>
      <c r="CQ95" s="106">
        <v>0</v>
      </c>
      <c r="CR95" s="106">
        <v>0</v>
      </c>
      <c r="CS95" s="106">
        <v>0</v>
      </c>
      <c r="CT95" s="106">
        <v>0</v>
      </c>
      <c r="CU95" s="106">
        <v>0</v>
      </c>
    </row>
    <row r="96" spans="2:99" x14ac:dyDescent="0.2">
      <c r="C96" s="105" t="s">
        <v>261</v>
      </c>
      <c r="D96" s="106">
        <v>0</v>
      </c>
      <c r="E96" s="106">
        <v>0</v>
      </c>
      <c r="F96" s="106">
        <v>0</v>
      </c>
      <c r="G96" s="106">
        <v>0</v>
      </c>
      <c r="H96" s="106">
        <v>0</v>
      </c>
      <c r="I96" s="106">
        <v>0</v>
      </c>
      <c r="J96" s="106">
        <v>0</v>
      </c>
      <c r="K96" s="106">
        <v>0</v>
      </c>
      <c r="L96" s="106">
        <v>0</v>
      </c>
      <c r="M96" s="106">
        <v>0</v>
      </c>
      <c r="N96" s="106">
        <v>0</v>
      </c>
      <c r="O96" s="106">
        <v>0</v>
      </c>
      <c r="P96" s="106">
        <v>0</v>
      </c>
      <c r="Q96" s="106">
        <v>0</v>
      </c>
      <c r="R96" s="106">
        <v>0</v>
      </c>
      <c r="S96" s="106">
        <v>0</v>
      </c>
      <c r="T96" s="106">
        <v>0</v>
      </c>
      <c r="U96" s="106">
        <v>0</v>
      </c>
      <c r="V96" s="106">
        <v>0</v>
      </c>
      <c r="W96" s="106">
        <v>0</v>
      </c>
      <c r="X96" s="106">
        <v>0</v>
      </c>
      <c r="Y96" s="106">
        <v>0</v>
      </c>
      <c r="Z96" s="106">
        <v>0</v>
      </c>
      <c r="AA96" s="106">
        <v>0</v>
      </c>
      <c r="AB96" s="106">
        <v>0</v>
      </c>
      <c r="AC96" s="106">
        <v>0</v>
      </c>
      <c r="AD96" s="106">
        <v>0</v>
      </c>
      <c r="AE96" s="106">
        <v>0</v>
      </c>
      <c r="AF96" s="106">
        <v>0</v>
      </c>
      <c r="AG96" s="106">
        <v>0</v>
      </c>
      <c r="AH96" s="106">
        <v>0</v>
      </c>
      <c r="AI96" s="106">
        <v>0</v>
      </c>
      <c r="AJ96" s="106">
        <v>0</v>
      </c>
      <c r="AK96" s="106">
        <v>0</v>
      </c>
      <c r="AL96" s="106">
        <v>0</v>
      </c>
      <c r="AM96" s="106">
        <v>0</v>
      </c>
      <c r="AN96" s="106">
        <v>0</v>
      </c>
      <c r="AO96" s="106">
        <v>0</v>
      </c>
      <c r="AP96" s="106">
        <v>0</v>
      </c>
      <c r="AQ96" s="106">
        <v>0</v>
      </c>
      <c r="AR96" s="106">
        <v>0</v>
      </c>
      <c r="AS96" s="106">
        <v>0</v>
      </c>
      <c r="AT96" s="106">
        <v>0</v>
      </c>
      <c r="AU96" s="106">
        <v>0</v>
      </c>
      <c r="AV96" s="106">
        <v>0</v>
      </c>
      <c r="AW96" s="106">
        <v>0</v>
      </c>
      <c r="AX96" s="106">
        <v>0</v>
      </c>
      <c r="AY96" s="106">
        <v>0</v>
      </c>
      <c r="AZ96" s="106">
        <v>0</v>
      </c>
      <c r="BA96" s="106">
        <v>0</v>
      </c>
      <c r="BB96" s="106">
        <v>0</v>
      </c>
      <c r="BC96" s="106">
        <v>0</v>
      </c>
      <c r="BD96" s="106">
        <v>0</v>
      </c>
      <c r="BE96" s="106">
        <v>0</v>
      </c>
      <c r="BF96" s="106">
        <v>0</v>
      </c>
      <c r="BG96" s="106">
        <v>0</v>
      </c>
      <c r="BH96" s="106">
        <v>0</v>
      </c>
      <c r="BI96" s="106">
        <v>0</v>
      </c>
      <c r="BJ96" s="106">
        <v>0</v>
      </c>
      <c r="BK96" s="106">
        <v>0</v>
      </c>
      <c r="BL96" s="106">
        <v>0</v>
      </c>
      <c r="BM96" s="106">
        <v>0</v>
      </c>
      <c r="BN96" s="106">
        <v>0</v>
      </c>
      <c r="BO96" s="106">
        <v>0</v>
      </c>
      <c r="BP96" s="106">
        <v>0</v>
      </c>
      <c r="BQ96" s="106">
        <v>0</v>
      </c>
      <c r="BR96" s="106">
        <v>0</v>
      </c>
      <c r="BS96" s="106">
        <v>0</v>
      </c>
      <c r="BT96" s="106">
        <v>0</v>
      </c>
      <c r="BU96" s="106">
        <v>0</v>
      </c>
      <c r="BV96" s="106">
        <v>0</v>
      </c>
      <c r="BW96" s="106">
        <v>0</v>
      </c>
      <c r="BX96" s="106">
        <v>0</v>
      </c>
      <c r="BY96" s="106">
        <v>0</v>
      </c>
      <c r="BZ96" s="106">
        <v>0</v>
      </c>
      <c r="CA96" s="106">
        <v>0</v>
      </c>
      <c r="CB96" s="106">
        <v>0</v>
      </c>
      <c r="CC96" s="106">
        <v>0</v>
      </c>
      <c r="CD96" s="106">
        <v>0</v>
      </c>
      <c r="CE96" s="106">
        <v>0</v>
      </c>
      <c r="CF96" s="106">
        <v>0</v>
      </c>
      <c r="CG96" s="106">
        <v>0</v>
      </c>
      <c r="CH96" s="106">
        <v>0</v>
      </c>
      <c r="CI96" s="106">
        <v>0</v>
      </c>
      <c r="CJ96" s="106">
        <v>0</v>
      </c>
      <c r="CK96" s="106">
        <v>0</v>
      </c>
      <c r="CL96" s="106">
        <v>0</v>
      </c>
      <c r="CM96" s="106">
        <v>0</v>
      </c>
      <c r="CN96" s="106">
        <v>0</v>
      </c>
      <c r="CO96" s="106">
        <v>0</v>
      </c>
      <c r="CP96" s="106">
        <v>0</v>
      </c>
      <c r="CQ96" s="106">
        <v>0</v>
      </c>
      <c r="CR96" s="106">
        <v>0</v>
      </c>
      <c r="CS96" s="106">
        <v>0</v>
      </c>
      <c r="CT96" s="106">
        <v>0</v>
      </c>
      <c r="CU96" s="106">
        <v>0</v>
      </c>
    </row>
    <row r="97" spans="2:99" x14ac:dyDescent="0.2">
      <c r="C97" s="105" t="s">
        <v>262</v>
      </c>
      <c r="D97" s="106">
        <v>0</v>
      </c>
      <c r="E97" s="106">
        <v>0</v>
      </c>
      <c r="F97" s="106">
        <v>0</v>
      </c>
      <c r="G97" s="106">
        <v>0</v>
      </c>
      <c r="H97" s="106">
        <v>0</v>
      </c>
      <c r="I97" s="106">
        <v>0</v>
      </c>
      <c r="J97" s="106">
        <v>0</v>
      </c>
      <c r="K97" s="106">
        <v>0</v>
      </c>
      <c r="L97" s="106">
        <v>0</v>
      </c>
      <c r="M97" s="106">
        <v>0</v>
      </c>
      <c r="N97" s="106">
        <v>0</v>
      </c>
      <c r="O97" s="106">
        <v>0</v>
      </c>
      <c r="P97" s="106">
        <v>0</v>
      </c>
      <c r="Q97" s="106">
        <v>0</v>
      </c>
      <c r="R97" s="106">
        <v>0</v>
      </c>
      <c r="S97" s="106">
        <v>0</v>
      </c>
      <c r="T97" s="106">
        <v>0</v>
      </c>
      <c r="U97" s="106">
        <v>0</v>
      </c>
      <c r="V97" s="106">
        <v>0</v>
      </c>
      <c r="W97" s="106">
        <v>0</v>
      </c>
      <c r="X97" s="106">
        <v>0</v>
      </c>
      <c r="Y97" s="106">
        <v>0</v>
      </c>
      <c r="Z97" s="106">
        <v>0</v>
      </c>
      <c r="AA97" s="106">
        <v>0</v>
      </c>
      <c r="AB97" s="106">
        <v>0</v>
      </c>
      <c r="AC97" s="106">
        <v>0</v>
      </c>
      <c r="AD97" s="106">
        <v>0</v>
      </c>
      <c r="AE97" s="106">
        <v>0</v>
      </c>
      <c r="AF97" s="106">
        <v>0</v>
      </c>
      <c r="AG97" s="106">
        <v>0</v>
      </c>
      <c r="AH97" s="106">
        <v>0</v>
      </c>
      <c r="AI97" s="106">
        <v>0</v>
      </c>
      <c r="AJ97" s="106">
        <v>0</v>
      </c>
      <c r="AK97" s="106">
        <v>0</v>
      </c>
      <c r="AL97" s="106">
        <v>0</v>
      </c>
      <c r="AM97" s="106">
        <v>0</v>
      </c>
      <c r="AN97" s="106">
        <v>0</v>
      </c>
      <c r="AO97" s="106">
        <v>0</v>
      </c>
      <c r="AP97" s="106">
        <v>0</v>
      </c>
      <c r="AQ97" s="106">
        <v>0</v>
      </c>
      <c r="AR97" s="106">
        <v>0</v>
      </c>
      <c r="AS97" s="106">
        <v>0</v>
      </c>
      <c r="AT97" s="106">
        <v>0</v>
      </c>
      <c r="AU97" s="106">
        <v>0</v>
      </c>
      <c r="AV97" s="106">
        <v>0</v>
      </c>
      <c r="AW97" s="106">
        <v>0</v>
      </c>
      <c r="AX97" s="106">
        <v>0</v>
      </c>
      <c r="AY97" s="106">
        <v>0</v>
      </c>
      <c r="AZ97" s="106">
        <v>0</v>
      </c>
      <c r="BA97" s="106">
        <v>0</v>
      </c>
      <c r="BB97" s="106">
        <v>0</v>
      </c>
      <c r="BC97" s="106">
        <v>0</v>
      </c>
      <c r="BD97" s="106">
        <v>0</v>
      </c>
      <c r="BE97" s="106">
        <v>0</v>
      </c>
      <c r="BF97" s="106">
        <v>0</v>
      </c>
      <c r="BG97" s="106">
        <v>0</v>
      </c>
      <c r="BH97" s="106">
        <v>0</v>
      </c>
      <c r="BI97" s="106">
        <v>0</v>
      </c>
      <c r="BJ97" s="106">
        <v>0</v>
      </c>
      <c r="BK97" s="106">
        <v>0</v>
      </c>
      <c r="BL97" s="106">
        <v>0</v>
      </c>
      <c r="BM97" s="106">
        <v>0</v>
      </c>
      <c r="BN97" s="106">
        <v>0</v>
      </c>
      <c r="BO97" s="106">
        <v>0</v>
      </c>
      <c r="BP97" s="106">
        <v>0</v>
      </c>
      <c r="BQ97" s="106">
        <v>0</v>
      </c>
      <c r="BR97" s="106">
        <v>0</v>
      </c>
      <c r="BS97" s="106">
        <v>0</v>
      </c>
      <c r="BT97" s="106">
        <v>0</v>
      </c>
      <c r="BU97" s="106">
        <v>0</v>
      </c>
      <c r="BV97" s="106">
        <v>0</v>
      </c>
      <c r="BW97" s="106">
        <v>0</v>
      </c>
      <c r="BX97" s="106">
        <v>0</v>
      </c>
      <c r="BY97" s="106">
        <v>0</v>
      </c>
      <c r="BZ97" s="106">
        <v>0</v>
      </c>
      <c r="CA97" s="106">
        <v>0</v>
      </c>
      <c r="CB97" s="106">
        <v>0</v>
      </c>
      <c r="CC97" s="106">
        <v>0</v>
      </c>
      <c r="CD97" s="106">
        <v>0</v>
      </c>
      <c r="CE97" s="106">
        <v>0</v>
      </c>
      <c r="CF97" s="106">
        <v>0</v>
      </c>
      <c r="CG97" s="106">
        <v>0</v>
      </c>
      <c r="CH97" s="106">
        <v>0</v>
      </c>
      <c r="CI97" s="106">
        <v>0</v>
      </c>
      <c r="CJ97" s="106">
        <v>0</v>
      </c>
      <c r="CK97" s="106">
        <v>0</v>
      </c>
      <c r="CL97" s="106">
        <v>0</v>
      </c>
      <c r="CM97" s="106">
        <v>0</v>
      </c>
      <c r="CN97" s="106">
        <v>0</v>
      </c>
      <c r="CO97" s="106">
        <v>0</v>
      </c>
      <c r="CP97" s="106">
        <v>0</v>
      </c>
      <c r="CQ97" s="106">
        <v>0</v>
      </c>
      <c r="CR97" s="106">
        <v>0</v>
      </c>
      <c r="CS97" s="106">
        <v>0</v>
      </c>
      <c r="CT97" s="106">
        <v>0</v>
      </c>
      <c r="CU97" s="106">
        <v>0</v>
      </c>
    </row>
    <row r="98" spans="2:99" x14ac:dyDescent="0.2">
      <c r="C98" s="105" t="s">
        <v>263</v>
      </c>
      <c r="D98" s="106">
        <v>0</v>
      </c>
      <c r="E98" s="106">
        <v>0</v>
      </c>
      <c r="F98" s="106">
        <v>0</v>
      </c>
      <c r="G98" s="106">
        <v>0</v>
      </c>
      <c r="H98" s="106">
        <v>0</v>
      </c>
      <c r="I98" s="106">
        <v>0</v>
      </c>
      <c r="J98" s="106">
        <v>0</v>
      </c>
      <c r="K98" s="106">
        <v>0</v>
      </c>
      <c r="L98" s="106">
        <v>0</v>
      </c>
      <c r="M98" s="106">
        <v>0</v>
      </c>
      <c r="N98" s="106">
        <v>0</v>
      </c>
      <c r="O98" s="106">
        <v>0</v>
      </c>
      <c r="P98" s="106">
        <v>0</v>
      </c>
      <c r="Q98" s="106">
        <v>0</v>
      </c>
      <c r="R98" s="106">
        <v>0</v>
      </c>
      <c r="S98" s="106">
        <v>0</v>
      </c>
      <c r="T98" s="106">
        <v>0</v>
      </c>
      <c r="U98" s="106">
        <v>0</v>
      </c>
      <c r="V98" s="106">
        <v>0</v>
      </c>
      <c r="W98" s="106">
        <v>0</v>
      </c>
      <c r="X98" s="106">
        <v>0</v>
      </c>
      <c r="Y98" s="106">
        <v>0</v>
      </c>
      <c r="Z98" s="106">
        <v>0</v>
      </c>
      <c r="AA98" s="106">
        <v>0</v>
      </c>
      <c r="AB98" s="106">
        <v>0</v>
      </c>
      <c r="AC98" s="106">
        <v>0</v>
      </c>
      <c r="AD98" s="106">
        <v>0</v>
      </c>
      <c r="AE98" s="106">
        <v>0</v>
      </c>
      <c r="AF98" s="106">
        <v>0</v>
      </c>
      <c r="AG98" s="106">
        <v>0</v>
      </c>
      <c r="AH98" s="106">
        <v>0</v>
      </c>
      <c r="AI98" s="106">
        <v>0</v>
      </c>
      <c r="AJ98" s="106">
        <v>0</v>
      </c>
      <c r="AK98" s="106">
        <v>0</v>
      </c>
      <c r="AL98" s="106">
        <v>0</v>
      </c>
      <c r="AM98" s="106">
        <v>0</v>
      </c>
      <c r="AN98" s="106">
        <v>0</v>
      </c>
      <c r="AO98" s="106">
        <v>0</v>
      </c>
      <c r="AP98" s="106">
        <v>0</v>
      </c>
      <c r="AQ98" s="106">
        <v>0</v>
      </c>
      <c r="AR98" s="106">
        <v>0</v>
      </c>
      <c r="AS98" s="106">
        <v>0</v>
      </c>
      <c r="AT98" s="106">
        <v>0</v>
      </c>
      <c r="AU98" s="106">
        <v>0</v>
      </c>
      <c r="AV98" s="106">
        <v>0</v>
      </c>
      <c r="AW98" s="106">
        <v>0</v>
      </c>
      <c r="AX98" s="106">
        <v>0</v>
      </c>
      <c r="AY98" s="106">
        <v>0</v>
      </c>
      <c r="AZ98" s="106">
        <v>0</v>
      </c>
      <c r="BA98" s="106">
        <v>0</v>
      </c>
      <c r="BB98" s="106">
        <v>0</v>
      </c>
      <c r="BC98" s="106">
        <v>0</v>
      </c>
      <c r="BD98" s="106">
        <v>0</v>
      </c>
      <c r="BE98" s="106">
        <v>0</v>
      </c>
      <c r="BF98" s="106">
        <v>0</v>
      </c>
      <c r="BG98" s="106">
        <v>0</v>
      </c>
      <c r="BH98" s="106">
        <v>0</v>
      </c>
      <c r="BI98" s="106">
        <v>0</v>
      </c>
      <c r="BJ98" s="106">
        <v>0</v>
      </c>
      <c r="BK98" s="106">
        <v>0</v>
      </c>
      <c r="BL98" s="106">
        <v>0</v>
      </c>
      <c r="BM98" s="106">
        <v>0</v>
      </c>
      <c r="BN98" s="106">
        <v>0</v>
      </c>
      <c r="BO98" s="106">
        <v>0</v>
      </c>
      <c r="BP98" s="106">
        <v>0</v>
      </c>
      <c r="BQ98" s="106">
        <v>0</v>
      </c>
      <c r="BR98" s="106">
        <v>0</v>
      </c>
      <c r="BS98" s="106">
        <v>0</v>
      </c>
      <c r="BT98" s="106">
        <v>0</v>
      </c>
      <c r="BU98" s="106">
        <v>0</v>
      </c>
      <c r="BV98" s="106">
        <v>0</v>
      </c>
      <c r="BW98" s="106">
        <v>0</v>
      </c>
      <c r="BX98" s="106">
        <v>0</v>
      </c>
      <c r="BY98" s="106">
        <v>0</v>
      </c>
      <c r="BZ98" s="106">
        <v>0</v>
      </c>
      <c r="CA98" s="106">
        <v>0</v>
      </c>
      <c r="CB98" s="106">
        <v>0</v>
      </c>
      <c r="CC98" s="106">
        <v>0</v>
      </c>
      <c r="CD98" s="106">
        <v>0</v>
      </c>
      <c r="CE98" s="106">
        <v>0</v>
      </c>
      <c r="CF98" s="106">
        <v>0</v>
      </c>
      <c r="CG98" s="106">
        <v>0</v>
      </c>
      <c r="CH98" s="106">
        <v>0</v>
      </c>
      <c r="CI98" s="106">
        <v>0</v>
      </c>
      <c r="CJ98" s="106">
        <v>0</v>
      </c>
      <c r="CK98" s="106">
        <v>0</v>
      </c>
      <c r="CL98" s="106">
        <v>0</v>
      </c>
      <c r="CM98" s="106">
        <v>0</v>
      </c>
      <c r="CN98" s="106">
        <v>0</v>
      </c>
      <c r="CO98" s="106">
        <v>0</v>
      </c>
      <c r="CP98" s="106">
        <v>0</v>
      </c>
      <c r="CQ98" s="106">
        <v>0</v>
      </c>
      <c r="CR98" s="106">
        <v>0</v>
      </c>
      <c r="CS98" s="106">
        <v>0</v>
      </c>
      <c r="CT98" s="106">
        <v>0</v>
      </c>
      <c r="CU98" s="106">
        <v>0</v>
      </c>
    </row>
    <row r="99" spans="2:99" x14ac:dyDescent="0.2">
      <c r="C99" s="105" t="s">
        <v>264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  <c r="AY99" s="106">
        <v>0</v>
      </c>
      <c r="AZ99" s="106">
        <v>0</v>
      </c>
      <c r="BA99" s="106">
        <v>0</v>
      </c>
      <c r="BB99" s="106">
        <v>0</v>
      </c>
      <c r="BC99" s="106">
        <v>0</v>
      </c>
      <c r="BD99" s="106">
        <v>0</v>
      </c>
      <c r="BE99" s="106">
        <v>0</v>
      </c>
      <c r="BF99" s="106">
        <v>0</v>
      </c>
      <c r="BG99" s="106">
        <v>0</v>
      </c>
      <c r="BH99" s="106">
        <v>0</v>
      </c>
      <c r="BI99" s="106">
        <v>0</v>
      </c>
      <c r="BJ99" s="106">
        <v>0</v>
      </c>
      <c r="BK99" s="106">
        <v>0</v>
      </c>
      <c r="BL99" s="106">
        <v>0</v>
      </c>
      <c r="BM99" s="106">
        <v>0</v>
      </c>
      <c r="BN99" s="106">
        <v>0</v>
      </c>
      <c r="BO99" s="106">
        <v>0</v>
      </c>
      <c r="BP99" s="106">
        <v>0</v>
      </c>
      <c r="BQ99" s="106">
        <v>0</v>
      </c>
      <c r="BR99" s="106">
        <v>0</v>
      </c>
      <c r="BS99" s="106">
        <v>0</v>
      </c>
      <c r="BT99" s="106">
        <v>0</v>
      </c>
      <c r="BU99" s="106">
        <v>0</v>
      </c>
      <c r="BV99" s="106">
        <v>0</v>
      </c>
      <c r="BW99" s="106">
        <v>0</v>
      </c>
      <c r="BX99" s="106">
        <v>0</v>
      </c>
      <c r="BY99" s="106">
        <v>0</v>
      </c>
      <c r="BZ99" s="106">
        <v>0</v>
      </c>
      <c r="CA99" s="106">
        <v>0</v>
      </c>
      <c r="CB99" s="106">
        <v>0</v>
      </c>
      <c r="CC99" s="106">
        <v>0</v>
      </c>
      <c r="CD99" s="106">
        <v>0</v>
      </c>
      <c r="CE99" s="106">
        <v>0</v>
      </c>
      <c r="CF99" s="106">
        <v>0</v>
      </c>
      <c r="CG99" s="106">
        <v>0</v>
      </c>
      <c r="CH99" s="106">
        <v>0</v>
      </c>
      <c r="CI99" s="106">
        <v>0</v>
      </c>
      <c r="CJ99" s="106">
        <v>0</v>
      </c>
      <c r="CK99" s="106">
        <v>0</v>
      </c>
      <c r="CL99" s="106">
        <v>0</v>
      </c>
      <c r="CM99" s="106">
        <v>0</v>
      </c>
      <c r="CN99" s="106">
        <v>0</v>
      </c>
      <c r="CO99" s="106">
        <v>0</v>
      </c>
      <c r="CP99" s="106">
        <v>0</v>
      </c>
      <c r="CQ99" s="106">
        <v>0</v>
      </c>
      <c r="CR99" s="106">
        <v>0</v>
      </c>
      <c r="CS99" s="106">
        <v>0</v>
      </c>
      <c r="CT99" s="106">
        <v>0</v>
      </c>
      <c r="CU99" s="106">
        <v>0</v>
      </c>
    </row>
    <row r="100" spans="2:99" x14ac:dyDescent="0.2">
      <c r="C100" s="105" t="s">
        <v>265</v>
      </c>
      <c r="D100" s="106">
        <v>0</v>
      </c>
      <c r="E100" s="106">
        <v>0</v>
      </c>
      <c r="F100" s="106">
        <v>0</v>
      </c>
      <c r="G100" s="106">
        <v>0</v>
      </c>
      <c r="H100" s="106">
        <v>0</v>
      </c>
      <c r="I100" s="106">
        <v>0</v>
      </c>
      <c r="J100" s="106">
        <v>0</v>
      </c>
      <c r="K100" s="106">
        <v>0</v>
      </c>
      <c r="L100" s="106">
        <v>0</v>
      </c>
      <c r="M100" s="106">
        <v>0</v>
      </c>
      <c r="N100" s="106">
        <v>0</v>
      </c>
      <c r="O100" s="106">
        <v>0</v>
      </c>
      <c r="P100" s="106">
        <v>0</v>
      </c>
      <c r="Q100" s="106">
        <v>0</v>
      </c>
      <c r="R100" s="106">
        <v>0</v>
      </c>
      <c r="S100" s="106">
        <v>0</v>
      </c>
      <c r="T100" s="106">
        <v>0</v>
      </c>
      <c r="U100" s="106">
        <v>0</v>
      </c>
      <c r="V100" s="106">
        <v>0</v>
      </c>
      <c r="W100" s="106">
        <v>0</v>
      </c>
      <c r="X100" s="106">
        <v>0</v>
      </c>
      <c r="Y100" s="106">
        <v>0</v>
      </c>
      <c r="Z100" s="106">
        <v>0</v>
      </c>
      <c r="AA100" s="106">
        <v>0</v>
      </c>
      <c r="AB100" s="106">
        <v>0</v>
      </c>
      <c r="AC100" s="106">
        <v>0</v>
      </c>
      <c r="AD100" s="106">
        <v>0</v>
      </c>
      <c r="AE100" s="106">
        <v>0</v>
      </c>
      <c r="AF100" s="106">
        <v>0</v>
      </c>
      <c r="AG100" s="106">
        <v>0</v>
      </c>
      <c r="AH100" s="106">
        <v>0</v>
      </c>
      <c r="AI100" s="106">
        <v>0</v>
      </c>
      <c r="AJ100" s="106">
        <v>0</v>
      </c>
      <c r="AK100" s="106">
        <v>0</v>
      </c>
      <c r="AL100" s="106">
        <v>0</v>
      </c>
      <c r="AM100" s="106">
        <v>0</v>
      </c>
      <c r="AN100" s="106">
        <v>0</v>
      </c>
      <c r="AO100" s="106">
        <v>0</v>
      </c>
      <c r="AP100" s="106">
        <v>0</v>
      </c>
      <c r="AQ100" s="106">
        <v>0</v>
      </c>
      <c r="AR100" s="106">
        <v>0</v>
      </c>
      <c r="AS100" s="106">
        <v>0</v>
      </c>
      <c r="AT100" s="106">
        <v>0</v>
      </c>
      <c r="AU100" s="106">
        <v>0</v>
      </c>
      <c r="AV100" s="106">
        <v>0</v>
      </c>
      <c r="AW100" s="106">
        <v>0</v>
      </c>
      <c r="AX100" s="106">
        <v>0</v>
      </c>
      <c r="AY100" s="106">
        <v>0</v>
      </c>
      <c r="AZ100" s="106">
        <v>0</v>
      </c>
      <c r="BA100" s="106">
        <v>0</v>
      </c>
      <c r="BB100" s="106">
        <v>0</v>
      </c>
      <c r="BC100" s="106">
        <v>0</v>
      </c>
      <c r="BD100" s="106">
        <v>0</v>
      </c>
      <c r="BE100" s="106">
        <v>0</v>
      </c>
      <c r="BF100" s="106">
        <v>0</v>
      </c>
      <c r="BG100" s="106">
        <v>0</v>
      </c>
      <c r="BH100" s="106">
        <v>0</v>
      </c>
      <c r="BI100" s="106">
        <v>0</v>
      </c>
      <c r="BJ100" s="106">
        <v>0</v>
      </c>
      <c r="BK100" s="106">
        <v>0</v>
      </c>
      <c r="BL100" s="106">
        <v>0</v>
      </c>
      <c r="BM100" s="106">
        <v>0</v>
      </c>
      <c r="BN100" s="106">
        <v>0</v>
      </c>
      <c r="BO100" s="106">
        <v>0</v>
      </c>
      <c r="BP100" s="106">
        <v>0</v>
      </c>
      <c r="BQ100" s="106">
        <v>0</v>
      </c>
      <c r="BR100" s="106">
        <v>0</v>
      </c>
      <c r="BS100" s="106">
        <v>0</v>
      </c>
      <c r="BT100" s="106">
        <v>0</v>
      </c>
      <c r="BU100" s="106">
        <v>0</v>
      </c>
      <c r="BV100" s="106">
        <v>0</v>
      </c>
      <c r="BW100" s="106">
        <v>0</v>
      </c>
      <c r="BX100" s="106">
        <v>0</v>
      </c>
      <c r="BY100" s="106">
        <v>0</v>
      </c>
      <c r="BZ100" s="106">
        <v>0</v>
      </c>
      <c r="CA100" s="106">
        <v>0</v>
      </c>
      <c r="CB100" s="106">
        <v>0</v>
      </c>
      <c r="CC100" s="106">
        <v>0</v>
      </c>
      <c r="CD100" s="106">
        <v>0</v>
      </c>
      <c r="CE100" s="106">
        <v>0</v>
      </c>
      <c r="CF100" s="106">
        <v>0</v>
      </c>
      <c r="CG100" s="106">
        <v>0</v>
      </c>
      <c r="CH100" s="106">
        <v>0</v>
      </c>
      <c r="CI100" s="106">
        <v>0</v>
      </c>
      <c r="CJ100" s="106">
        <v>0</v>
      </c>
      <c r="CK100" s="106">
        <v>0</v>
      </c>
      <c r="CL100" s="106">
        <v>0</v>
      </c>
      <c r="CM100" s="106">
        <v>0</v>
      </c>
      <c r="CN100" s="106">
        <v>0</v>
      </c>
      <c r="CO100" s="106">
        <v>0</v>
      </c>
      <c r="CP100" s="106">
        <v>0</v>
      </c>
      <c r="CQ100" s="106">
        <v>0</v>
      </c>
      <c r="CR100" s="106">
        <v>0</v>
      </c>
      <c r="CS100" s="106">
        <v>0</v>
      </c>
      <c r="CT100" s="106">
        <v>0</v>
      </c>
      <c r="CU100" s="106">
        <v>0</v>
      </c>
    </row>
    <row r="101" spans="2:99" x14ac:dyDescent="0.2">
      <c r="C101" s="105" t="s">
        <v>266</v>
      </c>
      <c r="D101" s="106">
        <v>0</v>
      </c>
      <c r="E101" s="106">
        <v>0</v>
      </c>
      <c r="F101" s="106">
        <v>0</v>
      </c>
      <c r="G101" s="106">
        <v>0</v>
      </c>
      <c r="H101" s="106">
        <v>0</v>
      </c>
      <c r="I101" s="106">
        <v>0</v>
      </c>
      <c r="J101" s="106">
        <v>0</v>
      </c>
      <c r="K101" s="106">
        <v>0</v>
      </c>
      <c r="L101" s="106">
        <v>0</v>
      </c>
      <c r="M101" s="106">
        <v>0</v>
      </c>
      <c r="N101" s="106">
        <v>0</v>
      </c>
      <c r="O101" s="106">
        <v>0</v>
      </c>
      <c r="P101" s="106">
        <v>0</v>
      </c>
      <c r="Q101" s="106">
        <v>0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0</v>
      </c>
      <c r="AW101" s="106">
        <v>0</v>
      </c>
      <c r="AX101" s="106">
        <v>0</v>
      </c>
      <c r="AY101" s="106">
        <v>0</v>
      </c>
      <c r="AZ101" s="106">
        <v>0</v>
      </c>
      <c r="BA101" s="106">
        <v>0</v>
      </c>
      <c r="BB101" s="106">
        <v>0</v>
      </c>
      <c r="BC101" s="106">
        <v>0</v>
      </c>
      <c r="BD101" s="106">
        <v>0</v>
      </c>
      <c r="BE101" s="106">
        <v>0</v>
      </c>
      <c r="BF101" s="106">
        <v>0</v>
      </c>
      <c r="BG101" s="106">
        <v>0</v>
      </c>
      <c r="BH101" s="106">
        <v>0</v>
      </c>
      <c r="BI101" s="106">
        <v>0</v>
      </c>
      <c r="BJ101" s="106">
        <v>0</v>
      </c>
      <c r="BK101" s="106">
        <v>0</v>
      </c>
      <c r="BL101" s="106">
        <v>0</v>
      </c>
      <c r="BM101" s="106">
        <v>0</v>
      </c>
      <c r="BN101" s="106">
        <v>0</v>
      </c>
      <c r="BO101" s="106">
        <v>0</v>
      </c>
      <c r="BP101" s="106">
        <v>0</v>
      </c>
      <c r="BQ101" s="106">
        <v>0</v>
      </c>
      <c r="BR101" s="106">
        <v>0</v>
      </c>
      <c r="BS101" s="106">
        <v>0</v>
      </c>
      <c r="BT101" s="106">
        <v>0</v>
      </c>
      <c r="BU101" s="106">
        <v>0</v>
      </c>
      <c r="BV101" s="106">
        <v>0</v>
      </c>
      <c r="BW101" s="106">
        <v>0</v>
      </c>
      <c r="BX101" s="106">
        <v>0</v>
      </c>
      <c r="BY101" s="106">
        <v>0</v>
      </c>
      <c r="BZ101" s="106">
        <v>0</v>
      </c>
      <c r="CA101" s="106">
        <v>0</v>
      </c>
      <c r="CB101" s="106">
        <v>0</v>
      </c>
      <c r="CC101" s="106">
        <v>0</v>
      </c>
      <c r="CD101" s="106">
        <v>0</v>
      </c>
      <c r="CE101" s="106">
        <v>0</v>
      </c>
      <c r="CF101" s="106">
        <v>0</v>
      </c>
      <c r="CG101" s="106">
        <v>0</v>
      </c>
      <c r="CH101" s="106">
        <v>0</v>
      </c>
      <c r="CI101" s="106">
        <v>0</v>
      </c>
      <c r="CJ101" s="106">
        <v>0</v>
      </c>
      <c r="CK101" s="106">
        <v>0</v>
      </c>
      <c r="CL101" s="106">
        <v>0</v>
      </c>
      <c r="CM101" s="106">
        <v>0</v>
      </c>
      <c r="CN101" s="106">
        <v>0</v>
      </c>
      <c r="CO101" s="106">
        <v>0</v>
      </c>
      <c r="CP101" s="106">
        <v>0</v>
      </c>
      <c r="CQ101" s="106">
        <v>0</v>
      </c>
      <c r="CR101" s="106">
        <v>0</v>
      </c>
      <c r="CS101" s="106">
        <v>0</v>
      </c>
      <c r="CT101" s="106">
        <v>0</v>
      </c>
      <c r="CU101" s="106">
        <v>0</v>
      </c>
    </row>
    <row r="102" spans="2:99" x14ac:dyDescent="0.2">
      <c r="C102" s="105" t="s">
        <v>267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  <c r="AZ102" s="106">
        <v>0</v>
      </c>
      <c r="BA102" s="106">
        <v>0</v>
      </c>
      <c r="BB102" s="106">
        <v>0</v>
      </c>
      <c r="BC102" s="106">
        <v>0</v>
      </c>
      <c r="BD102" s="106">
        <v>0</v>
      </c>
      <c r="BE102" s="106">
        <v>0</v>
      </c>
      <c r="BF102" s="106">
        <v>0</v>
      </c>
      <c r="BG102" s="106">
        <v>0</v>
      </c>
      <c r="BH102" s="106">
        <v>0</v>
      </c>
      <c r="BI102" s="106">
        <v>0</v>
      </c>
      <c r="BJ102" s="106">
        <v>0</v>
      </c>
      <c r="BK102" s="106">
        <v>0</v>
      </c>
      <c r="BL102" s="106">
        <v>0</v>
      </c>
      <c r="BM102" s="106">
        <v>0</v>
      </c>
      <c r="BN102" s="106">
        <v>0</v>
      </c>
      <c r="BO102" s="106">
        <v>0</v>
      </c>
      <c r="BP102" s="106">
        <v>0</v>
      </c>
      <c r="BQ102" s="106">
        <v>0</v>
      </c>
      <c r="BR102" s="106">
        <v>0</v>
      </c>
      <c r="BS102" s="106">
        <v>0</v>
      </c>
      <c r="BT102" s="106">
        <v>0</v>
      </c>
      <c r="BU102" s="106">
        <v>0</v>
      </c>
      <c r="BV102" s="106">
        <v>0</v>
      </c>
      <c r="BW102" s="106">
        <v>0</v>
      </c>
      <c r="BX102" s="106">
        <v>0</v>
      </c>
      <c r="BY102" s="106">
        <v>0</v>
      </c>
      <c r="BZ102" s="106">
        <v>0</v>
      </c>
      <c r="CA102" s="106">
        <v>0</v>
      </c>
      <c r="CB102" s="106">
        <v>0</v>
      </c>
      <c r="CC102" s="106">
        <v>0</v>
      </c>
      <c r="CD102" s="106">
        <v>0</v>
      </c>
      <c r="CE102" s="106">
        <v>0</v>
      </c>
      <c r="CF102" s="106">
        <v>0</v>
      </c>
      <c r="CG102" s="106">
        <v>0</v>
      </c>
      <c r="CH102" s="106">
        <v>0</v>
      </c>
      <c r="CI102" s="106">
        <v>0</v>
      </c>
      <c r="CJ102" s="106">
        <v>0</v>
      </c>
      <c r="CK102" s="106">
        <v>0</v>
      </c>
      <c r="CL102" s="106">
        <v>0</v>
      </c>
      <c r="CM102" s="106">
        <v>0</v>
      </c>
      <c r="CN102" s="106">
        <v>0</v>
      </c>
      <c r="CO102" s="106">
        <v>0</v>
      </c>
      <c r="CP102" s="106">
        <v>0</v>
      </c>
      <c r="CQ102" s="106">
        <v>0</v>
      </c>
      <c r="CR102" s="106">
        <v>0</v>
      </c>
      <c r="CS102" s="106">
        <v>0</v>
      </c>
      <c r="CT102" s="106">
        <v>0</v>
      </c>
      <c r="CU102" s="106">
        <v>0</v>
      </c>
    </row>
    <row r="103" spans="2:99" x14ac:dyDescent="0.2">
      <c r="C103" s="105" t="s">
        <v>268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  <c r="AZ103" s="106">
        <v>0</v>
      </c>
      <c r="BA103" s="106">
        <v>0</v>
      </c>
      <c r="BB103" s="106">
        <v>0</v>
      </c>
      <c r="BC103" s="106">
        <v>0</v>
      </c>
      <c r="BD103" s="106">
        <v>0</v>
      </c>
      <c r="BE103" s="106">
        <v>0</v>
      </c>
      <c r="BF103" s="106">
        <v>0</v>
      </c>
      <c r="BG103" s="106">
        <v>0</v>
      </c>
      <c r="BH103" s="106">
        <v>0</v>
      </c>
      <c r="BI103" s="106">
        <v>0</v>
      </c>
      <c r="BJ103" s="106">
        <v>0</v>
      </c>
      <c r="BK103" s="106">
        <v>0</v>
      </c>
      <c r="BL103" s="106">
        <v>0</v>
      </c>
      <c r="BM103" s="106">
        <v>0</v>
      </c>
      <c r="BN103" s="106">
        <v>0</v>
      </c>
      <c r="BO103" s="106">
        <v>0</v>
      </c>
      <c r="BP103" s="106">
        <v>0</v>
      </c>
      <c r="BQ103" s="106">
        <v>0</v>
      </c>
      <c r="BR103" s="106">
        <v>0</v>
      </c>
      <c r="BS103" s="106">
        <v>0</v>
      </c>
      <c r="BT103" s="106">
        <v>0</v>
      </c>
      <c r="BU103" s="106">
        <v>0</v>
      </c>
      <c r="BV103" s="106">
        <v>0</v>
      </c>
      <c r="BW103" s="106">
        <v>0</v>
      </c>
      <c r="BX103" s="106">
        <v>0</v>
      </c>
      <c r="BY103" s="106">
        <v>0</v>
      </c>
      <c r="BZ103" s="106">
        <v>0</v>
      </c>
      <c r="CA103" s="106">
        <v>0</v>
      </c>
      <c r="CB103" s="106">
        <v>0</v>
      </c>
      <c r="CC103" s="106">
        <v>0</v>
      </c>
      <c r="CD103" s="106">
        <v>0</v>
      </c>
      <c r="CE103" s="106">
        <v>0</v>
      </c>
      <c r="CF103" s="106">
        <v>0</v>
      </c>
      <c r="CG103" s="106">
        <v>0</v>
      </c>
      <c r="CH103" s="106">
        <v>0</v>
      </c>
      <c r="CI103" s="106">
        <v>0</v>
      </c>
      <c r="CJ103" s="106">
        <v>0</v>
      </c>
      <c r="CK103" s="106">
        <v>0</v>
      </c>
      <c r="CL103" s="106">
        <v>0</v>
      </c>
      <c r="CM103" s="106">
        <v>0</v>
      </c>
      <c r="CN103" s="106">
        <v>0</v>
      </c>
      <c r="CO103" s="106">
        <v>0</v>
      </c>
      <c r="CP103" s="106">
        <v>0</v>
      </c>
      <c r="CQ103" s="106">
        <v>0</v>
      </c>
      <c r="CR103" s="106">
        <v>0</v>
      </c>
      <c r="CS103" s="106">
        <v>0</v>
      </c>
      <c r="CT103" s="106">
        <v>0</v>
      </c>
      <c r="CU103" s="106">
        <v>0</v>
      </c>
    </row>
    <row r="104" spans="2:99" x14ac:dyDescent="0.2">
      <c r="C104" s="105" t="s">
        <v>269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  <c r="AZ104" s="106">
        <v>0</v>
      </c>
      <c r="BA104" s="106">
        <v>0</v>
      </c>
      <c r="BB104" s="106">
        <v>0</v>
      </c>
      <c r="BC104" s="106">
        <v>0</v>
      </c>
      <c r="BD104" s="106">
        <v>0</v>
      </c>
      <c r="BE104" s="106">
        <v>0</v>
      </c>
      <c r="BF104" s="106">
        <v>0</v>
      </c>
      <c r="BG104" s="106">
        <v>0</v>
      </c>
      <c r="BH104" s="106">
        <v>0</v>
      </c>
      <c r="BI104" s="106">
        <v>0</v>
      </c>
      <c r="BJ104" s="106">
        <v>0</v>
      </c>
      <c r="BK104" s="106">
        <v>0</v>
      </c>
      <c r="BL104" s="106">
        <v>0</v>
      </c>
      <c r="BM104" s="106">
        <v>0</v>
      </c>
      <c r="BN104" s="106">
        <v>0</v>
      </c>
      <c r="BO104" s="106">
        <v>0</v>
      </c>
      <c r="BP104" s="106">
        <v>0</v>
      </c>
      <c r="BQ104" s="106">
        <v>0</v>
      </c>
      <c r="BR104" s="106">
        <v>0</v>
      </c>
      <c r="BS104" s="106">
        <v>0</v>
      </c>
      <c r="BT104" s="106">
        <v>0</v>
      </c>
      <c r="BU104" s="106">
        <v>0</v>
      </c>
      <c r="BV104" s="106">
        <v>0</v>
      </c>
      <c r="BW104" s="106">
        <v>0</v>
      </c>
      <c r="BX104" s="106">
        <v>0</v>
      </c>
      <c r="BY104" s="106">
        <v>0</v>
      </c>
      <c r="BZ104" s="106">
        <v>0</v>
      </c>
      <c r="CA104" s="106">
        <v>0</v>
      </c>
      <c r="CB104" s="106">
        <v>0</v>
      </c>
      <c r="CC104" s="106">
        <v>0</v>
      </c>
      <c r="CD104" s="106">
        <v>0</v>
      </c>
      <c r="CE104" s="106">
        <v>0</v>
      </c>
      <c r="CF104" s="106">
        <v>0</v>
      </c>
      <c r="CG104" s="106">
        <v>0</v>
      </c>
      <c r="CH104" s="106">
        <v>0</v>
      </c>
      <c r="CI104" s="106">
        <v>0</v>
      </c>
      <c r="CJ104" s="106">
        <v>0</v>
      </c>
      <c r="CK104" s="106">
        <v>0</v>
      </c>
      <c r="CL104" s="106">
        <v>0</v>
      </c>
      <c r="CM104" s="106">
        <v>0</v>
      </c>
      <c r="CN104" s="106">
        <v>0</v>
      </c>
      <c r="CO104" s="106">
        <v>0</v>
      </c>
      <c r="CP104" s="106">
        <v>0</v>
      </c>
      <c r="CQ104" s="106">
        <v>0</v>
      </c>
      <c r="CR104" s="106">
        <v>0</v>
      </c>
      <c r="CS104" s="106">
        <v>0</v>
      </c>
      <c r="CT104" s="106">
        <v>0</v>
      </c>
      <c r="CU104" s="106">
        <v>0</v>
      </c>
    </row>
    <row r="105" spans="2:99" x14ac:dyDescent="0.2">
      <c r="C105" s="105" t="s">
        <v>270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  <c r="AZ105" s="106">
        <v>0</v>
      </c>
      <c r="BA105" s="106">
        <v>0</v>
      </c>
      <c r="BB105" s="106">
        <v>0</v>
      </c>
      <c r="BC105" s="106">
        <v>0</v>
      </c>
      <c r="BD105" s="106">
        <v>0</v>
      </c>
      <c r="BE105" s="106">
        <v>0</v>
      </c>
      <c r="BF105" s="106">
        <v>0</v>
      </c>
      <c r="BG105" s="106">
        <v>0</v>
      </c>
      <c r="BH105" s="106">
        <v>0</v>
      </c>
      <c r="BI105" s="106">
        <v>0</v>
      </c>
      <c r="BJ105" s="106">
        <v>0</v>
      </c>
      <c r="BK105" s="106">
        <v>0</v>
      </c>
      <c r="BL105" s="106">
        <v>0</v>
      </c>
      <c r="BM105" s="106">
        <v>0</v>
      </c>
      <c r="BN105" s="106">
        <v>0</v>
      </c>
      <c r="BO105" s="106">
        <v>0</v>
      </c>
      <c r="BP105" s="106">
        <v>0</v>
      </c>
      <c r="BQ105" s="106">
        <v>0</v>
      </c>
      <c r="BR105" s="106">
        <v>0</v>
      </c>
      <c r="BS105" s="106">
        <v>0</v>
      </c>
      <c r="BT105" s="106">
        <v>0</v>
      </c>
      <c r="BU105" s="106">
        <v>0</v>
      </c>
      <c r="BV105" s="106">
        <v>0</v>
      </c>
      <c r="BW105" s="106">
        <v>0</v>
      </c>
      <c r="BX105" s="106">
        <v>0</v>
      </c>
      <c r="BY105" s="106">
        <v>0</v>
      </c>
      <c r="BZ105" s="106">
        <v>0</v>
      </c>
      <c r="CA105" s="106">
        <v>0</v>
      </c>
      <c r="CB105" s="106">
        <v>0</v>
      </c>
      <c r="CC105" s="106">
        <v>0</v>
      </c>
      <c r="CD105" s="106">
        <v>0</v>
      </c>
      <c r="CE105" s="106">
        <v>0</v>
      </c>
      <c r="CF105" s="106">
        <v>0</v>
      </c>
      <c r="CG105" s="106">
        <v>0</v>
      </c>
      <c r="CH105" s="106">
        <v>0</v>
      </c>
      <c r="CI105" s="106">
        <v>0</v>
      </c>
      <c r="CJ105" s="106">
        <v>0</v>
      </c>
      <c r="CK105" s="106">
        <v>0</v>
      </c>
      <c r="CL105" s="106">
        <v>0</v>
      </c>
      <c r="CM105" s="106">
        <v>0</v>
      </c>
      <c r="CN105" s="106">
        <v>0</v>
      </c>
      <c r="CO105" s="106">
        <v>0</v>
      </c>
      <c r="CP105" s="106">
        <v>0</v>
      </c>
      <c r="CQ105" s="106">
        <v>0</v>
      </c>
      <c r="CR105" s="106">
        <v>0</v>
      </c>
      <c r="CS105" s="106">
        <v>0</v>
      </c>
      <c r="CT105" s="106">
        <v>0</v>
      </c>
      <c r="CU105" s="106">
        <v>0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490.82414140023923</v>
      </c>
      <c r="E109" s="106">
        <f>SUM(L$6:L$19)+SUM(N$6:N$19)+SUM(P$6:P$19)+SUM(R$6:R$19)</f>
        <v>1971.0869241869993</v>
      </c>
      <c r="F109" s="106">
        <f>SUM(T$6:T$19)+SUM(V$6:V$19)+SUM(X$6:X$19)+SUM(Z$6:Z$19)</f>
        <v>1566.3741255399348</v>
      </c>
      <c r="G109" s="106">
        <f>SUM(AB$6:AB$19)+SUM(AD$6:AD$19)+SUM(AF$6:AF$19)+SUM(AH$6:AH$19)</f>
        <v>1762.4644662821584</v>
      </c>
      <c r="H109" s="106">
        <f>SUM(AJ$6:AJ$19)+SUM(AL$6:AL$19)+SUM(AN$6:AN$19)+SUM(AP$6:AP$19)</f>
        <v>1734.8773341056733</v>
      </c>
      <c r="I109" s="106">
        <f>SUM(AR$6:AR$19)+SUM(AT$6:AT$19)+SUM(AV$6:AV$19)+SUM(AX$6:AX$19)</f>
        <v>1370.6201692533325</v>
      </c>
      <c r="J109" s="106">
        <f>SUM(AZ$6:AZ$19)+SUM(BB$6:BB$19)+SUM(BD$6:BD$19)+SUM(BF$6:BF$19)</f>
        <v>2083.1683466151671</v>
      </c>
      <c r="K109" s="106">
        <f>SUM(BH$6:BH$19)+SUM(BJ$6:BJ$19)+SUM(BL$6:BL$19)+SUM(BN$6:BN$19)</f>
        <v>1807.6568846411424</v>
      </c>
      <c r="L109" s="106">
        <f>SUM(BP$6:BP$19)+SUM(BR$6:BR$19)+SUM(BT$6:BT$19)+SUM(BV$6:BV$19)</f>
        <v>1744.4609451184176</v>
      </c>
      <c r="M109" s="106">
        <f>SUM(BX$6:BX$19)+SUM(BZ$6:BZ$19)+SUM(CB$6:CB$19)+SUM(CD$6:CD$19)</f>
        <v>1581.5168912092786</v>
      </c>
      <c r="N109" s="106">
        <f>SUM(CF$6:CF$19)+SUM(CH$6:CH$19)+SUM(CJ$6:CJ$19)+SUM(CL$6:CL$19)</f>
        <v>1754.7199529717502</v>
      </c>
      <c r="O109" s="106">
        <f>SUM(CN$6:CN$19)+SUM(CP$6:CP$19)+SUM(CR$6:CR$19)+SUM(CT$6:CT$19)</f>
        <v>1510.5398914560292</v>
      </c>
    </row>
    <row r="110" spans="2:99" x14ac:dyDescent="0.2">
      <c r="C110" s="105" t="s">
        <v>127</v>
      </c>
      <c r="D110" s="106">
        <f>SUM(D$20:D$36)+SUM(F$20:F$36)+SUM(H$20:H$36)+SUM(J$20:J$36)</f>
        <v>1172.2681579976179</v>
      </c>
      <c r="E110" s="106">
        <f>SUM(L$20:L$36)+SUM(N$20:N$36)+SUM(P$20:P$36)+SUM(R$20:R$36)</f>
        <v>4390.8754982515457</v>
      </c>
      <c r="F110" s="106">
        <f>SUM(T$20:T$36)+SUM(V$20:V$36)+SUM(X$20:X$36)+SUM(Z$20:Z$36)</f>
        <v>3984.4853696551418</v>
      </c>
      <c r="G110" s="106">
        <f>SUM(AB$20:AB$36)+SUM(AD$20:AD$36)+SUM(AF$20:AF$36)+SUM(AH$20:AH$36)</f>
        <v>3909.4253401853125</v>
      </c>
      <c r="H110" s="106">
        <f>SUM(AJ$20:AJ$36)+SUM(AL$20:AL$36)+SUM(AN$20:AN$36)+SUM(AP$20:AP$36)</f>
        <v>4046.2902307253389</v>
      </c>
      <c r="I110" s="106">
        <f>SUM(AR$20:AR$36)+SUM(AT$20:AT$36)+SUM(AV$20:AV$36)+SUM(AX$20:AX$36)</f>
        <v>3527.6081616621072</v>
      </c>
      <c r="J110" s="106">
        <f>SUM(AZ$20:AZ$36)+SUM(BB$20:BB$36)+SUM(BD$20:BD$36)+SUM(BF$20:BF$36)</f>
        <v>4496.5923089852267</v>
      </c>
      <c r="K110" s="106">
        <f>SUM(BH$20:BH$36)+SUM(BJ$20:BJ$36)+SUM(BL$20:BL$36)+SUM(BN$20:BN$36)</f>
        <v>4456.6225993699318</v>
      </c>
      <c r="L110" s="106">
        <f>SUM(BP$20:BP$36)+SUM(BR$20:BR$36)+SUM(BT$20:BT$36)+SUM(BV$20:BV$36)</f>
        <v>3457.7095767812434</v>
      </c>
      <c r="M110" s="106">
        <f>SUM(BX$20:BX$36)+SUM(BZ$20:BZ$36)+SUM(CB$20:CB$36)+SUM(CD$20:CD$36)</f>
        <v>4561.6005433287646</v>
      </c>
      <c r="N110" s="106">
        <f>SUM(CF$20:CF$36)+SUM(CH$20:CH$36)+SUM(CJ$20:CJ$36)+SUM(CL$20:CL$36)</f>
        <v>4083.240329257374</v>
      </c>
      <c r="O110" s="106">
        <f>SUM(CN$20:CN$36)+SUM(CP$20:CP$36)+SUM(CR$20:CR$36)+SUM(CT$20:CT$36)</f>
        <v>3250.1173050691009</v>
      </c>
    </row>
    <row r="111" spans="2:99" x14ac:dyDescent="0.2">
      <c r="C111" s="105" t="s">
        <v>128</v>
      </c>
      <c r="D111" s="106">
        <f>SUM(D$37:D$48)+SUM(F$37:F$48)+SUM(H$37:H$48)+SUM(J$37:J$48)</f>
        <v>461.44927179271963</v>
      </c>
      <c r="E111" s="106">
        <f>SUM(L$37:L$48)+SUM(N$37:N$48)+SUM(P$37:P$48)+SUM(R$37:R$48)</f>
        <v>2233.2622316752086</v>
      </c>
      <c r="F111" s="106">
        <f>SUM(T$37:T$48)+SUM(V$37:V$48)+SUM(X$37:X$48)+SUM(Z$37:Z$48)</f>
        <v>1811.1002632155546</v>
      </c>
      <c r="G111" s="106">
        <f>SUM(AB$37:AB$48)+SUM(AD$37:AD$48)+SUM(AF$37:AF$48)+SUM(AH$37:AH$48)</f>
        <v>1987.8281563095966</v>
      </c>
      <c r="H111" s="106">
        <f>SUM(AJ$37:AJ$48)+SUM(AL$37:AL$48)+SUM(AN$37:AN$48)+SUM(AP$37:AP$48)</f>
        <v>1712.4900757355797</v>
      </c>
      <c r="I111" s="106">
        <f>SUM(AR$37:AR$48)+SUM(AT$37:AT$48)+SUM(AV$37:AV$48)+SUM(AX$37:AX$48)</f>
        <v>1271.7107663942436</v>
      </c>
      <c r="J111" s="106">
        <f>SUM(AZ$37:AZ$48)+SUM(BB$37:BB$48)+SUM(BD$37:BD$48)+SUM(BF$37:BF$48)</f>
        <v>2263.1734654167776</v>
      </c>
      <c r="K111" s="106">
        <f>SUM(BH$37:BH$48)+SUM(BJ$37:BJ$48)+SUM(BL$37:BL$48)+SUM(BN$37:BN$48)</f>
        <v>1525.9459438412637</v>
      </c>
      <c r="L111" s="106">
        <f>SUM(BP$37:BP$48)+SUM(BR$37:BR$48)+SUM(BT$37:BT$48)+SUM(BV$37:BV$48)</f>
        <v>1249.7162492319692</v>
      </c>
      <c r="M111" s="106">
        <f>SUM(BX$37:BX$48)+SUM(BZ$37:BZ$48)+SUM(CB$37:CB$48)+SUM(CD$37:CD$48)</f>
        <v>1600.8150881520596</v>
      </c>
      <c r="N111" s="106">
        <f>SUM(CF$37:CF$48)+SUM(CH$37:CH$48)+SUM(CJ$37:CJ$48)+SUM(CL$37:CL$48)</f>
        <v>1640.3345851850445</v>
      </c>
      <c r="O111" s="106">
        <f>SUM(CN$37:CN$48)+SUM(CP$37:CP$48)+SUM(CR$37:CR$48)+SUM(CT$37:CT$48)</f>
        <v>1281.7825930365213</v>
      </c>
    </row>
    <row r="112" spans="2:99" x14ac:dyDescent="0.2">
      <c r="C112" s="105" t="s">
        <v>129</v>
      </c>
      <c r="D112" s="106">
        <f>SUM(D$49:D$70)+SUM(F$49:F$70)+SUM(H$49:H$70)+SUM(J$49:J$70)</f>
        <v>654.82444000505961</v>
      </c>
      <c r="E112" s="106">
        <f>SUM(L$49:L$70)+SUM(N$49:N$70)+SUM(P$49:P$70)+SUM(R$49:R$70)</f>
        <v>2521.5077988789253</v>
      </c>
      <c r="F112" s="106">
        <f>SUM(T$49:T$70)+SUM(V$49:V$70)+SUM(X$49:X$70)+SUM(Z$49:Z$70)</f>
        <v>2447.0896172173289</v>
      </c>
      <c r="G112" s="106">
        <f>SUM(AB$49:AB$70)+SUM(AD$49:AD$70)+SUM(AF$49:AF$70)+SUM(AH$49:AH$70)</f>
        <v>2192.697280512728</v>
      </c>
      <c r="H112" s="106">
        <f>SUM(AJ$49:AJ$70)+SUM(AL$49:AL$70)+SUM(AN$49:AN$70)+SUM(AP$49:AP$70)</f>
        <v>2337.0746688922854</v>
      </c>
      <c r="I112" s="106">
        <f>SUM(AR$49:AR$70)+SUM(AT$49:AT$70)+SUM(AV$49:AV$70)+SUM(AX$49:AX$70)</f>
        <v>1853.1101347844744</v>
      </c>
      <c r="J112" s="106">
        <f>SUM(AZ$49:AZ$70)+SUM(BB$49:BB$70)+SUM(BD$49:BD$70)+SUM(BF$49:BF$70)</f>
        <v>2773.7983319755085</v>
      </c>
      <c r="K112" s="106">
        <f>SUM(BH$49:BH$70)+SUM(BJ$49:BJ$70)+SUM(BL$49:BL$70)+SUM(BN$49:BN$70)</f>
        <v>2040.5068816065391</v>
      </c>
      <c r="L112" s="106">
        <f>SUM(BP$49:BP$70)+SUM(BR$49:BR$70)+SUM(BT$49:BT$70)+SUM(BV$49:BV$70)</f>
        <v>1614.5283286243614</v>
      </c>
      <c r="M112" s="106">
        <f>SUM(BX$49:BX$70)+SUM(BZ$49:BZ$70)+SUM(CB$49:CB$70)+SUM(CD$49:CD$70)</f>
        <v>2007.433344971731</v>
      </c>
      <c r="N112" s="106">
        <f>SUM(CF$49:CF$70)+SUM(CH$49:CH$70)+SUM(CJ$49:CJ$70)+SUM(CL$49:CL$70)</f>
        <v>2244.1208064770321</v>
      </c>
      <c r="O112" s="106">
        <f>SUM(CN$49:CN$70)+SUM(CP$49:CP$70)+SUM(CR$49:CR$70)+SUM(CT$49:CT$70)</f>
        <v>1668.2925198972259</v>
      </c>
    </row>
    <row r="113" spans="2:15" x14ac:dyDescent="0.2">
      <c r="C113" s="105" t="s">
        <v>130</v>
      </c>
      <c r="D113" s="106">
        <f>SUM(D$71:D$86)+SUM(F$71:F$86)+SUM(H$71:H$86)+SUM(J$71:J$86)</f>
        <v>0</v>
      </c>
      <c r="E113" s="106">
        <f>SUM(L$71:L$86)+SUM(N$71:N$86)+SUM(P$71:P$86)+SUM(R$71:R$86)</f>
        <v>0</v>
      </c>
      <c r="F113" s="106">
        <f>SUM(T$71:T$86)+SUM(V$71:V$86)+SUM(X$71:X$86)+SUM(Z$71:Z$86)</f>
        <v>0</v>
      </c>
      <c r="G113" s="106">
        <f>SUM(AB$71:AB$86)+SUM(AD$71:AD$86)+SUM(AF$71:AF$86)+SUM(AH$71:AH$86)</f>
        <v>0</v>
      </c>
      <c r="H113" s="106">
        <f>SUM(AJ$71:AJ$86)+SUM(AL$71:AL$86)+SUM(AN$71:AN$86)+SUM(AP$71:AP$86)</f>
        <v>0</v>
      </c>
      <c r="I113" s="106">
        <f>SUM(AR$71:AR$86)+SUM(AT$71:AT$86)+SUM(AV$71:AV$86)+SUM(AX$71:AX$86)</f>
        <v>0</v>
      </c>
      <c r="J113" s="106">
        <f>SUM(AZ$71:AZ$86)+SUM(BB$71:BB$86)+SUM(BD$71:BD$86)+SUM(BF$71:BF$86)</f>
        <v>0</v>
      </c>
      <c r="K113" s="106">
        <f>SUM(BH$71:BH$86)+SUM(BJ$71:BJ$86)+SUM(BL$71:BL$86)+SUM(BN$71:BN$86)</f>
        <v>0</v>
      </c>
      <c r="L113" s="106">
        <f>SUM(BP$71:BP$86)+SUM(BR$71:BR$86)+SUM(BT$71:BT$86)+SUM(BV$71:BV$86)</f>
        <v>0</v>
      </c>
      <c r="M113" s="106">
        <f>SUM(BX$71:BX$86)+SUM(BZ$71:BZ$86)+SUM(CB$71:CB$86)+SUM(CD$71:CD$86)</f>
        <v>0</v>
      </c>
      <c r="N113" s="106">
        <f>SUM(CF$71:CF$86)+SUM(CH$71:CH$86)+SUM(CJ$71:CJ$86)+SUM(CL$71:CL$86)</f>
        <v>0</v>
      </c>
      <c r="O113" s="106">
        <f>SUM(CN$71:CN$86)+SUM(CP$71:CP$86)+SUM(CR$71:CR$86)+SUM(CT$71:CT$86)</f>
        <v>0</v>
      </c>
    </row>
    <row r="114" spans="2:15" x14ac:dyDescent="0.2">
      <c r="C114" s="105" t="s">
        <v>131</v>
      </c>
      <c r="D114" s="106">
        <f>SUM(D$87:D$94)+SUM(F$87:F$94)+SUM(H$87:H$94)+SUM(J$87:J$94)</f>
        <v>0</v>
      </c>
      <c r="E114" s="106">
        <f>SUM(L$87:L$94)+SUM(N$87:N$94)+SUM(P$87:P$94)+SUM(R$87:R$94)</f>
        <v>0</v>
      </c>
      <c r="F114" s="106">
        <f>SUM(T$87:T$94)+SUM(V$87:V$94)+SUM(X$87:X$94)+SUM(Z$87:Z$94)</f>
        <v>0</v>
      </c>
      <c r="G114" s="106">
        <f>SUM(AB$87:AB$94)+SUM(AD$87:AD$94)+SUM(AF$87:AF$94)+SUM(AH$87:AH$94)</f>
        <v>0</v>
      </c>
      <c r="H114" s="106">
        <f>SUM(AJ$87:AJ$94)+SUM(AL$87:AL$94)+SUM(AN$87:AN$94)+SUM(AP$87:AP$94)</f>
        <v>0</v>
      </c>
      <c r="I114" s="106">
        <f>SUM(AR$87:AR$94)+SUM(AT$87:AT$94)+SUM(AV$87:AV$94)+SUM(AX$87:AX$94)</f>
        <v>0</v>
      </c>
      <c r="J114" s="106">
        <f>SUM(AZ$87:AZ$94)+SUM(BB$87:BB$94)+SUM(BD$87:BD$94)+SUM(BF$87:BF$94)</f>
        <v>0</v>
      </c>
      <c r="K114" s="106">
        <f>SUM(BH$87:BH$94)+SUM(BJ$87:BJ$94)+SUM(BL$87:BL$94)+SUM(BN$87:BN$94)</f>
        <v>0</v>
      </c>
      <c r="L114" s="106">
        <f>SUM(BP$87:BP$94)+SUM(BR$87:BR$94)+SUM(BT$87:BT$94)+SUM(BV$87:BV$94)</f>
        <v>0</v>
      </c>
      <c r="M114" s="106">
        <f>SUM(BX$87:BX$94)+SUM(BZ$87:BZ$94)+SUM(CB$87:CB$94)+SUM(CD$87:CD$94)</f>
        <v>0</v>
      </c>
      <c r="N114" s="106">
        <f>SUM(CF$87:CF$94)+SUM(CH$87:CH$94)+SUM(CJ$87:CJ$94)+SUM(CL$87:CL$94)</f>
        <v>0</v>
      </c>
      <c r="O114" s="106">
        <f>SUM(CN$87:CN$94)+SUM(CP$87:CP$94)+SUM(CR$87:CR$94)+SUM(CT$87:CT$94)</f>
        <v>0</v>
      </c>
    </row>
    <row r="115" spans="2:15" x14ac:dyDescent="0.2">
      <c r="C115" s="105" t="s">
        <v>132</v>
      </c>
      <c r="D115" s="106">
        <f>SUM(D$95:D$105)+SUM(F$95:F$105)+SUM(H$95:H$105)+SUM(J$95:J$105)</f>
        <v>0</v>
      </c>
      <c r="E115" s="106">
        <f>SUM(L$95:L$105)+SUM(N$95:N$105)+SUM(P$95:P$105)+SUM(R$95:R$105)</f>
        <v>0</v>
      </c>
      <c r="F115" s="106">
        <f>SUM(T$95:T$105)+SUM(V$95:V$105)+SUM(X$95:X$105)+SUM(Z$95:Z$105)</f>
        <v>0</v>
      </c>
      <c r="G115" s="106">
        <f>SUM(AB$95:AB$105)+SUM(AD$95:AD$105)+SUM(AF$95:AF$105)+SUM(AH$95:AH$105)</f>
        <v>0</v>
      </c>
      <c r="H115" s="106">
        <f>SUM(AJ$95:AJ$105)+SUM(AL$95:AL$105)+SUM(AN$95:AN$105)+SUM(AP$95:AP$105)</f>
        <v>0</v>
      </c>
      <c r="I115" s="106">
        <f>SUM(AR$95:AR$105)+SUM(AT$95:AT$105)+SUM(AV$95:AV$105)+SUM(AX$95:AX$105)</f>
        <v>0</v>
      </c>
      <c r="J115" s="106">
        <f>SUM(AZ$95:AZ$105)+SUM(BB$95:BB$105)+SUM(BD$95:BD$105)+SUM(BF$95:BF$105)</f>
        <v>0</v>
      </c>
      <c r="K115" s="106">
        <f>SUM(BH$95:BH$105)+SUM(BJ$95:BJ$105)+SUM(BL$95:BL$105)+SUM(BN$95:BN$105)</f>
        <v>0</v>
      </c>
      <c r="L115" s="106">
        <f>SUM(BP$95:BP$105)+SUM(BR$95:BR$105)+SUM(BT$95:BT$105)+SUM(BV$95:BV$105)</f>
        <v>0</v>
      </c>
      <c r="M115" s="106">
        <f>SUM(BX$95:BX$105)+SUM(BZ$95:BZ$105)+SUM(CB$95:CB$105)+SUM(CD$95:CD$105)</f>
        <v>0</v>
      </c>
      <c r="N115" s="106">
        <f>SUM(CF$95:CF$105)+SUM(CH$95:CH$105)+SUM(CJ$95:CJ$105)+SUM(CL$95:CL$105)</f>
        <v>0</v>
      </c>
      <c r="O115" s="106">
        <f>SUM(CN$95:CN$105)+SUM(CP$95:CP$105)+SUM(CR$95:CR$105)+SUM(CT$95:CT$105)</f>
        <v>0</v>
      </c>
    </row>
    <row r="116" spans="2:15" x14ac:dyDescent="0.2">
      <c r="C116" s="105" t="s">
        <v>277</v>
      </c>
      <c r="D116" s="106">
        <f t="shared" ref="D116:O116" si="0">SUM(D$109:D$115)</f>
        <v>2779.366011195636</v>
      </c>
      <c r="E116" s="106">
        <f t="shared" si="0"/>
        <v>11116.732452992679</v>
      </c>
      <c r="F116" s="106">
        <f t="shared" si="0"/>
        <v>9809.0493756279593</v>
      </c>
      <c r="G116" s="106">
        <f t="shared" si="0"/>
        <v>9852.4152432897954</v>
      </c>
      <c r="H116" s="106">
        <f t="shared" si="0"/>
        <v>9830.7323094588774</v>
      </c>
      <c r="I116" s="106">
        <f t="shared" si="0"/>
        <v>8023.0492320941576</v>
      </c>
      <c r="J116" s="106">
        <f t="shared" si="0"/>
        <v>11616.732452992681</v>
      </c>
      <c r="K116" s="106">
        <f t="shared" si="0"/>
        <v>9830.7323094588774</v>
      </c>
      <c r="L116" s="106">
        <f t="shared" si="0"/>
        <v>8066.4150997559918</v>
      </c>
      <c r="M116" s="106">
        <f t="shared" si="0"/>
        <v>9751.3658676618343</v>
      </c>
      <c r="N116" s="106">
        <f t="shared" si="0"/>
        <v>9722.4156738912006</v>
      </c>
      <c r="O116" s="106">
        <f t="shared" si="0"/>
        <v>7710.7323094588774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1227060.3535005981</v>
      </c>
      <c r="E120" s="106">
        <f>E109*pricing!E15*2000</f>
        <v>4927717.3104674984</v>
      </c>
      <c r="F120" s="106">
        <f>F109*pricing!F15*2000</f>
        <v>3915935.3138498366</v>
      </c>
      <c r="G120" s="106">
        <f>G109*pricing!G15*2000</f>
        <v>4406161.1657053968</v>
      </c>
      <c r="H120" s="106">
        <f>H109*pricing!H15*2000</f>
        <v>4337193.3352641836</v>
      </c>
      <c r="I120" s="106">
        <f>I109*pricing!I15*2000</f>
        <v>3426550.4231333314</v>
      </c>
      <c r="J120" s="106">
        <f>J109*pricing!J15*2000</f>
        <v>5207920.8665379174</v>
      </c>
      <c r="K120" s="106">
        <f>K109*pricing!K15*2000</f>
        <v>4519142.2116028564</v>
      </c>
      <c r="L120" s="106">
        <f>L109*pricing!L15*2000</f>
        <v>4361152.362796044</v>
      </c>
      <c r="M120" s="106">
        <f>M109*pricing!M15*2000</f>
        <v>4744550.6736278357</v>
      </c>
      <c r="N120" s="106">
        <f>N109*pricing!N15*2000</f>
        <v>5264159.8589152507</v>
      </c>
      <c r="O120" s="106">
        <f>O109*pricing!O15*2000</f>
        <v>3776349.728640073</v>
      </c>
    </row>
    <row r="121" spans="2:15" x14ac:dyDescent="0.2">
      <c r="C121" s="105" t="s">
        <v>127</v>
      </c>
      <c r="D121" s="106">
        <f>D110*pricing!D16*2000</f>
        <v>2930670.3949940447</v>
      </c>
      <c r="E121" s="106">
        <f>E110*pricing!E16*2000</f>
        <v>10977188.745628864</v>
      </c>
      <c r="F121" s="106">
        <f>F110*pricing!F16*2000</f>
        <v>9961213.4241378549</v>
      </c>
      <c r="G121" s="106">
        <f>G110*pricing!G16*2000</f>
        <v>9773563.3504632805</v>
      </c>
      <c r="H121" s="106">
        <f>H110*pricing!H16*2000</f>
        <v>10115725.576813348</v>
      </c>
      <c r="I121" s="106">
        <f>I110*pricing!I16*2000</f>
        <v>8819020.4041552674</v>
      </c>
      <c r="J121" s="106">
        <f>J110*pricing!J16*2000</f>
        <v>11241480.772463067</v>
      </c>
      <c r="K121" s="106">
        <f>K110*pricing!K16*2000</f>
        <v>11141556.49842483</v>
      </c>
      <c r="L121" s="106">
        <f>L110*pricing!L16*2000</f>
        <v>8644273.9419531077</v>
      </c>
      <c r="M121" s="106">
        <f>M110*pricing!M16*2000</f>
        <v>13684801.629986294</v>
      </c>
      <c r="N121" s="106">
        <f>N110*pricing!N16*2000</f>
        <v>12249720.987772122</v>
      </c>
      <c r="O121" s="106">
        <f>O110*pricing!O16*2000</f>
        <v>8125293.2626727521</v>
      </c>
    </row>
    <row r="122" spans="2:15" x14ac:dyDescent="0.2">
      <c r="C122" s="105" t="s">
        <v>128</v>
      </c>
      <c r="D122" s="106">
        <f>D111*pricing!D17*2000</f>
        <v>1153623.179481799</v>
      </c>
      <c r="E122" s="106">
        <f>E111*pricing!E17*2000</f>
        <v>5583155.5791880218</v>
      </c>
      <c r="F122" s="106">
        <f>F111*pricing!F17*2000</f>
        <v>4527750.6580388863</v>
      </c>
      <c r="G122" s="106">
        <f>G111*pricing!G17*2000</f>
        <v>4969570.3907739921</v>
      </c>
      <c r="H122" s="106">
        <f>H111*pricing!H17*2000</f>
        <v>4281225.1893389495</v>
      </c>
      <c r="I122" s="106">
        <f>I111*pricing!I17*2000</f>
        <v>3179276.9159856089</v>
      </c>
      <c r="J122" s="106">
        <f>J111*pricing!J17*2000</f>
        <v>5657933.6635419438</v>
      </c>
      <c r="K122" s="106">
        <f>K111*pricing!K17*2000</f>
        <v>3814864.8596031591</v>
      </c>
      <c r="L122" s="106">
        <f>L111*pricing!L17*2000</f>
        <v>3124290.623079923</v>
      </c>
      <c r="M122" s="106">
        <f>M111*pricing!M17*2000</f>
        <v>4802445.264456179</v>
      </c>
      <c r="N122" s="106">
        <f>N111*pricing!N17*2000</f>
        <v>4921003.7555551333</v>
      </c>
      <c r="O122" s="106">
        <f>O111*pricing!O17*2000</f>
        <v>3204456.4825913035</v>
      </c>
    </row>
    <row r="123" spans="2:15" x14ac:dyDescent="0.2">
      <c r="C123" s="105" t="s">
        <v>129</v>
      </c>
      <c r="D123" s="106">
        <f>D112*pricing!D18*2000</f>
        <v>1637061.1000126491</v>
      </c>
      <c r="E123" s="106">
        <f>E112*pricing!E18*2000</f>
        <v>6303769.4971973132</v>
      </c>
      <c r="F123" s="106">
        <f>F112*pricing!F18*2000</f>
        <v>6117724.0430433219</v>
      </c>
      <c r="G123" s="106">
        <f>G112*pricing!G18*2000</f>
        <v>5481743.2012818195</v>
      </c>
      <c r="H123" s="106">
        <f>H112*pricing!H18*2000</f>
        <v>5842686.6722307131</v>
      </c>
      <c r="I123" s="106">
        <f>I112*pricing!I18*2000</f>
        <v>4632775.3369611865</v>
      </c>
      <c r="J123" s="106">
        <f>J112*pricing!J18*2000</f>
        <v>6934495.8299387712</v>
      </c>
      <c r="K123" s="106">
        <f>K112*pricing!K18*2000</f>
        <v>5101267.2040163483</v>
      </c>
      <c r="L123" s="106">
        <f>L112*pricing!L18*2000</f>
        <v>4036320.8215609035</v>
      </c>
      <c r="M123" s="106">
        <f>M112*pricing!M18*2000</f>
        <v>6022300.0349151939</v>
      </c>
      <c r="N123" s="106">
        <f>N112*pricing!N18*2000</f>
        <v>6732362.4194310959</v>
      </c>
      <c r="O123" s="106">
        <f>O112*pricing!O18*2000</f>
        <v>4170731.2997430647</v>
      </c>
    </row>
    <row r="124" spans="2:15" x14ac:dyDescent="0.2">
      <c r="C124" s="105" t="s">
        <v>130</v>
      </c>
      <c r="D124" s="106">
        <f>D113*pricing!D19*2000</f>
        <v>0</v>
      </c>
      <c r="E124" s="106">
        <f>E113*pricing!E19*2000</f>
        <v>0</v>
      </c>
      <c r="F124" s="106">
        <f>F113*pricing!F19*2000</f>
        <v>0</v>
      </c>
      <c r="G124" s="106">
        <f>G113*pricing!G19*2000</f>
        <v>0</v>
      </c>
      <c r="H124" s="106">
        <f>H113*pricing!H19*2000</f>
        <v>0</v>
      </c>
      <c r="I124" s="106">
        <f>I113*pricing!I19*2000</f>
        <v>0</v>
      </c>
      <c r="J124" s="106">
        <f>J113*pricing!J19*2000</f>
        <v>0</v>
      </c>
      <c r="K124" s="106">
        <f>K113*pricing!K19*2000</f>
        <v>0</v>
      </c>
      <c r="L124" s="106">
        <f>L113*pricing!L19*2000</f>
        <v>0</v>
      </c>
      <c r="M124" s="106">
        <f>M113*pricing!M19*2000</f>
        <v>0</v>
      </c>
      <c r="N124" s="106">
        <f>N113*pricing!N19*2000</f>
        <v>0</v>
      </c>
      <c r="O124" s="106">
        <f>O113*pricing!O19*2000</f>
        <v>0</v>
      </c>
    </row>
    <row r="125" spans="2:15" x14ac:dyDescent="0.2">
      <c r="C125" s="105" t="s">
        <v>131</v>
      </c>
      <c r="D125" s="106">
        <f>D114*pricing!D20*2000</f>
        <v>0</v>
      </c>
      <c r="E125" s="106">
        <f>E114*pricing!E20*2000</f>
        <v>0</v>
      </c>
      <c r="F125" s="106">
        <f>F114*pricing!F20*2000</f>
        <v>0</v>
      </c>
      <c r="G125" s="106">
        <f>G114*pricing!G20*2000</f>
        <v>0</v>
      </c>
      <c r="H125" s="106">
        <f>H114*pricing!H20*2000</f>
        <v>0</v>
      </c>
      <c r="I125" s="106">
        <f>I114*pricing!I20*2000</f>
        <v>0</v>
      </c>
      <c r="J125" s="106">
        <f>J114*pricing!J20*2000</f>
        <v>0</v>
      </c>
      <c r="K125" s="106">
        <f>K114*pricing!K20*2000</f>
        <v>0</v>
      </c>
      <c r="L125" s="106">
        <f>L114*pricing!L20*2000</f>
        <v>0</v>
      </c>
      <c r="M125" s="106">
        <f>M114*pricing!M20*2000</f>
        <v>0</v>
      </c>
      <c r="N125" s="106">
        <f>N114*pricing!N20*2000</f>
        <v>0</v>
      </c>
      <c r="O125" s="106">
        <f>O114*pricing!O20*2000</f>
        <v>0</v>
      </c>
    </row>
    <row r="126" spans="2:15" x14ac:dyDescent="0.2">
      <c r="C126" s="105" t="s">
        <v>132</v>
      </c>
      <c r="D126" s="106">
        <f>D115*pricing!D21*2000</f>
        <v>0</v>
      </c>
      <c r="E126" s="106">
        <f>E115*pricing!E21*2000</f>
        <v>0</v>
      </c>
      <c r="F126" s="106">
        <f>F115*pricing!F21*2000</f>
        <v>0</v>
      </c>
      <c r="G126" s="106">
        <f>G115*pricing!G21*2000</f>
        <v>0</v>
      </c>
      <c r="H126" s="106">
        <f>H115*pricing!H21*2000</f>
        <v>0</v>
      </c>
      <c r="I126" s="106">
        <f>I115*pricing!I21*2000</f>
        <v>0</v>
      </c>
      <c r="J126" s="106">
        <f>J115*pricing!J21*2000</f>
        <v>0</v>
      </c>
      <c r="K126" s="106">
        <f>K115*pricing!K21*2000</f>
        <v>0</v>
      </c>
      <c r="L126" s="106">
        <f>L115*pricing!L21*2000</f>
        <v>0</v>
      </c>
      <c r="M126" s="106">
        <f>M115*pricing!M21*2000</f>
        <v>0</v>
      </c>
      <c r="N126" s="106">
        <f>N115*pricing!N21*2000</f>
        <v>0</v>
      </c>
      <c r="O126" s="106">
        <f>O115*pricing!O21*2000</f>
        <v>0</v>
      </c>
    </row>
    <row r="127" spans="2:15" x14ac:dyDescent="0.2">
      <c r="C127" s="105" t="s">
        <v>277</v>
      </c>
      <c r="D127" s="106">
        <f t="shared" ref="D127:O127" si="1">SUM(D$120:D$126)</f>
        <v>6948415.0279890904</v>
      </c>
      <c r="E127" s="106">
        <f t="shared" si="1"/>
        <v>27791831.132481694</v>
      </c>
      <c r="F127" s="106">
        <f t="shared" si="1"/>
        <v>24522623.439069901</v>
      </c>
      <c r="G127" s="106">
        <f t="shared" si="1"/>
        <v>24631038.108224489</v>
      </c>
      <c r="H127" s="106">
        <f t="shared" si="1"/>
        <v>24576830.773647193</v>
      </c>
      <c r="I127" s="106">
        <f t="shared" si="1"/>
        <v>20057623.080235392</v>
      </c>
      <c r="J127" s="106">
        <f t="shared" si="1"/>
        <v>29041831.132481702</v>
      </c>
      <c r="K127" s="106">
        <f t="shared" si="1"/>
        <v>24576830.773647197</v>
      </c>
      <c r="L127" s="106">
        <f t="shared" si="1"/>
        <v>20166037.74938998</v>
      </c>
      <c r="M127" s="106">
        <f t="shared" si="1"/>
        <v>29254097.602985501</v>
      </c>
      <c r="N127" s="106">
        <f t="shared" si="1"/>
        <v>29167247.021673605</v>
      </c>
      <c r="O127" s="106">
        <f t="shared" si="1"/>
        <v>19276830.773647193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247394.72997405776</v>
      </c>
      <c r="E131" s="112">
        <f>SUM(M$6:M$19)+SUM(O$6:O$19)+SUM(Q$6:Q$19)+SUM(S$6:S$19)</f>
        <v>984093.21417580103</v>
      </c>
      <c r="F131" s="112">
        <f>SUM(U$6:U$19)+SUM(W$6:W$19)+SUM(Y$6:Y$19)+SUM(AA$6:AA$19)</f>
        <v>789166.67196082987</v>
      </c>
      <c r="G131" s="112">
        <f>SUM(AC$6:AC$19)+SUM(AE$6:AE$19)+SUM(AG$6:AG$19)+SUM(AI$6:AI$19)</f>
        <v>881766.56355160673</v>
      </c>
      <c r="H131" s="112">
        <f>SUM(AK$6:AK$19)+SUM(AM$6:AM$19)+SUM(AO$6:AO$19)+SUM(AQ$6:AQ$19)</f>
        <v>868601.35270172614</v>
      </c>
      <c r="I131" s="112">
        <f>SUM(AS$6:AS$19)+SUM(AU$6:AU$19)+SUM(AW$6:AW$19)+SUM(AY$6:AY$19)</f>
        <v>683662.04514502804</v>
      </c>
      <c r="J131" s="112">
        <f>SUM(BA$6:BA$19)+SUM(BC$6:BC$19)+SUM(BE$6:BE$19)+SUM(BG$6:BG$19)</f>
        <v>1049382.4242482532</v>
      </c>
      <c r="K131" s="112">
        <f>SUM(BI$6:BI$19)+SUM(BK$6:BK$19)+SUM(BM$6:BM$19)+SUM(BO$6:BO$19)</f>
        <v>904517.18779140676</v>
      </c>
      <c r="L131" s="112">
        <f>SUM(BQ$6:BQ$19)+SUM(BS$6:BS$19)+SUM(BU$6:BU$19)+SUM(BW$6:BW$19)</f>
        <v>874568.39817791595</v>
      </c>
      <c r="M131" s="112">
        <f>SUM(BY$6:BY$19)+SUM(CA$6:CA$19)+SUM(CC$6:CC$19)+SUM(CE$6:CE$19)</f>
        <v>796125.25520354882</v>
      </c>
      <c r="N131" s="112">
        <f>SUM(CG$6:CG$19)+SUM(CI$6:CI$19)+SUM(CK$6:CK$19)+SUM(CM$6:CM$19)</f>
        <v>878974.87218824774</v>
      </c>
      <c r="O131" s="112">
        <f>SUM(CO$6:CO$19)+SUM(CQ$6:CQ$19)+SUM(CS$6:CS$19)+SUM(CU$6:CU$19)</f>
        <v>759642.76376128267</v>
      </c>
    </row>
    <row r="132" spans="2:15" x14ac:dyDescent="0.2">
      <c r="C132" s="111" t="s">
        <v>127</v>
      </c>
      <c r="D132" s="112">
        <f>SUM(E$20:E$36)+SUM(G$20:G$36)+SUM(I$20:I$36)+SUM(K$20:K$36)</f>
        <v>500075.88899096672</v>
      </c>
      <c r="E132" s="112">
        <f>SUM(M$20:M$36)+SUM(O$20:O$36)+SUM(Q$20:Q$36)+SUM(S$20:S$36)</f>
        <v>1872936.1938755699</v>
      </c>
      <c r="F132" s="112">
        <f>SUM(U$20:U$36)+SUM(W$20:W$36)+SUM(Y$20:Y$36)+SUM(AA$20:AA$36)</f>
        <v>1683387.7315661001</v>
      </c>
      <c r="G132" s="112">
        <f>SUM(AC$20:AC$36)+SUM(AE$20:AE$36)+SUM(AG$20:AG$36)+SUM(AI$20:AI$36)</f>
        <v>1661356.4301464523</v>
      </c>
      <c r="H132" s="112">
        <f>SUM(AK$20:AK$36)+SUM(AM$20:AM$36)+SUM(AO$20:AO$36)+SUM(AQ$20:AQ$36)</f>
        <v>1714777.2939692189</v>
      </c>
      <c r="I132" s="112">
        <f>SUM(AS$20:AS$36)+SUM(AU$20:AU$36)+SUM(AW$20:AW$36)+SUM(AY$20:AY$36)</f>
        <v>1490922.2368241553</v>
      </c>
      <c r="J132" s="112">
        <f>SUM(BA$20:BA$36)+SUM(BC$20:BC$36)+SUM(BE$20:BE$36)+SUM(BG$20:BG$36)</f>
        <v>1897683.4011714035</v>
      </c>
      <c r="K132" s="112">
        <f>SUM(BI$20:BI$36)+SUM(BK$20:BK$36)+SUM(BM$20:BM$36)+SUM(BO$20:BO$36)</f>
        <v>1886797.0303336561</v>
      </c>
      <c r="L132" s="112">
        <f>SUM(BQ$20:BQ$36)+SUM(BS$20:BS$36)+SUM(BU$20:BU$36)+SUM(BW$20:BW$36)</f>
        <v>1457040.7549034015</v>
      </c>
      <c r="M132" s="112">
        <f>SUM(BY$20:BY$36)+SUM(CA$20:CA$36)+SUM(CC$20:CC$36)+SUM(CE$20:CE$36)</f>
        <v>1932808.4860103799</v>
      </c>
      <c r="N132" s="112">
        <f>SUM(CG$20:CG$36)+SUM(CI$20:CI$36)+SUM(CK$20:CK$36)+SUM(CM$20:CM$36)</f>
        <v>1739843.1428707629</v>
      </c>
      <c r="O132" s="112">
        <f>SUM(CO$20:CO$36)+SUM(CQ$20:CQ$36)+SUM(CS$20:CS$36)+SUM(CU$20:CU$36)</f>
        <v>1377709.1561322329</v>
      </c>
    </row>
    <row r="133" spans="2:15" x14ac:dyDescent="0.2">
      <c r="C133" s="111" t="s">
        <v>128</v>
      </c>
      <c r="D133" s="112">
        <f>SUM(E$37:E$48)+SUM(G$37:G$48)+SUM(I$37:I$48)+SUM(K$37:K$48)</f>
        <v>482132.27931064338</v>
      </c>
      <c r="E133" s="112">
        <f>SUM(M$37:M$48)+SUM(O$37:O$48)+SUM(Q$37:Q$48)+SUM(S$37:S$48)</f>
        <v>2327744.1662301887</v>
      </c>
      <c r="F133" s="112">
        <f>SUM(U$37:U$48)+SUM(W$37:W$48)+SUM(Y$37:Y$48)+SUM(AA$37:AA$48)</f>
        <v>1887819.9183316976</v>
      </c>
      <c r="G133" s="112">
        <f>SUM(AC$37:AC$48)+SUM(AE$37:AE$48)+SUM(AG$37:AG$48)+SUM(AI$37:AI$48)</f>
        <v>2071906.9600133093</v>
      </c>
      <c r="H133" s="112">
        <f>SUM(AK$37:AK$48)+SUM(AM$37:AM$48)+SUM(AO$37:AO$48)+SUM(AQ$37:AQ$48)</f>
        <v>1787478.4712379759</v>
      </c>
      <c r="I133" s="112">
        <f>SUM(AS$37:AS$48)+SUM(AU$37:AU$48)+SUM(AW$37:AW$48)+SUM(AY$37:AY$48)</f>
        <v>1323099.9016624824</v>
      </c>
      <c r="J133" s="112">
        <f>SUM(BA$37:BA$48)+SUM(BC$37:BC$48)+SUM(BE$37:BE$48)+SUM(BG$37:BG$48)</f>
        <v>2361896.5192184718</v>
      </c>
      <c r="K133" s="112">
        <f>SUM(BI$37:BI$48)+SUM(BK$37:BK$48)+SUM(BM$37:BM$48)+SUM(BO$37:BO$48)</f>
        <v>1588414.3146170927</v>
      </c>
      <c r="L133" s="112">
        <f>SUM(BQ$37:BQ$48)+SUM(BS$37:BS$48)+SUM(BU$37:BU$48)+SUM(BW$37:BW$48)</f>
        <v>1303733.17752445</v>
      </c>
      <c r="M133" s="112">
        <f>SUM(BY$37:BY$48)+SUM(CA$37:CA$48)+SUM(CC$37:CC$48)+SUM(CE$37:CE$48)</f>
        <v>1671186.9735418377</v>
      </c>
      <c r="N133" s="112">
        <f>SUM(CG$37:CG$48)+SUM(CI$37:CI$48)+SUM(CK$37:CK$48)+SUM(CM$37:CM$48)</f>
        <v>1718903.4479966906</v>
      </c>
      <c r="O133" s="112">
        <f>SUM(CO$37:CO$48)+SUM(CQ$37:CQ$48)+SUM(CS$37:CS$48)+SUM(CU$37:CU$48)</f>
        <v>1340392.9295652125</v>
      </c>
    </row>
    <row r="134" spans="2:15" x14ac:dyDescent="0.2">
      <c r="C134" s="111" t="s">
        <v>129</v>
      </c>
      <c r="D134" s="112">
        <f>SUM(E$49:E$70)+SUM(G$49:G$70)+SUM(I$49:I$70)+SUM(K$49:K$70)</f>
        <v>522340.27612399287</v>
      </c>
      <c r="E134" s="112">
        <f>SUM(M$49:M$70)+SUM(O$49:O$70)+SUM(Q$49:Q$70)+SUM(S$49:S$70)</f>
        <v>2020264.9767330743</v>
      </c>
      <c r="F134" s="112">
        <f>SUM(U$49:U$70)+SUM(W$49:W$70)+SUM(Y$49:Y$70)+SUM(AA$49:AA$70)</f>
        <v>1954211.9192848075</v>
      </c>
      <c r="G134" s="112">
        <f>SUM(AC$49:AC$70)+SUM(AE$49:AE$70)+SUM(AG$49:AG$70)+SUM(AI$49:AI$70)</f>
        <v>1733182.6935777664</v>
      </c>
      <c r="H134" s="112">
        <f>SUM(AK$49:AK$70)+SUM(AM$49:AM$70)+SUM(AO$49:AO$70)+SUM(AQ$49:AQ$70)</f>
        <v>1865324.753226693</v>
      </c>
      <c r="I134" s="112">
        <f>SUM(AS$49:AS$70)+SUM(AU$49:AU$70)+SUM(AW$49:AW$70)+SUM(AY$49:AY$70)</f>
        <v>1468481.4033495972</v>
      </c>
      <c r="J134" s="112">
        <f>SUM(BA$49:BA$70)+SUM(BC$49:BC$70)+SUM(BE$49:BE$70)+SUM(BG$49:BG$70)</f>
        <v>2220442.2242972194</v>
      </c>
      <c r="K134" s="112">
        <f>SUM(BI$49:BI$70)+SUM(BK$49:BK$70)+SUM(BM$49:BM$70)+SUM(BO$49:BO$70)</f>
        <v>1623309.0597465539</v>
      </c>
      <c r="L134" s="112">
        <f>SUM(BQ$49:BQ$70)+SUM(BS$49:BS$70)+SUM(BU$49:BU$70)+SUM(BW$49:BW$70)</f>
        <v>1290787.9249055418</v>
      </c>
      <c r="M134" s="112">
        <f>SUM(BY$49:BY$70)+SUM(CA$49:CA$70)+SUM(CC$49:CC$70)+SUM(CE$49:CE$70)</f>
        <v>1606558.3511181157</v>
      </c>
      <c r="N134" s="112">
        <f>SUM(CG$49:CG$70)+SUM(CI$49:CI$70)+SUM(CK$49:CK$70)+SUM(CM$49:CM$70)</f>
        <v>1792950.6004606828</v>
      </c>
      <c r="O134" s="112">
        <f>SUM(CO$49:CO$70)+SUM(CQ$49:CQ$70)+SUM(CS$49:CS$70)+SUM(CU$49:CU$70)</f>
        <v>1325971.4239829755</v>
      </c>
    </row>
    <row r="135" spans="2:15" x14ac:dyDescent="0.2">
      <c r="C135" s="111" t="s">
        <v>130</v>
      </c>
      <c r="D135" s="112">
        <f>SUM(E$71:E$86)+SUM(G$71:G$86)+SUM(I$71:I$86)+SUM(K$71:K$86)</f>
        <v>0</v>
      </c>
      <c r="E135" s="112">
        <f>SUM(M$71:M$86)+SUM(O$71:O$86)+SUM(Q$71:Q$86)+SUM(S$71:S$86)</f>
        <v>0</v>
      </c>
      <c r="F135" s="112">
        <f>SUM(U$71:U$86)+SUM(W$71:W$86)+SUM(Y$71:Y$86)+SUM(AA$71:AA$86)</f>
        <v>0</v>
      </c>
      <c r="G135" s="112">
        <f>SUM(AC$71:AC$86)+SUM(AE$71:AE$86)+SUM(AG$71:AG$86)+SUM(AI$71:AI$86)</f>
        <v>0</v>
      </c>
      <c r="H135" s="112">
        <f>SUM(AK$71:AK$86)+SUM(AM$71:AM$86)+SUM(AO$71:AO$86)+SUM(AQ$71:AQ$86)</f>
        <v>0</v>
      </c>
      <c r="I135" s="112">
        <f>SUM(AS$71:AS$86)+SUM(AU$71:AU$86)+SUM(AW$71:AW$86)+SUM(AY$71:AY$86)</f>
        <v>0</v>
      </c>
      <c r="J135" s="112">
        <f>SUM(BA$71:BA$86)+SUM(BC$71:BC$86)+SUM(BE$71:BE$86)+SUM(BG$71:BG$86)</f>
        <v>0</v>
      </c>
      <c r="K135" s="112">
        <f>SUM(BI$71:BI$86)+SUM(BK$71:BK$86)+SUM(BM$71:BM$86)+SUM(BO$71:BO$86)</f>
        <v>0</v>
      </c>
      <c r="L135" s="112">
        <f>SUM(BQ$71:BQ$86)+SUM(BS$71:BS$86)+SUM(BU$71:BU$86)+SUM(BW$71:BW$86)</f>
        <v>0</v>
      </c>
      <c r="M135" s="112">
        <f>SUM(BY$71:BY$86)+SUM(CA$71:CA$86)+SUM(CC$71:CC$86)+SUM(CE$71:CE$86)</f>
        <v>0</v>
      </c>
      <c r="N135" s="112">
        <f>SUM(CG$71:CG$86)+SUM(CI$71:CI$86)+SUM(CK$71:CK$86)+SUM(CM$71:CM$86)</f>
        <v>0</v>
      </c>
      <c r="O135" s="112">
        <f>SUM(CO$71:CO$86)+SUM(CQ$71:CQ$86)+SUM(CS$71:CS$86)+SUM(CU$71:CU$86)</f>
        <v>0</v>
      </c>
    </row>
    <row r="136" spans="2:15" x14ac:dyDescent="0.2">
      <c r="C136" s="111" t="s">
        <v>131</v>
      </c>
      <c r="D136" s="112">
        <f>SUM(E$87:E$94)+SUM(G$87:G$94)+SUM(I$87:I$94)+SUM(K$87:K$94)</f>
        <v>0</v>
      </c>
      <c r="E136" s="112">
        <f>SUM(M$87:M$94)+SUM(O$87:O$94)+SUM(Q$87:Q$94)+SUM(S$87:S$94)</f>
        <v>0</v>
      </c>
      <c r="F136" s="112">
        <f>SUM(U$87:U$94)+SUM(W$87:W$94)+SUM(Y$87:Y$94)+SUM(AA$87:AA$94)</f>
        <v>0</v>
      </c>
      <c r="G136" s="112">
        <f>SUM(AC$87:AC$94)+SUM(AE$87:AE$94)+SUM(AG$87:AG$94)+SUM(AI$87:AI$94)</f>
        <v>0</v>
      </c>
      <c r="H136" s="112">
        <f>SUM(AK$87:AK$94)+SUM(AM$87:AM$94)+SUM(AO$87:AO$94)+SUM(AQ$87:AQ$94)</f>
        <v>0</v>
      </c>
      <c r="I136" s="112">
        <f>SUM(AS$87:AS$94)+SUM(AU$87:AU$94)+SUM(AW$87:AW$94)+SUM(AY$87:AY$94)</f>
        <v>0</v>
      </c>
      <c r="J136" s="112">
        <f>SUM(BA$87:BA$94)+SUM(BC$87:BC$94)+SUM(BE$87:BE$94)+SUM(BG$87:BG$94)</f>
        <v>0</v>
      </c>
      <c r="K136" s="112">
        <f>SUM(BI$87:BI$94)+SUM(BK$87:BK$94)+SUM(BM$87:BM$94)+SUM(BO$87:BO$94)</f>
        <v>0</v>
      </c>
      <c r="L136" s="112">
        <f>SUM(BQ$87:BQ$94)+SUM(BS$87:BS$94)+SUM(BU$87:BU$94)+SUM(BW$87:BW$94)</f>
        <v>0</v>
      </c>
      <c r="M136" s="112">
        <f>SUM(BY$87:BY$94)+SUM(CA$87:CA$94)+SUM(CC$87:CC$94)+SUM(CE$87:CE$94)</f>
        <v>0</v>
      </c>
      <c r="N136" s="112">
        <f>SUM(CG$87:CG$94)+SUM(CI$87:CI$94)+SUM(CK$87:CK$94)+SUM(CM$87:CM$94)</f>
        <v>0</v>
      </c>
      <c r="O136" s="112">
        <f>SUM(CO$87:CO$94)+SUM(CQ$87:CQ$94)+SUM(CS$87:CS$94)+SUM(CU$87:CU$94)</f>
        <v>0</v>
      </c>
    </row>
    <row r="137" spans="2:15" x14ac:dyDescent="0.2">
      <c r="C137" s="111" t="s">
        <v>132</v>
      </c>
      <c r="D137" s="112">
        <f>SUM(E$95:E$105)+SUM(G$95:G$105)+SUM(I$95:I$105)+SUM(K$95:K$105)</f>
        <v>0</v>
      </c>
      <c r="E137" s="112">
        <f>SUM(M$95:M$105)+SUM(O$95:O$105)+SUM(Q$95:Q$105)+SUM(S$95:S$105)</f>
        <v>0</v>
      </c>
      <c r="F137" s="112">
        <f>SUM(U$95:U$105)+SUM(W$95:W$105)+SUM(Y$95:Y$105)+SUM(AA$95:AA$105)</f>
        <v>0</v>
      </c>
      <c r="G137" s="112">
        <f>SUM(AC$95:AC$105)+SUM(AE$95:AE$105)+SUM(AG$95:AG$105)+SUM(AI$95:AI$105)</f>
        <v>0</v>
      </c>
      <c r="H137" s="112">
        <f>SUM(AK$95:AK$105)+SUM(AM$95:AM$105)+SUM(AO$95:AO$105)+SUM(AQ$95:AQ$105)</f>
        <v>0</v>
      </c>
      <c r="I137" s="112">
        <f>SUM(AS$95:AS$105)+SUM(AU$95:AU$105)+SUM(AW$95:AW$105)+SUM(AY$95:AY$105)</f>
        <v>0</v>
      </c>
      <c r="J137" s="112">
        <f>SUM(BA$95:BA$105)+SUM(BC$95:BC$105)+SUM(BE$95:BE$105)+SUM(BG$95:BG$105)</f>
        <v>0</v>
      </c>
      <c r="K137" s="112">
        <f>SUM(BI$95:BI$105)+SUM(BK$95:BK$105)+SUM(BM$95:BM$105)+SUM(BO$95:BO$105)</f>
        <v>0</v>
      </c>
      <c r="L137" s="112">
        <f>SUM(BQ$95:BQ$105)+SUM(BS$95:BS$105)+SUM(BU$95:BU$105)+SUM(BW$95:BW$105)</f>
        <v>0</v>
      </c>
      <c r="M137" s="112">
        <f>SUM(BY$95:BY$105)+SUM(CA$95:CA$105)+SUM(CC$95:CC$105)+SUM(CE$95:CE$105)</f>
        <v>0</v>
      </c>
      <c r="N137" s="112">
        <f>SUM(CG$95:CG$105)+SUM(CI$95:CI$105)+SUM(CK$95:CK$105)+SUM(CM$95:CM$105)</f>
        <v>0</v>
      </c>
      <c r="O137" s="112">
        <f>SUM(CO$95:CO$105)+SUM(CQ$95:CQ$105)+SUM(CS$95:CS$105)+SUM(CU$95:CU$105)</f>
        <v>0</v>
      </c>
    </row>
    <row r="138" spans="2:15" x14ac:dyDescent="0.2">
      <c r="C138" s="111" t="s">
        <v>277</v>
      </c>
      <c r="D138" s="106">
        <f t="shared" ref="D138:O138" si="2">SUM(D$131:D$137)</f>
        <v>1751943.1743996607</v>
      </c>
      <c r="E138" s="106">
        <f t="shared" si="2"/>
        <v>7205038.5510146338</v>
      </c>
      <c r="F138" s="106">
        <f t="shared" si="2"/>
        <v>6314586.2411434352</v>
      </c>
      <c r="G138" s="106">
        <f t="shared" si="2"/>
        <v>6348212.6472891346</v>
      </c>
      <c r="H138" s="106">
        <f t="shared" si="2"/>
        <v>6236181.8711356139</v>
      </c>
      <c r="I138" s="106">
        <f t="shared" si="2"/>
        <v>4966165.586981263</v>
      </c>
      <c r="J138" s="106">
        <f t="shared" si="2"/>
        <v>7529404.5689353477</v>
      </c>
      <c r="K138" s="106">
        <f t="shared" si="2"/>
        <v>6003037.5924887098</v>
      </c>
      <c r="L138" s="106">
        <f t="shared" si="2"/>
        <v>4926130.25551131</v>
      </c>
      <c r="M138" s="106">
        <f t="shared" si="2"/>
        <v>6006679.0658738818</v>
      </c>
      <c r="N138" s="106">
        <f t="shared" si="2"/>
        <v>6130672.063516384</v>
      </c>
      <c r="O138" s="106">
        <f t="shared" si="2"/>
        <v>4803716.273441704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271</v>
      </c>
    </row>
    <row r="3" spans="1:99" x14ac:dyDescent="0.2">
      <c r="B3" s="109" t="s">
        <v>280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172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173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174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175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176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177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178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179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181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182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183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184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185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186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187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188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189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191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192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193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194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195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196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197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198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199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201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202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203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204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205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206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207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208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209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210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211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212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213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214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0</v>
      </c>
      <c r="M49" s="106">
        <v>0</v>
      </c>
      <c r="N49" s="106">
        <v>0</v>
      </c>
      <c r="O49" s="106">
        <v>0</v>
      </c>
      <c r="P49" s="106">
        <v>0</v>
      </c>
      <c r="Q49" s="106">
        <v>0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  <c r="AY49" s="106">
        <v>0</v>
      </c>
      <c r="AZ49" s="106">
        <v>0</v>
      </c>
      <c r="BA49" s="106">
        <v>0</v>
      </c>
      <c r="BB49" s="106">
        <v>0</v>
      </c>
      <c r="BC49" s="106">
        <v>0</v>
      </c>
      <c r="BD49" s="106">
        <v>0</v>
      </c>
      <c r="BE49" s="106">
        <v>0</v>
      </c>
      <c r="BF49" s="106">
        <v>0</v>
      </c>
      <c r="BG49" s="106">
        <v>0</v>
      </c>
      <c r="BH49" s="106">
        <v>0</v>
      </c>
      <c r="BI49" s="106">
        <v>0</v>
      </c>
      <c r="BJ49" s="106">
        <v>0</v>
      </c>
      <c r="BK49" s="106">
        <v>0</v>
      </c>
      <c r="BL49" s="106">
        <v>0</v>
      </c>
      <c r="BM49" s="106">
        <v>0</v>
      </c>
      <c r="BN49" s="106">
        <v>0</v>
      </c>
      <c r="BO49" s="106">
        <v>0</v>
      </c>
      <c r="BP49" s="106">
        <v>0</v>
      </c>
      <c r="BQ49" s="106">
        <v>0</v>
      </c>
      <c r="BR49" s="106">
        <v>0</v>
      </c>
      <c r="BS49" s="106">
        <v>0</v>
      </c>
      <c r="BT49" s="106">
        <v>0</v>
      </c>
      <c r="BU49" s="106">
        <v>0</v>
      </c>
      <c r="BV49" s="106">
        <v>0</v>
      </c>
      <c r="BW49" s="106">
        <v>0</v>
      </c>
      <c r="BX49" s="106">
        <v>0</v>
      </c>
      <c r="BY49" s="106">
        <v>0</v>
      </c>
      <c r="BZ49" s="106">
        <v>0</v>
      </c>
      <c r="CA49" s="106">
        <v>0</v>
      </c>
      <c r="CB49" s="106">
        <v>0</v>
      </c>
      <c r="CC49" s="106">
        <v>0</v>
      </c>
      <c r="CD49" s="106">
        <v>0</v>
      </c>
      <c r="CE49" s="106">
        <v>0</v>
      </c>
      <c r="CF49" s="106">
        <v>0</v>
      </c>
      <c r="CG49" s="106">
        <v>0</v>
      </c>
      <c r="CH49" s="106">
        <v>0</v>
      </c>
      <c r="CI49" s="106">
        <v>0</v>
      </c>
      <c r="CJ49" s="106">
        <v>0</v>
      </c>
      <c r="CK49" s="106">
        <v>0</v>
      </c>
      <c r="CL49" s="106">
        <v>0</v>
      </c>
      <c r="CM49" s="106">
        <v>0</v>
      </c>
      <c r="CN49" s="106">
        <v>0</v>
      </c>
      <c r="CO49" s="106">
        <v>0</v>
      </c>
      <c r="CP49" s="106">
        <v>0</v>
      </c>
      <c r="CQ49" s="106">
        <v>0</v>
      </c>
      <c r="CR49" s="106">
        <v>0</v>
      </c>
      <c r="CS49" s="106">
        <v>0</v>
      </c>
      <c r="CT49" s="106">
        <v>0</v>
      </c>
      <c r="CU49" s="106">
        <v>0</v>
      </c>
    </row>
    <row r="50" spans="2:99" x14ac:dyDescent="0.2">
      <c r="C50" s="105" t="s">
        <v>215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216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217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218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219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220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221</v>
      </c>
      <c r="D56" s="106">
        <v>0</v>
      </c>
      <c r="E56" s="106">
        <v>0</v>
      </c>
      <c r="F56" s="106">
        <v>0</v>
      </c>
      <c r="G56" s="106">
        <v>0</v>
      </c>
      <c r="H56" s="106">
        <v>0</v>
      </c>
      <c r="I56" s="106">
        <v>0</v>
      </c>
      <c r="J56" s="106">
        <v>0</v>
      </c>
      <c r="K56" s="106">
        <v>0</v>
      </c>
      <c r="L56" s="106">
        <v>0</v>
      </c>
      <c r="M56" s="106">
        <v>0</v>
      </c>
      <c r="N56" s="106">
        <v>0</v>
      </c>
      <c r="O56" s="106">
        <v>0</v>
      </c>
      <c r="P56" s="106">
        <v>0</v>
      </c>
      <c r="Q56" s="106">
        <v>0</v>
      </c>
      <c r="R56" s="106">
        <v>0</v>
      </c>
      <c r="S56" s="106">
        <v>0</v>
      </c>
      <c r="T56" s="106">
        <v>0</v>
      </c>
      <c r="U56" s="106">
        <v>0</v>
      </c>
      <c r="V56" s="106">
        <v>0</v>
      </c>
      <c r="W56" s="106">
        <v>0</v>
      </c>
      <c r="X56" s="106">
        <v>0</v>
      </c>
      <c r="Y56" s="106">
        <v>0</v>
      </c>
      <c r="Z56" s="106">
        <v>0</v>
      </c>
      <c r="AA56" s="106">
        <v>0</v>
      </c>
      <c r="AB56" s="106">
        <v>0</v>
      </c>
      <c r="AC56" s="106">
        <v>0</v>
      </c>
      <c r="AD56" s="106">
        <v>0</v>
      </c>
      <c r="AE56" s="106">
        <v>0</v>
      </c>
      <c r="AF56" s="106">
        <v>0</v>
      </c>
      <c r="AG56" s="106">
        <v>0</v>
      </c>
      <c r="AH56" s="106">
        <v>0</v>
      </c>
      <c r="AI56" s="106">
        <v>0</v>
      </c>
      <c r="AJ56" s="106">
        <v>0</v>
      </c>
      <c r="AK56" s="106">
        <v>0</v>
      </c>
      <c r="AL56" s="106">
        <v>0</v>
      </c>
      <c r="AM56" s="106">
        <v>0</v>
      </c>
      <c r="AN56" s="106">
        <v>0</v>
      </c>
      <c r="AO56" s="106">
        <v>0</v>
      </c>
      <c r="AP56" s="106">
        <v>0</v>
      </c>
      <c r="AQ56" s="106">
        <v>0</v>
      </c>
      <c r="AR56" s="106">
        <v>0</v>
      </c>
      <c r="AS56" s="106">
        <v>0</v>
      </c>
      <c r="AT56" s="106">
        <v>0</v>
      </c>
      <c r="AU56" s="106">
        <v>0</v>
      </c>
      <c r="AV56" s="106">
        <v>0</v>
      </c>
      <c r="AW56" s="106">
        <v>0</v>
      </c>
      <c r="AX56" s="106">
        <v>0</v>
      </c>
      <c r="AY56" s="106">
        <v>0</v>
      </c>
      <c r="AZ56" s="106">
        <v>0</v>
      </c>
      <c r="BA56" s="106">
        <v>0</v>
      </c>
      <c r="BB56" s="106">
        <v>0</v>
      </c>
      <c r="BC56" s="106">
        <v>0</v>
      </c>
      <c r="BD56" s="106">
        <v>0</v>
      </c>
      <c r="BE56" s="106">
        <v>0</v>
      </c>
      <c r="BF56" s="106">
        <v>0</v>
      </c>
      <c r="BG56" s="106">
        <v>0</v>
      </c>
      <c r="BH56" s="106">
        <v>0</v>
      </c>
      <c r="BI56" s="106">
        <v>0</v>
      </c>
      <c r="BJ56" s="106">
        <v>0</v>
      </c>
      <c r="BK56" s="106">
        <v>0</v>
      </c>
      <c r="BL56" s="106">
        <v>0</v>
      </c>
      <c r="BM56" s="106">
        <v>0</v>
      </c>
      <c r="BN56" s="106">
        <v>0</v>
      </c>
      <c r="BO56" s="106">
        <v>0</v>
      </c>
      <c r="BP56" s="106">
        <v>0</v>
      </c>
      <c r="BQ56" s="106">
        <v>0</v>
      </c>
      <c r="BR56" s="106">
        <v>0</v>
      </c>
      <c r="BS56" s="106">
        <v>0</v>
      </c>
      <c r="BT56" s="106">
        <v>0</v>
      </c>
      <c r="BU56" s="106">
        <v>0</v>
      </c>
      <c r="BV56" s="106">
        <v>0</v>
      </c>
      <c r="BW56" s="106">
        <v>0</v>
      </c>
      <c r="BX56" s="106">
        <v>0</v>
      </c>
      <c r="BY56" s="106">
        <v>0</v>
      </c>
      <c r="BZ56" s="106">
        <v>0</v>
      </c>
      <c r="CA56" s="106">
        <v>0</v>
      </c>
      <c r="CB56" s="106">
        <v>0</v>
      </c>
      <c r="CC56" s="106">
        <v>0</v>
      </c>
      <c r="CD56" s="106">
        <v>0</v>
      </c>
      <c r="CE56" s="106">
        <v>0</v>
      </c>
      <c r="CF56" s="106">
        <v>0</v>
      </c>
      <c r="CG56" s="106">
        <v>0</v>
      </c>
      <c r="CH56" s="106">
        <v>0</v>
      </c>
      <c r="CI56" s="106">
        <v>0</v>
      </c>
      <c r="CJ56" s="106">
        <v>0</v>
      </c>
      <c r="CK56" s="106">
        <v>0</v>
      </c>
      <c r="CL56" s="106">
        <v>0</v>
      </c>
      <c r="CM56" s="106">
        <v>0</v>
      </c>
      <c r="CN56" s="106">
        <v>0</v>
      </c>
      <c r="CO56" s="106">
        <v>0</v>
      </c>
      <c r="CP56" s="106">
        <v>0</v>
      </c>
      <c r="CQ56" s="106">
        <v>0</v>
      </c>
      <c r="CR56" s="106">
        <v>0</v>
      </c>
      <c r="CS56" s="106">
        <v>0</v>
      </c>
      <c r="CT56" s="106">
        <v>0</v>
      </c>
      <c r="CU56" s="106">
        <v>0</v>
      </c>
    </row>
    <row r="57" spans="2:99" x14ac:dyDescent="0.2">
      <c r="C57" s="105" t="s">
        <v>222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223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  <c r="AY58" s="106">
        <v>0</v>
      </c>
      <c r="AZ58" s="106">
        <v>0</v>
      </c>
      <c r="BA58" s="106">
        <v>0</v>
      </c>
      <c r="BB58" s="106">
        <v>0</v>
      </c>
      <c r="BC58" s="106">
        <v>0</v>
      </c>
      <c r="BD58" s="106">
        <v>0</v>
      </c>
      <c r="BE58" s="106">
        <v>0</v>
      </c>
      <c r="BF58" s="106">
        <v>0</v>
      </c>
      <c r="BG58" s="106">
        <v>0</v>
      </c>
      <c r="BH58" s="106">
        <v>0</v>
      </c>
      <c r="BI58" s="106">
        <v>0</v>
      </c>
      <c r="BJ58" s="106">
        <v>0</v>
      </c>
      <c r="BK58" s="106">
        <v>0</v>
      </c>
      <c r="BL58" s="106">
        <v>0</v>
      </c>
      <c r="BM58" s="106">
        <v>0</v>
      </c>
      <c r="BN58" s="106">
        <v>0</v>
      </c>
      <c r="BO58" s="106">
        <v>0</v>
      </c>
      <c r="BP58" s="106">
        <v>0</v>
      </c>
      <c r="BQ58" s="106">
        <v>0</v>
      </c>
      <c r="BR58" s="106">
        <v>0</v>
      </c>
      <c r="BS58" s="106">
        <v>0</v>
      </c>
      <c r="BT58" s="106">
        <v>0</v>
      </c>
      <c r="BU58" s="106">
        <v>0</v>
      </c>
      <c r="BV58" s="106">
        <v>0</v>
      </c>
      <c r="BW58" s="106">
        <v>0</v>
      </c>
      <c r="BX58" s="106">
        <v>0</v>
      </c>
      <c r="BY58" s="106">
        <v>0</v>
      </c>
      <c r="BZ58" s="106">
        <v>0</v>
      </c>
      <c r="CA58" s="106">
        <v>0</v>
      </c>
      <c r="CB58" s="106">
        <v>0</v>
      </c>
      <c r="CC58" s="106">
        <v>0</v>
      </c>
      <c r="CD58" s="106">
        <v>0</v>
      </c>
      <c r="CE58" s="106">
        <v>0</v>
      </c>
      <c r="CF58" s="106">
        <v>0</v>
      </c>
      <c r="CG58" s="106">
        <v>0</v>
      </c>
      <c r="CH58" s="106">
        <v>0</v>
      </c>
      <c r="CI58" s="106">
        <v>0</v>
      </c>
      <c r="CJ58" s="106">
        <v>0</v>
      </c>
      <c r="CK58" s="106">
        <v>0</v>
      </c>
      <c r="CL58" s="106">
        <v>0</v>
      </c>
      <c r="CM58" s="106">
        <v>0</v>
      </c>
      <c r="CN58" s="106">
        <v>0</v>
      </c>
      <c r="CO58" s="106">
        <v>0</v>
      </c>
      <c r="CP58" s="106">
        <v>0</v>
      </c>
      <c r="CQ58" s="106">
        <v>0</v>
      </c>
      <c r="CR58" s="106">
        <v>0</v>
      </c>
      <c r="CS58" s="106">
        <v>0</v>
      </c>
      <c r="CT58" s="106">
        <v>0</v>
      </c>
      <c r="CU58" s="106">
        <v>0</v>
      </c>
    </row>
    <row r="59" spans="2:99" x14ac:dyDescent="0.2">
      <c r="C59" s="105" t="s">
        <v>224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225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226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227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228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229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230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231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232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233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234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235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236</v>
      </c>
      <c r="D71" s="106">
        <v>0</v>
      </c>
      <c r="E71" s="106">
        <v>0</v>
      </c>
      <c r="F71" s="106">
        <v>0</v>
      </c>
      <c r="G71" s="106">
        <v>0</v>
      </c>
      <c r="H71" s="106">
        <v>0</v>
      </c>
      <c r="I71" s="106">
        <v>0</v>
      </c>
      <c r="J71" s="106">
        <v>0</v>
      </c>
      <c r="K71" s="106">
        <v>0</v>
      </c>
      <c r="L71" s="106">
        <v>0</v>
      </c>
      <c r="M71" s="106">
        <v>0</v>
      </c>
      <c r="N71" s="106">
        <v>0</v>
      </c>
      <c r="O71" s="106">
        <v>0</v>
      </c>
      <c r="P71" s="106">
        <v>0</v>
      </c>
      <c r="Q71" s="106">
        <v>0</v>
      </c>
      <c r="R71" s="106">
        <v>0</v>
      </c>
      <c r="S71" s="106">
        <v>0</v>
      </c>
      <c r="T71" s="106">
        <v>0</v>
      </c>
      <c r="U71" s="106">
        <v>0</v>
      </c>
      <c r="V71" s="106">
        <v>0</v>
      </c>
      <c r="W71" s="106">
        <v>0</v>
      </c>
      <c r="X71" s="106">
        <v>0</v>
      </c>
      <c r="Y71" s="106">
        <v>0</v>
      </c>
      <c r="Z71" s="106">
        <v>0</v>
      </c>
      <c r="AA71" s="106">
        <v>0</v>
      </c>
      <c r="AB71" s="106">
        <v>0</v>
      </c>
      <c r="AC71" s="106">
        <v>0</v>
      </c>
      <c r="AD71" s="106">
        <v>0</v>
      </c>
      <c r="AE71" s="106">
        <v>0</v>
      </c>
      <c r="AF71" s="106">
        <v>0</v>
      </c>
      <c r="AG71" s="106">
        <v>0</v>
      </c>
      <c r="AH71" s="106">
        <v>0</v>
      </c>
      <c r="AI71" s="106">
        <v>0</v>
      </c>
      <c r="AJ71" s="106">
        <v>0</v>
      </c>
      <c r="AK71" s="106">
        <v>0</v>
      </c>
      <c r="AL71" s="106">
        <v>0</v>
      </c>
      <c r="AM71" s="106">
        <v>0</v>
      </c>
      <c r="AN71" s="106">
        <v>0</v>
      </c>
      <c r="AO71" s="106">
        <v>0</v>
      </c>
      <c r="AP71" s="106">
        <v>0</v>
      </c>
      <c r="AQ71" s="106">
        <v>0</v>
      </c>
      <c r="AR71" s="106">
        <v>0</v>
      </c>
      <c r="AS71" s="106">
        <v>0</v>
      </c>
      <c r="AT71" s="106">
        <v>0</v>
      </c>
      <c r="AU71" s="106">
        <v>0</v>
      </c>
      <c r="AV71" s="106">
        <v>0</v>
      </c>
      <c r="AW71" s="106">
        <v>0</v>
      </c>
      <c r="AX71" s="106">
        <v>0</v>
      </c>
      <c r="AY71" s="106">
        <v>0</v>
      </c>
      <c r="AZ71" s="106">
        <v>0</v>
      </c>
      <c r="BA71" s="106">
        <v>0</v>
      </c>
      <c r="BB71" s="106">
        <v>0</v>
      </c>
      <c r="BC71" s="106">
        <v>0</v>
      </c>
      <c r="BD71" s="106">
        <v>0</v>
      </c>
      <c r="BE71" s="106">
        <v>0</v>
      </c>
      <c r="BF71" s="106">
        <v>0</v>
      </c>
      <c r="BG71" s="106">
        <v>0</v>
      </c>
      <c r="BH71" s="106">
        <v>0</v>
      </c>
      <c r="BI71" s="106">
        <v>0</v>
      </c>
      <c r="BJ71" s="106">
        <v>0</v>
      </c>
      <c r="BK71" s="106">
        <v>0</v>
      </c>
      <c r="BL71" s="106">
        <v>0</v>
      </c>
      <c r="BM71" s="106">
        <v>0</v>
      </c>
      <c r="BN71" s="106">
        <v>0</v>
      </c>
      <c r="BO71" s="106">
        <v>0</v>
      </c>
      <c r="BP71" s="106">
        <v>0</v>
      </c>
      <c r="BQ71" s="106">
        <v>0</v>
      </c>
      <c r="BR71" s="106">
        <v>0</v>
      </c>
      <c r="BS71" s="106">
        <v>0</v>
      </c>
      <c r="BT71" s="106">
        <v>0</v>
      </c>
      <c r="BU71" s="106">
        <v>0</v>
      </c>
      <c r="BV71" s="106">
        <v>0</v>
      </c>
      <c r="BW71" s="106">
        <v>0</v>
      </c>
      <c r="BX71" s="106">
        <v>0</v>
      </c>
      <c r="BY71" s="106">
        <v>0</v>
      </c>
      <c r="BZ71" s="106">
        <v>0</v>
      </c>
      <c r="CA71" s="106">
        <v>0</v>
      </c>
      <c r="CB71" s="106">
        <v>0</v>
      </c>
      <c r="CC71" s="106">
        <v>0</v>
      </c>
      <c r="CD71" s="106">
        <v>0</v>
      </c>
      <c r="CE71" s="106">
        <v>0</v>
      </c>
      <c r="CF71" s="106">
        <v>0</v>
      </c>
      <c r="CG71" s="106">
        <v>0</v>
      </c>
      <c r="CH71" s="106">
        <v>0</v>
      </c>
      <c r="CI71" s="106">
        <v>0</v>
      </c>
      <c r="CJ71" s="106">
        <v>0</v>
      </c>
      <c r="CK71" s="106">
        <v>0</v>
      </c>
      <c r="CL71" s="106">
        <v>0</v>
      </c>
      <c r="CM71" s="106">
        <v>0</v>
      </c>
      <c r="CN71" s="106">
        <v>0</v>
      </c>
      <c r="CO71" s="106">
        <v>0</v>
      </c>
      <c r="CP71" s="106">
        <v>0</v>
      </c>
      <c r="CQ71" s="106">
        <v>0</v>
      </c>
      <c r="CR71" s="106">
        <v>0</v>
      </c>
      <c r="CS71" s="106">
        <v>0</v>
      </c>
      <c r="CT71" s="106">
        <v>0</v>
      </c>
      <c r="CU71" s="106">
        <v>0</v>
      </c>
    </row>
    <row r="72" spans="2:99" x14ac:dyDescent="0.2">
      <c r="C72" s="105" t="s">
        <v>237</v>
      </c>
      <c r="D72" s="106">
        <v>0</v>
      </c>
      <c r="E72" s="106">
        <v>0</v>
      </c>
      <c r="F72" s="106">
        <v>0</v>
      </c>
      <c r="G72" s="106">
        <v>0</v>
      </c>
      <c r="H72" s="106">
        <v>0</v>
      </c>
      <c r="I72" s="106">
        <v>0</v>
      </c>
      <c r="J72" s="106">
        <v>0</v>
      </c>
      <c r="K72" s="106">
        <v>0</v>
      </c>
      <c r="L72" s="106">
        <v>0</v>
      </c>
      <c r="M72" s="106">
        <v>0</v>
      </c>
      <c r="N72" s="106">
        <v>0</v>
      </c>
      <c r="O72" s="106">
        <v>0</v>
      </c>
      <c r="P72" s="106">
        <v>0</v>
      </c>
      <c r="Q72" s="106">
        <v>0</v>
      </c>
      <c r="R72" s="106">
        <v>0</v>
      </c>
      <c r="S72" s="106">
        <v>0</v>
      </c>
      <c r="T72" s="106">
        <v>0</v>
      </c>
      <c r="U72" s="106">
        <v>0</v>
      </c>
      <c r="V72" s="106">
        <v>0</v>
      </c>
      <c r="W72" s="106">
        <v>0</v>
      </c>
      <c r="X72" s="106">
        <v>0</v>
      </c>
      <c r="Y72" s="106">
        <v>0</v>
      </c>
      <c r="Z72" s="106">
        <v>0</v>
      </c>
      <c r="AA72" s="106">
        <v>0</v>
      </c>
      <c r="AB72" s="106">
        <v>0</v>
      </c>
      <c r="AC72" s="106">
        <v>0</v>
      </c>
      <c r="AD72" s="106">
        <v>0</v>
      </c>
      <c r="AE72" s="106">
        <v>0</v>
      </c>
      <c r="AF72" s="106">
        <v>0</v>
      </c>
      <c r="AG72" s="106">
        <v>0</v>
      </c>
      <c r="AH72" s="106">
        <v>0</v>
      </c>
      <c r="AI72" s="106">
        <v>0</v>
      </c>
      <c r="AJ72" s="106">
        <v>0</v>
      </c>
      <c r="AK72" s="106">
        <v>0</v>
      </c>
      <c r="AL72" s="106">
        <v>0</v>
      </c>
      <c r="AM72" s="106">
        <v>0</v>
      </c>
      <c r="AN72" s="106">
        <v>0</v>
      </c>
      <c r="AO72" s="106">
        <v>0</v>
      </c>
      <c r="AP72" s="106">
        <v>0</v>
      </c>
      <c r="AQ72" s="106">
        <v>0</v>
      </c>
      <c r="AR72" s="106">
        <v>0</v>
      </c>
      <c r="AS72" s="106">
        <v>0</v>
      </c>
      <c r="AT72" s="106">
        <v>0</v>
      </c>
      <c r="AU72" s="106">
        <v>0</v>
      </c>
      <c r="AV72" s="106">
        <v>0</v>
      </c>
      <c r="AW72" s="106">
        <v>0</v>
      </c>
      <c r="AX72" s="106">
        <v>0</v>
      </c>
      <c r="AY72" s="106">
        <v>0</v>
      </c>
      <c r="AZ72" s="106">
        <v>0</v>
      </c>
      <c r="BA72" s="106">
        <v>0</v>
      </c>
      <c r="BB72" s="106">
        <v>0</v>
      </c>
      <c r="BC72" s="106">
        <v>0</v>
      </c>
      <c r="BD72" s="106">
        <v>0</v>
      </c>
      <c r="BE72" s="106">
        <v>0</v>
      </c>
      <c r="BF72" s="106">
        <v>0</v>
      </c>
      <c r="BG72" s="106">
        <v>0</v>
      </c>
      <c r="BH72" s="106">
        <v>0</v>
      </c>
      <c r="BI72" s="106">
        <v>0</v>
      </c>
      <c r="BJ72" s="106">
        <v>0</v>
      </c>
      <c r="BK72" s="106">
        <v>0</v>
      </c>
      <c r="BL72" s="106">
        <v>0</v>
      </c>
      <c r="BM72" s="106">
        <v>0</v>
      </c>
      <c r="BN72" s="106">
        <v>0</v>
      </c>
      <c r="BO72" s="106">
        <v>0</v>
      </c>
      <c r="BP72" s="106">
        <v>0</v>
      </c>
      <c r="BQ72" s="106">
        <v>0</v>
      </c>
      <c r="BR72" s="106">
        <v>0</v>
      </c>
      <c r="BS72" s="106">
        <v>0</v>
      </c>
      <c r="BT72" s="106">
        <v>0</v>
      </c>
      <c r="BU72" s="106">
        <v>0</v>
      </c>
      <c r="BV72" s="106">
        <v>0</v>
      </c>
      <c r="BW72" s="106">
        <v>0</v>
      </c>
      <c r="BX72" s="106">
        <v>0</v>
      </c>
      <c r="BY72" s="106">
        <v>0</v>
      </c>
      <c r="BZ72" s="106">
        <v>0</v>
      </c>
      <c r="CA72" s="106">
        <v>0</v>
      </c>
      <c r="CB72" s="106">
        <v>0</v>
      </c>
      <c r="CC72" s="106">
        <v>0</v>
      </c>
      <c r="CD72" s="106">
        <v>0</v>
      </c>
      <c r="CE72" s="106">
        <v>0</v>
      </c>
      <c r="CF72" s="106">
        <v>0</v>
      </c>
      <c r="CG72" s="106">
        <v>0</v>
      </c>
      <c r="CH72" s="106">
        <v>0</v>
      </c>
      <c r="CI72" s="106">
        <v>0</v>
      </c>
      <c r="CJ72" s="106">
        <v>0</v>
      </c>
      <c r="CK72" s="106">
        <v>0</v>
      </c>
      <c r="CL72" s="106">
        <v>0</v>
      </c>
      <c r="CM72" s="106">
        <v>0</v>
      </c>
      <c r="CN72" s="106">
        <v>0</v>
      </c>
      <c r="CO72" s="106">
        <v>0</v>
      </c>
      <c r="CP72" s="106">
        <v>0</v>
      </c>
      <c r="CQ72" s="106">
        <v>0</v>
      </c>
      <c r="CR72" s="106">
        <v>0</v>
      </c>
      <c r="CS72" s="106">
        <v>0</v>
      </c>
      <c r="CT72" s="106">
        <v>0</v>
      </c>
      <c r="CU72" s="106">
        <v>0</v>
      </c>
    </row>
    <row r="73" spans="2:99" x14ac:dyDescent="0.2">
      <c r="C73" s="105" t="s">
        <v>238</v>
      </c>
      <c r="D73" s="106">
        <v>0</v>
      </c>
      <c r="E73" s="106">
        <v>0</v>
      </c>
      <c r="F73" s="106">
        <v>0</v>
      </c>
      <c r="G73" s="106">
        <v>0</v>
      </c>
      <c r="H73" s="106">
        <v>0</v>
      </c>
      <c r="I73" s="106">
        <v>0</v>
      </c>
      <c r="J73" s="106">
        <v>0</v>
      </c>
      <c r="K73" s="106">
        <v>0</v>
      </c>
      <c r="L73" s="106">
        <v>0</v>
      </c>
      <c r="M73" s="106">
        <v>0</v>
      </c>
      <c r="N73" s="106">
        <v>0</v>
      </c>
      <c r="O73" s="106">
        <v>0</v>
      </c>
      <c r="P73" s="106">
        <v>0</v>
      </c>
      <c r="Q73" s="106">
        <v>0</v>
      </c>
      <c r="R73" s="106">
        <v>0</v>
      </c>
      <c r="S73" s="106">
        <v>0</v>
      </c>
      <c r="T73" s="106">
        <v>0</v>
      </c>
      <c r="U73" s="106">
        <v>0</v>
      </c>
      <c r="V73" s="106">
        <v>0</v>
      </c>
      <c r="W73" s="106">
        <v>0</v>
      </c>
      <c r="X73" s="106">
        <v>0</v>
      </c>
      <c r="Y73" s="106">
        <v>0</v>
      </c>
      <c r="Z73" s="106">
        <v>0</v>
      </c>
      <c r="AA73" s="106">
        <v>0</v>
      </c>
      <c r="AB73" s="106">
        <v>0</v>
      </c>
      <c r="AC73" s="106">
        <v>0</v>
      </c>
      <c r="AD73" s="106">
        <v>0</v>
      </c>
      <c r="AE73" s="106">
        <v>0</v>
      </c>
      <c r="AF73" s="106">
        <v>0</v>
      </c>
      <c r="AG73" s="106">
        <v>0</v>
      </c>
      <c r="AH73" s="106">
        <v>0</v>
      </c>
      <c r="AI73" s="106">
        <v>0</v>
      </c>
      <c r="AJ73" s="106">
        <v>0</v>
      </c>
      <c r="AK73" s="106">
        <v>0</v>
      </c>
      <c r="AL73" s="106">
        <v>0</v>
      </c>
      <c r="AM73" s="106">
        <v>0</v>
      </c>
      <c r="AN73" s="106">
        <v>0</v>
      </c>
      <c r="AO73" s="106">
        <v>0</v>
      </c>
      <c r="AP73" s="106">
        <v>0</v>
      </c>
      <c r="AQ73" s="106">
        <v>0</v>
      </c>
      <c r="AR73" s="106">
        <v>0</v>
      </c>
      <c r="AS73" s="106">
        <v>0</v>
      </c>
      <c r="AT73" s="106">
        <v>0</v>
      </c>
      <c r="AU73" s="106">
        <v>0</v>
      </c>
      <c r="AV73" s="106">
        <v>0</v>
      </c>
      <c r="AW73" s="106">
        <v>0</v>
      </c>
      <c r="AX73" s="106">
        <v>0</v>
      </c>
      <c r="AY73" s="106">
        <v>0</v>
      </c>
      <c r="AZ73" s="106">
        <v>0</v>
      </c>
      <c r="BA73" s="106">
        <v>0</v>
      </c>
      <c r="BB73" s="106">
        <v>0</v>
      </c>
      <c r="BC73" s="106">
        <v>0</v>
      </c>
      <c r="BD73" s="106">
        <v>0</v>
      </c>
      <c r="BE73" s="106">
        <v>0</v>
      </c>
      <c r="BF73" s="106">
        <v>0</v>
      </c>
      <c r="BG73" s="106">
        <v>0</v>
      </c>
      <c r="BH73" s="106">
        <v>0</v>
      </c>
      <c r="BI73" s="106">
        <v>0</v>
      </c>
      <c r="BJ73" s="106">
        <v>0</v>
      </c>
      <c r="BK73" s="106">
        <v>0</v>
      </c>
      <c r="BL73" s="106">
        <v>0</v>
      </c>
      <c r="BM73" s="106">
        <v>0</v>
      </c>
      <c r="BN73" s="106">
        <v>0</v>
      </c>
      <c r="BO73" s="106">
        <v>0</v>
      </c>
      <c r="BP73" s="106">
        <v>0</v>
      </c>
      <c r="BQ73" s="106">
        <v>0</v>
      </c>
      <c r="BR73" s="106">
        <v>0</v>
      </c>
      <c r="BS73" s="106">
        <v>0</v>
      </c>
      <c r="BT73" s="106">
        <v>0</v>
      </c>
      <c r="BU73" s="106">
        <v>0</v>
      </c>
      <c r="BV73" s="106">
        <v>0</v>
      </c>
      <c r="BW73" s="106">
        <v>0</v>
      </c>
      <c r="BX73" s="106">
        <v>0</v>
      </c>
      <c r="BY73" s="106">
        <v>0</v>
      </c>
      <c r="BZ73" s="106">
        <v>0</v>
      </c>
      <c r="CA73" s="106">
        <v>0</v>
      </c>
      <c r="CB73" s="106">
        <v>0</v>
      </c>
      <c r="CC73" s="106">
        <v>0</v>
      </c>
      <c r="CD73" s="106">
        <v>0</v>
      </c>
      <c r="CE73" s="106">
        <v>0</v>
      </c>
      <c r="CF73" s="106">
        <v>0</v>
      </c>
      <c r="CG73" s="106">
        <v>0</v>
      </c>
      <c r="CH73" s="106">
        <v>0</v>
      </c>
      <c r="CI73" s="106">
        <v>0</v>
      </c>
      <c r="CJ73" s="106">
        <v>0</v>
      </c>
      <c r="CK73" s="106">
        <v>0</v>
      </c>
      <c r="CL73" s="106">
        <v>0</v>
      </c>
      <c r="CM73" s="106">
        <v>0</v>
      </c>
      <c r="CN73" s="106">
        <v>0</v>
      </c>
      <c r="CO73" s="106">
        <v>0</v>
      </c>
      <c r="CP73" s="106">
        <v>0</v>
      </c>
      <c r="CQ73" s="106">
        <v>0</v>
      </c>
      <c r="CR73" s="106">
        <v>0</v>
      </c>
      <c r="CS73" s="106">
        <v>0</v>
      </c>
      <c r="CT73" s="106">
        <v>0</v>
      </c>
      <c r="CU73" s="106">
        <v>0</v>
      </c>
    </row>
    <row r="74" spans="2:99" x14ac:dyDescent="0.2">
      <c r="C74" s="105" t="s">
        <v>239</v>
      </c>
      <c r="D74" s="106">
        <v>0</v>
      </c>
      <c r="E74" s="106">
        <v>0</v>
      </c>
      <c r="F74" s="106">
        <v>0</v>
      </c>
      <c r="G74" s="106">
        <v>0</v>
      </c>
      <c r="H74" s="106">
        <v>0</v>
      </c>
      <c r="I74" s="106">
        <v>0</v>
      </c>
      <c r="J74" s="106">
        <v>0</v>
      </c>
      <c r="K74" s="106">
        <v>0</v>
      </c>
      <c r="L74" s="106">
        <v>0</v>
      </c>
      <c r="M74" s="106">
        <v>0</v>
      </c>
      <c r="N74" s="106">
        <v>0</v>
      </c>
      <c r="O74" s="106">
        <v>0</v>
      </c>
      <c r="P74" s="106">
        <v>0</v>
      </c>
      <c r="Q74" s="106">
        <v>0</v>
      </c>
      <c r="R74" s="106">
        <v>0</v>
      </c>
      <c r="S74" s="106">
        <v>0</v>
      </c>
      <c r="T74" s="106">
        <v>0</v>
      </c>
      <c r="U74" s="106">
        <v>0</v>
      </c>
      <c r="V74" s="106">
        <v>0</v>
      </c>
      <c r="W74" s="106">
        <v>0</v>
      </c>
      <c r="X74" s="106">
        <v>0</v>
      </c>
      <c r="Y74" s="106">
        <v>0</v>
      </c>
      <c r="Z74" s="106">
        <v>0</v>
      </c>
      <c r="AA74" s="106">
        <v>0</v>
      </c>
      <c r="AB74" s="106">
        <v>0</v>
      </c>
      <c r="AC74" s="106">
        <v>0</v>
      </c>
      <c r="AD74" s="106">
        <v>0</v>
      </c>
      <c r="AE74" s="106">
        <v>0</v>
      </c>
      <c r="AF74" s="106">
        <v>0</v>
      </c>
      <c r="AG74" s="106">
        <v>0</v>
      </c>
      <c r="AH74" s="106">
        <v>0</v>
      </c>
      <c r="AI74" s="106">
        <v>0</v>
      </c>
      <c r="AJ74" s="106">
        <v>0</v>
      </c>
      <c r="AK74" s="106">
        <v>0</v>
      </c>
      <c r="AL74" s="106">
        <v>0</v>
      </c>
      <c r="AM74" s="106">
        <v>0</v>
      </c>
      <c r="AN74" s="106">
        <v>0</v>
      </c>
      <c r="AO74" s="106">
        <v>0</v>
      </c>
      <c r="AP74" s="106">
        <v>0</v>
      </c>
      <c r="AQ74" s="106">
        <v>0</v>
      </c>
      <c r="AR74" s="106">
        <v>0</v>
      </c>
      <c r="AS74" s="106">
        <v>0</v>
      </c>
      <c r="AT74" s="106">
        <v>0</v>
      </c>
      <c r="AU74" s="106">
        <v>0</v>
      </c>
      <c r="AV74" s="106">
        <v>0</v>
      </c>
      <c r="AW74" s="106">
        <v>0</v>
      </c>
      <c r="AX74" s="106">
        <v>0</v>
      </c>
      <c r="AY74" s="106">
        <v>0</v>
      </c>
      <c r="AZ74" s="106">
        <v>0</v>
      </c>
      <c r="BA74" s="106">
        <v>0</v>
      </c>
      <c r="BB74" s="106">
        <v>0</v>
      </c>
      <c r="BC74" s="106">
        <v>0</v>
      </c>
      <c r="BD74" s="106">
        <v>0</v>
      </c>
      <c r="BE74" s="106">
        <v>0</v>
      </c>
      <c r="BF74" s="106">
        <v>0</v>
      </c>
      <c r="BG74" s="106">
        <v>0</v>
      </c>
      <c r="BH74" s="106">
        <v>0</v>
      </c>
      <c r="BI74" s="106">
        <v>0</v>
      </c>
      <c r="BJ74" s="106">
        <v>0</v>
      </c>
      <c r="BK74" s="106">
        <v>0</v>
      </c>
      <c r="BL74" s="106">
        <v>0</v>
      </c>
      <c r="BM74" s="106">
        <v>0</v>
      </c>
      <c r="BN74" s="106">
        <v>0</v>
      </c>
      <c r="BO74" s="106">
        <v>0</v>
      </c>
      <c r="BP74" s="106">
        <v>0</v>
      </c>
      <c r="BQ74" s="106">
        <v>0</v>
      </c>
      <c r="BR74" s="106">
        <v>0</v>
      </c>
      <c r="BS74" s="106">
        <v>0</v>
      </c>
      <c r="BT74" s="106">
        <v>0</v>
      </c>
      <c r="BU74" s="106">
        <v>0</v>
      </c>
      <c r="BV74" s="106">
        <v>0</v>
      </c>
      <c r="BW74" s="106">
        <v>0</v>
      </c>
      <c r="BX74" s="106">
        <v>0</v>
      </c>
      <c r="BY74" s="106">
        <v>0</v>
      </c>
      <c r="BZ74" s="106">
        <v>0</v>
      </c>
      <c r="CA74" s="106">
        <v>0</v>
      </c>
      <c r="CB74" s="106">
        <v>0</v>
      </c>
      <c r="CC74" s="106">
        <v>0</v>
      </c>
      <c r="CD74" s="106">
        <v>0</v>
      </c>
      <c r="CE74" s="106">
        <v>0</v>
      </c>
      <c r="CF74" s="106">
        <v>0</v>
      </c>
      <c r="CG74" s="106">
        <v>0</v>
      </c>
      <c r="CH74" s="106">
        <v>0</v>
      </c>
      <c r="CI74" s="106">
        <v>0</v>
      </c>
      <c r="CJ74" s="106">
        <v>0</v>
      </c>
      <c r="CK74" s="106">
        <v>0</v>
      </c>
      <c r="CL74" s="106">
        <v>0</v>
      </c>
      <c r="CM74" s="106">
        <v>0</v>
      </c>
      <c r="CN74" s="106">
        <v>0</v>
      </c>
      <c r="CO74" s="106">
        <v>0</v>
      </c>
      <c r="CP74" s="106">
        <v>0</v>
      </c>
      <c r="CQ74" s="106">
        <v>0</v>
      </c>
      <c r="CR74" s="106">
        <v>0</v>
      </c>
      <c r="CS74" s="106">
        <v>0</v>
      </c>
      <c r="CT74" s="106">
        <v>0</v>
      </c>
      <c r="CU74" s="106">
        <v>0</v>
      </c>
    </row>
    <row r="75" spans="2:99" x14ac:dyDescent="0.2">
      <c r="C75" s="105" t="s">
        <v>240</v>
      </c>
      <c r="D75" s="106">
        <v>0</v>
      </c>
      <c r="E75" s="106">
        <v>0</v>
      </c>
      <c r="F75" s="106">
        <v>0</v>
      </c>
      <c r="G75" s="106">
        <v>0</v>
      </c>
      <c r="H75" s="106">
        <v>0</v>
      </c>
      <c r="I75" s="106">
        <v>0</v>
      </c>
      <c r="J75" s="106">
        <v>0</v>
      </c>
      <c r="K75" s="106">
        <v>0</v>
      </c>
      <c r="L75" s="106">
        <v>0</v>
      </c>
      <c r="M75" s="106">
        <v>0</v>
      </c>
      <c r="N75" s="106">
        <v>0</v>
      </c>
      <c r="O75" s="106">
        <v>0</v>
      </c>
      <c r="P75" s="106">
        <v>0</v>
      </c>
      <c r="Q75" s="106">
        <v>0</v>
      </c>
      <c r="R75" s="106">
        <v>0</v>
      </c>
      <c r="S75" s="106">
        <v>0</v>
      </c>
      <c r="T75" s="106">
        <v>0</v>
      </c>
      <c r="U75" s="106">
        <v>0</v>
      </c>
      <c r="V75" s="106">
        <v>0</v>
      </c>
      <c r="W75" s="106">
        <v>0</v>
      </c>
      <c r="X75" s="106">
        <v>0</v>
      </c>
      <c r="Y75" s="106">
        <v>0</v>
      </c>
      <c r="Z75" s="106">
        <v>0</v>
      </c>
      <c r="AA75" s="106">
        <v>0</v>
      </c>
      <c r="AB75" s="106">
        <v>0</v>
      </c>
      <c r="AC75" s="106">
        <v>0</v>
      </c>
      <c r="AD75" s="106">
        <v>0</v>
      </c>
      <c r="AE75" s="106">
        <v>0</v>
      </c>
      <c r="AF75" s="106">
        <v>0</v>
      </c>
      <c r="AG75" s="106">
        <v>0</v>
      </c>
      <c r="AH75" s="106">
        <v>0</v>
      </c>
      <c r="AI75" s="106">
        <v>0</v>
      </c>
      <c r="AJ75" s="106">
        <v>0</v>
      </c>
      <c r="AK75" s="106">
        <v>0</v>
      </c>
      <c r="AL75" s="106">
        <v>0</v>
      </c>
      <c r="AM75" s="106">
        <v>0</v>
      </c>
      <c r="AN75" s="106">
        <v>0</v>
      </c>
      <c r="AO75" s="106">
        <v>0</v>
      </c>
      <c r="AP75" s="106">
        <v>0</v>
      </c>
      <c r="AQ75" s="106">
        <v>0</v>
      </c>
      <c r="AR75" s="106">
        <v>0</v>
      </c>
      <c r="AS75" s="106">
        <v>0</v>
      </c>
      <c r="AT75" s="106">
        <v>0</v>
      </c>
      <c r="AU75" s="106">
        <v>0</v>
      </c>
      <c r="AV75" s="106">
        <v>0</v>
      </c>
      <c r="AW75" s="106">
        <v>0</v>
      </c>
      <c r="AX75" s="106">
        <v>0</v>
      </c>
      <c r="AY75" s="106">
        <v>0</v>
      </c>
      <c r="AZ75" s="106">
        <v>0</v>
      </c>
      <c r="BA75" s="106">
        <v>0</v>
      </c>
      <c r="BB75" s="106">
        <v>0</v>
      </c>
      <c r="BC75" s="106">
        <v>0</v>
      </c>
      <c r="BD75" s="106">
        <v>0</v>
      </c>
      <c r="BE75" s="106">
        <v>0</v>
      </c>
      <c r="BF75" s="106">
        <v>0</v>
      </c>
      <c r="BG75" s="106">
        <v>0</v>
      </c>
      <c r="BH75" s="106">
        <v>0</v>
      </c>
      <c r="BI75" s="106">
        <v>0</v>
      </c>
      <c r="BJ75" s="106">
        <v>0</v>
      </c>
      <c r="BK75" s="106">
        <v>0</v>
      </c>
      <c r="BL75" s="106">
        <v>0</v>
      </c>
      <c r="BM75" s="106">
        <v>0</v>
      </c>
      <c r="BN75" s="106">
        <v>0</v>
      </c>
      <c r="BO75" s="106">
        <v>0</v>
      </c>
      <c r="BP75" s="106">
        <v>0</v>
      </c>
      <c r="BQ75" s="106">
        <v>0</v>
      </c>
      <c r="BR75" s="106">
        <v>0</v>
      </c>
      <c r="BS75" s="106">
        <v>0</v>
      </c>
      <c r="BT75" s="106">
        <v>0</v>
      </c>
      <c r="BU75" s="106">
        <v>0</v>
      </c>
      <c r="BV75" s="106">
        <v>0</v>
      </c>
      <c r="BW75" s="106">
        <v>0</v>
      </c>
      <c r="BX75" s="106">
        <v>0</v>
      </c>
      <c r="BY75" s="106">
        <v>0</v>
      </c>
      <c r="BZ75" s="106">
        <v>0</v>
      </c>
      <c r="CA75" s="106">
        <v>0</v>
      </c>
      <c r="CB75" s="106">
        <v>0</v>
      </c>
      <c r="CC75" s="106">
        <v>0</v>
      </c>
      <c r="CD75" s="106">
        <v>0</v>
      </c>
      <c r="CE75" s="106">
        <v>0</v>
      </c>
      <c r="CF75" s="106">
        <v>0</v>
      </c>
      <c r="CG75" s="106">
        <v>0</v>
      </c>
      <c r="CH75" s="106">
        <v>0</v>
      </c>
      <c r="CI75" s="106">
        <v>0</v>
      </c>
      <c r="CJ75" s="106">
        <v>0</v>
      </c>
      <c r="CK75" s="106">
        <v>0</v>
      </c>
      <c r="CL75" s="106">
        <v>0</v>
      </c>
      <c r="CM75" s="106">
        <v>0</v>
      </c>
      <c r="CN75" s="106">
        <v>0</v>
      </c>
      <c r="CO75" s="106">
        <v>0</v>
      </c>
      <c r="CP75" s="106">
        <v>0</v>
      </c>
      <c r="CQ75" s="106">
        <v>0</v>
      </c>
      <c r="CR75" s="106">
        <v>0</v>
      </c>
      <c r="CS75" s="106">
        <v>0</v>
      </c>
      <c r="CT75" s="106">
        <v>0</v>
      </c>
      <c r="CU75" s="106">
        <v>0</v>
      </c>
    </row>
    <row r="76" spans="2:99" x14ac:dyDescent="0.2">
      <c r="C76" s="105" t="s">
        <v>241</v>
      </c>
      <c r="D76" s="106">
        <v>0</v>
      </c>
      <c r="E76" s="106">
        <v>0</v>
      </c>
      <c r="F76" s="106">
        <v>0</v>
      </c>
      <c r="G76" s="106">
        <v>0</v>
      </c>
      <c r="H76" s="106">
        <v>0</v>
      </c>
      <c r="I76" s="106">
        <v>0</v>
      </c>
      <c r="J76" s="106">
        <v>0</v>
      </c>
      <c r="K76" s="106">
        <v>0</v>
      </c>
      <c r="L76" s="106">
        <v>0</v>
      </c>
      <c r="M76" s="106">
        <v>0</v>
      </c>
      <c r="N76" s="106">
        <v>0</v>
      </c>
      <c r="O76" s="106">
        <v>0</v>
      </c>
      <c r="P76" s="106">
        <v>0</v>
      </c>
      <c r="Q76" s="106">
        <v>0</v>
      </c>
      <c r="R76" s="106">
        <v>0</v>
      </c>
      <c r="S76" s="106">
        <v>0</v>
      </c>
      <c r="T76" s="106">
        <v>0</v>
      </c>
      <c r="U76" s="106">
        <v>0</v>
      </c>
      <c r="V76" s="106">
        <v>0</v>
      </c>
      <c r="W76" s="106">
        <v>0</v>
      </c>
      <c r="X76" s="106">
        <v>0</v>
      </c>
      <c r="Y76" s="106">
        <v>0</v>
      </c>
      <c r="Z76" s="106">
        <v>0</v>
      </c>
      <c r="AA76" s="106">
        <v>0</v>
      </c>
      <c r="AB76" s="106">
        <v>0</v>
      </c>
      <c r="AC76" s="106">
        <v>0</v>
      </c>
      <c r="AD76" s="106">
        <v>0</v>
      </c>
      <c r="AE76" s="106">
        <v>0</v>
      </c>
      <c r="AF76" s="106">
        <v>0</v>
      </c>
      <c r="AG76" s="106">
        <v>0</v>
      </c>
      <c r="AH76" s="106">
        <v>0</v>
      </c>
      <c r="AI76" s="106">
        <v>0</v>
      </c>
      <c r="AJ76" s="106">
        <v>0</v>
      </c>
      <c r="AK76" s="106">
        <v>0</v>
      </c>
      <c r="AL76" s="106">
        <v>0</v>
      </c>
      <c r="AM76" s="106">
        <v>0</v>
      </c>
      <c r="AN76" s="106">
        <v>0</v>
      </c>
      <c r="AO76" s="106">
        <v>0</v>
      </c>
      <c r="AP76" s="106">
        <v>0</v>
      </c>
      <c r="AQ76" s="106">
        <v>0</v>
      </c>
      <c r="AR76" s="106">
        <v>0</v>
      </c>
      <c r="AS76" s="106">
        <v>0</v>
      </c>
      <c r="AT76" s="106">
        <v>0</v>
      </c>
      <c r="AU76" s="106">
        <v>0</v>
      </c>
      <c r="AV76" s="106">
        <v>0</v>
      </c>
      <c r="AW76" s="106">
        <v>0</v>
      </c>
      <c r="AX76" s="106">
        <v>0</v>
      </c>
      <c r="AY76" s="106">
        <v>0</v>
      </c>
      <c r="AZ76" s="106">
        <v>0</v>
      </c>
      <c r="BA76" s="106">
        <v>0</v>
      </c>
      <c r="BB76" s="106">
        <v>0</v>
      </c>
      <c r="BC76" s="106">
        <v>0</v>
      </c>
      <c r="BD76" s="106">
        <v>0</v>
      </c>
      <c r="BE76" s="106">
        <v>0</v>
      </c>
      <c r="BF76" s="106">
        <v>0</v>
      </c>
      <c r="BG76" s="106">
        <v>0</v>
      </c>
      <c r="BH76" s="106">
        <v>0</v>
      </c>
      <c r="BI76" s="106">
        <v>0</v>
      </c>
      <c r="BJ76" s="106">
        <v>0</v>
      </c>
      <c r="BK76" s="106">
        <v>0</v>
      </c>
      <c r="BL76" s="106">
        <v>0</v>
      </c>
      <c r="BM76" s="106">
        <v>0</v>
      </c>
      <c r="BN76" s="106">
        <v>0</v>
      </c>
      <c r="BO76" s="106">
        <v>0</v>
      </c>
      <c r="BP76" s="106">
        <v>0</v>
      </c>
      <c r="BQ76" s="106">
        <v>0</v>
      </c>
      <c r="BR76" s="106">
        <v>0</v>
      </c>
      <c r="BS76" s="106">
        <v>0</v>
      </c>
      <c r="BT76" s="106">
        <v>0</v>
      </c>
      <c r="BU76" s="106">
        <v>0</v>
      </c>
      <c r="BV76" s="106">
        <v>0</v>
      </c>
      <c r="BW76" s="106">
        <v>0</v>
      </c>
      <c r="BX76" s="106">
        <v>0</v>
      </c>
      <c r="BY76" s="106">
        <v>0</v>
      </c>
      <c r="BZ76" s="106">
        <v>0</v>
      </c>
      <c r="CA76" s="106">
        <v>0</v>
      </c>
      <c r="CB76" s="106">
        <v>0</v>
      </c>
      <c r="CC76" s="106">
        <v>0</v>
      </c>
      <c r="CD76" s="106">
        <v>0</v>
      </c>
      <c r="CE76" s="106">
        <v>0</v>
      </c>
      <c r="CF76" s="106">
        <v>0</v>
      </c>
      <c r="CG76" s="106">
        <v>0</v>
      </c>
      <c r="CH76" s="106">
        <v>0</v>
      </c>
      <c r="CI76" s="106">
        <v>0</v>
      </c>
      <c r="CJ76" s="106">
        <v>0</v>
      </c>
      <c r="CK76" s="106">
        <v>0</v>
      </c>
      <c r="CL76" s="106">
        <v>0</v>
      </c>
      <c r="CM76" s="106">
        <v>0</v>
      </c>
      <c r="CN76" s="106">
        <v>0</v>
      </c>
      <c r="CO76" s="106">
        <v>0</v>
      </c>
      <c r="CP76" s="106">
        <v>0</v>
      </c>
      <c r="CQ76" s="106">
        <v>0</v>
      </c>
      <c r="CR76" s="106">
        <v>0</v>
      </c>
      <c r="CS76" s="106">
        <v>0</v>
      </c>
      <c r="CT76" s="106">
        <v>0</v>
      </c>
      <c r="CU76" s="106">
        <v>0</v>
      </c>
    </row>
    <row r="77" spans="2:99" x14ac:dyDescent="0.2">
      <c r="C77" s="105" t="s">
        <v>242</v>
      </c>
      <c r="D77" s="106">
        <v>0</v>
      </c>
      <c r="E77" s="106">
        <v>0</v>
      </c>
      <c r="F77" s="106">
        <v>0</v>
      </c>
      <c r="G77" s="106">
        <v>0</v>
      </c>
      <c r="H77" s="106">
        <v>0</v>
      </c>
      <c r="I77" s="106">
        <v>0</v>
      </c>
      <c r="J77" s="106">
        <v>0</v>
      </c>
      <c r="K77" s="106">
        <v>0</v>
      </c>
      <c r="L77" s="106">
        <v>0</v>
      </c>
      <c r="M77" s="106">
        <v>0</v>
      </c>
      <c r="N77" s="106">
        <v>0</v>
      </c>
      <c r="O77" s="106">
        <v>0</v>
      </c>
      <c r="P77" s="106">
        <v>0</v>
      </c>
      <c r="Q77" s="106">
        <v>0</v>
      </c>
      <c r="R77" s="106">
        <v>0</v>
      </c>
      <c r="S77" s="106">
        <v>0</v>
      </c>
      <c r="T77" s="106">
        <v>0</v>
      </c>
      <c r="U77" s="106">
        <v>0</v>
      </c>
      <c r="V77" s="106">
        <v>0</v>
      </c>
      <c r="W77" s="106">
        <v>0</v>
      </c>
      <c r="X77" s="106">
        <v>0</v>
      </c>
      <c r="Y77" s="106">
        <v>0</v>
      </c>
      <c r="Z77" s="106">
        <v>0</v>
      </c>
      <c r="AA77" s="106">
        <v>0</v>
      </c>
      <c r="AB77" s="106">
        <v>0</v>
      </c>
      <c r="AC77" s="106">
        <v>0</v>
      </c>
      <c r="AD77" s="106">
        <v>0</v>
      </c>
      <c r="AE77" s="106">
        <v>0</v>
      </c>
      <c r="AF77" s="106">
        <v>0</v>
      </c>
      <c r="AG77" s="106">
        <v>0</v>
      </c>
      <c r="AH77" s="106">
        <v>0</v>
      </c>
      <c r="AI77" s="106">
        <v>0</v>
      </c>
      <c r="AJ77" s="106">
        <v>0</v>
      </c>
      <c r="AK77" s="106">
        <v>0</v>
      </c>
      <c r="AL77" s="106">
        <v>0</v>
      </c>
      <c r="AM77" s="106">
        <v>0</v>
      </c>
      <c r="AN77" s="106">
        <v>0</v>
      </c>
      <c r="AO77" s="106">
        <v>0</v>
      </c>
      <c r="AP77" s="106">
        <v>0</v>
      </c>
      <c r="AQ77" s="106">
        <v>0</v>
      </c>
      <c r="AR77" s="106">
        <v>0</v>
      </c>
      <c r="AS77" s="106">
        <v>0</v>
      </c>
      <c r="AT77" s="106">
        <v>0</v>
      </c>
      <c r="AU77" s="106">
        <v>0</v>
      </c>
      <c r="AV77" s="106">
        <v>0</v>
      </c>
      <c r="AW77" s="106">
        <v>0</v>
      </c>
      <c r="AX77" s="106">
        <v>0</v>
      </c>
      <c r="AY77" s="106">
        <v>0</v>
      </c>
      <c r="AZ77" s="106">
        <v>0</v>
      </c>
      <c r="BA77" s="106">
        <v>0</v>
      </c>
      <c r="BB77" s="106">
        <v>0</v>
      </c>
      <c r="BC77" s="106">
        <v>0</v>
      </c>
      <c r="BD77" s="106">
        <v>0</v>
      </c>
      <c r="BE77" s="106">
        <v>0</v>
      </c>
      <c r="BF77" s="106">
        <v>0</v>
      </c>
      <c r="BG77" s="106">
        <v>0</v>
      </c>
      <c r="BH77" s="106">
        <v>0</v>
      </c>
      <c r="BI77" s="106">
        <v>0</v>
      </c>
      <c r="BJ77" s="106">
        <v>0</v>
      </c>
      <c r="BK77" s="106">
        <v>0</v>
      </c>
      <c r="BL77" s="106">
        <v>0</v>
      </c>
      <c r="BM77" s="106">
        <v>0</v>
      </c>
      <c r="BN77" s="106">
        <v>0</v>
      </c>
      <c r="BO77" s="106">
        <v>0</v>
      </c>
      <c r="BP77" s="106">
        <v>0</v>
      </c>
      <c r="BQ77" s="106">
        <v>0</v>
      </c>
      <c r="BR77" s="106">
        <v>0</v>
      </c>
      <c r="BS77" s="106">
        <v>0</v>
      </c>
      <c r="BT77" s="106">
        <v>0</v>
      </c>
      <c r="BU77" s="106">
        <v>0</v>
      </c>
      <c r="BV77" s="106">
        <v>0</v>
      </c>
      <c r="BW77" s="106">
        <v>0</v>
      </c>
      <c r="BX77" s="106">
        <v>0</v>
      </c>
      <c r="BY77" s="106">
        <v>0</v>
      </c>
      <c r="BZ77" s="106">
        <v>0</v>
      </c>
      <c r="CA77" s="106">
        <v>0</v>
      </c>
      <c r="CB77" s="106">
        <v>0</v>
      </c>
      <c r="CC77" s="106">
        <v>0</v>
      </c>
      <c r="CD77" s="106">
        <v>0</v>
      </c>
      <c r="CE77" s="106">
        <v>0</v>
      </c>
      <c r="CF77" s="106">
        <v>0</v>
      </c>
      <c r="CG77" s="106">
        <v>0</v>
      </c>
      <c r="CH77" s="106">
        <v>0</v>
      </c>
      <c r="CI77" s="106">
        <v>0</v>
      </c>
      <c r="CJ77" s="106">
        <v>0</v>
      </c>
      <c r="CK77" s="106">
        <v>0</v>
      </c>
      <c r="CL77" s="106">
        <v>0</v>
      </c>
      <c r="CM77" s="106">
        <v>0</v>
      </c>
      <c r="CN77" s="106">
        <v>0</v>
      </c>
      <c r="CO77" s="106">
        <v>0</v>
      </c>
      <c r="CP77" s="106">
        <v>0</v>
      </c>
      <c r="CQ77" s="106">
        <v>0</v>
      </c>
      <c r="CR77" s="106">
        <v>0</v>
      </c>
      <c r="CS77" s="106">
        <v>0</v>
      </c>
      <c r="CT77" s="106">
        <v>0</v>
      </c>
      <c r="CU77" s="106">
        <v>0</v>
      </c>
    </row>
    <row r="78" spans="2:99" x14ac:dyDescent="0.2">
      <c r="C78" s="105" t="s">
        <v>243</v>
      </c>
      <c r="D78" s="106">
        <v>0</v>
      </c>
      <c r="E78" s="106">
        <v>0</v>
      </c>
      <c r="F78" s="106">
        <v>0</v>
      </c>
      <c r="G78" s="106">
        <v>0</v>
      </c>
      <c r="H78" s="106">
        <v>0</v>
      </c>
      <c r="I78" s="106">
        <v>0</v>
      </c>
      <c r="J78" s="106">
        <v>0</v>
      </c>
      <c r="K78" s="106">
        <v>0</v>
      </c>
      <c r="L78" s="106">
        <v>0</v>
      </c>
      <c r="M78" s="106">
        <v>0</v>
      </c>
      <c r="N78" s="106">
        <v>0</v>
      </c>
      <c r="O78" s="106">
        <v>0</v>
      </c>
      <c r="P78" s="106">
        <v>0</v>
      </c>
      <c r="Q78" s="106">
        <v>0</v>
      </c>
      <c r="R78" s="106">
        <v>0</v>
      </c>
      <c r="S78" s="106">
        <v>0</v>
      </c>
      <c r="T78" s="106">
        <v>0</v>
      </c>
      <c r="U78" s="106">
        <v>0</v>
      </c>
      <c r="V78" s="106">
        <v>0</v>
      </c>
      <c r="W78" s="106">
        <v>0</v>
      </c>
      <c r="X78" s="106">
        <v>0</v>
      </c>
      <c r="Y78" s="106">
        <v>0</v>
      </c>
      <c r="Z78" s="106">
        <v>0</v>
      </c>
      <c r="AA78" s="106">
        <v>0</v>
      </c>
      <c r="AB78" s="106">
        <v>0</v>
      </c>
      <c r="AC78" s="106">
        <v>0</v>
      </c>
      <c r="AD78" s="106">
        <v>0</v>
      </c>
      <c r="AE78" s="106">
        <v>0</v>
      </c>
      <c r="AF78" s="106">
        <v>0</v>
      </c>
      <c r="AG78" s="106">
        <v>0</v>
      </c>
      <c r="AH78" s="106">
        <v>0</v>
      </c>
      <c r="AI78" s="106">
        <v>0</v>
      </c>
      <c r="AJ78" s="106">
        <v>0</v>
      </c>
      <c r="AK78" s="106">
        <v>0</v>
      </c>
      <c r="AL78" s="106">
        <v>0</v>
      </c>
      <c r="AM78" s="106">
        <v>0</v>
      </c>
      <c r="AN78" s="106">
        <v>0</v>
      </c>
      <c r="AO78" s="106">
        <v>0</v>
      </c>
      <c r="AP78" s="106">
        <v>0</v>
      </c>
      <c r="AQ78" s="106">
        <v>0</v>
      </c>
      <c r="AR78" s="106">
        <v>0</v>
      </c>
      <c r="AS78" s="106">
        <v>0</v>
      </c>
      <c r="AT78" s="106">
        <v>0</v>
      </c>
      <c r="AU78" s="106">
        <v>0</v>
      </c>
      <c r="AV78" s="106">
        <v>0</v>
      </c>
      <c r="AW78" s="106">
        <v>0</v>
      </c>
      <c r="AX78" s="106">
        <v>0</v>
      </c>
      <c r="AY78" s="106">
        <v>0</v>
      </c>
      <c r="AZ78" s="106">
        <v>0</v>
      </c>
      <c r="BA78" s="106">
        <v>0</v>
      </c>
      <c r="BB78" s="106">
        <v>0</v>
      </c>
      <c r="BC78" s="106">
        <v>0</v>
      </c>
      <c r="BD78" s="106">
        <v>0</v>
      </c>
      <c r="BE78" s="106">
        <v>0</v>
      </c>
      <c r="BF78" s="106">
        <v>0</v>
      </c>
      <c r="BG78" s="106">
        <v>0</v>
      </c>
      <c r="BH78" s="106">
        <v>0</v>
      </c>
      <c r="BI78" s="106">
        <v>0</v>
      </c>
      <c r="BJ78" s="106">
        <v>0</v>
      </c>
      <c r="BK78" s="106">
        <v>0</v>
      </c>
      <c r="BL78" s="106">
        <v>0</v>
      </c>
      <c r="BM78" s="106">
        <v>0</v>
      </c>
      <c r="BN78" s="106">
        <v>0</v>
      </c>
      <c r="BO78" s="106">
        <v>0</v>
      </c>
      <c r="BP78" s="106">
        <v>0</v>
      </c>
      <c r="BQ78" s="106">
        <v>0</v>
      </c>
      <c r="BR78" s="106">
        <v>0</v>
      </c>
      <c r="BS78" s="106">
        <v>0</v>
      </c>
      <c r="BT78" s="106">
        <v>0</v>
      </c>
      <c r="BU78" s="106">
        <v>0</v>
      </c>
      <c r="BV78" s="106">
        <v>0</v>
      </c>
      <c r="BW78" s="106">
        <v>0</v>
      </c>
      <c r="BX78" s="106">
        <v>0</v>
      </c>
      <c r="BY78" s="106">
        <v>0</v>
      </c>
      <c r="BZ78" s="106">
        <v>0</v>
      </c>
      <c r="CA78" s="106">
        <v>0</v>
      </c>
      <c r="CB78" s="106">
        <v>0</v>
      </c>
      <c r="CC78" s="106">
        <v>0</v>
      </c>
      <c r="CD78" s="106">
        <v>0</v>
      </c>
      <c r="CE78" s="106">
        <v>0</v>
      </c>
      <c r="CF78" s="106">
        <v>0</v>
      </c>
      <c r="CG78" s="106">
        <v>0</v>
      </c>
      <c r="CH78" s="106">
        <v>0</v>
      </c>
      <c r="CI78" s="106">
        <v>0</v>
      </c>
      <c r="CJ78" s="106">
        <v>0</v>
      </c>
      <c r="CK78" s="106">
        <v>0</v>
      </c>
      <c r="CL78" s="106">
        <v>0</v>
      </c>
      <c r="CM78" s="106">
        <v>0</v>
      </c>
      <c r="CN78" s="106">
        <v>0</v>
      </c>
      <c r="CO78" s="106">
        <v>0</v>
      </c>
      <c r="CP78" s="106">
        <v>0</v>
      </c>
      <c r="CQ78" s="106">
        <v>0</v>
      </c>
      <c r="CR78" s="106">
        <v>0</v>
      </c>
      <c r="CS78" s="106">
        <v>0</v>
      </c>
      <c r="CT78" s="106">
        <v>0</v>
      </c>
      <c r="CU78" s="106">
        <v>0</v>
      </c>
    </row>
    <row r="79" spans="2:99" x14ac:dyDescent="0.2">
      <c r="C79" s="105" t="s">
        <v>244</v>
      </c>
      <c r="D79" s="106">
        <v>0</v>
      </c>
      <c r="E79" s="106">
        <v>0</v>
      </c>
      <c r="F79" s="106">
        <v>0</v>
      </c>
      <c r="G79" s="106">
        <v>0</v>
      </c>
      <c r="H79" s="106">
        <v>0</v>
      </c>
      <c r="I79" s="106">
        <v>0</v>
      </c>
      <c r="J79" s="106">
        <v>0</v>
      </c>
      <c r="K79" s="106">
        <v>0</v>
      </c>
      <c r="L79" s="106">
        <v>0</v>
      </c>
      <c r="M79" s="106">
        <v>0</v>
      </c>
      <c r="N79" s="106">
        <v>0</v>
      </c>
      <c r="O79" s="106">
        <v>0</v>
      </c>
      <c r="P79" s="106">
        <v>0</v>
      </c>
      <c r="Q79" s="106">
        <v>0</v>
      </c>
      <c r="R79" s="106">
        <v>0</v>
      </c>
      <c r="S79" s="106">
        <v>0</v>
      </c>
      <c r="T79" s="106">
        <v>0</v>
      </c>
      <c r="U79" s="106">
        <v>0</v>
      </c>
      <c r="V79" s="106">
        <v>0</v>
      </c>
      <c r="W79" s="106">
        <v>0</v>
      </c>
      <c r="X79" s="106">
        <v>0</v>
      </c>
      <c r="Y79" s="106">
        <v>0</v>
      </c>
      <c r="Z79" s="106">
        <v>0</v>
      </c>
      <c r="AA79" s="106">
        <v>0</v>
      </c>
      <c r="AB79" s="106">
        <v>0</v>
      </c>
      <c r="AC79" s="106">
        <v>0</v>
      </c>
      <c r="AD79" s="106">
        <v>0</v>
      </c>
      <c r="AE79" s="106">
        <v>0</v>
      </c>
      <c r="AF79" s="106">
        <v>0</v>
      </c>
      <c r="AG79" s="106">
        <v>0</v>
      </c>
      <c r="AH79" s="106">
        <v>0</v>
      </c>
      <c r="AI79" s="106">
        <v>0</v>
      </c>
      <c r="AJ79" s="106">
        <v>0</v>
      </c>
      <c r="AK79" s="106">
        <v>0</v>
      </c>
      <c r="AL79" s="106">
        <v>0</v>
      </c>
      <c r="AM79" s="106">
        <v>0</v>
      </c>
      <c r="AN79" s="106">
        <v>0</v>
      </c>
      <c r="AO79" s="106">
        <v>0</v>
      </c>
      <c r="AP79" s="106">
        <v>0</v>
      </c>
      <c r="AQ79" s="106">
        <v>0</v>
      </c>
      <c r="AR79" s="106">
        <v>0</v>
      </c>
      <c r="AS79" s="106">
        <v>0</v>
      </c>
      <c r="AT79" s="106">
        <v>0</v>
      </c>
      <c r="AU79" s="106">
        <v>0</v>
      </c>
      <c r="AV79" s="106">
        <v>0</v>
      </c>
      <c r="AW79" s="106">
        <v>0</v>
      </c>
      <c r="AX79" s="106">
        <v>0</v>
      </c>
      <c r="AY79" s="106">
        <v>0</v>
      </c>
      <c r="AZ79" s="106">
        <v>0</v>
      </c>
      <c r="BA79" s="106">
        <v>0</v>
      </c>
      <c r="BB79" s="106">
        <v>0</v>
      </c>
      <c r="BC79" s="106">
        <v>0</v>
      </c>
      <c r="BD79" s="106">
        <v>0</v>
      </c>
      <c r="BE79" s="106">
        <v>0</v>
      </c>
      <c r="BF79" s="106">
        <v>0</v>
      </c>
      <c r="BG79" s="106">
        <v>0</v>
      </c>
      <c r="BH79" s="106">
        <v>0</v>
      </c>
      <c r="BI79" s="106">
        <v>0</v>
      </c>
      <c r="BJ79" s="106">
        <v>0</v>
      </c>
      <c r="BK79" s="106">
        <v>0</v>
      </c>
      <c r="BL79" s="106">
        <v>0</v>
      </c>
      <c r="BM79" s="106">
        <v>0</v>
      </c>
      <c r="BN79" s="106">
        <v>0</v>
      </c>
      <c r="BO79" s="106">
        <v>0</v>
      </c>
      <c r="BP79" s="106">
        <v>0</v>
      </c>
      <c r="BQ79" s="106">
        <v>0</v>
      </c>
      <c r="BR79" s="106">
        <v>0</v>
      </c>
      <c r="BS79" s="106">
        <v>0</v>
      </c>
      <c r="BT79" s="106">
        <v>0</v>
      </c>
      <c r="BU79" s="106">
        <v>0</v>
      </c>
      <c r="BV79" s="106">
        <v>0</v>
      </c>
      <c r="BW79" s="106">
        <v>0</v>
      </c>
      <c r="BX79" s="106">
        <v>0</v>
      </c>
      <c r="BY79" s="106">
        <v>0</v>
      </c>
      <c r="BZ79" s="106">
        <v>0</v>
      </c>
      <c r="CA79" s="106">
        <v>0</v>
      </c>
      <c r="CB79" s="106">
        <v>0</v>
      </c>
      <c r="CC79" s="106">
        <v>0</v>
      </c>
      <c r="CD79" s="106">
        <v>0</v>
      </c>
      <c r="CE79" s="106">
        <v>0</v>
      </c>
      <c r="CF79" s="106">
        <v>0</v>
      </c>
      <c r="CG79" s="106">
        <v>0</v>
      </c>
      <c r="CH79" s="106">
        <v>0</v>
      </c>
      <c r="CI79" s="106">
        <v>0</v>
      </c>
      <c r="CJ79" s="106">
        <v>0</v>
      </c>
      <c r="CK79" s="106">
        <v>0</v>
      </c>
      <c r="CL79" s="106">
        <v>0</v>
      </c>
      <c r="CM79" s="106">
        <v>0</v>
      </c>
      <c r="CN79" s="106">
        <v>0</v>
      </c>
      <c r="CO79" s="106">
        <v>0</v>
      </c>
      <c r="CP79" s="106">
        <v>0</v>
      </c>
      <c r="CQ79" s="106">
        <v>0</v>
      </c>
      <c r="CR79" s="106">
        <v>0</v>
      </c>
      <c r="CS79" s="106">
        <v>0</v>
      </c>
      <c r="CT79" s="106">
        <v>0</v>
      </c>
      <c r="CU79" s="106">
        <v>0</v>
      </c>
    </row>
    <row r="80" spans="2:99" x14ac:dyDescent="0.2">
      <c r="C80" s="105" t="s">
        <v>245</v>
      </c>
      <c r="D80" s="106">
        <v>0</v>
      </c>
      <c r="E80" s="106">
        <v>0</v>
      </c>
      <c r="F80" s="106">
        <v>0</v>
      </c>
      <c r="G80" s="106">
        <v>0</v>
      </c>
      <c r="H80" s="106">
        <v>0</v>
      </c>
      <c r="I80" s="106">
        <v>0</v>
      </c>
      <c r="J80" s="106">
        <v>0</v>
      </c>
      <c r="K80" s="106">
        <v>0</v>
      </c>
      <c r="L80" s="106">
        <v>0</v>
      </c>
      <c r="M80" s="106">
        <v>0</v>
      </c>
      <c r="N80" s="106">
        <v>0</v>
      </c>
      <c r="O80" s="106">
        <v>0</v>
      </c>
      <c r="P80" s="106">
        <v>0</v>
      </c>
      <c r="Q80" s="106">
        <v>0</v>
      </c>
      <c r="R80" s="106">
        <v>0</v>
      </c>
      <c r="S80" s="106">
        <v>0</v>
      </c>
      <c r="T80" s="106">
        <v>0</v>
      </c>
      <c r="U80" s="106">
        <v>0</v>
      </c>
      <c r="V80" s="106">
        <v>0</v>
      </c>
      <c r="W80" s="106">
        <v>0</v>
      </c>
      <c r="X80" s="106">
        <v>0</v>
      </c>
      <c r="Y80" s="106">
        <v>0</v>
      </c>
      <c r="Z80" s="106">
        <v>0</v>
      </c>
      <c r="AA80" s="106">
        <v>0</v>
      </c>
      <c r="AB80" s="106">
        <v>0</v>
      </c>
      <c r="AC80" s="106">
        <v>0</v>
      </c>
      <c r="AD80" s="106">
        <v>0</v>
      </c>
      <c r="AE80" s="106">
        <v>0</v>
      </c>
      <c r="AF80" s="106">
        <v>0</v>
      </c>
      <c r="AG80" s="106">
        <v>0</v>
      </c>
      <c r="AH80" s="106">
        <v>0</v>
      </c>
      <c r="AI80" s="106">
        <v>0</v>
      </c>
      <c r="AJ80" s="106">
        <v>0</v>
      </c>
      <c r="AK80" s="106">
        <v>0</v>
      </c>
      <c r="AL80" s="106">
        <v>0</v>
      </c>
      <c r="AM80" s="106">
        <v>0</v>
      </c>
      <c r="AN80" s="106">
        <v>0</v>
      </c>
      <c r="AO80" s="106">
        <v>0</v>
      </c>
      <c r="AP80" s="106">
        <v>0</v>
      </c>
      <c r="AQ80" s="106">
        <v>0</v>
      </c>
      <c r="AR80" s="106">
        <v>0</v>
      </c>
      <c r="AS80" s="106">
        <v>0</v>
      </c>
      <c r="AT80" s="106">
        <v>0</v>
      </c>
      <c r="AU80" s="106">
        <v>0</v>
      </c>
      <c r="AV80" s="106">
        <v>0</v>
      </c>
      <c r="AW80" s="106">
        <v>0</v>
      </c>
      <c r="AX80" s="106">
        <v>0</v>
      </c>
      <c r="AY80" s="106">
        <v>0</v>
      </c>
      <c r="AZ80" s="106">
        <v>0</v>
      </c>
      <c r="BA80" s="106">
        <v>0</v>
      </c>
      <c r="BB80" s="106">
        <v>0</v>
      </c>
      <c r="BC80" s="106">
        <v>0</v>
      </c>
      <c r="BD80" s="106">
        <v>0</v>
      </c>
      <c r="BE80" s="106">
        <v>0</v>
      </c>
      <c r="BF80" s="106">
        <v>0</v>
      </c>
      <c r="BG80" s="106">
        <v>0</v>
      </c>
      <c r="BH80" s="106">
        <v>0</v>
      </c>
      <c r="BI80" s="106">
        <v>0</v>
      </c>
      <c r="BJ80" s="106">
        <v>0</v>
      </c>
      <c r="BK80" s="106">
        <v>0</v>
      </c>
      <c r="BL80" s="106">
        <v>0</v>
      </c>
      <c r="BM80" s="106">
        <v>0</v>
      </c>
      <c r="BN80" s="106">
        <v>0</v>
      </c>
      <c r="BO80" s="106">
        <v>0</v>
      </c>
      <c r="BP80" s="106">
        <v>0</v>
      </c>
      <c r="BQ80" s="106">
        <v>0</v>
      </c>
      <c r="BR80" s="106">
        <v>0</v>
      </c>
      <c r="BS80" s="106">
        <v>0</v>
      </c>
      <c r="BT80" s="106">
        <v>0</v>
      </c>
      <c r="BU80" s="106">
        <v>0</v>
      </c>
      <c r="BV80" s="106">
        <v>0</v>
      </c>
      <c r="BW80" s="106">
        <v>0</v>
      </c>
      <c r="BX80" s="106">
        <v>0</v>
      </c>
      <c r="BY80" s="106">
        <v>0</v>
      </c>
      <c r="BZ80" s="106">
        <v>0</v>
      </c>
      <c r="CA80" s="106">
        <v>0</v>
      </c>
      <c r="CB80" s="106">
        <v>0</v>
      </c>
      <c r="CC80" s="106">
        <v>0</v>
      </c>
      <c r="CD80" s="106">
        <v>0</v>
      </c>
      <c r="CE80" s="106">
        <v>0</v>
      </c>
      <c r="CF80" s="106">
        <v>0</v>
      </c>
      <c r="CG80" s="106">
        <v>0</v>
      </c>
      <c r="CH80" s="106">
        <v>0</v>
      </c>
      <c r="CI80" s="106">
        <v>0</v>
      </c>
      <c r="CJ80" s="106">
        <v>0</v>
      </c>
      <c r="CK80" s="106">
        <v>0</v>
      </c>
      <c r="CL80" s="106">
        <v>0</v>
      </c>
      <c r="CM80" s="106">
        <v>0</v>
      </c>
      <c r="CN80" s="106">
        <v>0</v>
      </c>
      <c r="CO80" s="106">
        <v>0</v>
      </c>
      <c r="CP80" s="106">
        <v>0</v>
      </c>
      <c r="CQ80" s="106">
        <v>0</v>
      </c>
      <c r="CR80" s="106">
        <v>0</v>
      </c>
      <c r="CS80" s="106">
        <v>0</v>
      </c>
      <c r="CT80" s="106">
        <v>0</v>
      </c>
      <c r="CU80" s="106">
        <v>0</v>
      </c>
    </row>
    <row r="81" spans="2:99" x14ac:dyDescent="0.2">
      <c r="C81" s="105" t="s">
        <v>246</v>
      </c>
      <c r="D81" s="106">
        <v>0</v>
      </c>
      <c r="E81" s="106">
        <v>0</v>
      </c>
      <c r="F81" s="106">
        <v>0</v>
      </c>
      <c r="G81" s="106">
        <v>0</v>
      </c>
      <c r="H81" s="106">
        <v>0</v>
      </c>
      <c r="I81" s="106">
        <v>0</v>
      </c>
      <c r="J81" s="106">
        <v>0</v>
      </c>
      <c r="K81" s="106">
        <v>0</v>
      </c>
      <c r="L81" s="106">
        <v>0</v>
      </c>
      <c r="M81" s="106">
        <v>0</v>
      </c>
      <c r="N81" s="106">
        <v>0</v>
      </c>
      <c r="O81" s="106">
        <v>0</v>
      </c>
      <c r="P81" s="106">
        <v>0</v>
      </c>
      <c r="Q81" s="106">
        <v>0</v>
      </c>
      <c r="R81" s="106">
        <v>0</v>
      </c>
      <c r="S81" s="106">
        <v>0</v>
      </c>
      <c r="T81" s="106">
        <v>0</v>
      </c>
      <c r="U81" s="106">
        <v>0</v>
      </c>
      <c r="V81" s="106">
        <v>0</v>
      </c>
      <c r="W81" s="106">
        <v>0</v>
      </c>
      <c r="X81" s="106">
        <v>0</v>
      </c>
      <c r="Y81" s="106">
        <v>0</v>
      </c>
      <c r="Z81" s="106">
        <v>0</v>
      </c>
      <c r="AA81" s="106">
        <v>0</v>
      </c>
      <c r="AB81" s="106">
        <v>0</v>
      </c>
      <c r="AC81" s="106">
        <v>0</v>
      </c>
      <c r="AD81" s="106">
        <v>0</v>
      </c>
      <c r="AE81" s="106">
        <v>0</v>
      </c>
      <c r="AF81" s="106">
        <v>0</v>
      </c>
      <c r="AG81" s="106">
        <v>0</v>
      </c>
      <c r="AH81" s="106">
        <v>0</v>
      </c>
      <c r="AI81" s="106">
        <v>0</v>
      </c>
      <c r="AJ81" s="106">
        <v>0</v>
      </c>
      <c r="AK81" s="106">
        <v>0</v>
      </c>
      <c r="AL81" s="106">
        <v>0</v>
      </c>
      <c r="AM81" s="106">
        <v>0</v>
      </c>
      <c r="AN81" s="106">
        <v>0</v>
      </c>
      <c r="AO81" s="106">
        <v>0</v>
      </c>
      <c r="AP81" s="106">
        <v>0</v>
      </c>
      <c r="AQ81" s="106">
        <v>0</v>
      </c>
      <c r="AR81" s="106">
        <v>0</v>
      </c>
      <c r="AS81" s="106">
        <v>0</v>
      </c>
      <c r="AT81" s="106">
        <v>0</v>
      </c>
      <c r="AU81" s="106">
        <v>0</v>
      </c>
      <c r="AV81" s="106">
        <v>0</v>
      </c>
      <c r="AW81" s="106">
        <v>0</v>
      </c>
      <c r="AX81" s="106">
        <v>0</v>
      </c>
      <c r="AY81" s="106">
        <v>0</v>
      </c>
      <c r="AZ81" s="106">
        <v>0</v>
      </c>
      <c r="BA81" s="106">
        <v>0</v>
      </c>
      <c r="BB81" s="106">
        <v>0</v>
      </c>
      <c r="BC81" s="106">
        <v>0</v>
      </c>
      <c r="BD81" s="106">
        <v>0</v>
      </c>
      <c r="BE81" s="106">
        <v>0</v>
      </c>
      <c r="BF81" s="106">
        <v>0</v>
      </c>
      <c r="BG81" s="106">
        <v>0</v>
      </c>
      <c r="BH81" s="106">
        <v>0</v>
      </c>
      <c r="BI81" s="106">
        <v>0</v>
      </c>
      <c r="BJ81" s="106">
        <v>0</v>
      </c>
      <c r="BK81" s="106">
        <v>0</v>
      </c>
      <c r="BL81" s="106">
        <v>0</v>
      </c>
      <c r="BM81" s="106">
        <v>0</v>
      </c>
      <c r="BN81" s="106">
        <v>0</v>
      </c>
      <c r="BO81" s="106">
        <v>0</v>
      </c>
      <c r="BP81" s="106">
        <v>0</v>
      </c>
      <c r="BQ81" s="106">
        <v>0</v>
      </c>
      <c r="BR81" s="106">
        <v>0</v>
      </c>
      <c r="BS81" s="106">
        <v>0</v>
      </c>
      <c r="BT81" s="106">
        <v>0</v>
      </c>
      <c r="BU81" s="106">
        <v>0</v>
      </c>
      <c r="BV81" s="106">
        <v>0</v>
      </c>
      <c r="BW81" s="106">
        <v>0</v>
      </c>
      <c r="BX81" s="106">
        <v>0</v>
      </c>
      <c r="BY81" s="106">
        <v>0</v>
      </c>
      <c r="BZ81" s="106">
        <v>0</v>
      </c>
      <c r="CA81" s="106">
        <v>0</v>
      </c>
      <c r="CB81" s="106">
        <v>0</v>
      </c>
      <c r="CC81" s="106">
        <v>0</v>
      </c>
      <c r="CD81" s="106">
        <v>0</v>
      </c>
      <c r="CE81" s="106">
        <v>0</v>
      </c>
      <c r="CF81" s="106">
        <v>0</v>
      </c>
      <c r="CG81" s="106">
        <v>0</v>
      </c>
      <c r="CH81" s="106">
        <v>0</v>
      </c>
      <c r="CI81" s="106">
        <v>0</v>
      </c>
      <c r="CJ81" s="106">
        <v>0</v>
      </c>
      <c r="CK81" s="106">
        <v>0</v>
      </c>
      <c r="CL81" s="106">
        <v>0</v>
      </c>
      <c r="CM81" s="106">
        <v>0</v>
      </c>
      <c r="CN81" s="106">
        <v>0</v>
      </c>
      <c r="CO81" s="106">
        <v>0</v>
      </c>
      <c r="CP81" s="106">
        <v>0</v>
      </c>
      <c r="CQ81" s="106">
        <v>0</v>
      </c>
      <c r="CR81" s="106">
        <v>0</v>
      </c>
      <c r="CS81" s="106">
        <v>0</v>
      </c>
      <c r="CT81" s="106">
        <v>0</v>
      </c>
      <c r="CU81" s="106">
        <v>0</v>
      </c>
    </row>
    <row r="82" spans="2:99" x14ac:dyDescent="0.2">
      <c r="C82" s="105" t="s">
        <v>247</v>
      </c>
      <c r="D82" s="106">
        <v>0</v>
      </c>
      <c r="E82" s="106">
        <v>0</v>
      </c>
      <c r="F82" s="106">
        <v>0</v>
      </c>
      <c r="G82" s="106">
        <v>0</v>
      </c>
      <c r="H82" s="106">
        <v>0</v>
      </c>
      <c r="I82" s="106">
        <v>0</v>
      </c>
      <c r="J82" s="106">
        <v>0</v>
      </c>
      <c r="K82" s="106">
        <v>0</v>
      </c>
      <c r="L82" s="106">
        <v>0</v>
      </c>
      <c r="M82" s="106">
        <v>0</v>
      </c>
      <c r="N82" s="106">
        <v>0</v>
      </c>
      <c r="O82" s="106">
        <v>0</v>
      </c>
      <c r="P82" s="106">
        <v>0</v>
      </c>
      <c r="Q82" s="106">
        <v>0</v>
      </c>
      <c r="R82" s="106">
        <v>0</v>
      </c>
      <c r="S82" s="106">
        <v>0</v>
      </c>
      <c r="T82" s="106">
        <v>0</v>
      </c>
      <c r="U82" s="106">
        <v>0</v>
      </c>
      <c r="V82" s="106">
        <v>0</v>
      </c>
      <c r="W82" s="106">
        <v>0</v>
      </c>
      <c r="X82" s="106">
        <v>0</v>
      </c>
      <c r="Y82" s="106">
        <v>0</v>
      </c>
      <c r="Z82" s="106">
        <v>0</v>
      </c>
      <c r="AA82" s="106">
        <v>0</v>
      </c>
      <c r="AB82" s="106">
        <v>0</v>
      </c>
      <c r="AC82" s="106">
        <v>0</v>
      </c>
      <c r="AD82" s="106">
        <v>0</v>
      </c>
      <c r="AE82" s="106">
        <v>0</v>
      </c>
      <c r="AF82" s="106">
        <v>0</v>
      </c>
      <c r="AG82" s="106">
        <v>0</v>
      </c>
      <c r="AH82" s="106">
        <v>0</v>
      </c>
      <c r="AI82" s="106">
        <v>0</v>
      </c>
      <c r="AJ82" s="106">
        <v>0</v>
      </c>
      <c r="AK82" s="106">
        <v>0</v>
      </c>
      <c r="AL82" s="106">
        <v>0</v>
      </c>
      <c r="AM82" s="106">
        <v>0</v>
      </c>
      <c r="AN82" s="106">
        <v>0</v>
      </c>
      <c r="AO82" s="106">
        <v>0</v>
      </c>
      <c r="AP82" s="106">
        <v>0</v>
      </c>
      <c r="AQ82" s="106">
        <v>0</v>
      </c>
      <c r="AR82" s="106">
        <v>0</v>
      </c>
      <c r="AS82" s="106">
        <v>0</v>
      </c>
      <c r="AT82" s="106">
        <v>0</v>
      </c>
      <c r="AU82" s="106">
        <v>0</v>
      </c>
      <c r="AV82" s="106">
        <v>0</v>
      </c>
      <c r="AW82" s="106">
        <v>0</v>
      </c>
      <c r="AX82" s="106">
        <v>0</v>
      </c>
      <c r="AY82" s="106">
        <v>0</v>
      </c>
      <c r="AZ82" s="106">
        <v>0</v>
      </c>
      <c r="BA82" s="106">
        <v>0</v>
      </c>
      <c r="BB82" s="106">
        <v>0</v>
      </c>
      <c r="BC82" s="106">
        <v>0</v>
      </c>
      <c r="BD82" s="106">
        <v>0</v>
      </c>
      <c r="BE82" s="106">
        <v>0</v>
      </c>
      <c r="BF82" s="106">
        <v>0</v>
      </c>
      <c r="BG82" s="106">
        <v>0</v>
      </c>
      <c r="BH82" s="106">
        <v>0</v>
      </c>
      <c r="BI82" s="106">
        <v>0</v>
      </c>
      <c r="BJ82" s="106">
        <v>0</v>
      </c>
      <c r="BK82" s="106">
        <v>0</v>
      </c>
      <c r="BL82" s="106">
        <v>0</v>
      </c>
      <c r="BM82" s="106">
        <v>0</v>
      </c>
      <c r="BN82" s="106">
        <v>0</v>
      </c>
      <c r="BO82" s="106">
        <v>0</v>
      </c>
      <c r="BP82" s="106">
        <v>0</v>
      </c>
      <c r="BQ82" s="106">
        <v>0</v>
      </c>
      <c r="BR82" s="106">
        <v>0</v>
      </c>
      <c r="BS82" s="106">
        <v>0</v>
      </c>
      <c r="BT82" s="106">
        <v>0</v>
      </c>
      <c r="BU82" s="106">
        <v>0</v>
      </c>
      <c r="BV82" s="106">
        <v>0</v>
      </c>
      <c r="BW82" s="106">
        <v>0</v>
      </c>
      <c r="BX82" s="106">
        <v>0</v>
      </c>
      <c r="BY82" s="106">
        <v>0</v>
      </c>
      <c r="BZ82" s="106">
        <v>0</v>
      </c>
      <c r="CA82" s="106">
        <v>0</v>
      </c>
      <c r="CB82" s="106">
        <v>0</v>
      </c>
      <c r="CC82" s="106">
        <v>0</v>
      </c>
      <c r="CD82" s="106">
        <v>0</v>
      </c>
      <c r="CE82" s="106">
        <v>0</v>
      </c>
      <c r="CF82" s="106">
        <v>0</v>
      </c>
      <c r="CG82" s="106">
        <v>0</v>
      </c>
      <c r="CH82" s="106">
        <v>0</v>
      </c>
      <c r="CI82" s="106">
        <v>0</v>
      </c>
      <c r="CJ82" s="106">
        <v>0</v>
      </c>
      <c r="CK82" s="106">
        <v>0</v>
      </c>
      <c r="CL82" s="106">
        <v>0</v>
      </c>
      <c r="CM82" s="106">
        <v>0</v>
      </c>
      <c r="CN82" s="106">
        <v>0</v>
      </c>
      <c r="CO82" s="106">
        <v>0</v>
      </c>
      <c r="CP82" s="106">
        <v>0</v>
      </c>
      <c r="CQ82" s="106">
        <v>0</v>
      </c>
      <c r="CR82" s="106">
        <v>0</v>
      </c>
      <c r="CS82" s="106">
        <v>0</v>
      </c>
      <c r="CT82" s="106">
        <v>0</v>
      </c>
      <c r="CU82" s="106">
        <v>0</v>
      </c>
    </row>
    <row r="83" spans="2:99" x14ac:dyDescent="0.2">
      <c r="C83" s="105" t="s">
        <v>248</v>
      </c>
      <c r="D83" s="106">
        <v>0</v>
      </c>
      <c r="E83" s="106">
        <v>0</v>
      </c>
      <c r="F83" s="106">
        <v>0</v>
      </c>
      <c r="G83" s="106">
        <v>0</v>
      </c>
      <c r="H83" s="106">
        <v>0</v>
      </c>
      <c r="I83" s="106">
        <v>0</v>
      </c>
      <c r="J83" s="106">
        <v>0</v>
      </c>
      <c r="K83" s="106">
        <v>0</v>
      </c>
      <c r="L83" s="106">
        <v>0</v>
      </c>
      <c r="M83" s="106">
        <v>0</v>
      </c>
      <c r="N83" s="106">
        <v>0</v>
      </c>
      <c r="O83" s="106">
        <v>0</v>
      </c>
      <c r="P83" s="106">
        <v>0</v>
      </c>
      <c r="Q83" s="106">
        <v>0</v>
      </c>
      <c r="R83" s="106">
        <v>0</v>
      </c>
      <c r="S83" s="106">
        <v>0</v>
      </c>
      <c r="T83" s="106">
        <v>0</v>
      </c>
      <c r="U83" s="106">
        <v>0</v>
      </c>
      <c r="V83" s="106">
        <v>0</v>
      </c>
      <c r="W83" s="106">
        <v>0</v>
      </c>
      <c r="X83" s="106">
        <v>0</v>
      </c>
      <c r="Y83" s="106">
        <v>0</v>
      </c>
      <c r="Z83" s="106">
        <v>0</v>
      </c>
      <c r="AA83" s="106">
        <v>0</v>
      </c>
      <c r="AB83" s="106">
        <v>0</v>
      </c>
      <c r="AC83" s="106">
        <v>0</v>
      </c>
      <c r="AD83" s="106">
        <v>0</v>
      </c>
      <c r="AE83" s="106">
        <v>0</v>
      </c>
      <c r="AF83" s="106">
        <v>0</v>
      </c>
      <c r="AG83" s="106">
        <v>0</v>
      </c>
      <c r="AH83" s="106">
        <v>0</v>
      </c>
      <c r="AI83" s="106">
        <v>0</v>
      </c>
      <c r="AJ83" s="106">
        <v>0</v>
      </c>
      <c r="AK83" s="106">
        <v>0</v>
      </c>
      <c r="AL83" s="106">
        <v>0</v>
      </c>
      <c r="AM83" s="106">
        <v>0</v>
      </c>
      <c r="AN83" s="106">
        <v>0</v>
      </c>
      <c r="AO83" s="106">
        <v>0</v>
      </c>
      <c r="AP83" s="106">
        <v>0</v>
      </c>
      <c r="AQ83" s="106">
        <v>0</v>
      </c>
      <c r="AR83" s="106">
        <v>0</v>
      </c>
      <c r="AS83" s="106">
        <v>0</v>
      </c>
      <c r="AT83" s="106">
        <v>0</v>
      </c>
      <c r="AU83" s="106">
        <v>0</v>
      </c>
      <c r="AV83" s="106">
        <v>0</v>
      </c>
      <c r="AW83" s="106">
        <v>0</v>
      </c>
      <c r="AX83" s="106">
        <v>0</v>
      </c>
      <c r="AY83" s="106">
        <v>0</v>
      </c>
      <c r="AZ83" s="106">
        <v>0</v>
      </c>
      <c r="BA83" s="106">
        <v>0</v>
      </c>
      <c r="BB83" s="106">
        <v>0</v>
      </c>
      <c r="BC83" s="106">
        <v>0</v>
      </c>
      <c r="BD83" s="106">
        <v>0</v>
      </c>
      <c r="BE83" s="106">
        <v>0</v>
      </c>
      <c r="BF83" s="106">
        <v>0</v>
      </c>
      <c r="BG83" s="106">
        <v>0</v>
      </c>
      <c r="BH83" s="106">
        <v>0</v>
      </c>
      <c r="BI83" s="106">
        <v>0</v>
      </c>
      <c r="BJ83" s="106">
        <v>0</v>
      </c>
      <c r="BK83" s="106">
        <v>0</v>
      </c>
      <c r="BL83" s="106">
        <v>0</v>
      </c>
      <c r="BM83" s="106">
        <v>0</v>
      </c>
      <c r="BN83" s="106">
        <v>0</v>
      </c>
      <c r="BO83" s="106">
        <v>0</v>
      </c>
      <c r="BP83" s="106">
        <v>0</v>
      </c>
      <c r="BQ83" s="106">
        <v>0</v>
      </c>
      <c r="BR83" s="106">
        <v>0</v>
      </c>
      <c r="BS83" s="106">
        <v>0</v>
      </c>
      <c r="BT83" s="106">
        <v>0</v>
      </c>
      <c r="BU83" s="106">
        <v>0</v>
      </c>
      <c r="BV83" s="106">
        <v>0</v>
      </c>
      <c r="BW83" s="106">
        <v>0</v>
      </c>
      <c r="BX83" s="106">
        <v>0</v>
      </c>
      <c r="BY83" s="106">
        <v>0</v>
      </c>
      <c r="BZ83" s="106">
        <v>0</v>
      </c>
      <c r="CA83" s="106">
        <v>0</v>
      </c>
      <c r="CB83" s="106">
        <v>0</v>
      </c>
      <c r="CC83" s="106">
        <v>0</v>
      </c>
      <c r="CD83" s="106">
        <v>0</v>
      </c>
      <c r="CE83" s="106">
        <v>0</v>
      </c>
      <c r="CF83" s="106">
        <v>0</v>
      </c>
      <c r="CG83" s="106">
        <v>0</v>
      </c>
      <c r="CH83" s="106">
        <v>0</v>
      </c>
      <c r="CI83" s="106">
        <v>0</v>
      </c>
      <c r="CJ83" s="106">
        <v>0</v>
      </c>
      <c r="CK83" s="106">
        <v>0</v>
      </c>
      <c r="CL83" s="106">
        <v>0</v>
      </c>
      <c r="CM83" s="106">
        <v>0</v>
      </c>
      <c r="CN83" s="106">
        <v>0</v>
      </c>
      <c r="CO83" s="106">
        <v>0</v>
      </c>
      <c r="CP83" s="106">
        <v>0</v>
      </c>
      <c r="CQ83" s="106">
        <v>0</v>
      </c>
      <c r="CR83" s="106">
        <v>0</v>
      </c>
      <c r="CS83" s="106">
        <v>0</v>
      </c>
      <c r="CT83" s="106">
        <v>0</v>
      </c>
      <c r="CU83" s="106">
        <v>0</v>
      </c>
    </row>
    <row r="84" spans="2:99" x14ac:dyDescent="0.2">
      <c r="C84" s="105" t="s">
        <v>249</v>
      </c>
      <c r="D84" s="106">
        <v>0</v>
      </c>
      <c r="E84" s="106">
        <v>0</v>
      </c>
      <c r="F84" s="106">
        <v>0</v>
      </c>
      <c r="G84" s="106">
        <v>0</v>
      </c>
      <c r="H84" s="106">
        <v>0</v>
      </c>
      <c r="I84" s="106">
        <v>0</v>
      </c>
      <c r="J84" s="106">
        <v>0</v>
      </c>
      <c r="K84" s="106">
        <v>0</v>
      </c>
      <c r="L84" s="106">
        <v>0</v>
      </c>
      <c r="M84" s="106">
        <v>0</v>
      </c>
      <c r="N84" s="106">
        <v>0</v>
      </c>
      <c r="O84" s="106">
        <v>0</v>
      </c>
      <c r="P84" s="106">
        <v>0</v>
      </c>
      <c r="Q84" s="106">
        <v>0</v>
      </c>
      <c r="R84" s="106">
        <v>0</v>
      </c>
      <c r="S84" s="106">
        <v>0</v>
      </c>
      <c r="T84" s="106">
        <v>0</v>
      </c>
      <c r="U84" s="106">
        <v>0</v>
      </c>
      <c r="V84" s="106">
        <v>0</v>
      </c>
      <c r="W84" s="106">
        <v>0</v>
      </c>
      <c r="X84" s="106">
        <v>0</v>
      </c>
      <c r="Y84" s="106">
        <v>0</v>
      </c>
      <c r="Z84" s="106">
        <v>0</v>
      </c>
      <c r="AA84" s="106">
        <v>0</v>
      </c>
      <c r="AB84" s="106">
        <v>0</v>
      </c>
      <c r="AC84" s="106">
        <v>0</v>
      </c>
      <c r="AD84" s="106">
        <v>0</v>
      </c>
      <c r="AE84" s="106">
        <v>0</v>
      </c>
      <c r="AF84" s="106">
        <v>0</v>
      </c>
      <c r="AG84" s="106">
        <v>0</v>
      </c>
      <c r="AH84" s="106">
        <v>0</v>
      </c>
      <c r="AI84" s="106">
        <v>0</v>
      </c>
      <c r="AJ84" s="106">
        <v>0</v>
      </c>
      <c r="AK84" s="106">
        <v>0</v>
      </c>
      <c r="AL84" s="106">
        <v>0</v>
      </c>
      <c r="AM84" s="106">
        <v>0</v>
      </c>
      <c r="AN84" s="106">
        <v>0</v>
      </c>
      <c r="AO84" s="106">
        <v>0</v>
      </c>
      <c r="AP84" s="106">
        <v>0</v>
      </c>
      <c r="AQ84" s="106">
        <v>0</v>
      </c>
      <c r="AR84" s="106">
        <v>0</v>
      </c>
      <c r="AS84" s="106">
        <v>0</v>
      </c>
      <c r="AT84" s="106">
        <v>0</v>
      </c>
      <c r="AU84" s="106">
        <v>0</v>
      </c>
      <c r="AV84" s="106">
        <v>0</v>
      </c>
      <c r="AW84" s="106">
        <v>0</v>
      </c>
      <c r="AX84" s="106">
        <v>0</v>
      </c>
      <c r="AY84" s="106">
        <v>0</v>
      </c>
      <c r="AZ84" s="106">
        <v>0</v>
      </c>
      <c r="BA84" s="106">
        <v>0</v>
      </c>
      <c r="BB84" s="106">
        <v>0</v>
      </c>
      <c r="BC84" s="106">
        <v>0</v>
      </c>
      <c r="BD84" s="106">
        <v>0</v>
      </c>
      <c r="BE84" s="106">
        <v>0</v>
      </c>
      <c r="BF84" s="106">
        <v>0</v>
      </c>
      <c r="BG84" s="106">
        <v>0</v>
      </c>
      <c r="BH84" s="106">
        <v>0</v>
      </c>
      <c r="BI84" s="106">
        <v>0</v>
      </c>
      <c r="BJ84" s="106">
        <v>0</v>
      </c>
      <c r="BK84" s="106">
        <v>0</v>
      </c>
      <c r="BL84" s="106">
        <v>0</v>
      </c>
      <c r="BM84" s="106">
        <v>0</v>
      </c>
      <c r="BN84" s="106">
        <v>0</v>
      </c>
      <c r="BO84" s="106">
        <v>0</v>
      </c>
      <c r="BP84" s="106">
        <v>0</v>
      </c>
      <c r="BQ84" s="106">
        <v>0</v>
      </c>
      <c r="BR84" s="106">
        <v>0</v>
      </c>
      <c r="BS84" s="106">
        <v>0</v>
      </c>
      <c r="BT84" s="106">
        <v>0</v>
      </c>
      <c r="BU84" s="106">
        <v>0</v>
      </c>
      <c r="BV84" s="106">
        <v>0</v>
      </c>
      <c r="BW84" s="106">
        <v>0</v>
      </c>
      <c r="BX84" s="106">
        <v>0</v>
      </c>
      <c r="BY84" s="106">
        <v>0</v>
      </c>
      <c r="BZ84" s="106">
        <v>0</v>
      </c>
      <c r="CA84" s="106">
        <v>0</v>
      </c>
      <c r="CB84" s="106">
        <v>0</v>
      </c>
      <c r="CC84" s="106">
        <v>0</v>
      </c>
      <c r="CD84" s="106">
        <v>0</v>
      </c>
      <c r="CE84" s="106">
        <v>0</v>
      </c>
      <c r="CF84" s="106">
        <v>0</v>
      </c>
      <c r="CG84" s="106">
        <v>0</v>
      </c>
      <c r="CH84" s="106">
        <v>0</v>
      </c>
      <c r="CI84" s="106">
        <v>0</v>
      </c>
      <c r="CJ84" s="106">
        <v>0</v>
      </c>
      <c r="CK84" s="106">
        <v>0</v>
      </c>
      <c r="CL84" s="106">
        <v>0</v>
      </c>
      <c r="CM84" s="106">
        <v>0</v>
      </c>
      <c r="CN84" s="106">
        <v>0</v>
      </c>
      <c r="CO84" s="106">
        <v>0</v>
      </c>
      <c r="CP84" s="106">
        <v>0</v>
      </c>
      <c r="CQ84" s="106">
        <v>0</v>
      </c>
      <c r="CR84" s="106">
        <v>0</v>
      </c>
      <c r="CS84" s="106">
        <v>0</v>
      </c>
      <c r="CT84" s="106">
        <v>0</v>
      </c>
      <c r="CU84" s="106">
        <v>0</v>
      </c>
    </row>
    <row r="85" spans="2:99" x14ac:dyDescent="0.2">
      <c r="C85" s="105" t="s">
        <v>250</v>
      </c>
      <c r="D85" s="106">
        <v>0</v>
      </c>
      <c r="E85" s="106">
        <v>0</v>
      </c>
      <c r="F85" s="106">
        <v>0</v>
      </c>
      <c r="G85" s="106">
        <v>0</v>
      </c>
      <c r="H85" s="106">
        <v>0</v>
      </c>
      <c r="I85" s="106">
        <v>0</v>
      </c>
      <c r="J85" s="106">
        <v>0</v>
      </c>
      <c r="K85" s="106">
        <v>0</v>
      </c>
      <c r="L85" s="106">
        <v>0</v>
      </c>
      <c r="M85" s="106">
        <v>0</v>
      </c>
      <c r="N85" s="106">
        <v>0</v>
      </c>
      <c r="O85" s="106">
        <v>0</v>
      </c>
      <c r="P85" s="106">
        <v>0</v>
      </c>
      <c r="Q85" s="106">
        <v>0</v>
      </c>
      <c r="R85" s="106">
        <v>0</v>
      </c>
      <c r="S85" s="106">
        <v>0</v>
      </c>
      <c r="T85" s="106">
        <v>0</v>
      </c>
      <c r="U85" s="106">
        <v>0</v>
      </c>
      <c r="V85" s="106">
        <v>0</v>
      </c>
      <c r="W85" s="106">
        <v>0</v>
      </c>
      <c r="X85" s="106">
        <v>0</v>
      </c>
      <c r="Y85" s="106">
        <v>0</v>
      </c>
      <c r="Z85" s="106">
        <v>0</v>
      </c>
      <c r="AA85" s="106">
        <v>0</v>
      </c>
      <c r="AB85" s="106">
        <v>0</v>
      </c>
      <c r="AC85" s="106">
        <v>0</v>
      </c>
      <c r="AD85" s="106">
        <v>0</v>
      </c>
      <c r="AE85" s="106">
        <v>0</v>
      </c>
      <c r="AF85" s="106">
        <v>0</v>
      </c>
      <c r="AG85" s="106">
        <v>0</v>
      </c>
      <c r="AH85" s="106">
        <v>0</v>
      </c>
      <c r="AI85" s="106">
        <v>0</v>
      </c>
      <c r="AJ85" s="106">
        <v>0</v>
      </c>
      <c r="AK85" s="106">
        <v>0</v>
      </c>
      <c r="AL85" s="106">
        <v>0</v>
      </c>
      <c r="AM85" s="106">
        <v>0</v>
      </c>
      <c r="AN85" s="106">
        <v>0</v>
      </c>
      <c r="AO85" s="106">
        <v>0</v>
      </c>
      <c r="AP85" s="106">
        <v>0</v>
      </c>
      <c r="AQ85" s="106">
        <v>0</v>
      </c>
      <c r="AR85" s="106">
        <v>0</v>
      </c>
      <c r="AS85" s="106">
        <v>0</v>
      </c>
      <c r="AT85" s="106">
        <v>0</v>
      </c>
      <c r="AU85" s="106">
        <v>0</v>
      </c>
      <c r="AV85" s="106">
        <v>0</v>
      </c>
      <c r="AW85" s="106">
        <v>0</v>
      </c>
      <c r="AX85" s="106">
        <v>0</v>
      </c>
      <c r="AY85" s="106">
        <v>0</v>
      </c>
      <c r="AZ85" s="106">
        <v>0</v>
      </c>
      <c r="BA85" s="106">
        <v>0</v>
      </c>
      <c r="BB85" s="106">
        <v>0</v>
      </c>
      <c r="BC85" s="106">
        <v>0</v>
      </c>
      <c r="BD85" s="106">
        <v>0</v>
      </c>
      <c r="BE85" s="106">
        <v>0</v>
      </c>
      <c r="BF85" s="106">
        <v>0</v>
      </c>
      <c r="BG85" s="106">
        <v>0</v>
      </c>
      <c r="BH85" s="106">
        <v>0</v>
      </c>
      <c r="BI85" s="106">
        <v>0</v>
      </c>
      <c r="BJ85" s="106">
        <v>0</v>
      </c>
      <c r="BK85" s="106">
        <v>0</v>
      </c>
      <c r="BL85" s="106">
        <v>0</v>
      </c>
      <c r="BM85" s="106">
        <v>0</v>
      </c>
      <c r="BN85" s="106">
        <v>0</v>
      </c>
      <c r="BO85" s="106">
        <v>0</v>
      </c>
      <c r="BP85" s="106">
        <v>0</v>
      </c>
      <c r="BQ85" s="106">
        <v>0</v>
      </c>
      <c r="BR85" s="106">
        <v>0</v>
      </c>
      <c r="BS85" s="106">
        <v>0</v>
      </c>
      <c r="BT85" s="106">
        <v>0</v>
      </c>
      <c r="BU85" s="106">
        <v>0</v>
      </c>
      <c r="BV85" s="106">
        <v>0</v>
      </c>
      <c r="BW85" s="106">
        <v>0</v>
      </c>
      <c r="BX85" s="106">
        <v>0</v>
      </c>
      <c r="BY85" s="106">
        <v>0</v>
      </c>
      <c r="BZ85" s="106">
        <v>0</v>
      </c>
      <c r="CA85" s="106">
        <v>0</v>
      </c>
      <c r="CB85" s="106">
        <v>0</v>
      </c>
      <c r="CC85" s="106">
        <v>0</v>
      </c>
      <c r="CD85" s="106">
        <v>0</v>
      </c>
      <c r="CE85" s="106">
        <v>0</v>
      </c>
      <c r="CF85" s="106">
        <v>0</v>
      </c>
      <c r="CG85" s="106">
        <v>0</v>
      </c>
      <c r="CH85" s="106">
        <v>0</v>
      </c>
      <c r="CI85" s="106">
        <v>0</v>
      </c>
      <c r="CJ85" s="106">
        <v>0</v>
      </c>
      <c r="CK85" s="106">
        <v>0</v>
      </c>
      <c r="CL85" s="106">
        <v>0</v>
      </c>
      <c r="CM85" s="106">
        <v>0</v>
      </c>
      <c r="CN85" s="106">
        <v>0</v>
      </c>
      <c r="CO85" s="106">
        <v>0</v>
      </c>
      <c r="CP85" s="106">
        <v>0</v>
      </c>
      <c r="CQ85" s="106">
        <v>0</v>
      </c>
      <c r="CR85" s="106">
        <v>0</v>
      </c>
      <c r="CS85" s="106">
        <v>0</v>
      </c>
      <c r="CT85" s="106">
        <v>0</v>
      </c>
      <c r="CU85" s="106">
        <v>0</v>
      </c>
    </row>
    <row r="86" spans="2:99" x14ac:dyDescent="0.2">
      <c r="C86" s="105" t="s">
        <v>251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06">
        <v>0</v>
      </c>
      <c r="J86" s="106">
        <v>0</v>
      </c>
      <c r="K86" s="106">
        <v>0</v>
      </c>
      <c r="L86" s="106">
        <v>0</v>
      </c>
      <c r="M86" s="106">
        <v>0</v>
      </c>
      <c r="N86" s="106">
        <v>0</v>
      </c>
      <c r="O86" s="106">
        <v>0</v>
      </c>
      <c r="P86" s="106">
        <v>0</v>
      </c>
      <c r="Q86" s="106">
        <v>0</v>
      </c>
      <c r="R86" s="106">
        <v>0</v>
      </c>
      <c r="S86" s="106">
        <v>0</v>
      </c>
      <c r="T86" s="106">
        <v>0</v>
      </c>
      <c r="U86" s="106">
        <v>0</v>
      </c>
      <c r="V86" s="106">
        <v>0</v>
      </c>
      <c r="W86" s="106">
        <v>0</v>
      </c>
      <c r="X86" s="106">
        <v>0</v>
      </c>
      <c r="Y86" s="106">
        <v>0</v>
      </c>
      <c r="Z86" s="106">
        <v>0</v>
      </c>
      <c r="AA86" s="106">
        <v>0</v>
      </c>
      <c r="AB86" s="106">
        <v>0</v>
      </c>
      <c r="AC86" s="106">
        <v>0</v>
      </c>
      <c r="AD86" s="106">
        <v>0</v>
      </c>
      <c r="AE86" s="106">
        <v>0</v>
      </c>
      <c r="AF86" s="106">
        <v>0</v>
      </c>
      <c r="AG86" s="106">
        <v>0</v>
      </c>
      <c r="AH86" s="106">
        <v>0</v>
      </c>
      <c r="AI86" s="106">
        <v>0</v>
      </c>
      <c r="AJ86" s="106">
        <v>0</v>
      </c>
      <c r="AK86" s="106">
        <v>0</v>
      </c>
      <c r="AL86" s="106">
        <v>0</v>
      </c>
      <c r="AM86" s="106">
        <v>0</v>
      </c>
      <c r="AN86" s="106">
        <v>0</v>
      </c>
      <c r="AO86" s="106">
        <v>0</v>
      </c>
      <c r="AP86" s="106">
        <v>0</v>
      </c>
      <c r="AQ86" s="106">
        <v>0</v>
      </c>
      <c r="AR86" s="106">
        <v>0</v>
      </c>
      <c r="AS86" s="106">
        <v>0</v>
      </c>
      <c r="AT86" s="106">
        <v>0</v>
      </c>
      <c r="AU86" s="106">
        <v>0</v>
      </c>
      <c r="AV86" s="106">
        <v>0</v>
      </c>
      <c r="AW86" s="106">
        <v>0</v>
      </c>
      <c r="AX86" s="106">
        <v>0</v>
      </c>
      <c r="AY86" s="106">
        <v>0</v>
      </c>
      <c r="AZ86" s="106">
        <v>0</v>
      </c>
      <c r="BA86" s="106">
        <v>0</v>
      </c>
      <c r="BB86" s="106">
        <v>0</v>
      </c>
      <c r="BC86" s="106">
        <v>0</v>
      </c>
      <c r="BD86" s="106">
        <v>0</v>
      </c>
      <c r="BE86" s="106">
        <v>0</v>
      </c>
      <c r="BF86" s="106">
        <v>0</v>
      </c>
      <c r="BG86" s="106">
        <v>0</v>
      </c>
      <c r="BH86" s="106">
        <v>0</v>
      </c>
      <c r="BI86" s="106">
        <v>0</v>
      </c>
      <c r="BJ86" s="106">
        <v>0</v>
      </c>
      <c r="BK86" s="106">
        <v>0</v>
      </c>
      <c r="BL86" s="106">
        <v>0</v>
      </c>
      <c r="BM86" s="106">
        <v>0</v>
      </c>
      <c r="BN86" s="106">
        <v>0</v>
      </c>
      <c r="BO86" s="106">
        <v>0</v>
      </c>
      <c r="BP86" s="106">
        <v>0</v>
      </c>
      <c r="BQ86" s="106">
        <v>0</v>
      </c>
      <c r="BR86" s="106">
        <v>0</v>
      </c>
      <c r="BS86" s="106">
        <v>0</v>
      </c>
      <c r="BT86" s="106">
        <v>0</v>
      </c>
      <c r="BU86" s="106">
        <v>0</v>
      </c>
      <c r="BV86" s="106">
        <v>0</v>
      </c>
      <c r="BW86" s="106">
        <v>0</v>
      </c>
      <c r="BX86" s="106">
        <v>0</v>
      </c>
      <c r="BY86" s="106">
        <v>0</v>
      </c>
      <c r="BZ86" s="106">
        <v>0</v>
      </c>
      <c r="CA86" s="106">
        <v>0</v>
      </c>
      <c r="CB86" s="106">
        <v>0</v>
      </c>
      <c r="CC86" s="106">
        <v>0</v>
      </c>
      <c r="CD86" s="106">
        <v>0</v>
      </c>
      <c r="CE86" s="106">
        <v>0</v>
      </c>
      <c r="CF86" s="106">
        <v>0</v>
      </c>
      <c r="CG86" s="106">
        <v>0</v>
      </c>
      <c r="CH86" s="106">
        <v>0</v>
      </c>
      <c r="CI86" s="106">
        <v>0</v>
      </c>
      <c r="CJ86" s="106">
        <v>0</v>
      </c>
      <c r="CK86" s="106">
        <v>0</v>
      </c>
      <c r="CL86" s="106">
        <v>0</v>
      </c>
      <c r="CM86" s="106">
        <v>0</v>
      </c>
      <c r="CN86" s="106">
        <v>0</v>
      </c>
      <c r="CO86" s="106">
        <v>0</v>
      </c>
      <c r="CP86" s="106">
        <v>0</v>
      </c>
      <c r="CQ86" s="106">
        <v>0</v>
      </c>
      <c r="CR86" s="106">
        <v>0</v>
      </c>
      <c r="CS86" s="106">
        <v>0</v>
      </c>
      <c r="CT86" s="106">
        <v>0</v>
      </c>
      <c r="CU86" s="106">
        <v>0</v>
      </c>
    </row>
    <row r="87" spans="2:99" x14ac:dyDescent="0.2">
      <c r="B87" s="105" t="s">
        <v>131</v>
      </c>
      <c r="C87" s="105" t="s">
        <v>252</v>
      </c>
      <c r="D87" s="106">
        <v>0</v>
      </c>
      <c r="E87" s="106">
        <v>0</v>
      </c>
      <c r="F87" s="106">
        <v>0</v>
      </c>
      <c r="G87" s="106">
        <v>0</v>
      </c>
      <c r="H87" s="106">
        <v>0</v>
      </c>
      <c r="I87" s="106">
        <v>0</v>
      </c>
      <c r="J87" s="106">
        <v>0</v>
      </c>
      <c r="K87" s="106">
        <v>0</v>
      </c>
      <c r="L87" s="106">
        <v>0</v>
      </c>
      <c r="M87" s="106">
        <v>0</v>
      </c>
      <c r="N87" s="106">
        <v>0</v>
      </c>
      <c r="O87" s="106">
        <v>0</v>
      </c>
      <c r="P87" s="106">
        <v>0</v>
      </c>
      <c r="Q87" s="106">
        <v>0</v>
      </c>
      <c r="R87" s="106">
        <v>0</v>
      </c>
      <c r="S87" s="106">
        <v>0</v>
      </c>
      <c r="T87" s="106">
        <v>0</v>
      </c>
      <c r="U87" s="106">
        <v>0</v>
      </c>
      <c r="V87" s="106">
        <v>0</v>
      </c>
      <c r="W87" s="106">
        <v>0</v>
      </c>
      <c r="X87" s="106">
        <v>0</v>
      </c>
      <c r="Y87" s="106">
        <v>0</v>
      </c>
      <c r="Z87" s="106">
        <v>0</v>
      </c>
      <c r="AA87" s="106">
        <v>0</v>
      </c>
      <c r="AB87" s="106">
        <v>0</v>
      </c>
      <c r="AC87" s="106">
        <v>0</v>
      </c>
      <c r="AD87" s="106">
        <v>0</v>
      </c>
      <c r="AE87" s="106">
        <v>0</v>
      </c>
      <c r="AF87" s="106">
        <v>0</v>
      </c>
      <c r="AG87" s="106">
        <v>0</v>
      </c>
      <c r="AH87" s="106">
        <v>0</v>
      </c>
      <c r="AI87" s="106">
        <v>0</v>
      </c>
      <c r="AJ87" s="106">
        <v>0</v>
      </c>
      <c r="AK87" s="106">
        <v>0</v>
      </c>
      <c r="AL87" s="106">
        <v>0</v>
      </c>
      <c r="AM87" s="106">
        <v>0</v>
      </c>
      <c r="AN87" s="106">
        <v>0</v>
      </c>
      <c r="AO87" s="106">
        <v>0</v>
      </c>
      <c r="AP87" s="106">
        <v>0</v>
      </c>
      <c r="AQ87" s="106">
        <v>0</v>
      </c>
      <c r="AR87" s="106">
        <v>0</v>
      </c>
      <c r="AS87" s="106">
        <v>0</v>
      </c>
      <c r="AT87" s="106">
        <v>0</v>
      </c>
      <c r="AU87" s="106">
        <v>0</v>
      </c>
      <c r="AV87" s="106">
        <v>0</v>
      </c>
      <c r="AW87" s="106">
        <v>0</v>
      </c>
      <c r="AX87" s="106">
        <v>0</v>
      </c>
      <c r="AY87" s="106">
        <v>0</v>
      </c>
      <c r="AZ87" s="106">
        <v>0</v>
      </c>
      <c r="BA87" s="106">
        <v>0</v>
      </c>
      <c r="BB87" s="106">
        <v>0</v>
      </c>
      <c r="BC87" s="106">
        <v>0</v>
      </c>
      <c r="BD87" s="106">
        <v>0</v>
      </c>
      <c r="BE87" s="106">
        <v>0</v>
      </c>
      <c r="BF87" s="106">
        <v>0</v>
      </c>
      <c r="BG87" s="106">
        <v>0</v>
      </c>
      <c r="BH87" s="106">
        <v>0</v>
      </c>
      <c r="BI87" s="106">
        <v>0</v>
      </c>
      <c r="BJ87" s="106">
        <v>0</v>
      </c>
      <c r="BK87" s="106">
        <v>0</v>
      </c>
      <c r="BL87" s="106">
        <v>0</v>
      </c>
      <c r="BM87" s="106">
        <v>0</v>
      </c>
      <c r="BN87" s="106">
        <v>0</v>
      </c>
      <c r="BO87" s="106">
        <v>0</v>
      </c>
      <c r="BP87" s="106">
        <v>0</v>
      </c>
      <c r="BQ87" s="106">
        <v>0</v>
      </c>
      <c r="BR87" s="106">
        <v>0</v>
      </c>
      <c r="BS87" s="106">
        <v>0</v>
      </c>
      <c r="BT87" s="106">
        <v>0</v>
      </c>
      <c r="BU87" s="106">
        <v>0</v>
      </c>
      <c r="BV87" s="106">
        <v>0</v>
      </c>
      <c r="BW87" s="106">
        <v>0</v>
      </c>
      <c r="BX87" s="106">
        <v>0</v>
      </c>
      <c r="BY87" s="106">
        <v>0</v>
      </c>
      <c r="BZ87" s="106">
        <v>0</v>
      </c>
      <c r="CA87" s="106">
        <v>0</v>
      </c>
      <c r="CB87" s="106">
        <v>0</v>
      </c>
      <c r="CC87" s="106">
        <v>0</v>
      </c>
      <c r="CD87" s="106">
        <v>0</v>
      </c>
      <c r="CE87" s="106">
        <v>0</v>
      </c>
      <c r="CF87" s="106">
        <v>0</v>
      </c>
      <c r="CG87" s="106">
        <v>0</v>
      </c>
      <c r="CH87" s="106">
        <v>0</v>
      </c>
      <c r="CI87" s="106">
        <v>0</v>
      </c>
      <c r="CJ87" s="106">
        <v>0</v>
      </c>
      <c r="CK87" s="106">
        <v>0</v>
      </c>
      <c r="CL87" s="106">
        <v>0</v>
      </c>
      <c r="CM87" s="106">
        <v>0</v>
      </c>
      <c r="CN87" s="106">
        <v>0</v>
      </c>
      <c r="CO87" s="106">
        <v>0</v>
      </c>
      <c r="CP87" s="106">
        <v>0</v>
      </c>
      <c r="CQ87" s="106">
        <v>0</v>
      </c>
      <c r="CR87" s="106">
        <v>0</v>
      </c>
      <c r="CS87" s="106">
        <v>0</v>
      </c>
      <c r="CT87" s="106">
        <v>0</v>
      </c>
      <c r="CU87" s="106">
        <v>0</v>
      </c>
    </row>
    <row r="88" spans="2:99" x14ac:dyDescent="0.2">
      <c r="C88" s="105" t="s">
        <v>253</v>
      </c>
      <c r="D88" s="106">
        <v>0</v>
      </c>
      <c r="E88" s="106">
        <v>0</v>
      </c>
      <c r="F88" s="106">
        <v>0</v>
      </c>
      <c r="G88" s="106">
        <v>0</v>
      </c>
      <c r="H88" s="106">
        <v>0</v>
      </c>
      <c r="I88" s="106">
        <v>0</v>
      </c>
      <c r="J88" s="106">
        <v>0</v>
      </c>
      <c r="K88" s="106">
        <v>0</v>
      </c>
      <c r="L88" s="106">
        <v>0</v>
      </c>
      <c r="M88" s="106">
        <v>0</v>
      </c>
      <c r="N88" s="106">
        <v>0</v>
      </c>
      <c r="O88" s="106">
        <v>0</v>
      </c>
      <c r="P88" s="106">
        <v>0</v>
      </c>
      <c r="Q88" s="106">
        <v>0</v>
      </c>
      <c r="R88" s="106">
        <v>0</v>
      </c>
      <c r="S88" s="106">
        <v>0</v>
      </c>
      <c r="T88" s="106">
        <v>0</v>
      </c>
      <c r="U88" s="106">
        <v>0</v>
      </c>
      <c r="V88" s="106">
        <v>0</v>
      </c>
      <c r="W88" s="106">
        <v>0</v>
      </c>
      <c r="X88" s="106">
        <v>0</v>
      </c>
      <c r="Y88" s="106">
        <v>0</v>
      </c>
      <c r="Z88" s="106">
        <v>0</v>
      </c>
      <c r="AA88" s="106">
        <v>0</v>
      </c>
      <c r="AB88" s="106">
        <v>0</v>
      </c>
      <c r="AC88" s="106">
        <v>0</v>
      </c>
      <c r="AD88" s="106">
        <v>0</v>
      </c>
      <c r="AE88" s="106">
        <v>0</v>
      </c>
      <c r="AF88" s="106">
        <v>0</v>
      </c>
      <c r="AG88" s="106">
        <v>0</v>
      </c>
      <c r="AH88" s="106">
        <v>0</v>
      </c>
      <c r="AI88" s="106">
        <v>0</v>
      </c>
      <c r="AJ88" s="106">
        <v>0</v>
      </c>
      <c r="AK88" s="106">
        <v>0</v>
      </c>
      <c r="AL88" s="106">
        <v>0</v>
      </c>
      <c r="AM88" s="106">
        <v>0</v>
      </c>
      <c r="AN88" s="106">
        <v>0</v>
      </c>
      <c r="AO88" s="106">
        <v>0</v>
      </c>
      <c r="AP88" s="106">
        <v>0</v>
      </c>
      <c r="AQ88" s="106">
        <v>0</v>
      </c>
      <c r="AR88" s="106">
        <v>0</v>
      </c>
      <c r="AS88" s="106">
        <v>0</v>
      </c>
      <c r="AT88" s="106">
        <v>0</v>
      </c>
      <c r="AU88" s="106">
        <v>0</v>
      </c>
      <c r="AV88" s="106">
        <v>0</v>
      </c>
      <c r="AW88" s="106">
        <v>0</v>
      </c>
      <c r="AX88" s="106">
        <v>0</v>
      </c>
      <c r="AY88" s="106">
        <v>0</v>
      </c>
      <c r="AZ88" s="106">
        <v>0</v>
      </c>
      <c r="BA88" s="106">
        <v>0</v>
      </c>
      <c r="BB88" s="106">
        <v>0</v>
      </c>
      <c r="BC88" s="106">
        <v>0</v>
      </c>
      <c r="BD88" s="106">
        <v>0</v>
      </c>
      <c r="BE88" s="106">
        <v>0</v>
      </c>
      <c r="BF88" s="106">
        <v>0</v>
      </c>
      <c r="BG88" s="106">
        <v>0</v>
      </c>
      <c r="BH88" s="106">
        <v>0</v>
      </c>
      <c r="BI88" s="106">
        <v>0</v>
      </c>
      <c r="BJ88" s="106">
        <v>0</v>
      </c>
      <c r="BK88" s="106">
        <v>0</v>
      </c>
      <c r="BL88" s="106">
        <v>0</v>
      </c>
      <c r="BM88" s="106">
        <v>0</v>
      </c>
      <c r="BN88" s="106">
        <v>0</v>
      </c>
      <c r="BO88" s="106">
        <v>0</v>
      </c>
      <c r="BP88" s="106">
        <v>0</v>
      </c>
      <c r="BQ88" s="106">
        <v>0</v>
      </c>
      <c r="BR88" s="106">
        <v>0</v>
      </c>
      <c r="BS88" s="106">
        <v>0</v>
      </c>
      <c r="BT88" s="106">
        <v>0</v>
      </c>
      <c r="BU88" s="106">
        <v>0</v>
      </c>
      <c r="BV88" s="106">
        <v>0</v>
      </c>
      <c r="BW88" s="106">
        <v>0</v>
      </c>
      <c r="BX88" s="106">
        <v>0</v>
      </c>
      <c r="BY88" s="106">
        <v>0</v>
      </c>
      <c r="BZ88" s="106">
        <v>0</v>
      </c>
      <c r="CA88" s="106">
        <v>0</v>
      </c>
      <c r="CB88" s="106">
        <v>0</v>
      </c>
      <c r="CC88" s="106">
        <v>0</v>
      </c>
      <c r="CD88" s="106">
        <v>0</v>
      </c>
      <c r="CE88" s="106">
        <v>0</v>
      </c>
      <c r="CF88" s="106">
        <v>0</v>
      </c>
      <c r="CG88" s="106">
        <v>0</v>
      </c>
      <c r="CH88" s="106">
        <v>0</v>
      </c>
      <c r="CI88" s="106">
        <v>0</v>
      </c>
      <c r="CJ88" s="106">
        <v>0</v>
      </c>
      <c r="CK88" s="106">
        <v>0</v>
      </c>
      <c r="CL88" s="106">
        <v>0</v>
      </c>
      <c r="CM88" s="106">
        <v>0</v>
      </c>
      <c r="CN88" s="106">
        <v>0</v>
      </c>
      <c r="CO88" s="106">
        <v>0</v>
      </c>
      <c r="CP88" s="106">
        <v>0</v>
      </c>
      <c r="CQ88" s="106">
        <v>0</v>
      </c>
      <c r="CR88" s="106">
        <v>0</v>
      </c>
      <c r="CS88" s="106">
        <v>0</v>
      </c>
      <c r="CT88" s="106">
        <v>0</v>
      </c>
      <c r="CU88" s="106">
        <v>0</v>
      </c>
    </row>
    <row r="89" spans="2:99" x14ac:dyDescent="0.2">
      <c r="C89" s="105" t="s">
        <v>254</v>
      </c>
      <c r="D89" s="106">
        <v>0</v>
      </c>
      <c r="E89" s="106">
        <v>0</v>
      </c>
      <c r="F89" s="106">
        <v>0</v>
      </c>
      <c r="G89" s="106">
        <v>0</v>
      </c>
      <c r="H89" s="106">
        <v>0</v>
      </c>
      <c r="I89" s="106">
        <v>0</v>
      </c>
      <c r="J89" s="106">
        <v>0</v>
      </c>
      <c r="K89" s="106">
        <v>0</v>
      </c>
      <c r="L89" s="106">
        <v>0</v>
      </c>
      <c r="M89" s="106">
        <v>0</v>
      </c>
      <c r="N89" s="106">
        <v>0</v>
      </c>
      <c r="O89" s="106">
        <v>0</v>
      </c>
      <c r="P89" s="106">
        <v>0</v>
      </c>
      <c r="Q89" s="106">
        <v>0</v>
      </c>
      <c r="R89" s="106">
        <v>0</v>
      </c>
      <c r="S89" s="106">
        <v>0</v>
      </c>
      <c r="T89" s="106">
        <v>0</v>
      </c>
      <c r="U89" s="106">
        <v>0</v>
      </c>
      <c r="V89" s="106">
        <v>0</v>
      </c>
      <c r="W89" s="106">
        <v>0</v>
      </c>
      <c r="X89" s="106">
        <v>0</v>
      </c>
      <c r="Y89" s="106">
        <v>0</v>
      </c>
      <c r="Z89" s="106">
        <v>0</v>
      </c>
      <c r="AA89" s="106">
        <v>0</v>
      </c>
      <c r="AB89" s="106">
        <v>0</v>
      </c>
      <c r="AC89" s="106">
        <v>0</v>
      </c>
      <c r="AD89" s="106">
        <v>0</v>
      </c>
      <c r="AE89" s="106">
        <v>0</v>
      </c>
      <c r="AF89" s="106">
        <v>0</v>
      </c>
      <c r="AG89" s="106">
        <v>0</v>
      </c>
      <c r="AH89" s="106">
        <v>0</v>
      </c>
      <c r="AI89" s="106">
        <v>0</v>
      </c>
      <c r="AJ89" s="106">
        <v>0</v>
      </c>
      <c r="AK89" s="106">
        <v>0</v>
      </c>
      <c r="AL89" s="106">
        <v>0</v>
      </c>
      <c r="AM89" s="106">
        <v>0</v>
      </c>
      <c r="AN89" s="106">
        <v>0</v>
      </c>
      <c r="AO89" s="106">
        <v>0</v>
      </c>
      <c r="AP89" s="106">
        <v>0</v>
      </c>
      <c r="AQ89" s="106">
        <v>0</v>
      </c>
      <c r="AR89" s="106">
        <v>0</v>
      </c>
      <c r="AS89" s="106">
        <v>0</v>
      </c>
      <c r="AT89" s="106">
        <v>0</v>
      </c>
      <c r="AU89" s="106">
        <v>0</v>
      </c>
      <c r="AV89" s="106">
        <v>0</v>
      </c>
      <c r="AW89" s="106">
        <v>0</v>
      </c>
      <c r="AX89" s="106">
        <v>0</v>
      </c>
      <c r="AY89" s="106">
        <v>0</v>
      </c>
      <c r="AZ89" s="106">
        <v>0</v>
      </c>
      <c r="BA89" s="106">
        <v>0</v>
      </c>
      <c r="BB89" s="106">
        <v>0</v>
      </c>
      <c r="BC89" s="106">
        <v>0</v>
      </c>
      <c r="BD89" s="106">
        <v>0</v>
      </c>
      <c r="BE89" s="106">
        <v>0</v>
      </c>
      <c r="BF89" s="106">
        <v>0</v>
      </c>
      <c r="BG89" s="106">
        <v>0</v>
      </c>
      <c r="BH89" s="106">
        <v>0</v>
      </c>
      <c r="BI89" s="106">
        <v>0</v>
      </c>
      <c r="BJ89" s="106">
        <v>0</v>
      </c>
      <c r="BK89" s="106">
        <v>0</v>
      </c>
      <c r="BL89" s="106">
        <v>0</v>
      </c>
      <c r="BM89" s="106">
        <v>0</v>
      </c>
      <c r="BN89" s="106">
        <v>0</v>
      </c>
      <c r="BO89" s="106">
        <v>0</v>
      </c>
      <c r="BP89" s="106">
        <v>0</v>
      </c>
      <c r="BQ89" s="106">
        <v>0</v>
      </c>
      <c r="BR89" s="106">
        <v>0</v>
      </c>
      <c r="BS89" s="106">
        <v>0</v>
      </c>
      <c r="BT89" s="106">
        <v>0</v>
      </c>
      <c r="BU89" s="106">
        <v>0</v>
      </c>
      <c r="BV89" s="106">
        <v>0</v>
      </c>
      <c r="BW89" s="106">
        <v>0</v>
      </c>
      <c r="BX89" s="106">
        <v>0</v>
      </c>
      <c r="BY89" s="106">
        <v>0</v>
      </c>
      <c r="BZ89" s="106">
        <v>0</v>
      </c>
      <c r="CA89" s="106">
        <v>0</v>
      </c>
      <c r="CB89" s="106">
        <v>0</v>
      </c>
      <c r="CC89" s="106">
        <v>0</v>
      </c>
      <c r="CD89" s="106">
        <v>0</v>
      </c>
      <c r="CE89" s="106">
        <v>0</v>
      </c>
      <c r="CF89" s="106">
        <v>0</v>
      </c>
      <c r="CG89" s="106">
        <v>0</v>
      </c>
      <c r="CH89" s="106">
        <v>0</v>
      </c>
      <c r="CI89" s="106">
        <v>0</v>
      </c>
      <c r="CJ89" s="106">
        <v>0</v>
      </c>
      <c r="CK89" s="106">
        <v>0</v>
      </c>
      <c r="CL89" s="106">
        <v>0</v>
      </c>
      <c r="CM89" s="106">
        <v>0</v>
      </c>
      <c r="CN89" s="106">
        <v>0</v>
      </c>
      <c r="CO89" s="106">
        <v>0</v>
      </c>
      <c r="CP89" s="106">
        <v>0</v>
      </c>
      <c r="CQ89" s="106">
        <v>0</v>
      </c>
      <c r="CR89" s="106">
        <v>0</v>
      </c>
      <c r="CS89" s="106">
        <v>0</v>
      </c>
      <c r="CT89" s="106">
        <v>0</v>
      </c>
      <c r="CU89" s="106">
        <v>0</v>
      </c>
    </row>
    <row r="90" spans="2:99" x14ac:dyDescent="0.2">
      <c r="C90" s="105" t="s">
        <v>255</v>
      </c>
      <c r="D90" s="106">
        <v>0</v>
      </c>
      <c r="E90" s="106">
        <v>0</v>
      </c>
      <c r="F90" s="106">
        <v>0</v>
      </c>
      <c r="G90" s="106">
        <v>0</v>
      </c>
      <c r="H90" s="106">
        <v>0</v>
      </c>
      <c r="I90" s="106">
        <v>0</v>
      </c>
      <c r="J90" s="106">
        <v>0</v>
      </c>
      <c r="K90" s="106">
        <v>0</v>
      </c>
      <c r="L90" s="106">
        <v>0</v>
      </c>
      <c r="M90" s="106">
        <v>0</v>
      </c>
      <c r="N90" s="106">
        <v>0</v>
      </c>
      <c r="O90" s="106">
        <v>0</v>
      </c>
      <c r="P90" s="106">
        <v>0</v>
      </c>
      <c r="Q90" s="106">
        <v>0</v>
      </c>
      <c r="R90" s="106">
        <v>0</v>
      </c>
      <c r="S90" s="106">
        <v>0</v>
      </c>
      <c r="T90" s="106">
        <v>0</v>
      </c>
      <c r="U90" s="106">
        <v>0</v>
      </c>
      <c r="V90" s="106">
        <v>0</v>
      </c>
      <c r="W90" s="106">
        <v>0</v>
      </c>
      <c r="X90" s="106">
        <v>0</v>
      </c>
      <c r="Y90" s="106">
        <v>0</v>
      </c>
      <c r="Z90" s="106">
        <v>0</v>
      </c>
      <c r="AA90" s="106">
        <v>0</v>
      </c>
      <c r="AB90" s="106">
        <v>0</v>
      </c>
      <c r="AC90" s="106">
        <v>0</v>
      </c>
      <c r="AD90" s="106">
        <v>0</v>
      </c>
      <c r="AE90" s="106">
        <v>0</v>
      </c>
      <c r="AF90" s="106">
        <v>0</v>
      </c>
      <c r="AG90" s="106">
        <v>0</v>
      </c>
      <c r="AH90" s="106">
        <v>0</v>
      </c>
      <c r="AI90" s="106">
        <v>0</v>
      </c>
      <c r="AJ90" s="106">
        <v>0</v>
      </c>
      <c r="AK90" s="106">
        <v>0</v>
      </c>
      <c r="AL90" s="106">
        <v>0</v>
      </c>
      <c r="AM90" s="106">
        <v>0</v>
      </c>
      <c r="AN90" s="106">
        <v>0</v>
      </c>
      <c r="AO90" s="106">
        <v>0</v>
      </c>
      <c r="AP90" s="106">
        <v>0</v>
      </c>
      <c r="AQ90" s="106">
        <v>0</v>
      </c>
      <c r="AR90" s="106">
        <v>0</v>
      </c>
      <c r="AS90" s="106">
        <v>0</v>
      </c>
      <c r="AT90" s="106">
        <v>0</v>
      </c>
      <c r="AU90" s="106">
        <v>0</v>
      </c>
      <c r="AV90" s="106">
        <v>0</v>
      </c>
      <c r="AW90" s="106">
        <v>0</v>
      </c>
      <c r="AX90" s="106">
        <v>0</v>
      </c>
      <c r="AY90" s="106">
        <v>0</v>
      </c>
      <c r="AZ90" s="106">
        <v>0</v>
      </c>
      <c r="BA90" s="106">
        <v>0</v>
      </c>
      <c r="BB90" s="106">
        <v>0</v>
      </c>
      <c r="BC90" s="106">
        <v>0</v>
      </c>
      <c r="BD90" s="106">
        <v>0</v>
      </c>
      <c r="BE90" s="106">
        <v>0</v>
      </c>
      <c r="BF90" s="106">
        <v>0</v>
      </c>
      <c r="BG90" s="106">
        <v>0</v>
      </c>
      <c r="BH90" s="106">
        <v>0</v>
      </c>
      <c r="BI90" s="106">
        <v>0</v>
      </c>
      <c r="BJ90" s="106">
        <v>0</v>
      </c>
      <c r="BK90" s="106">
        <v>0</v>
      </c>
      <c r="BL90" s="106">
        <v>0</v>
      </c>
      <c r="BM90" s="106">
        <v>0</v>
      </c>
      <c r="BN90" s="106">
        <v>0</v>
      </c>
      <c r="BO90" s="106">
        <v>0</v>
      </c>
      <c r="BP90" s="106">
        <v>0</v>
      </c>
      <c r="BQ90" s="106">
        <v>0</v>
      </c>
      <c r="BR90" s="106">
        <v>0</v>
      </c>
      <c r="BS90" s="106">
        <v>0</v>
      </c>
      <c r="BT90" s="106">
        <v>0</v>
      </c>
      <c r="BU90" s="106">
        <v>0</v>
      </c>
      <c r="BV90" s="106">
        <v>0</v>
      </c>
      <c r="BW90" s="106">
        <v>0</v>
      </c>
      <c r="BX90" s="106">
        <v>0</v>
      </c>
      <c r="BY90" s="106">
        <v>0</v>
      </c>
      <c r="BZ90" s="106">
        <v>0</v>
      </c>
      <c r="CA90" s="106">
        <v>0</v>
      </c>
      <c r="CB90" s="106">
        <v>0</v>
      </c>
      <c r="CC90" s="106">
        <v>0</v>
      </c>
      <c r="CD90" s="106">
        <v>0</v>
      </c>
      <c r="CE90" s="106">
        <v>0</v>
      </c>
      <c r="CF90" s="106">
        <v>0</v>
      </c>
      <c r="CG90" s="106">
        <v>0</v>
      </c>
      <c r="CH90" s="106">
        <v>0</v>
      </c>
      <c r="CI90" s="106">
        <v>0</v>
      </c>
      <c r="CJ90" s="106">
        <v>0</v>
      </c>
      <c r="CK90" s="106">
        <v>0</v>
      </c>
      <c r="CL90" s="106">
        <v>0</v>
      </c>
      <c r="CM90" s="106">
        <v>0</v>
      </c>
      <c r="CN90" s="106">
        <v>0</v>
      </c>
      <c r="CO90" s="106">
        <v>0</v>
      </c>
      <c r="CP90" s="106">
        <v>0</v>
      </c>
      <c r="CQ90" s="106">
        <v>0</v>
      </c>
      <c r="CR90" s="106">
        <v>0</v>
      </c>
      <c r="CS90" s="106">
        <v>0</v>
      </c>
      <c r="CT90" s="106">
        <v>0</v>
      </c>
      <c r="CU90" s="106">
        <v>0</v>
      </c>
    </row>
    <row r="91" spans="2:99" x14ac:dyDescent="0.2">
      <c r="C91" s="105" t="s">
        <v>256</v>
      </c>
      <c r="D91" s="106">
        <v>0</v>
      </c>
      <c r="E91" s="106">
        <v>0</v>
      </c>
      <c r="F91" s="106">
        <v>0</v>
      </c>
      <c r="G91" s="106">
        <v>0</v>
      </c>
      <c r="H91" s="106">
        <v>0</v>
      </c>
      <c r="I91" s="106">
        <v>0</v>
      </c>
      <c r="J91" s="106">
        <v>0</v>
      </c>
      <c r="K91" s="106">
        <v>0</v>
      </c>
      <c r="L91" s="106">
        <v>0</v>
      </c>
      <c r="M91" s="106">
        <v>0</v>
      </c>
      <c r="N91" s="106">
        <v>0</v>
      </c>
      <c r="O91" s="106">
        <v>0</v>
      </c>
      <c r="P91" s="106">
        <v>0</v>
      </c>
      <c r="Q91" s="106">
        <v>0</v>
      </c>
      <c r="R91" s="106">
        <v>0</v>
      </c>
      <c r="S91" s="106">
        <v>0</v>
      </c>
      <c r="T91" s="106">
        <v>0</v>
      </c>
      <c r="U91" s="106">
        <v>0</v>
      </c>
      <c r="V91" s="106">
        <v>0</v>
      </c>
      <c r="W91" s="106">
        <v>0</v>
      </c>
      <c r="X91" s="106">
        <v>0</v>
      </c>
      <c r="Y91" s="106">
        <v>0</v>
      </c>
      <c r="Z91" s="106">
        <v>0</v>
      </c>
      <c r="AA91" s="106">
        <v>0</v>
      </c>
      <c r="AB91" s="106">
        <v>0</v>
      </c>
      <c r="AC91" s="106">
        <v>0</v>
      </c>
      <c r="AD91" s="106">
        <v>0</v>
      </c>
      <c r="AE91" s="106">
        <v>0</v>
      </c>
      <c r="AF91" s="106">
        <v>0</v>
      </c>
      <c r="AG91" s="106">
        <v>0</v>
      </c>
      <c r="AH91" s="106">
        <v>0</v>
      </c>
      <c r="AI91" s="106">
        <v>0</v>
      </c>
      <c r="AJ91" s="106">
        <v>0</v>
      </c>
      <c r="AK91" s="106">
        <v>0</v>
      </c>
      <c r="AL91" s="106">
        <v>0</v>
      </c>
      <c r="AM91" s="106">
        <v>0</v>
      </c>
      <c r="AN91" s="106">
        <v>0</v>
      </c>
      <c r="AO91" s="106">
        <v>0</v>
      </c>
      <c r="AP91" s="106">
        <v>0</v>
      </c>
      <c r="AQ91" s="106">
        <v>0</v>
      </c>
      <c r="AR91" s="106">
        <v>0</v>
      </c>
      <c r="AS91" s="106">
        <v>0</v>
      </c>
      <c r="AT91" s="106">
        <v>0</v>
      </c>
      <c r="AU91" s="106">
        <v>0</v>
      </c>
      <c r="AV91" s="106">
        <v>0</v>
      </c>
      <c r="AW91" s="106">
        <v>0</v>
      </c>
      <c r="AX91" s="106">
        <v>0</v>
      </c>
      <c r="AY91" s="106">
        <v>0</v>
      </c>
      <c r="AZ91" s="106">
        <v>0</v>
      </c>
      <c r="BA91" s="106">
        <v>0</v>
      </c>
      <c r="BB91" s="106">
        <v>0</v>
      </c>
      <c r="BC91" s="106">
        <v>0</v>
      </c>
      <c r="BD91" s="106">
        <v>0</v>
      </c>
      <c r="BE91" s="106">
        <v>0</v>
      </c>
      <c r="BF91" s="106">
        <v>0</v>
      </c>
      <c r="BG91" s="106">
        <v>0</v>
      </c>
      <c r="BH91" s="106">
        <v>0</v>
      </c>
      <c r="BI91" s="106">
        <v>0</v>
      </c>
      <c r="BJ91" s="106">
        <v>0</v>
      </c>
      <c r="BK91" s="106">
        <v>0</v>
      </c>
      <c r="BL91" s="106">
        <v>0</v>
      </c>
      <c r="BM91" s="106">
        <v>0</v>
      </c>
      <c r="BN91" s="106">
        <v>0</v>
      </c>
      <c r="BO91" s="106">
        <v>0</v>
      </c>
      <c r="BP91" s="106">
        <v>0</v>
      </c>
      <c r="BQ91" s="106">
        <v>0</v>
      </c>
      <c r="BR91" s="106">
        <v>0</v>
      </c>
      <c r="BS91" s="106">
        <v>0</v>
      </c>
      <c r="BT91" s="106">
        <v>0</v>
      </c>
      <c r="BU91" s="106">
        <v>0</v>
      </c>
      <c r="BV91" s="106">
        <v>0</v>
      </c>
      <c r="BW91" s="106">
        <v>0</v>
      </c>
      <c r="BX91" s="106">
        <v>0</v>
      </c>
      <c r="BY91" s="106">
        <v>0</v>
      </c>
      <c r="BZ91" s="106">
        <v>0</v>
      </c>
      <c r="CA91" s="106">
        <v>0</v>
      </c>
      <c r="CB91" s="106">
        <v>0</v>
      </c>
      <c r="CC91" s="106">
        <v>0</v>
      </c>
      <c r="CD91" s="106">
        <v>0</v>
      </c>
      <c r="CE91" s="106">
        <v>0</v>
      </c>
      <c r="CF91" s="106">
        <v>0</v>
      </c>
      <c r="CG91" s="106">
        <v>0</v>
      </c>
      <c r="CH91" s="106">
        <v>0</v>
      </c>
      <c r="CI91" s="106">
        <v>0</v>
      </c>
      <c r="CJ91" s="106">
        <v>0</v>
      </c>
      <c r="CK91" s="106">
        <v>0</v>
      </c>
      <c r="CL91" s="106">
        <v>0</v>
      </c>
      <c r="CM91" s="106">
        <v>0</v>
      </c>
      <c r="CN91" s="106">
        <v>0</v>
      </c>
      <c r="CO91" s="106">
        <v>0</v>
      </c>
      <c r="CP91" s="106">
        <v>0</v>
      </c>
      <c r="CQ91" s="106">
        <v>0</v>
      </c>
      <c r="CR91" s="106">
        <v>0</v>
      </c>
      <c r="CS91" s="106">
        <v>0</v>
      </c>
      <c r="CT91" s="106">
        <v>0</v>
      </c>
      <c r="CU91" s="106">
        <v>0</v>
      </c>
    </row>
    <row r="92" spans="2:99" x14ac:dyDescent="0.2">
      <c r="C92" s="105" t="s">
        <v>257</v>
      </c>
      <c r="D92" s="106">
        <v>0</v>
      </c>
      <c r="E92" s="106">
        <v>0</v>
      </c>
      <c r="F92" s="106">
        <v>0</v>
      </c>
      <c r="G92" s="106">
        <v>0</v>
      </c>
      <c r="H92" s="106">
        <v>0</v>
      </c>
      <c r="I92" s="106">
        <v>0</v>
      </c>
      <c r="J92" s="106">
        <v>0</v>
      </c>
      <c r="K92" s="106">
        <v>0</v>
      </c>
      <c r="L92" s="106">
        <v>0</v>
      </c>
      <c r="M92" s="106">
        <v>0</v>
      </c>
      <c r="N92" s="106">
        <v>0</v>
      </c>
      <c r="O92" s="106">
        <v>0</v>
      </c>
      <c r="P92" s="106">
        <v>0</v>
      </c>
      <c r="Q92" s="106">
        <v>0</v>
      </c>
      <c r="R92" s="106">
        <v>0</v>
      </c>
      <c r="S92" s="106">
        <v>0</v>
      </c>
      <c r="T92" s="106">
        <v>0</v>
      </c>
      <c r="U92" s="106">
        <v>0</v>
      </c>
      <c r="V92" s="106">
        <v>0</v>
      </c>
      <c r="W92" s="106">
        <v>0</v>
      </c>
      <c r="X92" s="106">
        <v>0</v>
      </c>
      <c r="Y92" s="106">
        <v>0</v>
      </c>
      <c r="Z92" s="106">
        <v>0</v>
      </c>
      <c r="AA92" s="106">
        <v>0</v>
      </c>
      <c r="AB92" s="106">
        <v>0</v>
      </c>
      <c r="AC92" s="106">
        <v>0</v>
      </c>
      <c r="AD92" s="106">
        <v>0</v>
      </c>
      <c r="AE92" s="106">
        <v>0</v>
      </c>
      <c r="AF92" s="106">
        <v>0</v>
      </c>
      <c r="AG92" s="106">
        <v>0</v>
      </c>
      <c r="AH92" s="106">
        <v>0</v>
      </c>
      <c r="AI92" s="106">
        <v>0</v>
      </c>
      <c r="AJ92" s="106">
        <v>0</v>
      </c>
      <c r="AK92" s="106">
        <v>0</v>
      </c>
      <c r="AL92" s="106">
        <v>0</v>
      </c>
      <c r="AM92" s="106">
        <v>0</v>
      </c>
      <c r="AN92" s="106">
        <v>0</v>
      </c>
      <c r="AO92" s="106">
        <v>0</v>
      </c>
      <c r="AP92" s="106">
        <v>0</v>
      </c>
      <c r="AQ92" s="106">
        <v>0</v>
      </c>
      <c r="AR92" s="106">
        <v>0</v>
      </c>
      <c r="AS92" s="106">
        <v>0</v>
      </c>
      <c r="AT92" s="106">
        <v>0</v>
      </c>
      <c r="AU92" s="106">
        <v>0</v>
      </c>
      <c r="AV92" s="106">
        <v>0</v>
      </c>
      <c r="AW92" s="106">
        <v>0</v>
      </c>
      <c r="AX92" s="106">
        <v>0</v>
      </c>
      <c r="AY92" s="106">
        <v>0</v>
      </c>
      <c r="AZ92" s="106">
        <v>0</v>
      </c>
      <c r="BA92" s="106">
        <v>0</v>
      </c>
      <c r="BB92" s="106">
        <v>0</v>
      </c>
      <c r="BC92" s="106">
        <v>0</v>
      </c>
      <c r="BD92" s="106">
        <v>0</v>
      </c>
      <c r="BE92" s="106">
        <v>0</v>
      </c>
      <c r="BF92" s="106">
        <v>0</v>
      </c>
      <c r="BG92" s="106">
        <v>0</v>
      </c>
      <c r="BH92" s="106">
        <v>0</v>
      </c>
      <c r="BI92" s="106">
        <v>0</v>
      </c>
      <c r="BJ92" s="106">
        <v>0</v>
      </c>
      <c r="BK92" s="106">
        <v>0</v>
      </c>
      <c r="BL92" s="106">
        <v>0</v>
      </c>
      <c r="BM92" s="106">
        <v>0</v>
      </c>
      <c r="BN92" s="106">
        <v>0</v>
      </c>
      <c r="BO92" s="106">
        <v>0</v>
      </c>
      <c r="BP92" s="106">
        <v>0</v>
      </c>
      <c r="BQ92" s="106">
        <v>0</v>
      </c>
      <c r="BR92" s="106">
        <v>0</v>
      </c>
      <c r="BS92" s="106">
        <v>0</v>
      </c>
      <c r="BT92" s="106">
        <v>0</v>
      </c>
      <c r="BU92" s="106">
        <v>0</v>
      </c>
      <c r="BV92" s="106">
        <v>0</v>
      </c>
      <c r="BW92" s="106">
        <v>0</v>
      </c>
      <c r="BX92" s="106">
        <v>0</v>
      </c>
      <c r="BY92" s="106">
        <v>0</v>
      </c>
      <c r="BZ92" s="106">
        <v>0</v>
      </c>
      <c r="CA92" s="106">
        <v>0</v>
      </c>
      <c r="CB92" s="106">
        <v>0</v>
      </c>
      <c r="CC92" s="106">
        <v>0</v>
      </c>
      <c r="CD92" s="106">
        <v>0</v>
      </c>
      <c r="CE92" s="106">
        <v>0</v>
      </c>
      <c r="CF92" s="106">
        <v>0</v>
      </c>
      <c r="CG92" s="106">
        <v>0</v>
      </c>
      <c r="CH92" s="106">
        <v>0</v>
      </c>
      <c r="CI92" s="106">
        <v>0</v>
      </c>
      <c r="CJ92" s="106">
        <v>0</v>
      </c>
      <c r="CK92" s="106">
        <v>0</v>
      </c>
      <c r="CL92" s="106">
        <v>0</v>
      </c>
      <c r="CM92" s="106">
        <v>0</v>
      </c>
      <c r="CN92" s="106">
        <v>0</v>
      </c>
      <c r="CO92" s="106">
        <v>0</v>
      </c>
      <c r="CP92" s="106">
        <v>0</v>
      </c>
      <c r="CQ92" s="106">
        <v>0</v>
      </c>
      <c r="CR92" s="106">
        <v>0</v>
      </c>
      <c r="CS92" s="106">
        <v>0</v>
      </c>
      <c r="CT92" s="106">
        <v>0</v>
      </c>
      <c r="CU92" s="106">
        <v>0</v>
      </c>
    </row>
    <row r="93" spans="2:99" x14ac:dyDescent="0.2">
      <c r="C93" s="105" t="s">
        <v>258</v>
      </c>
      <c r="D93" s="106">
        <v>0</v>
      </c>
      <c r="E93" s="106">
        <v>0</v>
      </c>
      <c r="F93" s="106">
        <v>0</v>
      </c>
      <c r="G93" s="106">
        <v>0</v>
      </c>
      <c r="H93" s="106">
        <v>0</v>
      </c>
      <c r="I93" s="106">
        <v>0</v>
      </c>
      <c r="J93" s="106">
        <v>0</v>
      </c>
      <c r="K93" s="106">
        <v>0</v>
      </c>
      <c r="L93" s="106">
        <v>0</v>
      </c>
      <c r="M93" s="106">
        <v>0</v>
      </c>
      <c r="N93" s="106">
        <v>0</v>
      </c>
      <c r="O93" s="106">
        <v>0</v>
      </c>
      <c r="P93" s="106">
        <v>0</v>
      </c>
      <c r="Q93" s="106">
        <v>0</v>
      </c>
      <c r="R93" s="106">
        <v>0</v>
      </c>
      <c r="S93" s="106">
        <v>0</v>
      </c>
      <c r="T93" s="106">
        <v>0</v>
      </c>
      <c r="U93" s="106">
        <v>0</v>
      </c>
      <c r="V93" s="106">
        <v>0</v>
      </c>
      <c r="W93" s="106">
        <v>0</v>
      </c>
      <c r="X93" s="106">
        <v>0</v>
      </c>
      <c r="Y93" s="106">
        <v>0</v>
      </c>
      <c r="Z93" s="106">
        <v>0</v>
      </c>
      <c r="AA93" s="106">
        <v>0</v>
      </c>
      <c r="AB93" s="106">
        <v>0</v>
      </c>
      <c r="AC93" s="106">
        <v>0</v>
      </c>
      <c r="AD93" s="106">
        <v>0</v>
      </c>
      <c r="AE93" s="106">
        <v>0</v>
      </c>
      <c r="AF93" s="106">
        <v>0</v>
      </c>
      <c r="AG93" s="106">
        <v>0</v>
      </c>
      <c r="AH93" s="106">
        <v>0</v>
      </c>
      <c r="AI93" s="106">
        <v>0</v>
      </c>
      <c r="AJ93" s="106">
        <v>0</v>
      </c>
      <c r="AK93" s="106">
        <v>0</v>
      </c>
      <c r="AL93" s="106">
        <v>0</v>
      </c>
      <c r="AM93" s="106">
        <v>0</v>
      </c>
      <c r="AN93" s="106">
        <v>0</v>
      </c>
      <c r="AO93" s="106">
        <v>0</v>
      </c>
      <c r="AP93" s="106">
        <v>0</v>
      </c>
      <c r="AQ93" s="106">
        <v>0</v>
      </c>
      <c r="AR93" s="106">
        <v>0</v>
      </c>
      <c r="AS93" s="106">
        <v>0</v>
      </c>
      <c r="AT93" s="106">
        <v>0</v>
      </c>
      <c r="AU93" s="106">
        <v>0</v>
      </c>
      <c r="AV93" s="106">
        <v>0</v>
      </c>
      <c r="AW93" s="106">
        <v>0</v>
      </c>
      <c r="AX93" s="106">
        <v>0</v>
      </c>
      <c r="AY93" s="106">
        <v>0</v>
      </c>
      <c r="AZ93" s="106">
        <v>0</v>
      </c>
      <c r="BA93" s="106">
        <v>0</v>
      </c>
      <c r="BB93" s="106">
        <v>0</v>
      </c>
      <c r="BC93" s="106">
        <v>0</v>
      </c>
      <c r="BD93" s="106">
        <v>0</v>
      </c>
      <c r="BE93" s="106">
        <v>0</v>
      </c>
      <c r="BF93" s="106">
        <v>0</v>
      </c>
      <c r="BG93" s="106">
        <v>0</v>
      </c>
      <c r="BH93" s="106">
        <v>0</v>
      </c>
      <c r="BI93" s="106">
        <v>0</v>
      </c>
      <c r="BJ93" s="106">
        <v>0</v>
      </c>
      <c r="BK93" s="106">
        <v>0</v>
      </c>
      <c r="BL93" s="106">
        <v>0</v>
      </c>
      <c r="BM93" s="106">
        <v>0</v>
      </c>
      <c r="BN93" s="106">
        <v>0</v>
      </c>
      <c r="BO93" s="106">
        <v>0</v>
      </c>
      <c r="BP93" s="106">
        <v>0</v>
      </c>
      <c r="BQ93" s="106">
        <v>0</v>
      </c>
      <c r="BR93" s="106">
        <v>0</v>
      </c>
      <c r="BS93" s="106">
        <v>0</v>
      </c>
      <c r="BT93" s="106">
        <v>0</v>
      </c>
      <c r="BU93" s="106">
        <v>0</v>
      </c>
      <c r="BV93" s="106">
        <v>0</v>
      </c>
      <c r="BW93" s="106">
        <v>0</v>
      </c>
      <c r="BX93" s="106">
        <v>0</v>
      </c>
      <c r="BY93" s="106">
        <v>0</v>
      </c>
      <c r="BZ93" s="106">
        <v>0</v>
      </c>
      <c r="CA93" s="106">
        <v>0</v>
      </c>
      <c r="CB93" s="106">
        <v>0</v>
      </c>
      <c r="CC93" s="106">
        <v>0</v>
      </c>
      <c r="CD93" s="106">
        <v>0</v>
      </c>
      <c r="CE93" s="106">
        <v>0</v>
      </c>
      <c r="CF93" s="106">
        <v>0</v>
      </c>
      <c r="CG93" s="106">
        <v>0</v>
      </c>
      <c r="CH93" s="106">
        <v>0</v>
      </c>
      <c r="CI93" s="106">
        <v>0</v>
      </c>
      <c r="CJ93" s="106">
        <v>0</v>
      </c>
      <c r="CK93" s="106">
        <v>0</v>
      </c>
      <c r="CL93" s="106">
        <v>0</v>
      </c>
      <c r="CM93" s="106">
        <v>0</v>
      </c>
      <c r="CN93" s="106">
        <v>0</v>
      </c>
      <c r="CO93" s="106">
        <v>0</v>
      </c>
      <c r="CP93" s="106">
        <v>0</v>
      </c>
      <c r="CQ93" s="106">
        <v>0</v>
      </c>
      <c r="CR93" s="106">
        <v>0</v>
      </c>
      <c r="CS93" s="106">
        <v>0</v>
      </c>
      <c r="CT93" s="106">
        <v>0</v>
      </c>
      <c r="CU93" s="106">
        <v>0</v>
      </c>
    </row>
    <row r="94" spans="2:99" x14ac:dyDescent="0.2">
      <c r="C94" s="105" t="s">
        <v>259</v>
      </c>
      <c r="D94" s="106">
        <v>0</v>
      </c>
      <c r="E94" s="106">
        <v>0</v>
      </c>
      <c r="F94" s="106">
        <v>0</v>
      </c>
      <c r="G94" s="106">
        <v>0</v>
      </c>
      <c r="H94" s="106">
        <v>0</v>
      </c>
      <c r="I94" s="106">
        <v>0</v>
      </c>
      <c r="J94" s="106">
        <v>0</v>
      </c>
      <c r="K94" s="106">
        <v>0</v>
      </c>
      <c r="L94" s="106">
        <v>0</v>
      </c>
      <c r="M94" s="106">
        <v>0</v>
      </c>
      <c r="N94" s="106">
        <v>0</v>
      </c>
      <c r="O94" s="106">
        <v>0</v>
      </c>
      <c r="P94" s="106">
        <v>0</v>
      </c>
      <c r="Q94" s="106">
        <v>0</v>
      </c>
      <c r="R94" s="106">
        <v>0</v>
      </c>
      <c r="S94" s="106">
        <v>0</v>
      </c>
      <c r="T94" s="106">
        <v>0</v>
      </c>
      <c r="U94" s="106">
        <v>0</v>
      </c>
      <c r="V94" s="106">
        <v>0</v>
      </c>
      <c r="W94" s="106">
        <v>0</v>
      </c>
      <c r="X94" s="106">
        <v>0</v>
      </c>
      <c r="Y94" s="106">
        <v>0</v>
      </c>
      <c r="Z94" s="106">
        <v>0</v>
      </c>
      <c r="AA94" s="106">
        <v>0</v>
      </c>
      <c r="AB94" s="106">
        <v>0</v>
      </c>
      <c r="AC94" s="106">
        <v>0</v>
      </c>
      <c r="AD94" s="106">
        <v>0</v>
      </c>
      <c r="AE94" s="106">
        <v>0</v>
      </c>
      <c r="AF94" s="106">
        <v>0</v>
      </c>
      <c r="AG94" s="106">
        <v>0</v>
      </c>
      <c r="AH94" s="106">
        <v>0</v>
      </c>
      <c r="AI94" s="106">
        <v>0</v>
      </c>
      <c r="AJ94" s="106">
        <v>0</v>
      </c>
      <c r="AK94" s="106">
        <v>0</v>
      </c>
      <c r="AL94" s="106">
        <v>0</v>
      </c>
      <c r="AM94" s="106">
        <v>0</v>
      </c>
      <c r="AN94" s="106">
        <v>0</v>
      </c>
      <c r="AO94" s="106">
        <v>0</v>
      </c>
      <c r="AP94" s="106">
        <v>0</v>
      </c>
      <c r="AQ94" s="106">
        <v>0</v>
      </c>
      <c r="AR94" s="106">
        <v>0</v>
      </c>
      <c r="AS94" s="106">
        <v>0</v>
      </c>
      <c r="AT94" s="106">
        <v>0</v>
      </c>
      <c r="AU94" s="106">
        <v>0</v>
      </c>
      <c r="AV94" s="106">
        <v>0</v>
      </c>
      <c r="AW94" s="106">
        <v>0</v>
      </c>
      <c r="AX94" s="106">
        <v>0</v>
      </c>
      <c r="AY94" s="106">
        <v>0</v>
      </c>
      <c r="AZ94" s="106">
        <v>0</v>
      </c>
      <c r="BA94" s="106">
        <v>0</v>
      </c>
      <c r="BB94" s="106">
        <v>0</v>
      </c>
      <c r="BC94" s="106">
        <v>0</v>
      </c>
      <c r="BD94" s="106">
        <v>0</v>
      </c>
      <c r="BE94" s="106">
        <v>0</v>
      </c>
      <c r="BF94" s="106">
        <v>0</v>
      </c>
      <c r="BG94" s="106">
        <v>0</v>
      </c>
      <c r="BH94" s="106">
        <v>0</v>
      </c>
      <c r="BI94" s="106">
        <v>0</v>
      </c>
      <c r="BJ94" s="106">
        <v>0</v>
      </c>
      <c r="BK94" s="106">
        <v>0</v>
      </c>
      <c r="BL94" s="106">
        <v>0</v>
      </c>
      <c r="BM94" s="106">
        <v>0</v>
      </c>
      <c r="BN94" s="106">
        <v>0</v>
      </c>
      <c r="BO94" s="106">
        <v>0</v>
      </c>
      <c r="BP94" s="106">
        <v>0</v>
      </c>
      <c r="BQ94" s="106">
        <v>0</v>
      </c>
      <c r="BR94" s="106">
        <v>0</v>
      </c>
      <c r="BS94" s="106">
        <v>0</v>
      </c>
      <c r="BT94" s="106">
        <v>0</v>
      </c>
      <c r="BU94" s="106">
        <v>0</v>
      </c>
      <c r="BV94" s="106">
        <v>0</v>
      </c>
      <c r="BW94" s="106">
        <v>0</v>
      </c>
      <c r="BX94" s="106">
        <v>0</v>
      </c>
      <c r="BY94" s="106">
        <v>0</v>
      </c>
      <c r="BZ94" s="106">
        <v>0</v>
      </c>
      <c r="CA94" s="106">
        <v>0</v>
      </c>
      <c r="CB94" s="106">
        <v>0</v>
      </c>
      <c r="CC94" s="106">
        <v>0</v>
      </c>
      <c r="CD94" s="106">
        <v>0</v>
      </c>
      <c r="CE94" s="106">
        <v>0</v>
      </c>
      <c r="CF94" s="106">
        <v>0</v>
      </c>
      <c r="CG94" s="106">
        <v>0</v>
      </c>
      <c r="CH94" s="106">
        <v>0</v>
      </c>
      <c r="CI94" s="106">
        <v>0</v>
      </c>
      <c r="CJ94" s="106">
        <v>0</v>
      </c>
      <c r="CK94" s="106">
        <v>0</v>
      </c>
      <c r="CL94" s="106">
        <v>0</v>
      </c>
      <c r="CM94" s="106">
        <v>0</v>
      </c>
      <c r="CN94" s="106">
        <v>0</v>
      </c>
      <c r="CO94" s="106">
        <v>0</v>
      </c>
      <c r="CP94" s="106">
        <v>0</v>
      </c>
      <c r="CQ94" s="106">
        <v>0</v>
      </c>
      <c r="CR94" s="106">
        <v>0</v>
      </c>
      <c r="CS94" s="106">
        <v>0</v>
      </c>
      <c r="CT94" s="106">
        <v>0</v>
      </c>
      <c r="CU94" s="106">
        <v>0</v>
      </c>
    </row>
    <row r="95" spans="2:99" x14ac:dyDescent="0.2">
      <c r="B95" s="105" t="s">
        <v>132</v>
      </c>
      <c r="C95" s="105" t="s">
        <v>260</v>
      </c>
      <c r="D95" s="106">
        <v>0</v>
      </c>
      <c r="E95" s="106">
        <v>0</v>
      </c>
      <c r="F95" s="106">
        <v>0</v>
      </c>
      <c r="G95" s="106">
        <v>0</v>
      </c>
      <c r="H95" s="106">
        <v>0</v>
      </c>
      <c r="I95" s="106">
        <v>0</v>
      </c>
      <c r="J95" s="106">
        <v>0</v>
      </c>
      <c r="K95" s="106">
        <v>0</v>
      </c>
      <c r="L95" s="106">
        <v>0</v>
      </c>
      <c r="M95" s="106">
        <v>0</v>
      </c>
      <c r="N95" s="106">
        <v>0</v>
      </c>
      <c r="O95" s="106">
        <v>0</v>
      </c>
      <c r="P95" s="106">
        <v>0</v>
      </c>
      <c r="Q95" s="106">
        <v>0</v>
      </c>
      <c r="R95" s="106">
        <v>0</v>
      </c>
      <c r="S95" s="106">
        <v>0</v>
      </c>
      <c r="T95" s="106">
        <v>0</v>
      </c>
      <c r="U95" s="106">
        <v>0</v>
      </c>
      <c r="V95" s="106">
        <v>0</v>
      </c>
      <c r="W95" s="106">
        <v>0</v>
      </c>
      <c r="X95" s="106">
        <v>0</v>
      </c>
      <c r="Y95" s="106">
        <v>0</v>
      </c>
      <c r="Z95" s="106">
        <v>0</v>
      </c>
      <c r="AA95" s="106">
        <v>0</v>
      </c>
      <c r="AB95" s="106">
        <v>0</v>
      </c>
      <c r="AC95" s="106">
        <v>0</v>
      </c>
      <c r="AD95" s="106">
        <v>0</v>
      </c>
      <c r="AE95" s="106">
        <v>0</v>
      </c>
      <c r="AF95" s="106">
        <v>0</v>
      </c>
      <c r="AG95" s="106">
        <v>0</v>
      </c>
      <c r="AH95" s="106">
        <v>0</v>
      </c>
      <c r="AI95" s="106">
        <v>0</v>
      </c>
      <c r="AJ95" s="106">
        <v>0</v>
      </c>
      <c r="AK95" s="106">
        <v>0</v>
      </c>
      <c r="AL95" s="106">
        <v>0</v>
      </c>
      <c r="AM95" s="106">
        <v>0</v>
      </c>
      <c r="AN95" s="106">
        <v>0</v>
      </c>
      <c r="AO95" s="106">
        <v>0</v>
      </c>
      <c r="AP95" s="106">
        <v>0</v>
      </c>
      <c r="AQ95" s="106">
        <v>0</v>
      </c>
      <c r="AR95" s="106">
        <v>0</v>
      </c>
      <c r="AS95" s="106">
        <v>0</v>
      </c>
      <c r="AT95" s="106">
        <v>0</v>
      </c>
      <c r="AU95" s="106">
        <v>0</v>
      </c>
      <c r="AV95" s="106">
        <v>0</v>
      </c>
      <c r="AW95" s="106">
        <v>0</v>
      </c>
      <c r="AX95" s="106">
        <v>0</v>
      </c>
      <c r="AY95" s="106">
        <v>0</v>
      </c>
      <c r="AZ95" s="106">
        <v>0</v>
      </c>
      <c r="BA95" s="106">
        <v>0</v>
      </c>
      <c r="BB95" s="106">
        <v>0</v>
      </c>
      <c r="BC95" s="106">
        <v>0</v>
      </c>
      <c r="BD95" s="106">
        <v>0</v>
      </c>
      <c r="BE95" s="106">
        <v>0</v>
      </c>
      <c r="BF95" s="106">
        <v>0</v>
      </c>
      <c r="BG95" s="106">
        <v>0</v>
      </c>
      <c r="BH95" s="106">
        <v>0</v>
      </c>
      <c r="BI95" s="106">
        <v>0</v>
      </c>
      <c r="BJ95" s="106">
        <v>0</v>
      </c>
      <c r="BK95" s="106">
        <v>0</v>
      </c>
      <c r="BL95" s="106">
        <v>0</v>
      </c>
      <c r="BM95" s="106">
        <v>0</v>
      </c>
      <c r="BN95" s="106">
        <v>0</v>
      </c>
      <c r="BO95" s="106">
        <v>0</v>
      </c>
      <c r="BP95" s="106">
        <v>0</v>
      </c>
      <c r="BQ95" s="106">
        <v>0</v>
      </c>
      <c r="BR95" s="106">
        <v>0</v>
      </c>
      <c r="BS95" s="106">
        <v>0</v>
      </c>
      <c r="BT95" s="106">
        <v>0</v>
      </c>
      <c r="BU95" s="106">
        <v>0</v>
      </c>
      <c r="BV95" s="106">
        <v>0</v>
      </c>
      <c r="BW95" s="106">
        <v>0</v>
      </c>
      <c r="BX95" s="106">
        <v>0</v>
      </c>
      <c r="BY95" s="106">
        <v>0</v>
      </c>
      <c r="BZ95" s="106">
        <v>0</v>
      </c>
      <c r="CA95" s="106">
        <v>0</v>
      </c>
      <c r="CB95" s="106">
        <v>0</v>
      </c>
      <c r="CC95" s="106">
        <v>0</v>
      </c>
      <c r="CD95" s="106">
        <v>0</v>
      </c>
      <c r="CE95" s="106">
        <v>0</v>
      </c>
      <c r="CF95" s="106">
        <v>0</v>
      </c>
      <c r="CG95" s="106">
        <v>0</v>
      </c>
      <c r="CH95" s="106">
        <v>0</v>
      </c>
      <c r="CI95" s="106">
        <v>0</v>
      </c>
      <c r="CJ95" s="106">
        <v>0</v>
      </c>
      <c r="CK95" s="106">
        <v>0</v>
      </c>
      <c r="CL95" s="106">
        <v>0</v>
      </c>
      <c r="CM95" s="106">
        <v>0</v>
      </c>
      <c r="CN95" s="106">
        <v>0</v>
      </c>
      <c r="CO95" s="106">
        <v>0</v>
      </c>
      <c r="CP95" s="106">
        <v>0</v>
      </c>
      <c r="CQ95" s="106">
        <v>0</v>
      </c>
      <c r="CR95" s="106">
        <v>0</v>
      </c>
      <c r="CS95" s="106">
        <v>0</v>
      </c>
      <c r="CT95" s="106">
        <v>0</v>
      </c>
      <c r="CU95" s="106">
        <v>0</v>
      </c>
    </row>
    <row r="96" spans="2:99" x14ac:dyDescent="0.2">
      <c r="C96" s="105" t="s">
        <v>261</v>
      </c>
      <c r="D96" s="106">
        <v>0</v>
      </c>
      <c r="E96" s="106">
        <v>0</v>
      </c>
      <c r="F96" s="106">
        <v>0</v>
      </c>
      <c r="G96" s="106">
        <v>0</v>
      </c>
      <c r="H96" s="106">
        <v>0</v>
      </c>
      <c r="I96" s="106">
        <v>0</v>
      </c>
      <c r="J96" s="106">
        <v>0</v>
      </c>
      <c r="K96" s="106">
        <v>0</v>
      </c>
      <c r="L96" s="106">
        <v>0</v>
      </c>
      <c r="M96" s="106">
        <v>0</v>
      </c>
      <c r="N96" s="106">
        <v>0</v>
      </c>
      <c r="O96" s="106">
        <v>0</v>
      </c>
      <c r="P96" s="106">
        <v>0</v>
      </c>
      <c r="Q96" s="106">
        <v>0</v>
      </c>
      <c r="R96" s="106">
        <v>0</v>
      </c>
      <c r="S96" s="106">
        <v>0</v>
      </c>
      <c r="T96" s="106">
        <v>0</v>
      </c>
      <c r="U96" s="106">
        <v>0</v>
      </c>
      <c r="V96" s="106">
        <v>0</v>
      </c>
      <c r="W96" s="106">
        <v>0</v>
      </c>
      <c r="X96" s="106">
        <v>0</v>
      </c>
      <c r="Y96" s="106">
        <v>0</v>
      </c>
      <c r="Z96" s="106">
        <v>0</v>
      </c>
      <c r="AA96" s="106">
        <v>0</v>
      </c>
      <c r="AB96" s="106">
        <v>0</v>
      </c>
      <c r="AC96" s="106">
        <v>0</v>
      </c>
      <c r="AD96" s="106">
        <v>0</v>
      </c>
      <c r="AE96" s="106">
        <v>0</v>
      </c>
      <c r="AF96" s="106">
        <v>0</v>
      </c>
      <c r="AG96" s="106">
        <v>0</v>
      </c>
      <c r="AH96" s="106">
        <v>0</v>
      </c>
      <c r="AI96" s="106">
        <v>0</v>
      </c>
      <c r="AJ96" s="106">
        <v>0</v>
      </c>
      <c r="AK96" s="106">
        <v>0</v>
      </c>
      <c r="AL96" s="106">
        <v>0</v>
      </c>
      <c r="AM96" s="106">
        <v>0</v>
      </c>
      <c r="AN96" s="106">
        <v>0</v>
      </c>
      <c r="AO96" s="106">
        <v>0</v>
      </c>
      <c r="AP96" s="106">
        <v>0</v>
      </c>
      <c r="AQ96" s="106">
        <v>0</v>
      </c>
      <c r="AR96" s="106">
        <v>0</v>
      </c>
      <c r="AS96" s="106">
        <v>0</v>
      </c>
      <c r="AT96" s="106">
        <v>0</v>
      </c>
      <c r="AU96" s="106">
        <v>0</v>
      </c>
      <c r="AV96" s="106">
        <v>0</v>
      </c>
      <c r="AW96" s="106">
        <v>0</v>
      </c>
      <c r="AX96" s="106">
        <v>0</v>
      </c>
      <c r="AY96" s="106">
        <v>0</v>
      </c>
      <c r="AZ96" s="106">
        <v>0</v>
      </c>
      <c r="BA96" s="106">
        <v>0</v>
      </c>
      <c r="BB96" s="106">
        <v>0</v>
      </c>
      <c r="BC96" s="106">
        <v>0</v>
      </c>
      <c r="BD96" s="106">
        <v>0</v>
      </c>
      <c r="BE96" s="106">
        <v>0</v>
      </c>
      <c r="BF96" s="106">
        <v>0</v>
      </c>
      <c r="BG96" s="106">
        <v>0</v>
      </c>
      <c r="BH96" s="106">
        <v>0</v>
      </c>
      <c r="BI96" s="106">
        <v>0</v>
      </c>
      <c r="BJ96" s="106">
        <v>0</v>
      </c>
      <c r="BK96" s="106">
        <v>0</v>
      </c>
      <c r="BL96" s="106">
        <v>0</v>
      </c>
      <c r="BM96" s="106">
        <v>0</v>
      </c>
      <c r="BN96" s="106">
        <v>0</v>
      </c>
      <c r="BO96" s="106">
        <v>0</v>
      </c>
      <c r="BP96" s="106">
        <v>0</v>
      </c>
      <c r="BQ96" s="106">
        <v>0</v>
      </c>
      <c r="BR96" s="106">
        <v>0</v>
      </c>
      <c r="BS96" s="106">
        <v>0</v>
      </c>
      <c r="BT96" s="106">
        <v>0</v>
      </c>
      <c r="BU96" s="106">
        <v>0</v>
      </c>
      <c r="BV96" s="106">
        <v>0</v>
      </c>
      <c r="BW96" s="106">
        <v>0</v>
      </c>
      <c r="BX96" s="106">
        <v>0</v>
      </c>
      <c r="BY96" s="106">
        <v>0</v>
      </c>
      <c r="BZ96" s="106">
        <v>0</v>
      </c>
      <c r="CA96" s="106">
        <v>0</v>
      </c>
      <c r="CB96" s="106">
        <v>0</v>
      </c>
      <c r="CC96" s="106">
        <v>0</v>
      </c>
      <c r="CD96" s="106">
        <v>0</v>
      </c>
      <c r="CE96" s="106">
        <v>0</v>
      </c>
      <c r="CF96" s="106">
        <v>0</v>
      </c>
      <c r="CG96" s="106">
        <v>0</v>
      </c>
      <c r="CH96" s="106">
        <v>0</v>
      </c>
      <c r="CI96" s="106">
        <v>0</v>
      </c>
      <c r="CJ96" s="106">
        <v>0</v>
      </c>
      <c r="CK96" s="106">
        <v>0</v>
      </c>
      <c r="CL96" s="106">
        <v>0</v>
      </c>
      <c r="CM96" s="106">
        <v>0</v>
      </c>
      <c r="CN96" s="106">
        <v>0</v>
      </c>
      <c r="CO96" s="106">
        <v>0</v>
      </c>
      <c r="CP96" s="106">
        <v>0</v>
      </c>
      <c r="CQ96" s="106">
        <v>0</v>
      </c>
      <c r="CR96" s="106">
        <v>0</v>
      </c>
      <c r="CS96" s="106">
        <v>0</v>
      </c>
      <c r="CT96" s="106">
        <v>0</v>
      </c>
      <c r="CU96" s="106">
        <v>0</v>
      </c>
    </row>
    <row r="97" spans="2:99" x14ac:dyDescent="0.2">
      <c r="C97" s="105" t="s">
        <v>262</v>
      </c>
      <c r="D97" s="106">
        <v>0</v>
      </c>
      <c r="E97" s="106">
        <v>0</v>
      </c>
      <c r="F97" s="106">
        <v>0</v>
      </c>
      <c r="G97" s="106">
        <v>0</v>
      </c>
      <c r="H97" s="106">
        <v>0</v>
      </c>
      <c r="I97" s="106">
        <v>0</v>
      </c>
      <c r="J97" s="106">
        <v>0</v>
      </c>
      <c r="K97" s="106">
        <v>0</v>
      </c>
      <c r="L97" s="106">
        <v>0</v>
      </c>
      <c r="M97" s="106">
        <v>0</v>
      </c>
      <c r="N97" s="106">
        <v>0</v>
      </c>
      <c r="O97" s="106">
        <v>0</v>
      </c>
      <c r="P97" s="106">
        <v>0</v>
      </c>
      <c r="Q97" s="106">
        <v>0</v>
      </c>
      <c r="R97" s="106">
        <v>0</v>
      </c>
      <c r="S97" s="106">
        <v>0</v>
      </c>
      <c r="T97" s="106">
        <v>0</v>
      </c>
      <c r="U97" s="106">
        <v>0</v>
      </c>
      <c r="V97" s="106">
        <v>0</v>
      </c>
      <c r="W97" s="106">
        <v>0</v>
      </c>
      <c r="X97" s="106">
        <v>0</v>
      </c>
      <c r="Y97" s="106">
        <v>0</v>
      </c>
      <c r="Z97" s="106">
        <v>0</v>
      </c>
      <c r="AA97" s="106">
        <v>0</v>
      </c>
      <c r="AB97" s="106">
        <v>0</v>
      </c>
      <c r="AC97" s="106">
        <v>0</v>
      </c>
      <c r="AD97" s="106">
        <v>0</v>
      </c>
      <c r="AE97" s="106">
        <v>0</v>
      </c>
      <c r="AF97" s="106">
        <v>0</v>
      </c>
      <c r="AG97" s="106">
        <v>0</v>
      </c>
      <c r="AH97" s="106">
        <v>0</v>
      </c>
      <c r="AI97" s="106">
        <v>0</v>
      </c>
      <c r="AJ97" s="106">
        <v>0</v>
      </c>
      <c r="AK97" s="106">
        <v>0</v>
      </c>
      <c r="AL97" s="106">
        <v>0</v>
      </c>
      <c r="AM97" s="106">
        <v>0</v>
      </c>
      <c r="AN97" s="106">
        <v>0</v>
      </c>
      <c r="AO97" s="106">
        <v>0</v>
      </c>
      <c r="AP97" s="106">
        <v>0</v>
      </c>
      <c r="AQ97" s="106">
        <v>0</v>
      </c>
      <c r="AR97" s="106">
        <v>0</v>
      </c>
      <c r="AS97" s="106">
        <v>0</v>
      </c>
      <c r="AT97" s="106">
        <v>0</v>
      </c>
      <c r="AU97" s="106">
        <v>0</v>
      </c>
      <c r="AV97" s="106">
        <v>0</v>
      </c>
      <c r="AW97" s="106">
        <v>0</v>
      </c>
      <c r="AX97" s="106">
        <v>0</v>
      </c>
      <c r="AY97" s="106">
        <v>0</v>
      </c>
      <c r="AZ97" s="106">
        <v>0</v>
      </c>
      <c r="BA97" s="106">
        <v>0</v>
      </c>
      <c r="BB97" s="106">
        <v>0</v>
      </c>
      <c r="BC97" s="106">
        <v>0</v>
      </c>
      <c r="BD97" s="106">
        <v>0</v>
      </c>
      <c r="BE97" s="106">
        <v>0</v>
      </c>
      <c r="BF97" s="106">
        <v>0</v>
      </c>
      <c r="BG97" s="106">
        <v>0</v>
      </c>
      <c r="BH97" s="106">
        <v>0</v>
      </c>
      <c r="BI97" s="106">
        <v>0</v>
      </c>
      <c r="BJ97" s="106">
        <v>0</v>
      </c>
      <c r="BK97" s="106">
        <v>0</v>
      </c>
      <c r="BL97" s="106">
        <v>0</v>
      </c>
      <c r="BM97" s="106">
        <v>0</v>
      </c>
      <c r="BN97" s="106">
        <v>0</v>
      </c>
      <c r="BO97" s="106">
        <v>0</v>
      </c>
      <c r="BP97" s="106">
        <v>0</v>
      </c>
      <c r="BQ97" s="106">
        <v>0</v>
      </c>
      <c r="BR97" s="106">
        <v>0</v>
      </c>
      <c r="BS97" s="106">
        <v>0</v>
      </c>
      <c r="BT97" s="106">
        <v>0</v>
      </c>
      <c r="BU97" s="106">
        <v>0</v>
      </c>
      <c r="BV97" s="106">
        <v>0</v>
      </c>
      <c r="BW97" s="106">
        <v>0</v>
      </c>
      <c r="BX97" s="106">
        <v>0</v>
      </c>
      <c r="BY97" s="106">
        <v>0</v>
      </c>
      <c r="BZ97" s="106">
        <v>0</v>
      </c>
      <c r="CA97" s="106">
        <v>0</v>
      </c>
      <c r="CB97" s="106">
        <v>0</v>
      </c>
      <c r="CC97" s="106">
        <v>0</v>
      </c>
      <c r="CD97" s="106">
        <v>0</v>
      </c>
      <c r="CE97" s="106">
        <v>0</v>
      </c>
      <c r="CF97" s="106">
        <v>0</v>
      </c>
      <c r="CG97" s="106">
        <v>0</v>
      </c>
      <c r="CH97" s="106">
        <v>0</v>
      </c>
      <c r="CI97" s="106">
        <v>0</v>
      </c>
      <c r="CJ97" s="106">
        <v>0</v>
      </c>
      <c r="CK97" s="106">
        <v>0</v>
      </c>
      <c r="CL97" s="106">
        <v>0</v>
      </c>
      <c r="CM97" s="106">
        <v>0</v>
      </c>
      <c r="CN97" s="106">
        <v>0</v>
      </c>
      <c r="CO97" s="106">
        <v>0</v>
      </c>
      <c r="CP97" s="106">
        <v>0</v>
      </c>
      <c r="CQ97" s="106">
        <v>0</v>
      </c>
      <c r="CR97" s="106">
        <v>0</v>
      </c>
      <c r="CS97" s="106">
        <v>0</v>
      </c>
      <c r="CT97" s="106">
        <v>0</v>
      </c>
      <c r="CU97" s="106">
        <v>0</v>
      </c>
    </row>
    <row r="98" spans="2:99" x14ac:dyDescent="0.2">
      <c r="C98" s="105" t="s">
        <v>263</v>
      </c>
      <c r="D98" s="106">
        <v>0</v>
      </c>
      <c r="E98" s="106">
        <v>0</v>
      </c>
      <c r="F98" s="106">
        <v>0</v>
      </c>
      <c r="G98" s="106">
        <v>0</v>
      </c>
      <c r="H98" s="106">
        <v>0</v>
      </c>
      <c r="I98" s="106">
        <v>0</v>
      </c>
      <c r="J98" s="106">
        <v>0</v>
      </c>
      <c r="K98" s="106">
        <v>0</v>
      </c>
      <c r="L98" s="106">
        <v>0</v>
      </c>
      <c r="M98" s="106">
        <v>0</v>
      </c>
      <c r="N98" s="106">
        <v>0</v>
      </c>
      <c r="O98" s="106">
        <v>0</v>
      </c>
      <c r="P98" s="106">
        <v>0</v>
      </c>
      <c r="Q98" s="106">
        <v>0</v>
      </c>
      <c r="R98" s="106">
        <v>0</v>
      </c>
      <c r="S98" s="106">
        <v>0</v>
      </c>
      <c r="T98" s="106">
        <v>0</v>
      </c>
      <c r="U98" s="106">
        <v>0</v>
      </c>
      <c r="V98" s="106">
        <v>0</v>
      </c>
      <c r="W98" s="106">
        <v>0</v>
      </c>
      <c r="X98" s="106">
        <v>0</v>
      </c>
      <c r="Y98" s="106">
        <v>0</v>
      </c>
      <c r="Z98" s="106">
        <v>0</v>
      </c>
      <c r="AA98" s="106">
        <v>0</v>
      </c>
      <c r="AB98" s="106">
        <v>0</v>
      </c>
      <c r="AC98" s="106">
        <v>0</v>
      </c>
      <c r="AD98" s="106">
        <v>0</v>
      </c>
      <c r="AE98" s="106">
        <v>0</v>
      </c>
      <c r="AF98" s="106">
        <v>0</v>
      </c>
      <c r="AG98" s="106">
        <v>0</v>
      </c>
      <c r="AH98" s="106">
        <v>0</v>
      </c>
      <c r="AI98" s="106">
        <v>0</v>
      </c>
      <c r="AJ98" s="106">
        <v>0</v>
      </c>
      <c r="AK98" s="106">
        <v>0</v>
      </c>
      <c r="AL98" s="106">
        <v>0</v>
      </c>
      <c r="AM98" s="106">
        <v>0</v>
      </c>
      <c r="AN98" s="106">
        <v>0</v>
      </c>
      <c r="AO98" s="106">
        <v>0</v>
      </c>
      <c r="AP98" s="106">
        <v>0</v>
      </c>
      <c r="AQ98" s="106">
        <v>0</v>
      </c>
      <c r="AR98" s="106">
        <v>0</v>
      </c>
      <c r="AS98" s="106">
        <v>0</v>
      </c>
      <c r="AT98" s="106">
        <v>0</v>
      </c>
      <c r="AU98" s="106">
        <v>0</v>
      </c>
      <c r="AV98" s="106">
        <v>0</v>
      </c>
      <c r="AW98" s="106">
        <v>0</v>
      </c>
      <c r="AX98" s="106">
        <v>0</v>
      </c>
      <c r="AY98" s="106">
        <v>0</v>
      </c>
      <c r="AZ98" s="106">
        <v>0</v>
      </c>
      <c r="BA98" s="106">
        <v>0</v>
      </c>
      <c r="BB98" s="106">
        <v>0</v>
      </c>
      <c r="BC98" s="106">
        <v>0</v>
      </c>
      <c r="BD98" s="106">
        <v>0</v>
      </c>
      <c r="BE98" s="106">
        <v>0</v>
      </c>
      <c r="BF98" s="106">
        <v>0</v>
      </c>
      <c r="BG98" s="106">
        <v>0</v>
      </c>
      <c r="BH98" s="106">
        <v>0</v>
      </c>
      <c r="BI98" s="106">
        <v>0</v>
      </c>
      <c r="BJ98" s="106">
        <v>0</v>
      </c>
      <c r="BK98" s="106">
        <v>0</v>
      </c>
      <c r="BL98" s="106">
        <v>0</v>
      </c>
      <c r="BM98" s="106">
        <v>0</v>
      </c>
      <c r="BN98" s="106">
        <v>0</v>
      </c>
      <c r="BO98" s="106">
        <v>0</v>
      </c>
      <c r="BP98" s="106">
        <v>0</v>
      </c>
      <c r="BQ98" s="106">
        <v>0</v>
      </c>
      <c r="BR98" s="106">
        <v>0</v>
      </c>
      <c r="BS98" s="106">
        <v>0</v>
      </c>
      <c r="BT98" s="106">
        <v>0</v>
      </c>
      <c r="BU98" s="106">
        <v>0</v>
      </c>
      <c r="BV98" s="106">
        <v>0</v>
      </c>
      <c r="BW98" s="106">
        <v>0</v>
      </c>
      <c r="BX98" s="106">
        <v>0</v>
      </c>
      <c r="BY98" s="106">
        <v>0</v>
      </c>
      <c r="BZ98" s="106">
        <v>0</v>
      </c>
      <c r="CA98" s="106">
        <v>0</v>
      </c>
      <c r="CB98" s="106">
        <v>0</v>
      </c>
      <c r="CC98" s="106">
        <v>0</v>
      </c>
      <c r="CD98" s="106">
        <v>0</v>
      </c>
      <c r="CE98" s="106">
        <v>0</v>
      </c>
      <c r="CF98" s="106">
        <v>0</v>
      </c>
      <c r="CG98" s="106">
        <v>0</v>
      </c>
      <c r="CH98" s="106">
        <v>0</v>
      </c>
      <c r="CI98" s="106">
        <v>0</v>
      </c>
      <c r="CJ98" s="106">
        <v>0</v>
      </c>
      <c r="CK98" s="106">
        <v>0</v>
      </c>
      <c r="CL98" s="106">
        <v>0</v>
      </c>
      <c r="CM98" s="106">
        <v>0</v>
      </c>
      <c r="CN98" s="106">
        <v>0</v>
      </c>
      <c r="CO98" s="106">
        <v>0</v>
      </c>
      <c r="CP98" s="106">
        <v>0</v>
      </c>
      <c r="CQ98" s="106">
        <v>0</v>
      </c>
      <c r="CR98" s="106">
        <v>0</v>
      </c>
      <c r="CS98" s="106">
        <v>0</v>
      </c>
      <c r="CT98" s="106">
        <v>0</v>
      </c>
      <c r="CU98" s="106">
        <v>0</v>
      </c>
    </row>
    <row r="99" spans="2:99" x14ac:dyDescent="0.2">
      <c r="C99" s="105" t="s">
        <v>264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  <c r="AY99" s="106">
        <v>0</v>
      </c>
      <c r="AZ99" s="106">
        <v>0</v>
      </c>
      <c r="BA99" s="106">
        <v>0</v>
      </c>
      <c r="BB99" s="106">
        <v>0</v>
      </c>
      <c r="BC99" s="106">
        <v>0</v>
      </c>
      <c r="BD99" s="106">
        <v>0</v>
      </c>
      <c r="BE99" s="106">
        <v>0</v>
      </c>
      <c r="BF99" s="106">
        <v>0</v>
      </c>
      <c r="BG99" s="106">
        <v>0</v>
      </c>
      <c r="BH99" s="106">
        <v>0</v>
      </c>
      <c r="BI99" s="106">
        <v>0</v>
      </c>
      <c r="BJ99" s="106">
        <v>0</v>
      </c>
      <c r="BK99" s="106">
        <v>0</v>
      </c>
      <c r="BL99" s="106">
        <v>0</v>
      </c>
      <c r="BM99" s="106">
        <v>0</v>
      </c>
      <c r="BN99" s="106">
        <v>0</v>
      </c>
      <c r="BO99" s="106">
        <v>0</v>
      </c>
      <c r="BP99" s="106">
        <v>0</v>
      </c>
      <c r="BQ99" s="106">
        <v>0</v>
      </c>
      <c r="BR99" s="106">
        <v>0</v>
      </c>
      <c r="BS99" s="106">
        <v>0</v>
      </c>
      <c r="BT99" s="106">
        <v>0</v>
      </c>
      <c r="BU99" s="106">
        <v>0</v>
      </c>
      <c r="BV99" s="106">
        <v>0</v>
      </c>
      <c r="BW99" s="106">
        <v>0</v>
      </c>
      <c r="BX99" s="106">
        <v>0</v>
      </c>
      <c r="BY99" s="106">
        <v>0</v>
      </c>
      <c r="BZ99" s="106">
        <v>0</v>
      </c>
      <c r="CA99" s="106">
        <v>0</v>
      </c>
      <c r="CB99" s="106">
        <v>0</v>
      </c>
      <c r="CC99" s="106">
        <v>0</v>
      </c>
      <c r="CD99" s="106">
        <v>0</v>
      </c>
      <c r="CE99" s="106">
        <v>0</v>
      </c>
      <c r="CF99" s="106">
        <v>0</v>
      </c>
      <c r="CG99" s="106">
        <v>0</v>
      </c>
      <c r="CH99" s="106">
        <v>0</v>
      </c>
      <c r="CI99" s="106">
        <v>0</v>
      </c>
      <c r="CJ99" s="106">
        <v>0</v>
      </c>
      <c r="CK99" s="106">
        <v>0</v>
      </c>
      <c r="CL99" s="106">
        <v>0</v>
      </c>
      <c r="CM99" s="106">
        <v>0</v>
      </c>
      <c r="CN99" s="106">
        <v>0</v>
      </c>
      <c r="CO99" s="106">
        <v>0</v>
      </c>
      <c r="CP99" s="106">
        <v>0</v>
      </c>
      <c r="CQ99" s="106">
        <v>0</v>
      </c>
      <c r="CR99" s="106">
        <v>0</v>
      </c>
      <c r="CS99" s="106">
        <v>0</v>
      </c>
      <c r="CT99" s="106">
        <v>0</v>
      </c>
      <c r="CU99" s="106">
        <v>0</v>
      </c>
    </row>
    <row r="100" spans="2:99" x14ac:dyDescent="0.2">
      <c r="C100" s="105" t="s">
        <v>265</v>
      </c>
      <c r="D100" s="106">
        <v>0</v>
      </c>
      <c r="E100" s="106">
        <v>0</v>
      </c>
      <c r="F100" s="106">
        <v>0</v>
      </c>
      <c r="G100" s="106">
        <v>0</v>
      </c>
      <c r="H100" s="106">
        <v>0</v>
      </c>
      <c r="I100" s="106">
        <v>0</v>
      </c>
      <c r="J100" s="106">
        <v>0</v>
      </c>
      <c r="K100" s="106">
        <v>0</v>
      </c>
      <c r="L100" s="106">
        <v>0</v>
      </c>
      <c r="M100" s="106">
        <v>0</v>
      </c>
      <c r="N100" s="106">
        <v>0</v>
      </c>
      <c r="O100" s="106">
        <v>0</v>
      </c>
      <c r="P100" s="106">
        <v>0</v>
      </c>
      <c r="Q100" s="106">
        <v>0</v>
      </c>
      <c r="R100" s="106">
        <v>0</v>
      </c>
      <c r="S100" s="106">
        <v>0</v>
      </c>
      <c r="T100" s="106">
        <v>0</v>
      </c>
      <c r="U100" s="106">
        <v>0</v>
      </c>
      <c r="V100" s="106">
        <v>0</v>
      </c>
      <c r="W100" s="106">
        <v>0</v>
      </c>
      <c r="X100" s="106">
        <v>0</v>
      </c>
      <c r="Y100" s="106">
        <v>0</v>
      </c>
      <c r="Z100" s="106">
        <v>0</v>
      </c>
      <c r="AA100" s="106">
        <v>0</v>
      </c>
      <c r="AB100" s="106">
        <v>0</v>
      </c>
      <c r="AC100" s="106">
        <v>0</v>
      </c>
      <c r="AD100" s="106">
        <v>0</v>
      </c>
      <c r="AE100" s="106">
        <v>0</v>
      </c>
      <c r="AF100" s="106">
        <v>0</v>
      </c>
      <c r="AG100" s="106">
        <v>0</v>
      </c>
      <c r="AH100" s="106">
        <v>0</v>
      </c>
      <c r="AI100" s="106">
        <v>0</v>
      </c>
      <c r="AJ100" s="106">
        <v>0</v>
      </c>
      <c r="AK100" s="106">
        <v>0</v>
      </c>
      <c r="AL100" s="106">
        <v>0</v>
      </c>
      <c r="AM100" s="106">
        <v>0</v>
      </c>
      <c r="AN100" s="106">
        <v>0</v>
      </c>
      <c r="AO100" s="106">
        <v>0</v>
      </c>
      <c r="AP100" s="106">
        <v>0</v>
      </c>
      <c r="AQ100" s="106">
        <v>0</v>
      </c>
      <c r="AR100" s="106">
        <v>0</v>
      </c>
      <c r="AS100" s="106">
        <v>0</v>
      </c>
      <c r="AT100" s="106">
        <v>0</v>
      </c>
      <c r="AU100" s="106">
        <v>0</v>
      </c>
      <c r="AV100" s="106">
        <v>0</v>
      </c>
      <c r="AW100" s="106">
        <v>0</v>
      </c>
      <c r="AX100" s="106">
        <v>0</v>
      </c>
      <c r="AY100" s="106">
        <v>0</v>
      </c>
      <c r="AZ100" s="106">
        <v>0</v>
      </c>
      <c r="BA100" s="106">
        <v>0</v>
      </c>
      <c r="BB100" s="106">
        <v>0</v>
      </c>
      <c r="BC100" s="106">
        <v>0</v>
      </c>
      <c r="BD100" s="106">
        <v>0</v>
      </c>
      <c r="BE100" s="106">
        <v>0</v>
      </c>
      <c r="BF100" s="106">
        <v>0</v>
      </c>
      <c r="BG100" s="106">
        <v>0</v>
      </c>
      <c r="BH100" s="106">
        <v>0</v>
      </c>
      <c r="BI100" s="106">
        <v>0</v>
      </c>
      <c r="BJ100" s="106">
        <v>0</v>
      </c>
      <c r="BK100" s="106">
        <v>0</v>
      </c>
      <c r="BL100" s="106">
        <v>0</v>
      </c>
      <c r="BM100" s="106">
        <v>0</v>
      </c>
      <c r="BN100" s="106">
        <v>0</v>
      </c>
      <c r="BO100" s="106">
        <v>0</v>
      </c>
      <c r="BP100" s="106">
        <v>0</v>
      </c>
      <c r="BQ100" s="106">
        <v>0</v>
      </c>
      <c r="BR100" s="106">
        <v>0</v>
      </c>
      <c r="BS100" s="106">
        <v>0</v>
      </c>
      <c r="BT100" s="106">
        <v>0</v>
      </c>
      <c r="BU100" s="106">
        <v>0</v>
      </c>
      <c r="BV100" s="106">
        <v>0</v>
      </c>
      <c r="BW100" s="106">
        <v>0</v>
      </c>
      <c r="BX100" s="106">
        <v>0</v>
      </c>
      <c r="BY100" s="106">
        <v>0</v>
      </c>
      <c r="BZ100" s="106">
        <v>0</v>
      </c>
      <c r="CA100" s="106">
        <v>0</v>
      </c>
      <c r="CB100" s="106">
        <v>0</v>
      </c>
      <c r="CC100" s="106">
        <v>0</v>
      </c>
      <c r="CD100" s="106">
        <v>0</v>
      </c>
      <c r="CE100" s="106">
        <v>0</v>
      </c>
      <c r="CF100" s="106">
        <v>0</v>
      </c>
      <c r="CG100" s="106">
        <v>0</v>
      </c>
      <c r="CH100" s="106">
        <v>0</v>
      </c>
      <c r="CI100" s="106">
        <v>0</v>
      </c>
      <c r="CJ100" s="106">
        <v>0</v>
      </c>
      <c r="CK100" s="106">
        <v>0</v>
      </c>
      <c r="CL100" s="106">
        <v>0</v>
      </c>
      <c r="CM100" s="106">
        <v>0</v>
      </c>
      <c r="CN100" s="106">
        <v>0</v>
      </c>
      <c r="CO100" s="106">
        <v>0</v>
      </c>
      <c r="CP100" s="106">
        <v>0</v>
      </c>
      <c r="CQ100" s="106">
        <v>0</v>
      </c>
      <c r="CR100" s="106">
        <v>0</v>
      </c>
      <c r="CS100" s="106">
        <v>0</v>
      </c>
      <c r="CT100" s="106">
        <v>0</v>
      </c>
      <c r="CU100" s="106">
        <v>0</v>
      </c>
    </row>
    <row r="101" spans="2:99" x14ac:dyDescent="0.2">
      <c r="C101" s="105" t="s">
        <v>266</v>
      </c>
      <c r="D101" s="106">
        <v>0</v>
      </c>
      <c r="E101" s="106">
        <v>0</v>
      </c>
      <c r="F101" s="106">
        <v>0</v>
      </c>
      <c r="G101" s="106">
        <v>0</v>
      </c>
      <c r="H101" s="106">
        <v>0</v>
      </c>
      <c r="I101" s="106">
        <v>0</v>
      </c>
      <c r="J101" s="106">
        <v>0</v>
      </c>
      <c r="K101" s="106">
        <v>0</v>
      </c>
      <c r="L101" s="106">
        <v>0</v>
      </c>
      <c r="M101" s="106">
        <v>0</v>
      </c>
      <c r="N101" s="106">
        <v>0</v>
      </c>
      <c r="O101" s="106">
        <v>0</v>
      </c>
      <c r="P101" s="106">
        <v>0</v>
      </c>
      <c r="Q101" s="106">
        <v>0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0</v>
      </c>
      <c r="AW101" s="106">
        <v>0</v>
      </c>
      <c r="AX101" s="106">
        <v>0</v>
      </c>
      <c r="AY101" s="106">
        <v>0</v>
      </c>
      <c r="AZ101" s="106">
        <v>0</v>
      </c>
      <c r="BA101" s="106">
        <v>0</v>
      </c>
      <c r="BB101" s="106">
        <v>0</v>
      </c>
      <c r="BC101" s="106">
        <v>0</v>
      </c>
      <c r="BD101" s="106">
        <v>0</v>
      </c>
      <c r="BE101" s="106">
        <v>0</v>
      </c>
      <c r="BF101" s="106">
        <v>0</v>
      </c>
      <c r="BG101" s="106">
        <v>0</v>
      </c>
      <c r="BH101" s="106">
        <v>0</v>
      </c>
      <c r="BI101" s="106">
        <v>0</v>
      </c>
      <c r="BJ101" s="106">
        <v>0</v>
      </c>
      <c r="BK101" s="106">
        <v>0</v>
      </c>
      <c r="BL101" s="106">
        <v>0</v>
      </c>
      <c r="BM101" s="106">
        <v>0</v>
      </c>
      <c r="BN101" s="106">
        <v>0</v>
      </c>
      <c r="BO101" s="106">
        <v>0</v>
      </c>
      <c r="BP101" s="106">
        <v>0</v>
      </c>
      <c r="BQ101" s="106">
        <v>0</v>
      </c>
      <c r="BR101" s="106">
        <v>0</v>
      </c>
      <c r="BS101" s="106">
        <v>0</v>
      </c>
      <c r="BT101" s="106">
        <v>0</v>
      </c>
      <c r="BU101" s="106">
        <v>0</v>
      </c>
      <c r="BV101" s="106">
        <v>0</v>
      </c>
      <c r="BW101" s="106">
        <v>0</v>
      </c>
      <c r="BX101" s="106">
        <v>0</v>
      </c>
      <c r="BY101" s="106">
        <v>0</v>
      </c>
      <c r="BZ101" s="106">
        <v>0</v>
      </c>
      <c r="CA101" s="106">
        <v>0</v>
      </c>
      <c r="CB101" s="106">
        <v>0</v>
      </c>
      <c r="CC101" s="106">
        <v>0</v>
      </c>
      <c r="CD101" s="106">
        <v>0</v>
      </c>
      <c r="CE101" s="106">
        <v>0</v>
      </c>
      <c r="CF101" s="106">
        <v>0</v>
      </c>
      <c r="CG101" s="106">
        <v>0</v>
      </c>
      <c r="CH101" s="106">
        <v>0</v>
      </c>
      <c r="CI101" s="106">
        <v>0</v>
      </c>
      <c r="CJ101" s="106">
        <v>0</v>
      </c>
      <c r="CK101" s="106">
        <v>0</v>
      </c>
      <c r="CL101" s="106">
        <v>0</v>
      </c>
      <c r="CM101" s="106">
        <v>0</v>
      </c>
      <c r="CN101" s="106">
        <v>0</v>
      </c>
      <c r="CO101" s="106">
        <v>0</v>
      </c>
      <c r="CP101" s="106">
        <v>0</v>
      </c>
      <c r="CQ101" s="106">
        <v>0</v>
      </c>
      <c r="CR101" s="106">
        <v>0</v>
      </c>
      <c r="CS101" s="106">
        <v>0</v>
      </c>
      <c r="CT101" s="106">
        <v>0</v>
      </c>
      <c r="CU101" s="106">
        <v>0</v>
      </c>
    </row>
    <row r="102" spans="2:99" x14ac:dyDescent="0.2">
      <c r="C102" s="105" t="s">
        <v>267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  <c r="AZ102" s="106">
        <v>0</v>
      </c>
      <c r="BA102" s="106">
        <v>0</v>
      </c>
      <c r="BB102" s="106">
        <v>0</v>
      </c>
      <c r="BC102" s="106">
        <v>0</v>
      </c>
      <c r="BD102" s="106">
        <v>0</v>
      </c>
      <c r="BE102" s="106">
        <v>0</v>
      </c>
      <c r="BF102" s="106">
        <v>0</v>
      </c>
      <c r="BG102" s="106">
        <v>0</v>
      </c>
      <c r="BH102" s="106">
        <v>0</v>
      </c>
      <c r="BI102" s="106">
        <v>0</v>
      </c>
      <c r="BJ102" s="106">
        <v>0</v>
      </c>
      <c r="BK102" s="106">
        <v>0</v>
      </c>
      <c r="BL102" s="106">
        <v>0</v>
      </c>
      <c r="BM102" s="106">
        <v>0</v>
      </c>
      <c r="BN102" s="106">
        <v>0</v>
      </c>
      <c r="BO102" s="106">
        <v>0</v>
      </c>
      <c r="BP102" s="106">
        <v>0</v>
      </c>
      <c r="BQ102" s="106">
        <v>0</v>
      </c>
      <c r="BR102" s="106">
        <v>0</v>
      </c>
      <c r="BS102" s="106">
        <v>0</v>
      </c>
      <c r="BT102" s="106">
        <v>0</v>
      </c>
      <c r="BU102" s="106">
        <v>0</v>
      </c>
      <c r="BV102" s="106">
        <v>0</v>
      </c>
      <c r="BW102" s="106">
        <v>0</v>
      </c>
      <c r="BX102" s="106">
        <v>0</v>
      </c>
      <c r="BY102" s="106">
        <v>0</v>
      </c>
      <c r="BZ102" s="106">
        <v>0</v>
      </c>
      <c r="CA102" s="106">
        <v>0</v>
      </c>
      <c r="CB102" s="106">
        <v>0</v>
      </c>
      <c r="CC102" s="106">
        <v>0</v>
      </c>
      <c r="CD102" s="106">
        <v>0</v>
      </c>
      <c r="CE102" s="106">
        <v>0</v>
      </c>
      <c r="CF102" s="106">
        <v>0</v>
      </c>
      <c r="CG102" s="106">
        <v>0</v>
      </c>
      <c r="CH102" s="106">
        <v>0</v>
      </c>
      <c r="CI102" s="106">
        <v>0</v>
      </c>
      <c r="CJ102" s="106">
        <v>0</v>
      </c>
      <c r="CK102" s="106">
        <v>0</v>
      </c>
      <c r="CL102" s="106">
        <v>0</v>
      </c>
      <c r="CM102" s="106">
        <v>0</v>
      </c>
      <c r="CN102" s="106">
        <v>0</v>
      </c>
      <c r="CO102" s="106">
        <v>0</v>
      </c>
      <c r="CP102" s="106">
        <v>0</v>
      </c>
      <c r="CQ102" s="106">
        <v>0</v>
      </c>
      <c r="CR102" s="106">
        <v>0</v>
      </c>
      <c r="CS102" s="106">
        <v>0</v>
      </c>
      <c r="CT102" s="106">
        <v>0</v>
      </c>
      <c r="CU102" s="106">
        <v>0</v>
      </c>
    </row>
    <row r="103" spans="2:99" x14ac:dyDescent="0.2">
      <c r="C103" s="105" t="s">
        <v>268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  <c r="AZ103" s="106">
        <v>0</v>
      </c>
      <c r="BA103" s="106">
        <v>0</v>
      </c>
      <c r="BB103" s="106">
        <v>0</v>
      </c>
      <c r="BC103" s="106">
        <v>0</v>
      </c>
      <c r="BD103" s="106">
        <v>0</v>
      </c>
      <c r="BE103" s="106">
        <v>0</v>
      </c>
      <c r="BF103" s="106">
        <v>0</v>
      </c>
      <c r="BG103" s="106">
        <v>0</v>
      </c>
      <c r="BH103" s="106">
        <v>0</v>
      </c>
      <c r="BI103" s="106">
        <v>0</v>
      </c>
      <c r="BJ103" s="106">
        <v>0</v>
      </c>
      <c r="BK103" s="106">
        <v>0</v>
      </c>
      <c r="BL103" s="106">
        <v>0</v>
      </c>
      <c r="BM103" s="106">
        <v>0</v>
      </c>
      <c r="BN103" s="106">
        <v>0</v>
      </c>
      <c r="BO103" s="106">
        <v>0</v>
      </c>
      <c r="BP103" s="106">
        <v>0</v>
      </c>
      <c r="BQ103" s="106">
        <v>0</v>
      </c>
      <c r="BR103" s="106">
        <v>0</v>
      </c>
      <c r="BS103" s="106">
        <v>0</v>
      </c>
      <c r="BT103" s="106">
        <v>0</v>
      </c>
      <c r="BU103" s="106">
        <v>0</v>
      </c>
      <c r="BV103" s="106">
        <v>0</v>
      </c>
      <c r="BW103" s="106">
        <v>0</v>
      </c>
      <c r="BX103" s="106">
        <v>0</v>
      </c>
      <c r="BY103" s="106">
        <v>0</v>
      </c>
      <c r="BZ103" s="106">
        <v>0</v>
      </c>
      <c r="CA103" s="106">
        <v>0</v>
      </c>
      <c r="CB103" s="106">
        <v>0</v>
      </c>
      <c r="CC103" s="106">
        <v>0</v>
      </c>
      <c r="CD103" s="106">
        <v>0</v>
      </c>
      <c r="CE103" s="106">
        <v>0</v>
      </c>
      <c r="CF103" s="106">
        <v>0</v>
      </c>
      <c r="CG103" s="106">
        <v>0</v>
      </c>
      <c r="CH103" s="106">
        <v>0</v>
      </c>
      <c r="CI103" s="106">
        <v>0</v>
      </c>
      <c r="CJ103" s="106">
        <v>0</v>
      </c>
      <c r="CK103" s="106">
        <v>0</v>
      </c>
      <c r="CL103" s="106">
        <v>0</v>
      </c>
      <c r="CM103" s="106">
        <v>0</v>
      </c>
      <c r="CN103" s="106">
        <v>0</v>
      </c>
      <c r="CO103" s="106">
        <v>0</v>
      </c>
      <c r="CP103" s="106">
        <v>0</v>
      </c>
      <c r="CQ103" s="106">
        <v>0</v>
      </c>
      <c r="CR103" s="106">
        <v>0</v>
      </c>
      <c r="CS103" s="106">
        <v>0</v>
      </c>
      <c r="CT103" s="106">
        <v>0</v>
      </c>
      <c r="CU103" s="106">
        <v>0</v>
      </c>
    </row>
    <row r="104" spans="2:99" x14ac:dyDescent="0.2">
      <c r="C104" s="105" t="s">
        <v>269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  <c r="AZ104" s="106">
        <v>0</v>
      </c>
      <c r="BA104" s="106">
        <v>0</v>
      </c>
      <c r="BB104" s="106">
        <v>0</v>
      </c>
      <c r="BC104" s="106">
        <v>0</v>
      </c>
      <c r="BD104" s="106">
        <v>0</v>
      </c>
      <c r="BE104" s="106">
        <v>0</v>
      </c>
      <c r="BF104" s="106">
        <v>0</v>
      </c>
      <c r="BG104" s="106">
        <v>0</v>
      </c>
      <c r="BH104" s="106">
        <v>0</v>
      </c>
      <c r="BI104" s="106">
        <v>0</v>
      </c>
      <c r="BJ104" s="106">
        <v>0</v>
      </c>
      <c r="BK104" s="106">
        <v>0</v>
      </c>
      <c r="BL104" s="106">
        <v>0</v>
      </c>
      <c r="BM104" s="106">
        <v>0</v>
      </c>
      <c r="BN104" s="106">
        <v>0</v>
      </c>
      <c r="BO104" s="106">
        <v>0</v>
      </c>
      <c r="BP104" s="106">
        <v>0</v>
      </c>
      <c r="BQ104" s="106">
        <v>0</v>
      </c>
      <c r="BR104" s="106">
        <v>0</v>
      </c>
      <c r="BS104" s="106">
        <v>0</v>
      </c>
      <c r="BT104" s="106">
        <v>0</v>
      </c>
      <c r="BU104" s="106">
        <v>0</v>
      </c>
      <c r="BV104" s="106">
        <v>0</v>
      </c>
      <c r="BW104" s="106">
        <v>0</v>
      </c>
      <c r="BX104" s="106">
        <v>0</v>
      </c>
      <c r="BY104" s="106">
        <v>0</v>
      </c>
      <c r="BZ104" s="106">
        <v>0</v>
      </c>
      <c r="CA104" s="106">
        <v>0</v>
      </c>
      <c r="CB104" s="106">
        <v>0</v>
      </c>
      <c r="CC104" s="106">
        <v>0</v>
      </c>
      <c r="CD104" s="106">
        <v>0</v>
      </c>
      <c r="CE104" s="106">
        <v>0</v>
      </c>
      <c r="CF104" s="106">
        <v>0</v>
      </c>
      <c r="CG104" s="106">
        <v>0</v>
      </c>
      <c r="CH104" s="106">
        <v>0</v>
      </c>
      <c r="CI104" s="106">
        <v>0</v>
      </c>
      <c r="CJ104" s="106">
        <v>0</v>
      </c>
      <c r="CK104" s="106">
        <v>0</v>
      </c>
      <c r="CL104" s="106">
        <v>0</v>
      </c>
      <c r="CM104" s="106">
        <v>0</v>
      </c>
      <c r="CN104" s="106">
        <v>0</v>
      </c>
      <c r="CO104" s="106">
        <v>0</v>
      </c>
      <c r="CP104" s="106">
        <v>0</v>
      </c>
      <c r="CQ104" s="106">
        <v>0</v>
      </c>
      <c r="CR104" s="106">
        <v>0</v>
      </c>
      <c r="CS104" s="106">
        <v>0</v>
      </c>
      <c r="CT104" s="106">
        <v>0</v>
      </c>
      <c r="CU104" s="106">
        <v>0</v>
      </c>
    </row>
    <row r="105" spans="2:99" x14ac:dyDescent="0.2">
      <c r="C105" s="105" t="s">
        <v>270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  <c r="AZ105" s="106">
        <v>0</v>
      </c>
      <c r="BA105" s="106">
        <v>0</v>
      </c>
      <c r="BB105" s="106">
        <v>0</v>
      </c>
      <c r="BC105" s="106">
        <v>0</v>
      </c>
      <c r="BD105" s="106">
        <v>0</v>
      </c>
      <c r="BE105" s="106">
        <v>0</v>
      </c>
      <c r="BF105" s="106">
        <v>0</v>
      </c>
      <c r="BG105" s="106">
        <v>0</v>
      </c>
      <c r="BH105" s="106">
        <v>0</v>
      </c>
      <c r="BI105" s="106">
        <v>0</v>
      </c>
      <c r="BJ105" s="106">
        <v>0</v>
      </c>
      <c r="BK105" s="106">
        <v>0</v>
      </c>
      <c r="BL105" s="106">
        <v>0</v>
      </c>
      <c r="BM105" s="106">
        <v>0</v>
      </c>
      <c r="BN105" s="106">
        <v>0</v>
      </c>
      <c r="BO105" s="106">
        <v>0</v>
      </c>
      <c r="BP105" s="106">
        <v>0</v>
      </c>
      <c r="BQ105" s="106">
        <v>0</v>
      </c>
      <c r="BR105" s="106">
        <v>0</v>
      </c>
      <c r="BS105" s="106">
        <v>0</v>
      </c>
      <c r="BT105" s="106">
        <v>0</v>
      </c>
      <c r="BU105" s="106">
        <v>0</v>
      </c>
      <c r="BV105" s="106">
        <v>0</v>
      </c>
      <c r="BW105" s="106">
        <v>0</v>
      </c>
      <c r="BX105" s="106">
        <v>0</v>
      </c>
      <c r="BY105" s="106">
        <v>0</v>
      </c>
      <c r="BZ105" s="106">
        <v>0</v>
      </c>
      <c r="CA105" s="106">
        <v>0</v>
      </c>
      <c r="CB105" s="106">
        <v>0</v>
      </c>
      <c r="CC105" s="106">
        <v>0</v>
      </c>
      <c r="CD105" s="106">
        <v>0</v>
      </c>
      <c r="CE105" s="106">
        <v>0</v>
      </c>
      <c r="CF105" s="106">
        <v>0</v>
      </c>
      <c r="CG105" s="106">
        <v>0</v>
      </c>
      <c r="CH105" s="106">
        <v>0</v>
      </c>
      <c r="CI105" s="106">
        <v>0</v>
      </c>
      <c r="CJ105" s="106">
        <v>0</v>
      </c>
      <c r="CK105" s="106">
        <v>0</v>
      </c>
      <c r="CL105" s="106">
        <v>0</v>
      </c>
      <c r="CM105" s="106">
        <v>0</v>
      </c>
      <c r="CN105" s="106">
        <v>0</v>
      </c>
      <c r="CO105" s="106">
        <v>0</v>
      </c>
      <c r="CP105" s="106">
        <v>0</v>
      </c>
      <c r="CQ105" s="106">
        <v>0</v>
      </c>
      <c r="CR105" s="106">
        <v>0</v>
      </c>
      <c r="CS105" s="106">
        <v>0</v>
      </c>
      <c r="CT105" s="106">
        <v>0</v>
      </c>
      <c r="CU105" s="106">
        <v>0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0</v>
      </c>
      <c r="E112" s="106">
        <f>SUM(L$49:L$70)+SUM(N$49:N$70)+SUM(P$49:P$70)+SUM(R$49:R$70)</f>
        <v>0</v>
      </c>
      <c r="F112" s="106">
        <f>SUM(T$49:T$70)+SUM(V$49:V$70)+SUM(X$49:X$70)+SUM(Z$49:Z$70)</f>
        <v>0</v>
      </c>
      <c r="G112" s="106">
        <f>SUM(AB$49:AB$70)+SUM(AD$49:AD$70)+SUM(AF$49:AF$70)+SUM(AH$49:AH$70)</f>
        <v>0</v>
      </c>
      <c r="H112" s="106">
        <f>SUM(AJ$49:AJ$70)+SUM(AL$49:AL$70)+SUM(AN$49:AN$70)+SUM(AP$49:AP$70)</f>
        <v>0</v>
      </c>
      <c r="I112" s="106">
        <f>SUM(AR$49:AR$70)+SUM(AT$49:AT$70)+SUM(AV$49:AV$70)+SUM(AX$49:AX$70)</f>
        <v>0</v>
      </c>
      <c r="J112" s="106">
        <f>SUM(AZ$49:AZ$70)+SUM(BB$49:BB$70)+SUM(BD$49:BD$70)+SUM(BF$49:BF$70)</f>
        <v>0</v>
      </c>
      <c r="K112" s="106">
        <f>SUM(BH$49:BH$70)+SUM(BJ$49:BJ$70)+SUM(BL$49:BL$70)+SUM(BN$49:BN$70)</f>
        <v>0</v>
      </c>
      <c r="L112" s="106">
        <f>SUM(BP$49:BP$70)+SUM(BR$49:BR$70)+SUM(BT$49:BT$70)+SUM(BV$49:BV$70)</f>
        <v>0</v>
      </c>
      <c r="M112" s="106">
        <f>SUM(BX$49:BX$70)+SUM(BZ$49:BZ$70)+SUM(CB$49:CB$70)+SUM(CD$49:CD$70)</f>
        <v>0</v>
      </c>
      <c r="N112" s="106">
        <f>SUM(CF$49:CF$70)+SUM(CH$49:CH$70)+SUM(CJ$49:CJ$70)+SUM(CL$49:CL$70)</f>
        <v>0</v>
      </c>
      <c r="O112" s="106">
        <f>SUM(CN$49:CN$70)+SUM(CP$49:CP$70)+SUM(CR$49:CR$70)+SUM(CT$49:CT$70)</f>
        <v>0</v>
      </c>
    </row>
    <row r="113" spans="2:15" x14ac:dyDescent="0.2">
      <c r="C113" s="105" t="s">
        <v>130</v>
      </c>
      <c r="D113" s="106">
        <f>SUM(D$71:D$86)+SUM(F$71:F$86)+SUM(H$71:H$86)+SUM(J$71:J$86)</f>
        <v>0</v>
      </c>
      <c r="E113" s="106">
        <f>SUM(L$71:L$86)+SUM(N$71:N$86)+SUM(P$71:P$86)+SUM(R$71:R$86)</f>
        <v>0</v>
      </c>
      <c r="F113" s="106">
        <f>SUM(T$71:T$86)+SUM(V$71:V$86)+SUM(X$71:X$86)+SUM(Z$71:Z$86)</f>
        <v>0</v>
      </c>
      <c r="G113" s="106">
        <f>SUM(AB$71:AB$86)+SUM(AD$71:AD$86)+SUM(AF$71:AF$86)+SUM(AH$71:AH$86)</f>
        <v>0</v>
      </c>
      <c r="H113" s="106">
        <f>SUM(AJ$71:AJ$86)+SUM(AL$71:AL$86)+SUM(AN$71:AN$86)+SUM(AP$71:AP$86)</f>
        <v>0</v>
      </c>
      <c r="I113" s="106">
        <f>SUM(AR$71:AR$86)+SUM(AT$71:AT$86)+SUM(AV$71:AV$86)+SUM(AX$71:AX$86)</f>
        <v>0</v>
      </c>
      <c r="J113" s="106">
        <f>SUM(AZ$71:AZ$86)+SUM(BB$71:BB$86)+SUM(BD$71:BD$86)+SUM(BF$71:BF$86)</f>
        <v>0</v>
      </c>
      <c r="K113" s="106">
        <f>SUM(BH$71:BH$86)+SUM(BJ$71:BJ$86)+SUM(BL$71:BL$86)+SUM(BN$71:BN$86)</f>
        <v>0</v>
      </c>
      <c r="L113" s="106">
        <f>SUM(BP$71:BP$86)+SUM(BR$71:BR$86)+SUM(BT$71:BT$86)+SUM(BV$71:BV$86)</f>
        <v>0</v>
      </c>
      <c r="M113" s="106">
        <f>SUM(BX$71:BX$86)+SUM(BZ$71:BZ$86)+SUM(CB$71:CB$86)+SUM(CD$71:CD$86)</f>
        <v>0</v>
      </c>
      <c r="N113" s="106">
        <f>SUM(CF$71:CF$86)+SUM(CH$71:CH$86)+SUM(CJ$71:CJ$86)+SUM(CL$71:CL$86)</f>
        <v>0</v>
      </c>
      <c r="O113" s="106">
        <f>SUM(CN$71:CN$86)+SUM(CP$71:CP$86)+SUM(CR$71:CR$86)+SUM(CT$71:CT$86)</f>
        <v>0</v>
      </c>
    </row>
    <row r="114" spans="2:15" x14ac:dyDescent="0.2">
      <c r="C114" s="105" t="s">
        <v>131</v>
      </c>
      <c r="D114" s="106">
        <f>SUM(D$87:D$94)+SUM(F$87:F$94)+SUM(H$87:H$94)+SUM(J$87:J$94)</f>
        <v>0</v>
      </c>
      <c r="E114" s="106">
        <f>SUM(L$87:L$94)+SUM(N$87:N$94)+SUM(P$87:P$94)+SUM(R$87:R$94)</f>
        <v>0</v>
      </c>
      <c r="F114" s="106">
        <f>SUM(T$87:T$94)+SUM(V$87:V$94)+SUM(X$87:X$94)+SUM(Z$87:Z$94)</f>
        <v>0</v>
      </c>
      <c r="G114" s="106">
        <f>SUM(AB$87:AB$94)+SUM(AD$87:AD$94)+SUM(AF$87:AF$94)+SUM(AH$87:AH$94)</f>
        <v>0</v>
      </c>
      <c r="H114" s="106">
        <f>SUM(AJ$87:AJ$94)+SUM(AL$87:AL$94)+SUM(AN$87:AN$94)+SUM(AP$87:AP$94)</f>
        <v>0</v>
      </c>
      <c r="I114" s="106">
        <f>SUM(AR$87:AR$94)+SUM(AT$87:AT$94)+SUM(AV$87:AV$94)+SUM(AX$87:AX$94)</f>
        <v>0</v>
      </c>
      <c r="J114" s="106">
        <f>SUM(AZ$87:AZ$94)+SUM(BB$87:BB$94)+SUM(BD$87:BD$94)+SUM(BF$87:BF$94)</f>
        <v>0</v>
      </c>
      <c r="K114" s="106">
        <f>SUM(BH$87:BH$94)+SUM(BJ$87:BJ$94)+SUM(BL$87:BL$94)+SUM(BN$87:BN$94)</f>
        <v>0</v>
      </c>
      <c r="L114" s="106">
        <f>SUM(BP$87:BP$94)+SUM(BR$87:BR$94)+SUM(BT$87:BT$94)+SUM(BV$87:BV$94)</f>
        <v>0</v>
      </c>
      <c r="M114" s="106">
        <f>SUM(BX$87:BX$94)+SUM(BZ$87:BZ$94)+SUM(CB$87:CB$94)+SUM(CD$87:CD$94)</f>
        <v>0</v>
      </c>
      <c r="N114" s="106">
        <f>SUM(CF$87:CF$94)+SUM(CH$87:CH$94)+SUM(CJ$87:CJ$94)+SUM(CL$87:CL$94)</f>
        <v>0</v>
      </c>
      <c r="O114" s="106">
        <f>SUM(CN$87:CN$94)+SUM(CP$87:CP$94)+SUM(CR$87:CR$94)+SUM(CT$87:CT$94)</f>
        <v>0</v>
      </c>
    </row>
    <row r="115" spans="2:15" x14ac:dyDescent="0.2">
      <c r="C115" s="105" t="s">
        <v>132</v>
      </c>
      <c r="D115" s="106">
        <f>SUM(D$95:D$105)+SUM(F$95:F$105)+SUM(H$95:H$105)+SUM(J$95:J$105)</f>
        <v>0</v>
      </c>
      <c r="E115" s="106">
        <f>SUM(L$95:L$105)+SUM(N$95:N$105)+SUM(P$95:P$105)+SUM(R$95:R$105)</f>
        <v>0</v>
      </c>
      <c r="F115" s="106">
        <f>SUM(T$95:T$105)+SUM(V$95:V$105)+SUM(X$95:X$105)+SUM(Z$95:Z$105)</f>
        <v>0</v>
      </c>
      <c r="G115" s="106">
        <f>SUM(AB$95:AB$105)+SUM(AD$95:AD$105)+SUM(AF$95:AF$105)+SUM(AH$95:AH$105)</f>
        <v>0</v>
      </c>
      <c r="H115" s="106">
        <f>SUM(AJ$95:AJ$105)+SUM(AL$95:AL$105)+SUM(AN$95:AN$105)+SUM(AP$95:AP$105)</f>
        <v>0</v>
      </c>
      <c r="I115" s="106">
        <f>SUM(AR$95:AR$105)+SUM(AT$95:AT$105)+SUM(AV$95:AV$105)+SUM(AX$95:AX$105)</f>
        <v>0</v>
      </c>
      <c r="J115" s="106">
        <f>SUM(AZ$95:AZ$105)+SUM(BB$95:BB$105)+SUM(BD$95:BD$105)+SUM(BF$95:BF$105)</f>
        <v>0</v>
      </c>
      <c r="K115" s="106">
        <f>SUM(BH$95:BH$105)+SUM(BJ$95:BJ$105)+SUM(BL$95:BL$105)+SUM(BN$95:BN$105)</f>
        <v>0</v>
      </c>
      <c r="L115" s="106">
        <f>SUM(BP$95:BP$105)+SUM(BR$95:BR$105)+SUM(BT$95:BT$105)+SUM(BV$95:BV$105)</f>
        <v>0</v>
      </c>
      <c r="M115" s="106">
        <f>SUM(BX$95:BX$105)+SUM(BZ$95:BZ$105)+SUM(CB$95:CB$105)+SUM(CD$95:CD$105)</f>
        <v>0</v>
      </c>
      <c r="N115" s="106">
        <f>SUM(CF$95:CF$105)+SUM(CH$95:CH$105)+SUM(CJ$95:CJ$105)+SUM(CL$95:CL$105)</f>
        <v>0</v>
      </c>
      <c r="O115" s="106">
        <f>SUM(CN$95:CN$105)+SUM(CP$95:CP$105)+SUM(CR$95:CR$105)+SUM(CT$95:CT$105)</f>
        <v>0</v>
      </c>
    </row>
    <row r="116" spans="2:15" x14ac:dyDescent="0.2">
      <c r="C116" s="105" t="s">
        <v>277</v>
      </c>
      <c r="D116" s="106">
        <f t="shared" ref="D116:O116" si="0">SUM(D$109:D$115)</f>
        <v>0</v>
      </c>
      <c r="E116" s="106">
        <f t="shared" si="0"/>
        <v>0</v>
      </c>
      <c r="F116" s="106">
        <f t="shared" si="0"/>
        <v>0</v>
      </c>
      <c r="G116" s="106">
        <f t="shared" si="0"/>
        <v>0</v>
      </c>
      <c r="H116" s="106">
        <f t="shared" si="0"/>
        <v>0</v>
      </c>
      <c r="I116" s="106">
        <f t="shared" si="0"/>
        <v>0</v>
      </c>
      <c r="J116" s="106">
        <f t="shared" si="0"/>
        <v>0</v>
      </c>
      <c r="K116" s="106">
        <f t="shared" si="0"/>
        <v>0</v>
      </c>
      <c r="L116" s="106">
        <f t="shared" si="0"/>
        <v>0</v>
      </c>
      <c r="M116" s="106">
        <f t="shared" si="0"/>
        <v>0</v>
      </c>
      <c r="N116" s="106">
        <f t="shared" si="0"/>
        <v>0</v>
      </c>
      <c r="O116" s="106">
        <f t="shared" si="0"/>
        <v>0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0</v>
      </c>
      <c r="E120" s="106">
        <f>E109*pricing!E24*2000</f>
        <v>0</v>
      </c>
      <c r="F120" s="106">
        <f>F109*pricing!F24*2000</f>
        <v>0</v>
      </c>
      <c r="G120" s="106">
        <f>G109*pricing!G24*2000</f>
        <v>0</v>
      </c>
      <c r="H120" s="106">
        <f>H109*pricing!H24*2000</f>
        <v>0</v>
      </c>
      <c r="I120" s="106">
        <f>I109*pricing!I24*2000</f>
        <v>0</v>
      </c>
      <c r="J120" s="106">
        <f>J109*pricing!J24*2000</f>
        <v>0</v>
      </c>
      <c r="K120" s="106">
        <f>K109*pricing!K24*2000</f>
        <v>0</v>
      </c>
      <c r="L120" s="106">
        <f>L109*pricing!L24*2000</f>
        <v>0</v>
      </c>
      <c r="M120" s="106">
        <f>M109*pricing!M24*2000</f>
        <v>0</v>
      </c>
      <c r="N120" s="106">
        <f>N109*pricing!N24*2000</f>
        <v>0</v>
      </c>
      <c r="O120" s="106">
        <f>O109*pricing!O24*2000</f>
        <v>0</v>
      </c>
    </row>
    <row r="121" spans="2:15" x14ac:dyDescent="0.2">
      <c r="C121" s="105" t="s">
        <v>127</v>
      </c>
      <c r="D121" s="106">
        <f>D110*pricing!D25*2000</f>
        <v>0</v>
      </c>
      <c r="E121" s="106">
        <f>E110*pricing!E25*2000</f>
        <v>0</v>
      </c>
      <c r="F121" s="106">
        <f>F110*pricing!F25*2000</f>
        <v>0</v>
      </c>
      <c r="G121" s="106">
        <f>G110*pricing!G25*2000</f>
        <v>0</v>
      </c>
      <c r="H121" s="106">
        <f>H110*pricing!H25*2000</f>
        <v>0</v>
      </c>
      <c r="I121" s="106">
        <f>I110*pricing!I25*2000</f>
        <v>0</v>
      </c>
      <c r="J121" s="106">
        <f>J110*pricing!J25*2000</f>
        <v>0</v>
      </c>
      <c r="K121" s="106">
        <f>K110*pricing!K25*2000</f>
        <v>0</v>
      </c>
      <c r="L121" s="106">
        <f>L110*pricing!L25*2000</f>
        <v>0</v>
      </c>
      <c r="M121" s="106">
        <f>M110*pricing!M25*2000</f>
        <v>0</v>
      </c>
      <c r="N121" s="106">
        <f>N110*pricing!N25*2000</f>
        <v>0</v>
      </c>
      <c r="O121" s="106">
        <f>O110*pricing!O25*2000</f>
        <v>0</v>
      </c>
    </row>
    <row r="122" spans="2:15" x14ac:dyDescent="0.2">
      <c r="C122" s="105" t="s">
        <v>128</v>
      </c>
      <c r="D122" s="106">
        <f>D111*pricing!D26*2000</f>
        <v>0</v>
      </c>
      <c r="E122" s="106">
        <f>E111*pricing!E26*2000</f>
        <v>0</v>
      </c>
      <c r="F122" s="106">
        <f>F111*pricing!F26*2000</f>
        <v>0</v>
      </c>
      <c r="G122" s="106">
        <f>G111*pricing!G26*2000</f>
        <v>0</v>
      </c>
      <c r="H122" s="106">
        <f>H111*pricing!H26*2000</f>
        <v>0</v>
      </c>
      <c r="I122" s="106">
        <f>I111*pricing!I26*2000</f>
        <v>0</v>
      </c>
      <c r="J122" s="106">
        <f>J111*pricing!J26*2000</f>
        <v>0</v>
      </c>
      <c r="K122" s="106">
        <f>K111*pricing!K26*2000</f>
        <v>0</v>
      </c>
      <c r="L122" s="106">
        <f>L111*pricing!L26*2000</f>
        <v>0</v>
      </c>
      <c r="M122" s="106">
        <f>M111*pricing!M26*2000</f>
        <v>0</v>
      </c>
      <c r="N122" s="106">
        <f>N111*pricing!N26*2000</f>
        <v>0</v>
      </c>
      <c r="O122" s="106">
        <f>O111*pricing!O26*2000</f>
        <v>0</v>
      </c>
    </row>
    <row r="123" spans="2:15" x14ac:dyDescent="0.2">
      <c r="C123" s="105" t="s">
        <v>129</v>
      </c>
      <c r="D123" s="106">
        <f>D112*pricing!D27*2000</f>
        <v>0</v>
      </c>
      <c r="E123" s="106">
        <f>E112*pricing!E27*2000</f>
        <v>0</v>
      </c>
      <c r="F123" s="106">
        <f>F112*pricing!F27*2000</f>
        <v>0</v>
      </c>
      <c r="G123" s="106">
        <f>G112*pricing!G27*2000</f>
        <v>0</v>
      </c>
      <c r="H123" s="106">
        <f>H112*pricing!H27*2000</f>
        <v>0</v>
      </c>
      <c r="I123" s="106">
        <f>I112*pricing!I27*2000</f>
        <v>0</v>
      </c>
      <c r="J123" s="106">
        <f>J112*pricing!J27*2000</f>
        <v>0</v>
      </c>
      <c r="K123" s="106">
        <f>K112*pricing!K27*2000</f>
        <v>0</v>
      </c>
      <c r="L123" s="106">
        <f>L112*pricing!L27*2000</f>
        <v>0</v>
      </c>
      <c r="M123" s="106">
        <f>M112*pricing!M27*2000</f>
        <v>0</v>
      </c>
      <c r="N123" s="106">
        <f>N112*pricing!N27*2000</f>
        <v>0</v>
      </c>
      <c r="O123" s="106">
        <f>O112*pricing!O27*2000</f>
        <v>0</v>
      </c>
    </row>
    <row r="124" spans="2:15" x14ac:dyDescent="0.2">
      <c r="C124" s="105" t="s">
        <v>130</v>
      </c>
      <c r="D124" s="106">
        <f>D113*pricing!D28*2000</f>
        <v>0</v>
      </c>
      <c r="E124" s="106">
        <f>E113*pricing!E28*2000</f>
        <v>0</v>
      </c>
      <c r="F124" s="106">
        <f>F113*pricing!F28*2000</f>
        <v>0</v>
      </c>
      <c r="G124" s="106">
        <f>G113*pricing!G28*2000</f>
        <v>0</v>
      </c>
      <c r="H124" s="106">
        <f>H113*pricing!H28*2000</f>
        <v>0</v>
      </c>
      <c r="I124" s="106">
        <f>I113*pricing!I28*2000</f>
        <v>0</v>
      </c>
      <c r="J124" s="106">
        <f>J113*pricing!J28*2000</f>
        <v>0</v>
      </c>
      <c r="K124" s="106">
        <f>K113*pricing!K28*2000</f>
        <v>0</v>
      </c>
      <c r="L124" s="106">
        <f>L113*pricing!L28*2000</f>
        <v>0</v>
      </c>
      <c r="M124" s="106">
        <f>M113*pricing!M28*2000</f>
        <v>0</v>
      </c>
      <c r="N124" s="106">
        <f>N113*pricing!N28*2000</f>
        <v>0</v>
      </c>
      <c r="O124" s="106">
        <f>O113*pricing!O28*2000</f>
        <v>0</v>
      </c>
    </row>
    <row r="125" spans="2:15" x14ac:dyDescent="0.2">
      <c r="C125" s="105" t="s">
        <v>131</v>
      </c>
      <c r="D125" s="106">
        <f>D114*pricing!D29*2000</f>
        <v>0</v>
      </c>
      <c r="E125" s="106">
        <f>E114*pricing!E29*2000</f>
        <v>0</v>
      </c>
      <c r="F125" s="106">
        <f>F114*pricing!F29*2000</f>
        <v>0</v>
      </c>
      <c r="G125" s="106">
        <f>G114*pricing!G29*2000</f>
        <v>0</v>
      </c>
      <c r="H125" s="106">
        <f>H114*pricing!H29*2000</f>
        <v>0</v>
      </c>
      <c r="I125" s="106">
        <f>I114*pricing!I29*2000</f>
        <v>0</v>
      </c>
      <c r="J125" s="106">
        <f>J114*pricing!J29*2000</f>
        <v>0</v>
      </c>
      <c r="K125" s="106">
        <f>K114*pricing!K29*2000</f>
        <v>0</v>
      </c>
      <c r="L125" s="106">
        <f>L114*pricing!L29*2000</f>
        <v>0</v>
      </c>
      <c r="M125" s="106">
        <f>M114*pricing!M29*2000</f>
        <v>0</v>
      </c>
      <c r="N125" s="106">
        <f>N114*pricing!N29*2000</f>
        <v>0</v>
      </c>
      <c r="O125" s="106">
        <f>O114*pricing!O29*2000</f>
        <v>0</v>
      </c>
    </row>
    <row r="126" spans="2:15" x14ac:dyDescent="0.2">
      <c r="C126" s="105" t="s">
        <v>132</v>
      </c>
      <c r="D126" s="106">
        <f>D115*pricing!D30*2000</f>
        <v>0</v>
      </c>
      <c r="E126" s="106">
        <f>E115*pricing!E30*2000</f>
        <v>0</v>
      </c>
      <c r="F126" s="106">
        <f>F115*pricing!F30*2000</f>
        <v>0</v>
      </c>
      <c r="G126" s="106">
        <f>G115*pricing!G30*2000</f>
        <v>0</v>
      </c>
      <c r="H126" s="106">
        <f>H115*pricing!H30*2000</f>
        <v>0</v>
      </c>
      <c r="I126" s="106">
        <f>I115*pricing!I30*2000</f>
        <v>0</v>
      </c>
      <c r="J126" s="106">
        <f>J115*pricing!J30*2000</f>
        <v>0</v>
      </c>
      <c r="K126" s="106">
        <f>K115*pricing!K30*2000</f>
        <v>0</v>
      </c>
      <c r="L126" s="106">
        <f>L115*pricing!L30*2000</f>
        <v>0</v>
      </c>
      <c r="M126" s="106">
        <f>M115*pricing!M30*2000</f>
        <v>0</v>
      </c>
      <c r="N126" s="106">
        <f>N115*pricing!N30*2000</f>
        <v>0</v>
      </c>
      <c r="O126" s="106">
        <f>O115*pricing!O30*2000</f>
        <v>0</v>
      </c>
    </row>
    <row r="127" spans="2:15" x14ac:dyDescent="0.2">
      <c r="C127" s="105" t="s">
        <v>277</v>
      </c>
      <c r="D127" s="106">
        <f t="shared" ref="D127:O127" si="1">SUM(D$120:D$126)</f>
        <v>0</v>
      </c>
      <c r="E127" s="106">
        <f t="shared" si="1"/>
        <v>0</v>
      </c>
      <c r="F127" s="106">
        <f t="shared" si="1"/>
        <v>0</v>
      </c>
      <c r="G127" s="106">
        <f t="shared" si="1"/>
        <v>0</v>
      </c>
      <c r="H127" s="106">
        <f t="shared" si="1"/>
        <v>0</v>
      </c>
      <c r="I127" s="106">
        <f t="shared" si="1"/>
        <v>0</v>
      </c>
      <c r="J127" s="106">
        <f t="shared" si="1"/>
        <v>0</v>
      </c>
      <c r="K127" s="106">
        <f t="shared" si="1"/>
        <v>0</v>
      </c>
      <c r="L127" s="106">
        <f t="shared" si="1"/>
        <v>0</v>
      </c>
      <c r="M127" s="106">
        <f t="shared" si="1"/>
        <v>0</v>
      </c>
      <c r="N127" s="106">
        <f t="shared" si="1"/>
        <v>0</v>
      </c>
      <c r="O127" s="106">
        <f t="shared" si="1"/>
        <v>0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0</v>
      </c>
      <c r="E134" s="112">
        <f>SUM(M$49:M$70)+SUM(O$49:O$70)+SUM(Q$49:Q$70)+SUM(S$49:S$70)</f>
        <v>0</v>
      </c>
      <c r="F134" s="112">
        <f>SUM(U$49:U$70)+SUM(W$49:W$70)+SUM(Y$49:Y$70)+SUM(AA$49:AA$70)</f>
        <v>0</v>
      </c>
      <c r="G134" s="112">
        <f>SUM(AC$49:AC$70)+SUM(AE$49:AE$70)+SUM(AG$49:AG$70)+SUM(AI$49:AI$70)</f>
        <v>0</v>
      </c>
      <c r="H134" s="112">
        <f>SUM(AK$49:AK$70)+SUM(AM$49:AM$70)+SUM(AO$49:AO$70)+SUM(AQ$49:AQ$70)</f>
        <v>0</v>
      </c>
      <c r="I134" s="112">
        <f>SUM(AS$49:AS$70)+SUM(AU$49:AU$70)+SUM(AW$49:AW$70)+SUM(AY$49:AY$70)</f>
        <v>0</v>
      </c>
      <c r="J134" s="112">
        <f>SUM(BA$49:BA$70)+SUM(BC$49:BC$70)+SUM(BE$49:BE$70)+SUM(BG$49:BG$70)</f>
        <v>0</v>
      </c>
      <c r="K134" s="112">
        <f>SUM(BI$49:BI$70)+SUM(BK$49:BK$70)+SUM(BM$49:BM$70)+SUM(BO$49:BO$70)</f>
        <v>0</v>
      </c>
      <c r="L134" s="112">
        <f>SUM(BQ$49:BQ$70)+SUM(BS$49:BS$70)+SUM(BU$49:BU$70)+SUM(BW$49:BW$70)</f>
        <v>0</v>
      </c>
      <c r="M134" s="112">
        <f>SUM(BY$49:BY$70)+SUM(CA$49:CA$70)+SUM(CC$49:CC$70)+SUM(CE$49:CE$70)</f>
        <v>0</v>
      </c>
      <c r="N134" s="112">
        <f>SUM(CG$49:CG$70)+SUM(CI$49:CI$70)+SUM(CK$49:CK$70)+SUM(CM$49:CM$70)</f>
        <v>0</v>
      </c>
      <c r="O134" s="112">
        <f>SUM(CO$49:CO$70)+SUM(CQ$49:CQ$70)+SUM(CS$49:CS$70)+SUM(CU$49:CU$70)</f>
        <v>0</v>
      </c>
    </row>
    <row r="135" spans="2:15" x14ac:dyDescent="0.2">
      <c r="C135" s="111" t="s">
        <v>130</v>
      </c>
      <c r="D135" s="112">
        <f>SUM(E$71:E$86)+SUM(G$71:G$86)+SUM(I$71:I$86)+SUM(K$71:K$86)</f>
        <v>0</v>
      </c>
      <c r="E135" s="112">
        <f>SUM(M$71:M$86)+SUM(O$71:O$86)+SUM(Q$71:Q$86)+SUM(S$71:S$86)</f>
        <v>0</v>
      </c>
      <c r="F135" s="112">
        <f>SUM(U$71:U$86)+SUM(W$71:W$86)+SUM(Y$71:Y$86)+SUM(AA$71:AA$86)</f>
        <v>0</v>
      </c>
      <c r="G135" s="112">
        <f>SUM(AC$71:AC$86)+SUM(AE$71:AE$86)+SUM(AG$71:AG$86)+SUM(AI$71:AI$86)</f>
        <v>0</v>
      </c>
      <c r="H135" s="112">
        <f>SUM(AK$71:AK$86)+SUM(AM$71:AM$86)+SUM(AO$71:AO$86)+SUM(AQ$71:AQ$86)</f>
        <v>0</v>
      </c>
      <c r="I135" s="112">
        <f>SUM(AS$71:AS$86)+SUM(AU$71:AU$86)+SUM(AW$71:AW$86)+SUM(AY$71:AY$86)</f>
        <v>0</v>
      </c>
      <c r="J135" s="112">
        <f>SUM(BA$71:BA$86)+SUM(BC$71:BC$86)+SUM(BE$71:BE$86)+SUM(BG$71:BG$86)</f>
        <v>0</v>
      </c>
      <c r="K135" s="112">
        <f>SUM(BI$71:BI$86)+SUM(BK$71:BK$86)+SUM(BM$71:BM$86)+SUM(BO$71:BO$86)</f>
        <v>0</v>
      </c>
      <c r="L135" s="112">
        <f>SUM(BQ$71:BQ$86)+SUM(BS$71:BS$86)+SUM(BU$71:BU$86)+SUM(BW$71:BW$86)</f>
        <v>0</v>
      </c>
      <c r="M135" s="112">
        <f>SUM(BY$71:BY$86)+SUM(CA$71:CA$86)+SUM(CC$71:CC$86)+SUM(CE$71:CE$86)</f>
        <v>0</v>
      </c>
      <c r="N135" s="112">
        <f>SUM(CG$71:CG$86)+SUM(CI$71:CI$86)+SUM(CK$71:CK$86)+SUM(CM$71:CM$86)</f>
        <v>0</v>
      </c>
      <c r="O135" s="112">
        <f>SUM(CO$71:CO$86)+SUM(CQ$71:CQ$86)+SUM(CS$71:CS$86)+SUM(CU$71:CU$86)</f>
        <v>0</v>
      </c>
    </row>
    <row r="136" spans="2:15" x14ac:dyDescent="0.2">
      <c r="C136" s="111" t="s">
        <v>131</v>
      </c>
      <c r="D136" s="112">
        <f>SUM(E$87:E$94)+SUM(G$87:G$94)+SUM(I$87:I$94)+SUM(K$87:K$94)</f>
        <v>0</v>
      </c>
      <c r="E136" s="112">
        <f>SUM(M$87:M$94)+SUM(O$87:O$94)+SUM(Q$87:Q$94)+SUM(S$87:S$94)</f>
        <v>0</v>
      </c>
      <c r="F136" s="112">
        <f>SUM(U$87:U$94)+SUM(W$87:W$94)+SUM(Y$87:Y$94)+SUM(AA$87:AA$94)</f>
        <v>0</v>
      </c>
      <c r="G136" s="112">
        <f>SUM(AC$87:AC$94)+SUM(AE$87:AE$94)+SUM(AG$87:AG$94)+SUM(AI$87:AI$94)</f>
        <v>0</v>
      </c>
      <c r="H136" s="112">
        <f>SUM(AK$87:AK$94)+SUM(AM$87:AM$94)+SUM(AO$87:AO$94)+SUM(AQ$87:AQ$94)</f>
        <v>0</v>
      </c>
      <c r="I136" s="112">
        <f>SUM(AS$87:AS$94)+SUM(AU$87:AU$94)+SUM(AW$87:AW$94)+SUM(AY$87:AY$94)</f>
        <v>0</v>
      </c>
      <c r="J136" s="112">
        <f>SUM(BA$87:BA$94)+SUM(BC$87:BC$94)+SUM(BE$87:BE$94)+SUM(BG$87:BG$94)</f>
        <v>0</v>
      </c>
      <c r="K136" s="112">
        <f>SUM(BI$87:BI$94)+SUM(BK$87:BK$94)+SUM(BM$87:BM$94)+SUM(BO$87:BO$94)</f>
        <v>0</v>
      </c>
      <c r="L136" s="112">
        <f>SUM(BQ$87:BQ$94)+SUM(BS$87:BS$94)+SUM(BU$87:BU$94)+SUM(BW$87:BW$94)</f>
        <v>0</v>
      </c>
      <c r="M136" s="112">
        <f>SUM(BY$87:BY$94)+SUM(CA$87:CA$94)+SUM(CC$87:CC$94)+SUM(CE$87:CE$94)</f>
        <v>0</v>
      </c>
      <c r="N136" s="112">
        <f>SUM(CG$87:CG$94)+SUM(CI$87:CI$94)+SUM(CK$87:CK$94)+SUM(CM$87:CM$94)</f>
        <v>0</v>
      </c>
      <c r="O136" s="112">
        <f>SUM(CO$87:CO$94)+SUM(CQ$87:CQ$94)+SUM(CS$87:CS$94)+SUM(CU$87:CU$94)</f>
        <v>0</v>
      </c>
    </row>
    <row r="137" spans="2:15" x14ac:dyDescent="0.2">
      <c r="C137" s="111" t="s">
        <v>132</v>
      </c>
      <c r="D137" s="112">
        <f>SUM(E$95:E$105)+SUM(G$95:G$105)+SUM(I$95:I$105)+SUM(K$95:K$105)</f>
        <v>0</v>
      </c>
      <c r="E137" s="112">
        <f>SUM(M$95:M$105)+SUM(O$95:O$105)+SUM(Q$95:Q$105)+SUM(S$95:S$105)</f>
        <v>0</v>
      </c>
      <c r="F137" s="112">
        <f>SUM(U$95:U$105)+SUM(W$95:W$105)+SUM(Y$95:Y$105)+SUM(AA$95:AA$105)</f>
        <v>0</v>
      </c>
      <c r="G137" s="112">
        <f>SUM(AC$95:AC$105)+SUM(AE$95:AE$105)+SUM(AG$95:AG$105)+SUM(AI$95:AI$105)</f>
        <v>0</v>
      </c>
      <c r="H137" s="112">
        <f>SUM(AK$95:AK$105)+SUM(AM$95:AM$105)+SUM(AO$95:AO$105)+SUM(AQ$95:AQ$105)</f>
        <v>0</v>
      </c>
      <c r="I137" s="112">
        <f>SUM(AS$95:AS$105)+SUM(AU$95:AU$105)+SUM(AW$95:AW$105)+SUM(AY$95:AY$105)</f>
        <v>0</v>
      </c>
      <c r="J137" s="112">
        <f>SUM(BA$95:BA$105)+SUM(BC$95:BC$105)+SUM(BE$95:BE$105)+SUM(BG$95:BG$105)</f>
        <v>0</v>
      </c>
      <c r="K137" s="112">
        <f>SUM(BI$95:BI$105)+SUM(BK$95:BK$105)+SUM(BM$95:BM$105)+SUM(BO$95:BO$105)</f>
        <v>0</v>
      </c>
      <c r="L137" s="112">
        <f>SUM(BQ$95:BQ$105)+SUM(BS$95:BS$105)+SUM(BU$95:BU$105)+SUM(BW$95:BW$105)</f>
        <v>0</v>
      </c>
      <c r="M137" s="112">
        <f>SUM(BY$95:BY$105)+SUM(CA$95:CA$105)+SUM(CC$95:CC$105)+SUM(CE$95:CE$105)</f>
        <v>0</v>
      </c>
      <c r="N137" s="112">
        <f>SUM(CG$95:CG$105)+SUM(CI$95:CI$105)+SUM(CK$95:CK$105)+SUM(CM$95:CM$105)</f>
        <v>0</v>
      </c>
      <c r="O137" s="112">
        <f>SUM(CO$95:CO$105)+SUM(CQ$95:CQ$105)+SUM(CS$95:CS$105)+SUM(CU$95:CU$105)</f>
        <v>0</v>
      </c>
    </row>
    <row r="138" spans="2:15" x14ac:dyDescent="0.2">
      <c r="C138" s="111" t="s">
        <v>277</v>
      </c>
      <c r="D138" s="106">
        <f t="shared" ref="D138:O138" si="2">SUM(D$131:D$137)</f>
        <v>0</v>
      </c>
      <c r="E138" s="106">
        <f t="shared" si="2"/>
        <v>0</v>
      </c>
      <c r="F138" s="106">
        <f t="shared" si="2"/>
        <v>0</v>
      </c>
      <c r="G138" s="106">
        <f t="shared" si="2"/>
        <v>0</v>
      </c>
      <c r="H138" s="106">
        <f t="shared" si="2"/>
        <v>0</v>
      </c>
      <c r="I138" s="106">
        <f t="shared" si="2"/>
        <v>0</v>
      </c>
      <c r="J138" s="106">
        <f t="shared" si="2"/>
        <v>0</v>
      </c>
      <c r="K138" s="106">
        <f t="shared" si="2"/>
        <v>0</v>
      </c>
      <c r="L138" s="106">
        <f t="shared" si="2"/>
        <v>0</v>
      </c>
      <c r="M138" s="106">
        <f t="shared" si="2"/>
        <v>0</v>
      </c>
      <c r="N138" s="106">
        <f t="shared" si="2"/>
        <v>0</v>
      </c>
      <c r="O138" s="106">
        <f t="shared" si="2"/>
        <v>0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271</v>
      </c>
    </row>
    <row r="3" spans="1:99" x14ac:dyDescent="0.2">
      <c r="B3" s="109" t="s">
        <v>272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172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173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174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175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176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177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178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179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181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182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183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184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185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186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187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188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189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191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192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193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194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195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196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197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198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199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201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202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203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204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205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206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207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208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209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210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211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212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213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214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0</v>
      </c>
      <c r="M49" s="106">
        <v>0</v>
      </c>
      <c r="N49" s="106">
        <v>0</v>
      </c>
      <c r="O49" s="106">
        <v>0</v>
      </c>
      <c r="P49" s="106">
        <v>0</v>
      </c>
      <c r="Q49" s="106">
        <v>0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  <c r="AY49" s="106">
        <v>0</v>
      </c>
      <c r="AZ49" s="106">
        <v>0</v>
      </c>
      <c r="BA49" s="106">
        <v>0</v>
      </c>
      <c r="BB49" s="106">
        <v>0</v>
      </c>
      <c r="BC49" s="106">
        <v>0</v>
      </c>
      <c r="BD49" s="106">
        <v>0</v>
      </c>
      <c r="BE49" s="106">
        <v>0</v>
      </c>
      <c r="BF49" s="106">
        <v>0</v>
      </c>
      <c r="BG49" s="106">
        <v>0</v>
      </c>
      <c r="BH49" s="106">
        <v>0</v>
      </c>
      <c r="BI49" s="106">
        <v>0</v>
      </c>
      <c r="BJ49" s="106">
        <v>0</v>
      </c>
      <c r="BK49" s="106">
        <v>0</v>
      </c>
      <c r="BL49" s="106">
        <v>0</v>
      </c>
      <c r="BM49" s="106">
        <v>0</v>
      </c>
      <c r="BN49" s="106">
        <v>0</v>
      </c>
      <c r="BO49" s="106">
        <v>0</v>
      </c>
      <c r="BP49" s="106">
        <v>0</v>
      </c>
      <c r="BQ49" s="106">
        <v>0</v>
      </c>
      <c r="BR49" s="106">
        <v>0</v>
      </c>
      <c r="BS49" s="106">
        <v>0</v>
      </c>
      <c r="BT49" s="106">
        <v>0</v>
      </c>
      <c r="BU49" s="106">
        <v>0</v>
      </c>
      <c r="BV49" s="106">
        <v>0</v>
      </c>
      <c r="BW49" s="106">
        <v>0</v>
      </c>
      <c r="BX49" s="106">
        <v>0</v>
      </c>
      <c r="BY49" s="106">
        <v>0</v>
      </c>
      <c r="BZ49" s="106">
        <v>0</v>
      </c>
      <c r="CA49" s="106">
        <v>0</v>
      </c>
      <c r="CB49" s="106">
        <v>0</v>
      </c>
      <c r="CC49" s="106">
        <v>0</v>
      </c>
      <c r="CD49" s="106">
        <v>0</v>
      </c>
      <c r="CE49" s="106">
        <v>0</v>
      </c>
      <c r="CF49" s="106">
        <v>0</v>
      </c>
      <c r="CG49" s="106">
        <v>0</v>
      </c>
      <c r="CH49" s="106">
        <v>0</v>
      </c>
      <c r="CI49" s="106">
        <v>0</v>
      </c>
      <c r="CJ49" s="106">
        <v>0</v>
      </c>
      <c r="CK49" s="106">
        <v>0</v>
      </c>
      <c r="CL49" s="106">
        <v>0</v>
      </c>
      <c r="CM49" s="106">
        <v>0</v>
      </c>
      <c r="CN49" s="106">
        <v>0</v>
      </c>
      <c r="CO49" s="106">
        <v>0</v>
      </c>
      <c r="CP49" s="106">
        <v>0</v>
      </c>
      <c r="CQ49" s="106">
        <v>0</v>
      </c>
      <c r="CR49" s="106">
        <v>0</v>
      </c>
      <c r="CS49" s="106">
        <v>0</v>
      </c>
      <c r="CT49" s="106">
        <v>0</v>
      </c>
      <c r="CU49" s="106">
        <v>0</v>
      </c>
    </row>
    <row r="50" spans="2:99" x14ac:dyDescent="0.2">
      <c r="C50" s="105" t="s">
        <v>215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216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217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218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219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220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221</v>
      </c>
      <c r="D56" s="106">
        <v>0</v>
      </c>
      <c r="E56" s="106">
        <v>0</v>
      </c>
      <c r="F56" s="106">
        <v>0</v>
      </c>
      <c r="G56" s="106">
        <v>0</v>
      </c>
      <c r="H56" s="106">
        <v>0</v>
      </c>
      <c r="I56" s="106">
        <v>0</v>
      </c>
      <c r="J56" s="106">
        <v>0</v>
      </c>
      <c r="K56" s="106">
        <v>0</v>
      </c>
      <c r="L56" s="106">
        <v>0</v>
      </c>
      <c r="M56" s="106">
        <v>0</v>
      </c>
      <c r="N56" s="106">
        <v>0</v>
      </c>
      <c r="O56" s="106">
        <v>0</v>
      </c>
      <c r="P56" s="106">
        <v>0</v>
      </c>
      <c r="Q56" s="106">
        <v>0</v>
      </c>
      <c r="R56" s="106">
        <v>0</v>
      </c>
      <c r="S56" s="106">
        <v>0</v>
      </c>
      <c r="T56" s="106">
        <v>0</v>
      </c>
      <c r="U56" s="106">
        <v>0</v>
      </c>
      <c r="V56" s="106">
        <v>0</v>
      </c>
      <c r="W56" s="106">
        <v>0</v>
      </c>
      <c r="X56" s="106">
        <v>0</v>
      </c>
      <c r="Y56" s="106">
        <v>0</v>
      </c>
      <c r="Z56" s="106">
        <v>0</v>
      </c>
      <c r="AA56" s="106">
        <v>0</v>
      </c>
      <c r="AB56" s="106">
        <v>0</v>
      </c>
      <c r="AC56" s="106">
        <v>0</v>
      </c>
      <c r="AD56" s="106">
        <v>0</v>
      </c>
      <c r="AE56" s="106">
        <v>0</v>
      </c>
      <c r="AF56" s="106">
        <v>0</v>
      </c>
      <c r="AG56" s="106">
        <v>0</v>
      </c>
      <c r="AH56" s="106">
        <v>0</v>
      </c>
      <c r="AI56" s="106">
        <v>0</v>
      </c>
      <c r="AJ56" s="106">
        <v>0</v>
      </c>
      <c r="AK56" s="106">
        <v>0</v>
      </c>
      <c r="AL56" s="106">
        <v>0</v>
      </c>
      <c r="AM56" s="106">
        <v>0</v>
      </c>
      <c r="AN56" s="106">
        <v>0</v>
      </c>
      <c r="AO56" s="106">
        <v>0</v>
      </c>
      <c r="AP56" s="106">
        <v>0</v>
      </c>
      <c r="AQ56" s="106">
        <v>0</v>
      </c>
      <c r="AR56" s="106">
        <v>0</v>
      </c>
      <c r="AS56" s="106">
        <v>0</v>
      </c>
      <c r="AT56" s="106">
        <v>0</v>
      </c>
      <c r="AU56" s="106">
        <v>0</v>
      </c>
      <c r="AV56" s="106">
        <v>0</v>
      </c>
      <c r="AW56" s="106">
        <v>0</v>
      </c>
      <c r="AX56" s="106">
        <v>0</v>
      </c>
      <c r="AY56" s="106">
        <v>0</v>
      </c>
      <c r="AZ56" s="106">
        <v>0</v>
      </c>
      <c r="BA56" s="106">
        <v>0</v>
      </c>
      <c r="BB56" s="106">
        <v>0</v>
      </c>
      <c r="BC56" s="106">
        <v>0</v>
      </c>
      <c r="BD56" s="106">
        <v>0</v>
      </c>
      <c r="BE56" s="106">
        <v>0</v>
      </c>
      <c r="BF56" s="106">
        <v>0</v>
      </c>
      <c r="BG56" s="106">
        <v>0</v>
      </c>
      <c r="BH56" s="106">
        <v>0</v>
      </c>
      <c r="BI56" s="106">
        <v>0</v>
      </c>
      <c r="BJ56" s="106">
        <v>0</v>
      </c>
      <c r="BK56" s="106">
        <v>0</v>
      </c>
      <c r="BL56" s="106">
        <v>0</v>
      </c>
      <c r="BM56" s="106">
        <v>0</v>
      </c>
      <c r="BN56" s="106">
        <v>0</v>
      </c>
      <c r="BO56" s="106">
        <v>0</v>
      </c>
      <c r="BP56" s="106">
        <v>0</v>
      </c>
      <c r="BQ56" s="106">
        <v>0</v>
      </c>
      <c r="BR56" s="106">
        <v>0</v>
      </c>
      <c r="BS56" s="106">
        <v>0</v>
      </c>
      <c r="BT56" s="106">
        <v>0</v>
      </c>
      <c r="BU56" s="106">
        <v>0</v>
      </c>
      <c r="BV56" s="106">
        <v>0</v>
      </c>
      <c r="BW56" s="106">
        <v>0</v>
      </c>
      <c r="BX56" s="106">
        <v>0</v>
      </c>
      <c r="BY56" s="106">
        <v>0</v>
      </c>
      <c r="BZ56" s="106">
        <v>0</v>
      </c>
      <c r="CA56" s="106">
        <v>0</v>
      </c>
      <c r="CB56" s="106">
        <v>0</v>
      </c>
      <c r="CC56" s="106">
        <v>0</v>
      </c>
      <c r="CD56" s="106">
        <v>0</v>
      </c>
      <c r="CE56" s="106">
        <v>0</v>
      </c>
      <c r="CF56" s="106">
        <v>0</v>
      </c>
      <c r="CG56" s="106">
        <v>0</v>
      </c>
      <c r="CH56" s="106">
        <v>0</v>
      </c>
      <c r="CI56" s="106">
        <v>0</v>
      </c>
      <c r="CJ56" s="106">
        <v>0</v>
      </c>
      <c r="CK56" s="106">
        <v>0</v>
      </c>
      <c r="CL56" s="106">
        <v>0</v>
      </c>
      <c r="CM56" s="106">
        <v>0</v>
      </c>
      <c r="CN56" s="106">
        <v>0</v>
      </c>
      <c r="CO56" s="106">
        <v>0</v>
      </c>
      <c r="CP56" s="106">
        <v>0</v>
      </c>
      <c r="CQ56" s="106">
        <v>0</v>
      </c>
      <c r="CR56" s="106">
        <v>0</v>
      </c>
      <c r="CS56" s="106">
        <v>0</v>
      </c>
      <c r="CT56" s="106">
        <v>0</v>
      </c>
      <c r="CU56" s="106">
        <v>0</v>
      </c>
    </row>
    <row r="57" spans="2:99" x14ac:dyDescent="0.2">
      <c r="C57" s="105" t="s">
        <v>222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223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  <c r="AY58" s="106">
        <v>0</v>
      </c>
      <c r="AZ58" s="106">
        <v>0</v>
      </c>
      <c r="BA58" s="106">
        <v>0</v>
      </c>
      <c r="BB58" s="106">
        <v>0</v>
      </c>
      <c r="BC58" s="106">
        <v>0</v>
      </c>
      <c r="BD58" s="106">
        <v>0</v>
      </c>
      <c r="BE58" s="106">
        <v>0</v>
      </c>
      <c r="BF58" s="106">
        <v>0</v>
      </c>
      <c r="BG58" s="106">
        <v>0</v>
      </c>
      <c r="BH58" s="106">
        <v>0</v>
      </c>
      <c r="BI58" s="106">
        <v>0</v>
      </c>
      <c r="BJ58" s="106">
        <v>0</v>
      </c>
      <c r="BK58" s="106">
        <v>0</v>
      </c>
      <c r="BL58" s="106">
        <v>0</v>
      </c>
      <c r="BM58" s="106">
        <v>0</v>
      </c>
      <c r="BN58" s="106">
        <v>0</v>
      </c>
      <c r="BO58" s="106">
        <v>0</v>
      </c>
      <c r="BP58" s="106">
        <v>0</v>
      </c>
      <c r="BQ58" s="106">
        <v>0</v>
      </c>
      <c r="BR58" s="106">
        <v>0</v>
      </c>
      <c r="BS58" s="106">
        <v>0</v>
      </c>
      <c r="BT58" s="106">
        <v>0</v>
      </c>
      <c r="BU58" s="106">
        <v>0</v>
      </c>
      <c r="BV58" s="106">
        <v>0</v>
      </c>
      <c r="BW58" s="106">
        <v>0</v>
      </c>
      <c r="BX58" s="106">
        <v>0</v>
      </c>
      <c r="BY58" s="106">
        <v>0</v>
      </c>
      <c r="BZ58" s="106">
        <v>0</v>
      </c>
      <c r="CA58" s="106">
        <v>0</v>
      </c>
      <c r="CB58" s="106">
        <v>0</v>
      </c>
      <c r="CC58" s="106">
        <v>0</v>
      </c>
      <c r="CD58" s="106">
        <v>0</v>
      </c>
      <c r="CE58" s="106">
        <v>0</v>
      </c>
      <c r="CF58" s="106">
        <v>0</v>
      </c>
      <c r="CG58" s="106">
        <v>0</v>
      </c>
      <c r="CH58" s="106">
        <v>0</v>
      </c>
      <c r="CI58" s="106">
        <v>0</v>
      </c>
      <c r="CJ58" s="106">
        <v>0</v>
      </c>
      <c r="CK58" s="106">
        <v>0</v>
      </c>
      <c r="CL58" s="106">
        <v>0</v>
      </c>
      <c r="CM58" s="106">
        <v>0</v>
      </c>
      <c r="CN58" s="106">
        <v>0</v>
      </c>
      <c r="CO58" s="106">
        <v>0</v>
      </c>
      <c r="CP58" s="106">
        <v>0</v>
      </c>
      <c r="CQ58" s="106">
        <v>0</v>
      </c>
      <c r="CR58" s="106">
        <v>0</v>
      </c>
      <c r="CS58" s="106">
        <v>0</v>
      </c>
      <c r="CT58" s="106">
        <v>0</v>
      </c>
      <c r="CU58" s="106">
        <v>0</v>
      </c>
    </row>
    <row r="59" spans="2:99" x14ac:dyDescent="0.2">
      <c r="C59" s="105" t="s">
        <v>224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225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226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227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228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229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230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231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232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233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234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235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236</v>
      </c>
      <c r="D71" s="106">
        <v>0</v>
      </c>
      <c r="E71" s="106">
        <v>0</v>
      </c>
      <c r="F71" s="106">
        <v>0</v>
      </c>
      <c r="G71" s="106">
        <v>0</v>
      </c>
      <c r="H71" s="106">
        <v>0</v>
      </c>
      <c r="I71" s="106">
        <v>0</v>
      </c>
      <c r="J71" s="106">
        <v>0</v>
      </c>
      <c r="K71" s="106">
        <v>0</v>
      </c>
      <c r="L71" s="106">
        <v>0</v>
      </c>
      <c r="M71" s="106">
        <v>0</v>
      </c>
      <c r="N71" s="106">
        <v>0</v>
      </c>
      <c r="O71" s="106">
        <v>0</v>
      </c>
      <c r="P71" s="106">
        <v>0</v>
      </c>
      <c r="Q71" s="106">
        <v>0</v>
      </c>
      <c r="R71" s="106">
        <v>0</v>
      </c>
      <c r="S71" s="106">
        <v>0</v>
      </c>
      <c r="T71" s="106">
        <v>0</v>
      </c>
      <c r="U71" s="106">
        <v>0</v>
      </c>
      <c r="V71" s="106">
        <v>0</v>
      </c>
      <c r="W71" s="106">
        <v>0</v>
      </c>
      <c r="X71" s="106">
        <v>0</v>
      </c>
      <c r="Y71" s="106">
        <v>0</v>
      </c>
      <c r="Z71" s="106">
        <v>0</v>
      </c>
      <c r="AA71" s="106">
        <v>0</v>
      </c>
      <c r="AB71" s="106">
        <v>0</v>
      </c>
      <c r="AC71" s="106">
        <v>0</v>
      </c>
      <c r="AD71" s="106">
        <v>0</v>
      </c>
      <c r="AE71" s="106">
        <v>0</v>
      </c>
      <c r="AF71" s="106">
        <v>0</v>
      </c>
      <c r="AG71" s="106">
        <v>0</v>
      </c>
      <c r="AH71" s="106">
        <v>0</v>
      </c>
      <c r="AI71" s="106">
        <v>0</v>
      </c>
      <c r="AJ71" s="106">
        <v>0</v>
      </c>
      <c r="AK71" s="106">
        <v>0</v>
      </c>
      <c r="AL71" s="106">
        <v>0</v>
      </c>
      <c r="AM71" s="106">
        <v>0</v>
      </c>
      <c r="AN71" s="106">
        <v>0</v>
      </c>
      <c r="AO71" s="106">
        <v>0</v>
      </c>
      <c r="AP71" s="106">
        <v>0</v>
      </c>
      <c r="AQ71" s="106">
        <v>0</v>
      </c>
      <c r="AR71" s="106">
        <v>0</v>
      </c>
      <c r="AS71" s="106">
        <v>0</v>
      </c>
      <c r="AT71" s="106">
        <v>0</v>
      </c>
      <c r="AU71" s="106">
        <v>0</v>
      </c>
      <c r="AV71" s="106">
        <v>0</v>
      </c>
      <c r="AW71" s="106">
        <v>0</v>
      </c>
      <c r="AX71" s="106">
        <v>0</v>
      </c>
      <c r="AY71" s="106">
        <v>0</v>
      </c>
      <c r="AZ71" s="106">
        <v>0</v>
      </c>
      <c r="BA71" s="106">
        <v>0</v>
      </c>
      <c r="BB71" s="106">
        <v>0</v>
      </c>
      <c r="BC71" s="106">
        <v>0</v>
      </c>
      <c r="BD71" s="106">
        <v>0</v>
      </c>
      <c r="BE71" s="106">
        <v>0</v>
      </c>
      <c r="BF71" s="106">
        <v>0</v>
      </c>
      <c r="BG71" s="106">
        <v>0</v>
      </c>
      <c r="BH71" s="106">
        <v>0</v>
      </c>
      <c r="BI71" s="106">
        <v>0</v>
      </c>
      <c r="BJ71" s="106">
        <v>0</v>
      </c>
      <c r="BK71" s="106">
        <v>0</v>
      </c>
      <c r="BL71" s="106">
        <v>0</v>
      </c>
      <c r="BM71" s="106">
        <v>0</v>
      </c>
      <c r="BN71" s="106">
        <v>0</v>
      </c>
      <c r="BO71" s="106">
        <v>0</v>
      </c>
      <c r="BP71" s="106">
        <v>0</v>
      </c>
      <c r="BQ71" s="106">
        <v>0</v>
      </c>
      <c r="BR71" s="106">
        <v>0</v>
      </c>
      <c r="BS71" s="106">
        <v>0</v>
      </c>
      <c r="BT71" s="106">
        <v>0</v>
      </c>
      <c r="BU71" s="106">
        <v>0</v>
      </c>
      <c r="BV71" s="106">
        <v>0</v>
      </c>
      <c r="BW71" s="106">
        <v>0</v>
      </c>
      <c r="BX71" s="106">
        <v>0</v>
      </c>
      <c r="BY71" s="106">
        <v>0</v>
      </c>
      <c r="BZ71" s="106">
        <v>0</v>
      </c>
      <c r="CA71" s="106">
        <v>0</v>
      </c>
      <c r="CB71" s="106">
        <v>0</v>
      </c>
      <c r="CC71" s="106">
        <v>0</v>
      </c>
      <c r="CD71" s="106">
        <v>0</v>
      </c>
      <c r="CE71" s="106">
        <v>0</v>
      </c>
      <c r="CF71" s="106">
        <v>0</v>
      </c>
      <c r="CG71" s="106">
        <v>0</v>
      </c>
      <c r="CH71" s="106">
        <v>0</v>
      </c>
      <c r="CI71" s="106">
        <v>0</v>
      </c>
      <c r="CJ71" s="106">
        <v>0</v>
      </c>
      <c r="CK71" s="106">
        <v>0</v>
      </c>
      <c r="CL71" s="106">
        <v>0</v>
      </c>
      <c r="CM71" s="106">
        <v>0</v>
      </c>
      <c r="CN71" s="106">
        <v>0</v>
      </c>
      <c r="CO71" s="106">
        <v>0</v>
      </c>
      <c r="CP71" s="106">
        <v>0</v>
      </c>
      <c r="CQ71" s="106">
        <v>0</v>
      </c>
      <c r="CR71" s="106">
        <v>0</v>
      </c>
      <c r="CS71" s="106">
        <v>0</v>
      </c>
      <c r="CT71" s="106">
        <v>0</v>
      </c>
      <c r="CU71" s="106">
        <v>0</v>
      </c>
    </row>
    <row r="72" spans="2:99" x14ac:dyDescent="0.2">
      <c r="C72" s="105" t="s">
        <v>237</v>
      </c>
      <c r="D72" s="106">
        <v>0</v>
      </c>
      <c r="E72" s="106">
        <v>0</v>
      </c>
      <c r="F72" s="106">
        <v>0</v>
      </c>
      <c r="G72" s="106">
        <v>0</v>
      </c>
      <c r="H72" s="106">
        <v>0</v>
      </c>
      <c r="I72" s="106">
        <v>0</v>
      </c>
      <c r="J72" s="106">
        <v>0</v>
      </c>
      <c r="K72" s="106">
        <v>0</v>
      </c>
      <c r="L72" s="106">
        <v>0</v>
      </c>
      <c r="M72" s="106">
        <v>0</v>
      </c>
      <c r="N72" s="106">
        <v>0</v>
      </c>
      <c r="O72" s="106">
        <v>0</v>
      </c>
      <c r="P72" s="106">
        <v>0</v>
      </c>
      <c r="Q72" s="106">
        <v>0</v>
      </c>
      <c r="R72" s="106">
        <v>0</v>
      </c>
      <c r="S72" s="106">
        <v>0</v>
      </c>
      <c r="T72" s="106">
        <v>0</v>
      </c>
      <c r="U72" s="106">
        <v>0</v>
      </c>
      <c r="V72" s="106">
        <v>0</v>
      </c>
      <c r="W72" s="106">
        <v>0</v>
      </c>
      <c r="X72" s="106">
        <v>0</v>
      </c>
      <c r="Y72" s="106">
        <v>0</v>
      </c>
      <c r="Z72" s="106">
        <v>0</v>
      </c>
      <c r="AA72" s="106">
        <v>0</v>
      </c>
      <c r="AB72" s="106">
        <v>0</v>
      </c>
      <c r="AC72" s="106">
        <v>0</v>
      </c>
      <c r="AD72" s="106">
        <v>0</v>
      </c>
      <c r="AE72" s="106">
        <v>0</v>
      </c>
      <c r="AF72" s="106">
        <v>0</v>
      </c>
      <c r="AG72" s="106">
        <v>0</v>
      </c>
      <c r="AH72" s="106">
        <v>0</v>
      </c>
      <c r="AI72" s="106">
        <v>0</v>
      </c>
      <c r="AJ72" s="106">
        <v>0</v>
      </c>
      <c r="AK72" s="106">
        <v>0</v>
      </c>
      <c r="AL72" s="106">
        <v>0</v>
      </c>
      <c r="AM72" s="106">
        <v>0</v>
      </c>
      <c r="AN72" s="106">
        <v>0</v>
      </c>
      <c r="AO72" s="106">
        <v>0</v>
      </c>
      <c r="AP72" s="106">
        <v>0</v>
      </c>
      <c r="AQ72" s="106">
        <v>0</v>
      </c>
      <c r="AR72" s="106">
        <v>0</v>
      </c>
      <c r="AS72" s="106">
        <v>0</v>
      </c>
      <c r="AT72" s="106">
        <v>0</v>
      </c>
      <c r="AU72" s="106">
        <v>0</v>
      </c>
      <c r="AV72" s="106">
        <v>0</v>
      </c>
      <c r="AW72" s="106">
        <v>0</v>
      </c>
      <c r="AX72" s="106">
        <v>0</v>
      </c>
      <c r="AY72" s="106">
        <v>0</v>
      </c>
      <c r="AZ72" s="106">
        <v>0</v>
      </c>
      <c r="BA72" s="106">
        <v>0</v>
      </c>
      <c r="BB72" s="106">
        <v>0</v>
      </c>
      <c r="BC72" s="106">
        <v>0</v>
      </c>
      <c r="BD72" s="106">
        <v>0</v>
      </c>
      <c r="BE72" s="106">
        <v>0</v>
      </c>
      <c r="BF72" s="106">
        <v>0</v>
      </c>
      <c r="BG72" s="106">
        <v>0</v>
      </c>
      <c r="BH72" s="106">
        <v>0</v>
      </c>
      <c r="BI72" s="106">
        <v>0</v>
      </c>
      <c r="BJ72" s="106">
        <v>0</v>
      </c>
      <c r="BK72" s="106">
        <v>0</v>
      </c>
      <c r="BL72" s="106">
        <v>0</v>
      </c>
      <c r="BM72" s="106">
        <v>0</v>
      </c>
      <c r="BN72" s="106">
        <v>0</v>
      </c>
      <c r="BO72" s="106">
        <v>0</v>
      </c>
      <c r="BP72" s="106">
        <v>0</v>
      </c>
      <c r="BQ72" s="106">
        <v>0</v>
      </c>
      <c r="BR72" s="106">
        <v>0</v>
      </c>
      <c r="BS72" s="106">
        <v>0</v>
      </c>
      <c r="BT72" s="106">
        <v>0</v>
      </c>
      <c r="BU72" s="106">
        <v>0</v>
      </c>
      <c r="BV72" s="106">
        <v>0</v>
      </c>
      <c r="BW72" s="106">
        <v>0</v>
      </c>
      <c r="BX72" s="106">
        <v>0</v>
      </c>
      <c r="BY72" s="106">
        <v>0</v>
      </c>
      <c r="BZ72" s="106">
        <v>0</v>
      </c>
      <c r="CA72" s="106">
        <v>0</v>
      </c>
      <c r="CB72" s="106">
        <v>0</v>
      </c>
      <c r="CC72" s="106">
        <v>0</v>
      </c>
      <c r="CD72" s="106">
        <v>0</v>
      </c>
      <c r="CE72" s="106">
        <v>0</v>
      </c>
      <c r="CF72" s="106">
        <v>0</v>
      </c>
      <c r="CG72" s="106">
        <v>0</v>
      </c>
      <c r="CH72" s="106">
        <v>0</v>
      </c>
      <c r="CI72" s="106">
        <v>0</v>
      </c>
      <c r="CJ72" s="106">
        <v>0</v>
      </c>
      <c r="CK72" s="106">
        <v>0</v>
      </c>
      <c r="CL72" s="106">
        <v>0</v>
      </c>
      <c r="CM72" s="106">
        <v>0</v>
      </c>
      <c r="CN72" s="106">
        <v>0</v>
      </c>
      <c r="CO72" s="106">
        <v>0</v>
      </c>
      <c r="CP72" s="106">
        <v>0</v>
      </c>
      <c r="CQ72" s="106">
        <v>0</v>
      </c>
      <c r="CR72" s="106">
        <v>0</v>
      </c>
      <c r="CS72" s="106">
        <v>0</v>
      </c>
      <c r="CT72" s="106">
        <v>0</v>
      </c>
      <c r="CU72" s="106">
        <v>0</v>
      </c>
    </row>
    <row r="73" spans="2:99" x14ac:dyDescent="0.2">
      <c r="C73" s="105" t="s">
        <v>238</v>
      </c>
      <c r="D73" s="106">
        <v>0</v>
      </c>
      <c r="E73" s="106">
        <v>0</v>
      </c>
      <c r="F73" s="106">
        <v>0</v>
      </c>
      <c r="G73" s="106">
        <v>0</v>
      </c>
      <c r="H73" s="106">
        <v>0</v>
      </c>
      <c r="I73" s="106">
        <v>0</v>
      </c>
      <c r="J73" s="106">
        <v>0</v>
      </c>
      <c r="K73" s="106">
        <v>0</v>
      </c>
      <c r="L73" s="106">
        <v>0</v>
      </c>
      <c r="M73" s="106">
        <v>0</v>
      </c>
      <c r="N73" s="106">
        <v>0</v>
      </c>
      <c r="O73" s="106">
        <v>0</v>
      </c>
      <c r="P73" s="106">
        <v>0</v>
      </c>
      <c r="Q73" s="106">
        <v>0</v>
      </c>
      <c r="R73" s="106">
        <v>0</v>
      </c>
      <c r="S73" s="106">
        <v>0</v>
      </c>
      <c r="T73" s="106">
        <v>0</v>
      </c>
      <c r="U73" s="106">
        <v>0</v>
      </c>
      <c r="V73" s="106">
        <v>0</v>
      </c>
      <c r="W73" s="106">
        <v>0</v>
      </c>
      <c r="X73" s="106">
        <v>0</v>
      </c>
      <c r="Y73" s="106">
        <v>0</v>
      </c>
      <c r="Z73" s="106">
        <v>0</v>
      </c>
      <c r="AA73" s="106">
        <v>0</v>
      </c>
      <c r="AB73" s="106">
        <v>0</v>
      </c>
      <c r="AC73" s="106">
        <v>0</v>
      </c>
      <c r="AD73" s="106">
        <v>0</v>
      </c>
      <c r="AE73" s="106">
        <v>0</v>
      </c>
      <c r="AF73" s="106">
        <v>0</v>
      </c>
      <c r="AG73" s="106">
        <v>0</v>
      </c>
      <c r="AH73" s="106">
        <v>0</v>
      </c>
      <c r="AI73" s="106">
        <v>0</v>
      </c>
      <c r="AJ73" s="106">
        <v>0</v>
      </c>
      <c r="AK73" s="106">
        <v>0</v>
      </c>
      <c r="AL73" s="106">
        <v>0</v>
      </c>
      <c r="AM73" s="106">
        <v>0</v>
      </c>
      <c r="AN73" s="106">
        <v>0</v>
      </c>
      <c r="AO73" s="106">
        <v>0</v>
      </c>
      <c r="AP73" s="106">
        <v>0</v>
      </c>
      <c r="AQ73" s="106">
        <v>0</v>
      </c>
      <c r="AR73" s="106">
        <v>0</v>
      </c>
      <c r="AS73" s="106">
        <v>0</v>
      </c>
      <c r="AT73" s="106">
        <v>0</v>
      </c>
      <c r="AU73" s="106">
        <v>0</v>
      </c>
      <c r="AV73" s="106">
        <v>0</v>
      </c>
      <c r="AW73" s="106">
        <v>0</v>
      </c>
      <c r="AX73" s="106">
        <v>0</v>
      </c>
      <c r="AY73" s="106">
        <v>0</v>
      </c>
      <c r="AZ73" s="106">
        <v>0</v>
      </c>
      <c r="BA73" s="106">
        <v>0</v>
      </c>
      <c r="BB73" s="106">
        <v>0</v>
      </c>
      <c r="BC73" s="106">
        <v>0</v>
      </c>
      <c r="BD73" s="106">
        <v>0</v>
      </c>
      <c r="BE73" s="106">
        <v>0</v>
      </c>
      <c r="BF73" s="106">
        <v>0</v>
      </c>
      <c r="BG73" s="106">
        <v>0</v>
      </c>
      <c r="BH73" s="106">
        <v>0</v>
      </c>
      <c r="BI73" s="106">
        <v>0</v>
      </c>
      <c r="BJ73" s="106">
        <v>0</v>
      </c>
      <c r="BK73" s="106">
        <v>0</v>
      </c>
      <c r="BL73" s="106">
        <v>0</v>
      </c>
      <c r="BM73" s="106">
        <v>0</v>
      </c>
      <c r="BN73" s="106">
        <v>0</v>
      </c>
      <c r="BO73" s="106">
        <v>0</v>
      </c>
      <c r="BP73" s="106">
        <v>0</v>
      </c>
      <c r="BQ73" s="106">
        <v>0</v>
      </c>
      <c r="BR73" s="106">
        <v>0</v>
      </c>
      <c r="BS73" s="106">
        <v>0</v>
      </c>
      <c r="BT73" s="106">
        <v>0</v>
      </c>
      <c r="BU73" s="106">
        <v>0</v>
      </c>
      <c r="BV73" s="106">
        <v>0</v>
      </c>
      <c r="BW73" s="106">
        <v>0</v>
      </c>
      <c r="BX73" s="106">
        <v>0</v>
      </c>
      <c r="BY73" s="106">
        <v>0</v>
      </c>
      <c r="BZ73" s="106">
        <v>0</v>
      </c>
      <c r="CA73" s="106">
        <v>0</v>
      </c>
      <c r="CB73" s="106">
        <v>0</v>
      </c>
      <c r="CC73" s="106">
        <v>0</v>
      </c>
      <c r="CD73" s="106">
        <v>0</v>
      </c>
      <c r="CE73" s="106">
        <v>0</v>
      </c>
      <c r="CF73" s="106">
        <v>0</v>
      </c>
      <c r="CG73" s="106">
        <v>0</v>
      </c>
      <c r="CH73" s="106">
        <v>0</v>
      </c>
      <c r="CI73" s="106">
        <v>0</v>
      </c>
      <c r="CJ73" s="106">
        <v>0</v>
      </c>
      <c r="CK73" s="106">
        <v>0</v>
      </c>
      <c r="CL73" s="106">
        <v>0</v>
      </c>
      <c r="CM73" s="106">
        <v>0</v>
      </c>
      <c r="CN73" s="106">
        <v>0</v>
      </c>
      <c r="CO73" s="106">
        <v>0</v>
      </c>
      <c r="CP73" s="106">
        <v>0</v>
      </c>
      <c r="CQ73" s="106">
        <v>0</v>
      </c>
      <c r="CR73" s="106">
        <v>0</v>
      </c>
      <c r="CS73" s="106">
        <v>0</v>
      </c>
      <c r="CT73" s="106">
        <v>0</v>
      </c>
      <c r="CU73" s="106">
        <v>0</v>
      </c>
    </row>
    <row r="74" spans="2:99" x14ac:dyDescent="0.2">
      <c r="C74" s="105" t="s">
        <v>239</v>
      </c>
      <c r="D74" s="106">
        <v>0</v>
      </c>
      <c r="E74" s="106">
        <v>0</v>
      </c>
      <c r="F74" s="106">
        <v>0</v>
      </c>
      <c r="G74" s="106">
        <v>0</v>
      </c>
      <c r="H74" s="106">
        <v>0</v>
      </c>
      <c r="I74" s="106">
        <v>0</v>
      </c>
      <c r="J74" s="106">
        <v>0</v>
      </c>
      <c r="K74" s="106">
        <v>0</v>
      </c>
      <c r="L74" s="106">
        <v>0</v>
      </c>
      <c r="M74" s="106">
        <v>0</v>
      </c>
      <c r="N74" s="106">
        <v>0</v>
      </c>
      <c r="O74" s="106">
        <v>0</v>
      </c>
      <c r="P74" s="106">
        <v>0</v>
      </c>
      <c r="Q74" s="106">
        <v>0</v>
      </c>
      <c r="R74" s="106">
        <v>0</v>
      </c>
      <c r="S74" s="106">
        <v>0</v>
      </c>
      <c r="T74" s="106">
        <v>0</v>
      </c>
      <c r="U74" s="106">
        <v>0</v>
      </c>
      <c r="V74" s="106">
        <v>0</v>
      </c>
      <c r="W74" s="106">
        <v>0</v>
      </c>
      <c r="X74" s="106">
        <v>0</v>
      </c>
      <c r="Y74" s="106">
        <v>0</v>
      </c>
      <c r="Z74" s="106">
        <v>0</v>
      </c>
      <c r="AA74" s="106">
        <v>0</v>
      </c>
      <c r="AB74" s="106">
        <v>0</v>
      </c>
      <c r="AC74" s="106">
        <v>0</v>
      </c>
      <c r="AD74" s="106">
        <v>0</v>
      </c>
      <c r="AE74" s="106">
        <v>0</v>
      </c>
      <c r="AF74" s="106">
        <v>0</v>
      </c>
      <c r="AG74" s="106">
        <v>0</v>
      </c>
      <c r="AH74" s="106">
        <v>0</v>
      </c>
      <c r="AI74" s="106">
        <v>0</v>
      </c>
      <c r="AJ74" s="106">
        <v>0</v>
      </c>
      <c r="AK74" s="106">
        <v>0</v>
      </c>
      <c r="AL74" s="106">
        <v>0</v>
      </c>
      <c r="AM74" s="106">
        <v>0</v>
      </c>
      <c r="AN74" s="106">
        <v>0</v>
      </c>
      <c r="AO74" s="106">
        <v>0</v>
      </c>
      <c r="AP74" s="106">
        <v>0</v>
      </c>
      <c r="AQ74" s="106">
        <v>0</v>
      </c>
      <c r="AR74" s="106">
        <v>0</v>
      </c>
      <c r="AS74" s="106">
        <v>0</v>
      </c>
      <c r="AT74" s="106">
        <v>0</v>
      </c>
      <c r="AU74" s="106">
        <v>0</v>
      </c>
      <c r="AV74" s="106">
        <v>0</v>
      </c>
      <c r="AW74" s="106">
        <v>0</v>
      </c>
      <c r="AX74" s="106">
        <v>0</v>
      </c>
      <c r="AY74" s="106">
        <v>0</v>
      </c>
      <c r="AZ74" s="106">
        <v>0</v>
      </c>
      <c r="BA74" s="106">
        <v>0</v>
      </c>
      <c r="BB74" s="106">
        <v>0</v>
      </c>
      <c r="BC74" s="106">
        <v>0</v>
      </c>
      <c r="BD74" s="106">
        <v>0</v>
      </c>
      <c r="BE74" s="106">
        <v>0</v>
      </c>
      <c r="BF74" s="106">
        <v>0</v>
      </c>
      <c r="BG74" s="106">
        <v>0</v>
      </c>
      <c r="BH74" s="106">
        <v>0</v>
      </c>
      <c r="BI74" s="106">
        <v>0</v>
      </c>
      <c r="BJ74" s="106">
        <v>0</v>
      </c>
      <c r="BK74" s="106">
        <v>0</v>
      </c>
      <c r="BL74" s="106">
        <v>0</v>
      </c>
      <c r="BM74" s="106">
        <v>0</v>
      </c>
      <c r="BN74" s="106">
        <v>0</v>
      </c>
      <c r="BO74" s="106">
        <v>0</v>
      </c>
      <c r="BP74" s="106">
        <v>0</v>
      </c>
      <c r="BQ74" s="106">
        <v>0</v>
      </c>
      <c r="BR74" s="106">
        <v>0</v>
      </c>
      <c r="BS74" s="106">
        <v>0</v>
      </c>
      <c r="BT74" s="106">
        <v>0</v>
      </c>
      <c r="BU74" s="106">
        <v>0</v>
      </c>
      <c r="BV74" s="106">
        <v>0</v>
      </c>
      <c r="BW74" s="106">
        <v>0</v>
      </c>
      <c r="BX74" s="106">
        <v>0</v>
      </c>
      <c r="BY74" s="106">
        <v>0</v>
      </c>
      <c r="BZ74" s="106">
        <v>0</v>
      </c>
      <c r="CA74" s="106">
        <v>0</v>
      </c>
      <c r="CB74" s="106">
        <v>0</v>
      </c>
      <c r="CC74" s="106">
        <v>0</v>
      </c>
      <c r="CD74" s="106">
        <v>0</v>
      </c>
      <c r="CE74" s="106">
        <v>0</v>
      </c>
      <c r="CF74" s="106">
        <v>0</v>
      </c>
      <c r="CG74" s="106">
        <v>0</v>
      </c>
      <c r="CH74" s="106">
        <v>0</v>
      </c>
      <c r="CI74" s="106">
        <v>0</v>
      </c>
      <c r="CJ74" s="106">
        <v>0</v>
      </c>
      <c r="CK74" s="106">
        <v>0</v>
      </c>
      <c r="CL74" s="106">
        <v>0</v>
      </c>
      <c r="CM74" s="106">
        <v>0</v>
      </c>
      <c r="CN74" s="106">
        <v>0</v>
      </c>
      <c r="CO74" s="106">
        <v>0</v>
      </c>
      <c r="CP74" s="106">
        <v>0</v>
      </c>
      <c r="CQ74" s="106">
        <v>0</v>
      </c>
      <c r="CR74" s="106">
        <v>0</v>
      </c>
      <c r="CS74" s="106">
        <v>0</v>
      </c>
      <c r="CT74" s="106">
        <v>0</v>
      </c>
      <c r="CU74" s="106">
        <v>0</v>
      </c>
    </row>
    <row r="75" spans="2:99" x14ac:dyDescent="0.2">
      <c r="C75" s="105" t="s">
        <v>240</v>
      </c>
      <c r="D75" s="106">
        <v>0</v>
      </c>
      <c r="E75" s="106">
        <v>0</v>
      </c>
      <c r="F75" s="106">
        <v>0</v>
      </c>
      <c r="G75" s="106">
        <v>0</v>
      </c>
      <c r="H75" s="106">
        <v>0</v>
      </c>
      <c r="I75" s="106">
        <v>0</v>
      </c>
      <c r="J75" s="106">
        <v>0</v>
      </c>
      <c r="K75" s="106">
        <v>0</v>
      </c>
      <c r="L75" s="106">
        <v>0</v>
      </c>
      <c r="M75" s="106">
        <v>0</v>
      </c>
      <c r="N75" s="106">
        <v>0</v>
      </c>
      <c r="O75" s="106">
        <v>0</v>
      </c>
      <c r="P75" s="106">
        <v>0</v>
      </c>
      <c r="Q75" s="106">
        <v>0</v>
      </c>
      <c r="R75" s="106">
        <v>0</v>
      </c>
      <c r="S75" s="106">
        <v>0</v>
      </c>
      <c r="T75" s="106">
        <v>0</v>
      </c>
      <c r="U75" s="106">
        <v>0</v>
      </c>
      <c r="V75" s="106">
        <v>0</v>
      </c>
      <c r="W75" s="106">
        <v>0</v>
      </c>
      <c r="X75" s="106">
        <v>0</v>
      </c>
      <c r="Y75" s="106">
        <v>0</v>
      </c>
      <c r="Z75" s="106">
        <v>0</v>
      </c>
      <c r="AA75" s="106">
        <v>0</v>
      </c>
      <c r="AB75" s="106">
        <v>0</v>
      </c>
      <c r="AC75" s="106">
        <v>0</v>
      </c>
      <c r="AD75" s="106">
        <v>0</v>
      </c>
      <c r="AE75" s="106">
        <v>0</v>
      </c>
      <c r="AF75" s="106">
        <v>0</v>
      </c>
      <c r="AG75" s="106">
        <v>0</v>
      </c>
      <c r="AH75" s="106">
        <v>0</v>
      </c>
      <c r="AI75" s="106">
        <v>0</v>
      </c>
      <c r="AJ75" s="106">
        <v>0</v>
      </c>
      <c r="AK75" s="106">
        <v>0</v>
      </c>
      <c r="AL75" s="106">
        <v>0</v>
      </c>
      <c r="AM75" s="106">
        <v>0</v>
      </c>
      <c r="AN75" s="106">
        <v>0</v>
      </c>
      <c r="AO75" s="106">
        <v>0</v>
      </c>
      <c r="AP75" s="106">
        <v>0</v>
      </c>
      <c r="AQ75" s="106">
        <v>0</v>
      </c>
      <c r="AR75" s="106">
        <v>0</v>
      </c>
      <c r="AS75" s="106">
        <v>0</v>
      </c>
      <c r="AT75" s="106">
        <v>0</v>
      </c>
      <c r="AU75" s="106">
        <v>0</v>
      </c>
      <c r="AV75" s="106">
        <v>0</v>
      </c>
      <c r="AW75" s="106">
        <v>0</v>
      </c>
      <c r="AX75" s="106">
        <v>0</v>
      </c>
      <c r="AY75" s="106">
        <v>0</v>
      </c>
      <c r="AZ75" s="106">
        <v>0</v>
      </c>
      <c r="BA75" s="106">
        <v>0</v>
      </c>
      <c r="BB75" s="106">
        <v>0</v>
      </c>
      <c r="BC75" s="106">
        <v>0</v>
      </c>
      <c r="BD75" s="106">
        <v>0</v>
      </c>
      <c r="BE75" s="106">
        <v>0</v>
      </c>
      <c r="BF75" s="106">
        <v>0</v>
      </c>
      <c r="BG75" s="106">
        <v>0</v>
      </c>
      <c r="BH75" s="106">
        <v>0</v>
      </c>
      <c r="BI75" s="106">
        <v>0</v>
      </c>
      <c r="BJ75" s="106">
        <v>0</v>
      </c>
      <c r="BK75" s="106">
        <v>0</v>
      </c>
      <c r="BL75" s="106">
        <v>0</v>
      </c>
      <c r="BM75" s="106">
        <v>0</v>
      </c>
      <c r="BN75" s="106">
        <v>0</v>
      </c>
      <c r="BO75" s="106">
        <v>0</v>
      </c>
      <c r="BP75" s="106">
        <v>0</v>
      </c>
      <c r="BQ75" s="106">
        <v>0</v>
      </c>
      <c r="BR75" s="106">
        <v>0</v>
      </c>
      <c r="BS75" s="106">
        <v>0</v>
      </c>
      <c r="BT75" s="106">
        <v>0</v>
      </c>
      <c r="BU75" s="106">
        <v>0</v>
      </c>
      <c r="BV75" s="106">
        <v>0</v>
      </c>
      <c r="BW75" s="106">
        <v>0</v>
      </c>
      <c r="BX75" s="106">
        <v>0</v>
      </c>
      <c r="BY75" s="106">
        <v>0</v>
      </c>
      <c r="BZ75" s="106">
        <v>0</v>
      </c>
      <c r="CA75" s="106">
        <v>0</v>
      </c>
      <c r="CB75" s="106">
        <v>0</v>
      </c>
      <c r="CC75" s="106">
        <v>0</v>
      </c>
      <c r="CD75" s="106">
        <v>0</v>
      </c>
      <c r="CE75" s="106">
        <v>0</v>
      </c>
      <c r="CF75" s="106">
        <v>0</v>
      </c>
      <c r="CG75" s="106">
        <v>0</v>
      </c>
      <c r="CH75" s="106">
        <v>0</v>
      </c>
      <c r="CI75" s="106">
        <v>0</v>
      </c>
      <c r="CJ75" s="106">
        <v>0</v>
      </c>
      <c r="CK75" s="106">
        <v>0</v>
      </c>
      <c r="CL75" s="106">
        <v>0</v>
      </c>
      <c r="CM75" s="106">
        <v>0</v>
      </c>
      <c r="CN75" s="106">
        <v>0</v>
      </c>
      <c r="CO75" s="106">
        <v>0</v>
      </c>
      <c r="CP75" s="106">
        <v>0</v>
      </c>
      <c r="CQ75" s="106">
        <v>0</v>
      </c>
      <c r="CR75" s="106">
        <v>0</v>
      </c>
      <c r="CS75" s="106">
        <v>0</v>
      </c>
      <c r="CT75" s="106">
        <v>0</v>
      </c>
      <c r="CU75" s="106">
        <v>0</v>
      </c>
    </row>
    <row r="76" spans="2:99" x14ac:dyDescent="0.2">
      <c r="C76" s="105" t="s">
        <v>241</v>
      </c>
      <c r="D76" s="106">
        <v>0</v>
      </c>
      <c r="E76" s="106">
        <v>0</v>
      </c>
      <c r="F76" s="106">
        <v>0</v>
      </c>
      <c r="G76" s="106">
        <v>0</v>
      </c>
      <c r="H76" s="106">
        <v>0</v>
      </c>
      <c r="I76" s="106">
        <v>0</v>
      </c>
      <c r="J76" s="106">
        <v>0</v>
      </c>
      <c r="K76" s="106">
        <v>0</v>
      </c>
      <c r="L76" s="106">
        <v>0</v>
      </c>
      <c r="M76" s="106">
        <v>0</v>
      </c>
      <c r="N76" s="106">
        <v>0</v>
      </c>
      <c r="O76" s="106">
        <v>0</v>
      </c>
      <c r="P76" s="106">
        <v>0</v>
      </c>
      <c r="Q76" s="106">
        <v>0</v>
      </c>
      <c r="R76" s="106">
        <v>0</v>
      </c>
      <c r="S76" s="106">
        <v>0</v>
      </c>
      <c r="T76" s="106">
        <v>0</v>
      </c>
      <c r="U76" s="106">
        <v>0</v>
      </c>
      <c r="V76" s="106">
        <v>0</v>
      </c>
      <c r="W76" s="106">
        <v>0</v>
      </c>
      <c r="X76" s="106">
        <v>0</v>
      </c>
      <c r="Y76" s="106">
        <v>0</v>
      </c>
      <c r="Z76" s="106">
        <v>0</v>
      </c>
      <c r="AA76" s="106">
        <v>0</v>
      </c>
      <c r="AB76" s="106">
        <v>0</v>
      </c>
      <c r="AC76" s="106">
        <v>0</v>
      </c>
      <c r="AD76" s="106">
        <v>0</v>
      </c>
      <c r="AE76" s="106">
        <v>0</v>
      </c>
      <c r="AF76" s="106">
        <v>0</v>
      </c>
      <c r="AG76" s="106">
        <v>0</v>
      </c>
      <c r="AH76" s="106">
        <v>0</v>
      </c>
      <c r="AI76" s="106">
        <v>0</v>
      </c>
      <c r="AJ76" s="106">
        <v>0</v>
      </c>
      <c r="AK76" s="106">
        <v>0</v>
      </c>
      <c r="AL76" s="106">
        <v>0</v>
      </c>
      <c r="AM76" s="106">
        <v>0</v>
      </c>
      <c r="AN76" s="106">
        <v>0</v>
      </c>
      <c r="AO76" s="106">
        <v>0</v>
      </c>
      <c r="AP76" s="106">
        <v>0</v>
      </c>
      <c r="AQ76" s="106">
        <v>0</v>
      </c>
      <c r="AR76" s="106">
        <v>0</v>
      </c>
      <c r="AS76" s="106">
        <v>0</v>
      </c>
      <c r="AT76" s="106">
        <v>0</v>
      </c>
      <c r="AU76" s="106">
        <v>0</v>
      </c>
      <c r="AV76" s="106">
        <v>0</v>
      </c>
      <c r="AW76" s="106">
        <v>0</v>
      </c>
      <c r="AX76" s="106">
        <v>0</v>
      </c>
      <c r="AY76" s="106">
        <v>0</v>
      </c>
      <c r="AZ76" s="106">
        <v>0</v>
      </c>
      <c r="BA76" s="106">
        <v>0</v>
      </c>
      <c r="BB76" s="106">
        <v>0</v>
      </c>
      <c r="BC76" s="106">
        <v>0</v>
      </c>
      <c r="BD76" s="106">
        <v>0</v>
      </c>
      <c r="BE76" s="106">
        <v>0</v>
      </c>
      <c r="BF76" s="106">
        <v>0</v>
      </c>
      <c r="BG76" s="106">
        <v>0</v>
      </c>
      <c r="BH76" s="106">
        <v>0</v>
      </c>
      <c r="BI76" s="106">
        <v>0</v>
      </c>
      <c r="BJ76" s="106">
        <v>0</v>
      </c>
      <c r="BK76" s="106">
        <v>0</v>
      </c>
      <c r="BL76" s="106">
        <v>0</v>
      </c>
      <c r="BM76" s="106">
        <v>0</v>
      </c>
      <c r="BN76" s="106">
        <v>0</v>
      </c>
      <c r="BO76" s="106">
        <v>0</v>
      </c>
      <c r="BP76" s="106">
        <v>0</v>
      </c>
      <c r="BQ76" s="106">
        <v>0</v>
      </c>
      <c r="BR76" s="106">
        <v>0</v>
      </c>
      <c r="BS76" s="106">
        <v>0</v>
      </c>
      <c r="BT76" s="106">
        <v>0</v>
      </c>
      <c r="BU76" s="106">
        <v>0</v>
      </c>
      <c r="BV76" s="106">
        <v>0</v>
      </c>
      <c r="BW76" s="106">
        <v>0</v>
      </c>
      <c r="BX76" s="106">
        <v>0</v>
      </c>
      <c r="BY76" s="106">
        <v>0</v>
      </c>
      <c r="BZ76" s="106">
        <v>0</v>
      </c>
      <c r="CA76" s="106">
        <v>0</v>
      </c>
      <c r="CB76" s="106">
        <v>0</v>
      </c>
      <c r="CC76" s="106">
        <v>0</v>
      </c>
      <c r="CD76" s="106">
        <v>0</v>
      </c>
      <c r="CE76" s="106">
        <v>0</v>
      </c>
      <c r="CF76" s="106">
        <v>0</v>
      </c>
      <c r="CG76" s="106">
        <v>0</v>
      </c>
      <c r="CH76" s="106">
        <v>0</v>
      </c>
      <c r="CI76" s="106">
        <v>0</v>
      </c>
      <c r="CJ76" s="106">
        <v>0</v>
      </c>
      <c r="CK76" s="106">
        <v>0</v>
      </c>
      <c r="CL76" s="106">
        <v>0</v>
      </c>
      <c r="CM76" s="106">
        <v>0</v>
      </c>
      <c r="CN76" s="106">
        <v>0</v>
      </c>
      <c r="CO76" s="106">
        <v>0</v>
      </c>
      <c r="CP76" s="106">
        <v>0</v>
      </c>
      <c r="CQ76" s="106">
        <v>0</v>
      </c>
      <c r="CR76" s="106">
        <v>0</v>
      </c>
      <c r="CS76" s="106">
        <v>0</v>
      </c>
      <c r="CT76" s="106">
        <v>0</v>
      </c>
      <c r="CU76" s="106">
        <v>0</v>
      </c>
    </row>
    <row r="77" spans="2:99" x14ac:dyDescent="0.2">
      <c r="C77" s="105" t="s">
        <v>242</v>
      </c>
      <c r="D77" s="106">
        <v>0</v>
      </c>
      <c r="E77" s="106">
        <v>0</v>
      </c>
      <c r="F77" s="106">
        <v>0</v>
      </c>
      <c r="G77" s="106">
        <v>0</v>
      </c>
      <c r="H77" s="106">
        <v>0</v>
      </c>
      <c r="I77" s="106">
        <v>0</v>
      </c>
      <c r="J77" s="106">
        <v>0</v>
      </c>
      <c r="K77" s="106">
        <v>0</v>
      </c>
      <c r="L77" s="106">
        <v>0</v>
      </c>
      <c r="M77" s="106">
        <v>0</v>
      </c>
      <c r="N77" s="106">
        <v>0</v>
      </c>
      <c r="O77" s="106">
        <v>0</v>
      </c>
      <c r="P77" s="106">
        <v>0</v>
      </c>
      <c r="Q77" s="106">
        <v>0</v>
      </c>
      <c r="R77" s="106">
        <v>0</v>
      </c>
      <c r="S77" s="106">
        <v>0</v>
      </c>
      <c r="T77" s="106">
        <v>0</v>
      </c>
      <c r="U77" s="106">
        <v>0</v>
      </c>
      <c r="V77" s="106">
        <v>0</v>
      </c>
      <c r="W77" s="106">
        <v>0</v>
      </c>
      <c r="X77" s="106">
        <v>0</v>
      </c>
      <c r="Y77" s="106">
        <v>0</v>
      </c>
      <c r="Z77" s="106">
        <v>0</v>
      </c>
      <c r="AA77" s="106">
        <v>0</v>
      </c>
      <c r="AB77" s="106">
        <v>0</v>
      </c>
      <c r="AC77" s="106">
        <v>0</v>
      </c>
      <c r="AD77" s="106">
        <v>0</v>
      </c>
      <c r="AE77" s="106">
        <v>0</v>
      </c>
      <c r="AF77" s="106">
        <v>0</v>
      </c>
      <c r="AG77" s="106">
        <v>0</v>
      </c>
      <c r="AH77" s="106">
        <v>0</v>
      </c>
      <c r="AI77" s="106">
        <v>0</v>
      </c>
      <c r="AJ77" s="106">
        <v>0</v>
      </c>
      <c r="AK77" s="106">
        <v>0</v>
      </c>
      <c r="AL77" s="106">
        <v>0</v>
      </c>
      <c r="AM77" s="106">
        <v>0</v>
      </c>
      <c r="AN77" s="106">
        <v>0</v>
      </c>
      <c r="AO77" s="106">
        <v>0</v>
      </c>
      <c r="AP77" s="106">
        <v>0</v>
      </c>
      <c r="AQ77" s="106">
        <v>0</v>
      </c>
      <c r="AR77" s="106">
        <v>0</v>
      </c>
      <c r="AS77" s="106">
        <v>0</v>
      </c>
      <c r="AT77" s="106">
        <v>0</v>
      </c>
      <c r="AU77" s="106">
        <v>0</v>
      </c>
      <c r="AV77" s="106">
        <v>0</v>
      </c>
      <c r="AW77" s="106">
        <v>0</v>
      </c>
      <c r="AX77" s="106">
        <v>0</v>
      </c>
      <c r="AY77" s="106">
        <v>0</v>
      </c>
      <c r="AZ77" s="106">
        <v>0</v>
      </c>
      <c r="BA77" s="106">
        <v>0</v>
      </c>
      <c r="BB77" s="106">
        <v>0</v>
      </c>
      <c r="BC77" s="106">
        <v>0</v>
      </c>
      <c r="BD77" s="106">
        <v>0</v>
      </c>
      <c r="BE77" s="106">
        <v>0</v>
      </c>
      <c r="BF77" s="106">
        <v>0</v>
      </c>
      <c r="BG77" s="106">
        <v>0</v>
      </c>
      <c r="BH77" s="106">
        <v>0</v>
      </c>
      <c r="BI77" s="106">
        <v>0</v>
      </c>
      <c r="BJ77" s="106">
        <v>0</v>
      </c>
      <c r="BK77" s="106">
        <v>0</v>
      </c>
      <c r="BL77" s="106">
        <v>0</v>
      </c>
      <c r="BM77" s="106">
        <v>0</v>
      </c>
      <c r="BN77" s="106">
        <v>0</v>
      </c>
      <c r="BO77" s="106">
        <v>0</v>
      </c>
      <c r="BP77" s="106">
        <v>0</v>
      </c>
      <c r="BQ77" s="106">
        <v>0</v>
      </c>
      <c r="BR77" s="106">
        <v>0</v>
      </c>
      <c r="BS77" s="106">
        <v>0</v>
      </c>
      <c r="BT77" s="106">
        <v>0</v>
      </c>
      <c r="BU77" s="106">
        <v>0</v>
      </c>
      <c r="BV77" s="106">
        <v>0</v>
      </c>
      <c r="BW77" s="106">
        <v>0</v>
      </c>
      <c r="BX77" s="106">
        <v>0</v>
      </c>
      <c r="BY77" s="106">
        <v>0</v>
      </c>
      <c r="BZ77" s="106">
        <v>0</v>
      </c>
      <c r="CA77" s="106">
        <v>0</v>
      </c>
      <c r="CB77" s="106">
        <v>0</v>
      </c>
      <c r="CC77" s="106">
        <v>0</v>
      </c>
      <c r="CD77" s="106">
        <v>0</v>
      </c>
      <c r="CE77" s="106">
        <v>0</v>
      </c>
      <c r="CF77" s="106">
        <v>0</v>
      </c>
      <c r="CG77" s="106">
        <v>0</v>
      </c>
      <c r="CH77" s="106">
        <v>0</v>
      </c>
      <c r="CI77" s="106">
        <v>0</v>
      </c>
      <c r="CJ77" s="106">
        <v>0</v>
      </c>
      <c r="CK77" s="106">
        <v>0</v>
      </c>
      <c r="CL77" s="106">
        <v>0</v>
      </c>
      <c r="CM77" s="106">
        <v>0</v>
      </c>
      <c r="CN77" s="106">
        <v>0</v>
      </c>
      <c r="CO77" s="106">
        <v>0</v>
      </c>
      <c r="CP77" s="106">
        <v>0</v>
      </c>
      <c r="CQ77" s="106">
        <v>0</v>
      </c>
      <c r="CR77" s="106">
        <v>0</v>
      </c>
      <c r="CS77" s="106">
        <v>0</v>
      </c>
      <c r="CT77" s="106">
        <v>0</v>
      </c>
      <c r="CU77" s="106">
        <v>0</v>
      </c>
    </row>
    <row r="78" spans="2:99" x14ac:dyDescent="0.2">
      <c r="C78" s="105" t="s">
        <v>243</v>
      </c>
      <c r="D78" s="106">
        <v>0</v>
      </c>
      <c r="E78" s="106">
        <v>0</v>
      </c>
      <c r="F78" s="106">
        <v>0</v>
      </c>
      <c r="G78" s="106">
        <v>0</v>
      </c>
      <c r="H78" s="106">
        <v>0</v>
      </c>
      <c r="I78" s="106">
        <v>0</v>
      </c>
      <c r="J78" s="106">
        <v>0</v>
      </c>
      <c r="K78" s="106">
        <v>0</v>
      </c>
      <c r="L78" s="106">
        <v>0</v>
      </c>
      <c r="M78" s="106">
        <v>0</v>
      </c>
      <c r="N78" s="106">
        <v>0</v>
      </c>
      <c r="O78" s="106">
        <v>0</v>
      </c>
      <c r="P78" s="106">
        <v>0</v>
      </c>
      <c r="Q78" s="106">
        <v>0</v>
      </c>
      <c r="R78" s="106">
        <v>0</v>
      </c>
      <c r="S78" s="106">
        <v>0</v>
      </c>
      <c r="T78" s="106">
        <v>0</v>
      </c>
      <c r="U78" s="106">
        <v>0</v>
      </c>
      <c r="V78" s="106">
        <v>0</v>
      </c>
      <c r="W78" s="106">
        <v>0</v>
      </c>
      <c r="X78" s="106">
        <v>0</v>
      </c>
      <c r="Y78" s="106">
        <v>0</v>
      </c>
      <c r="Z78" s="106">
        <v>0</v>
      </c>
      <c r="AA78" s="106">
        <v>0</v>
      </c>
      <c r="AB78" s="106">
        <v>0</v>
      </c>
      <c r="AC78" s="106">
        <v>0</v>
      </c>
      <c r="AD78" s="106">
        <v>0</v>
      </c>
      <c r="AE78" s="106">
        <v>0</v>
      </c>
      <c r="AF78" s="106">
        <v>0</v>
      </c>
      <c r="AG78" s="106">
        <v>0</v>
      </c>
      <c r="AH78" s="106">
        <v>0</v>
      </c>
      <c r="AI78" s="106">
        <v>0</v>
      </c>
      <c r="AJ78" s="106">
        <v>0</v>
      </c>
      <c r="AK78" s="106">
        <v>0</v>
      </c>
      <c r="AL78" s="106">
        <v>0</v>
      </c>
      <c r="AM78" s="106">
        <v>0</v>
      </c>
      <c r="AN78" s="106">
        <v>0</v>
      </c>
      <c r="AO78" s="106">
        <v>0</v>
      </c>
      <c r="AP78" s="106">
        <v>0</v>
      </c>
      <c r="AQ78" s="106">
        <v>0</v>
      </c>
      <c r="AR78" s="106">
        <v>0</v>
      </c>
      <c r="AS78" s="106">
        <v>0</v>
      </c>
      <c r="AT78" s="106">
        <v>0</v>
      </c>
      <c r="AU78" s="106">
        <v>0</v>
      </c>
      <c r="AV78" s="106">
        <v>0</v>
      </c>
      <c r="AW78" s="106">
        <v>0</v>
      </c>
      <c r="AX78" s="106">
        <v>0</v>
      </c>
      <c r="AY78" s="106">
        <v>0</v>
      </c>
      <c r="AZ78" s="106">
        <v>0</v>
      </c>
      <c r="BA78" s="106">
        <v>0</v>
      </c>
      <c r="BB78" s="106">
        <v>0</v>
      </c>
      <c r="BC78" s="106">
        <v>0</v>
      </c>
      <c r="BD78" s="106">
        <v>0</v>
      </c>
      <c r="BE78" s="106">
        <v>0</v>
      </c>
      <c r="BF78" s="106">
        <v>0</v>
      </c>
      <c r="BG78" s="106">
        <v>0</v>
      </c>
      <c r="BH78" s="106">
        <v>0</v>
      </c>
      <c r="BI78" s="106">
        <v>0</v>
      </c>
      <c r="BJ78" s="106">
        <v>0</v>
      </c>
      <c r="BK78" s="106">
        <v>0</v>
      </c>
      <c r="BL78" s="106">
        <v>0</v>
      </c>
      <c r="BM78" s="106">
        <v>0</v>
      </c>
      <c r="BN78" s="106">
        <v>0</v>
      </c>
      <c r="BO78" s="106">
        <v>0</v>
      </c>
      <c r="BP78" s="106">
        <v>0</v>
      </c>
      <c r="BQ78" s="106">
        <v>0</v>
      </c>
      <c r="BR78" s="106">
        <v>0</v>
      </c>
      <c r="BS78" s="106">
        <v>0</v>
      </c>
      <c r="BT78" s="106">
        <v>0</v>
      </c>
      <c r="BU78" s="106">
        <v>0</v>
      </c>
      <c r="BV78" s="106">
        <v>0</v>
      </c>
      <c r="BW78" s="106">
        <v>0</v>
      </c>
      <c r="BX78" s="106">
        <v>0</v>
      </c>
      <c r="BY78" s="106">
        <v>0</v>
      </c>
      <c r="BZ78" s="106">
        <v>0</v>
      </c>
      <c r="CA78" s="106">
        <v>0</v>
      </c>
      <c r="CB78" s="106">
        <v>0</v>
      </c>
      <c r="CC78" s="106">
        <v>0</v>
      </c>
      <c r="CD78" s="106">
        <v>0</v>
      </c>
      <c r="CE78" s="106">
        <v>0</v>
      </c>
      <c r="CF78" s="106">
        <v>0</v>
      </c>
      <c r="CG78" s="106">
        <v>0</v>
      </c>
      <c r="CH78" s="106">
        <v>0</v>
      </c>
      <c r="CI78" s="106">
        <v>0</v>
      </c>
      <c r="CJ78" s="106">
        <v>0</v>
      </c>
      <c r="CK78" s="106">
        <v>0</v>
      </c>
      <c r="CL78" s="106">
        <v>0</v>
      </c>
      <c r="CM78" s="106">
        <v>0</v>
      </c>
      <c r="CN78" s="106">
        <v>0</v>
      </c>
      <c r="CO78" s="106">
        <v>0</v>
      </c>
      <c r="CP78" s="106">
        <v>0</v>
      </c>
      <c r="CQ78" s="106">
        <v>0</v>
      </c>
      <c r="CR78" s="106">
        <v>0</v>
      </c>
      <c r="CS78" s="106">
        <v>0</v>
      </c>
      <c r="CT78" s="106">
        <v>0</v>
      </c>
      <c r="CU78" s="106">
        <v>0</v>
      </c>
    </row>
    <row r="79" spans="2:99" x14ac:dyDescent="0.2">
      <c r="C79" s="105" t="s">
        <v>244</v>
      </c>
      <c r="D79" s="106">
        <v>0</v>
      </c>
      <c r="E79" s="106">
        <v>0</v>
      </c>
      <c r="F79" s="106">
        <v>0</v>
      </c>
      <c r="G79" s="106">
        <v>0</v>
      </c>
      <c r="H79" s="106">
        <v>0</v>
      </c>
      <c r="I79" s="106">
        <v>0</v>
      </c>
      <c r="J79" s="106">
        <v>0</v>
      </c>
      <c r="K79" s="106">
        <v>0</v>
      </c>
      <c r="L79" s="106">
        <v>0</v>
      </c>
      <c r="M79" s="106">
        <v>0</v>
      </c>
      <c r="N79" s="106">
        <v>0</v>
      </c>
      <c r="O79" s="106">
        <v>0</v>
      </c>
      <c r="P79" s="106">
        <v>0</v>
      </c>
      <c r="Q79" s="106">
        <v>0</v>
      </c>
      <c r="R79" s="106">
        <v>0</v>
      </c>
      <c r="S79" s="106">
        <v>0</v>
      </c>
      <c r="T79" s="106">
        <v>0</v>
      </c>
      <c r="U79" s="106">
        <v>0</v>
      </c>
      <c r="V79" s="106">
        <v>0</v>
      </c>
      <c r="W79" s="106">
        <v>0</v>
      </c>
      <c r="X79" s="106">
        <v>0</v>
      </c>
      <c r="Y79" s="106">
        <v>0</v>
      </c>
      <c r="Z79" s="106">
        <v>0</v>
      </c>
      <c r="AA79" s="106">
        <v>0</v>
      </c>
      <c r="AB79" s="106">
        <v>0</v>
      </c>
      <c r="AC79" s="106">
        <v>0</v>
      </c>
      <c r="AD79" s="106">
        <v>0</v>
      </c>
      <c r="AE79" s="106">
        <v>0</v>
      </c>
      <c r="AF79" s="106">
        <v>0</v>
      </c>
      <c r="AG79" s="106">
        <v>0</v>
      </c>
      <c r="AH79" s="106">
        <v>0</v>
      </c>
      <c r="AI79" s="106">
        <v>0</v>
      </c>
      <c r="AJ79" s="106">
        <v>0</v>
      </c>
      <c r="AK79" s="106">
        <v>0</v>
      </c>
      <c r="AL79" s="106">
        <v>0</v>
      </c>
      <c r="AM79" s="106">
        <v>0</v>
      </c>
      <c r="AN79" s="106">
        <v>0</v>
      </c>
      <c r="AO79" s="106">
        <v>0</v>
      </c>
      <c r="AP79" s="106">
        <v>0</v>
      </c>
      <c r="AQ79" s="106">
        <v>0</v>
      </c>
      <c r="AR79" s="106">
        <v>0</v>
      </c>
      <c r="AS79" s="106">
        <v>0</v>
      </c>
      <c r="AT79" s="106">
        <v>0</v>
      </c>
      <c r="AU79" s="106">
        <v>0</v>
      </c>
      <c r="AV79" s="106">
        <v>0</v>
      </c>
      <c r="AW79" s="106">
        <v>0</v>
      </c>
      <c r="AX79" s="106">
        <v>0</v>
      </c>
      <c r="AY79" s="106">
        <v>0</v>
      </c>
      <c r="AZ79" s="106">
        <v>0</v>
      </c>
      <c r="BA79" s="106">
        <v>0</v>
      </c>
      <c r="BB79" s="106">
        <v>0</v>
      </c>
      <c r="BC79" s="106">
        <v>0</v>
      </c>
      <c r="BD79" s="106">
        <v>0</v>
      </c>
      <c r="BE79" s="106">
        <v>0</v>
      </c>
      <c r="BF79" s="106">
        <v>0</v>
      </c>
      <c r="BG79" s="106">
        <v>0</v>
      </c>
      <c r="BH79" s="106">
        <v>0</v>
      </c>
      <c r="BI79" s="106">
        <v>0</v>
      </c>
      <c r="BJ79" s="106">
        <v>0</v>
      </c>
      <c r="BK79" s="106">
        <v>0</v>
      </c>
      <c r="BL79" s="106">
        <v>0</v>
      </c>
      <c r="BM79" s="106">
        <v>0</v>
      </c>
      <c r="BN79" s="106">
        <v>0</v>
      </c>
      <c r="BO79" s="106">
        <v>0</v>
      </c>
      <c r="BP79" s="106">
        <v>0</v>
      </c>
      <c r="BQ79" s="106">
        <v>0</v>
      </c>
      <c r="BR79" s="106">
        <v>0</v>
      </c>
      <c r="BS79" s="106">
        <v>0</v>
      </c>
      <c r="BT79" s="106">
        <v>0</v>
      </c>
      <c r="BU79" s="106">
        <v>0</v>
      </c>
      <c r="BV79" s="106">
        <v>0</v>
      </c>
      <c r="BW79" s="106">
        <v>0</v>
      </c>
      <c r="BX79" s="106">
        <v>0</v>
      </c>
      <c r="BY79" s="106">
        <v>0</v>
      </c>
      <c r="BZ79" s="106">
        <v>0</v>
      </c>
      <c r="CA79" s="106">
        <v>0</v>
      </c>
      <c r="CB79" s="106">
        <v>0</v>
      </c>
      <c r="CC79" s="106">
        <v>0</v>
      </c>
      <c r="CD79" s="106">
        <v>0</v>
      </c>
      <c r="CE79" s="106">
        <v>0</v>
      </c>
      <c r="CF79" s="106">
        <v>0</v>
      </c>
      <c r="CG79" s="106">
        <v>0</v>
      </c>
      <c r="CH79" s="106">
        <v>0</v>
      </c>
      <c r="CI79" s="106">
        <v>0</v>
      </c>
      <c r="CJ79" s="106">
        <v>0</v>
      </c>
      <c r="CK79" s="106">
        <v>0</v>
      </c>
      <c r="CL79" s="106">
        <v>0</v>
      </c>
      <c r="CM79" s="106">
        <v>0</v>
      </c>
      <c r="CN79" s="106">
        <v>0</v>
      </c>
      <c r="CO79" s="106">
        <v>0</v>
      </c>
      <c r="CP79" s="106">
        <v>0</v>
      </c>
      <c r="CQ79" s="106">
        <v>0</v>
      </c>
      <c r="CR79" s="106">
        <v>0</v>
      </c>
      <c r="CS79" s="106">
        <v>0</v>
      </c>
      <c r="CT79" s="106">
        <v>0</v>
      </c>
      <c r="CU79" s="106">
        <v>0</v>
      </c>
    </row>
    <row r="80" spans="2:99" x14ac:dyDescent="0.2">
      <c r="C80" s="105" t="s">
        <v>245</v>
      </c>
      <c r="D80" s="106">
        <v>0</v>
      </c>
      <c r="E80" s="106">
        <v>0</v>
      </c>
      <c r="F80" s="106">
        <v>0</v>
      </c>
      <c r="G80" s="106">
        <v>0</v>
      </c>
      <c r="H80" s="106">
        <v>0</v>
      </c>
      <c r="I80" s="106">
        <v>0</v>
      </c>
      <c r="J80" s="106">
        <v>0</v>
      </c>
      <c r="K80" s="106">
        <v>0</v>
      </c>
      <c r="L80" s="106">
        <v>0</v>
      </c>
      <c r="M80" s="106">
        <v>0</v>
      </c>
      <c r="N80" s="106">
        <v>0</v>
      </c>
      <c r="O80" s="106">
        <v>0</v>
      </c>
      <c r="P80" s="106">
        <v>0</v>
      </c>
      <c r="Q80" s="106">
        <v>0</v>
      </c>
      <c r="R80" s="106">
        <v>0</v>
      </c>
      <c r="S80" s="106">
        <v>0</v>
      </c>
      <c r="T80" s="106">
        <v>0</v>
      </c>
      <c r="U80" s="106">
        <v>0</v>
      </c>
      <c r="V80" s="106">
        <v>0</v>
      </c>
      <c r="W80" s="106">
        <v>0</v>
      </c>
      <c r="X80" s="106">
        <v>0</v>
      </c>
      <c r="Y80" s="106">
        <v>0</v>
      </c>
      <c r="Z80" s="106">
        <v>0</v>
      </c>
      <c r="AA80" s="106">
        <v>0</v>
      </c>
      <c r="AB80" s="106">
        <v>0</v>
      </c>
      <c r="AC80" s="106">
        <v>0</v>
      </c>
      <c r="AD80" s="106">
        <v>0</v>
      </c>
      <c r="AE80" s="106">
        <v>0</v>
      </c>
      <c r="AF80" s="106">
        <v>0</v>
      </c>
      <c r="AG80" s="106">
        <v>0</v>
      </c>
      <c r="AH80" s="106">
        <v>0</v>
      </c>
      <c r="AI80" s="106">
        <v>0</v>
      </c>
      <c r="AJ80" s="106">
        <v>0</v>
      </c>
      <c r="AK80" s="106">
        <v>0</v>
      </c>
      <c r="AL80" s="106">
        <v>0</v>
      </c>
      <c r="AM80" s="106">
        <v>0</v>
      </c>
      <c r="AN80" s="106">
        <v>0</v>
      </c>
      <c r="AO80" s="106">
        <v>0</v>
      </c>
      <c r="AP80" s="106">
        <v>0</v>
      </c>
      <c r="AQ80" s="106">
        <v>0</v>
      </c>
      <c r="AR80" s="106">
        <v>0</v>
      </c>
      <c r="AS80" s="106">
        <v>0</v>
      </c>
      <c r="AT80" s="106">
        <v>0</v>
      </c>
      <c r="AU80" s="106">
        <v>0</v>
      </c>
      <c r="AV80" s="106">
        <v>0</v>
      </c>
      <c r="AW80" s="106">
        <v>0</v>
      </c>
      <c r="AX80" s="106">
        <v>0</v>
      </c>
      <c r="AY80" s="106">
        <v>0</v>
      </c>
      <c r="AZ80" s="106">
        <v>0</v>
      </c>
      <c r="BA80" s="106">
        <v>0</v>
      </c>
      <c r="BB80" s="106">
        <v>0</v>
      </c>
      <c r="BC80" s="106">
        <v>0</v>
      </c>
      <c r="BD80" s="106">
        <v>0</v>
      </c>
      <c r="BE80" s="106">
        <v>0</v>
      </c>
      <c r="BF80" s="106">
        <v>0</v>
      </c>
      <c r="BG80" s="106">
        <v>0</v>
      </c>
      <c r="BH80" s="106">
        <v>0</v>
      </c>
      <c r="BI80" s="106">
        <v>0</v>
      </c>
      <c r="BJ80" s="106">
        <v>0</v>
      </c>
      <c r="BK80" s="106">
        <v>0</v>
      </c>
      <c r="BL80" s="106">
        <v>0</v>
      </c>
      <c r="BM80" s="106">
        <v>0</v>
      </c>
      <c r="BN80" s="106">
        <v>0</v>
      </c>
      <c r="BO80" s="106">
        <v>0</v>
      </c>
      <c r="BP80" s="106">
        <v>0</v>
      </c>
      <c r="BQ80" s="106">
        <v>0</v>
      </c>
      <c r="BR80" s="106">
        <v>0</v>
      </c>
      <c r="BS80" s="106">
        <v>0</v>
      </c>
      <c r="BT80" s="106">
        <v>0</v>
      </c>
      <c r="BU80" s="106">
        <v>0</v>
      </c>
      <c r="BV80" s="106">
        <v>0</v>
      </c>
      <c r="BW80" s="106">
        <v>0</v>
      </c>
      <c r="BX80" s="106">
        <v>0</v>
      </c>
      <c r="BY80" s="106">
        <v>0</v>
      </c>
      <c r="BZ80" s="106">
        <v>0</v>
      </c>
      <c r="CA80" s="106">
        <v>0</v>
      </c>
      <c r="CB80" s="106">
        <v>0</v>
      </c>
      <c r="CC80" s="106">
        <v>0</v>
      </c>
      <c r="CD80" s="106">
        <v>0</v>
      </c>
      <c r="CE80" s="106">
        <v>0</v>
      </c>
      <c r="CF80" s="106">
        <v>0</v>
      </c>
      <c r="CG80" s="106">
        <v>0</v>
      </c>
      <c r="CH80" s="106">
        <v>0</v>
      </c>
      <c r="CI80" s="106">
        <v>0</v>
      </c>
      <c r="CJ80" s="106">
        <v>0</v>
      </c>
      <c r="CK80" s="106">
        <v>0</v>
      </c>
      <c r="CL80" s="106">
        <v>0</v>
      </c>
      <c r="CM80" s="106">
        <v>0</v>
      </c>
      <c r="CN80" s="106">
        <v>0</v>
      </c>
      <c r="CO80" s="106">
        <v>0</v>
      </c>
      <c r="CP80" s="106">
        <v>0</v>
      </c>
      <c r="CQ80" s="106">
        <v>0</v>
      </c>
      <c r="CR80" s="106">
        <v>0</v>
      </c>
      <c r="CS80" s="106">
        <v>0</v>
      </c>
      <c r="CT80" s="106">
        <v>0</v>
      </c>
      <c r="CU80" s="106">
        <v>0</v>
      </c>
    </row>
    <row r="81" spans="2:99" x14ac:dyDescent="0.2">
      <c r="C81" s="105" t="s">
        <v>246</v>
      </c>
      <c r="D81" s="106">
        <v>0</v>
      </c>
      <c r="E81" s="106">
        <v>0</v>
      </c>
      <c r="F81" s="106">
        <v>0</v>
      </c>
      <c r="G81" s="106">
        <v>0</v>
      </c>
      <c r="H81" s="106">
        <v>0</v>
      </c>
      <c r="I81" s="106">
        <v>0</v>
      </c>
      <c r="J81" s="106">
        <v>0</v>
      </c>
      <c r="K81" s="106">
        <v>0</v>
      </c>
      <c r="L81" s="106">
        <v>0</v>
      </c>
      <c r="M81" s="106">
        <v>0</v>
      </c>
      <c r="N81" s="106">
        <v>0</v>
      </c>
      <c r="O81" s="106">
        <v>0</v>
      </c>
      <c r="P81" s="106">
        <v>0</v>
      </c>
      <c r="Q81" s="106">
        <v>0</v>
      </c>
      <c r="R81" s="106">
        <v>0</v>
      </c>
      <c r="S81" s="106">
        <v>0</v>
      </c>
      <c r="T81" s="106">
        <v>0</v>
      </c>
      <c r="U81" s="106">
        <v>0</v>
      </c>
      <c r="V81" s="106">
        <v>0</v>
      </c>
      <c r="W81" s="106">
        <v>0</v>
      </c>
      <c r="X81" s="106">
        <v>0</v>
      </c>
      <c r="Y81" s="106">
        <v>0</v>
      </c>
      <c r="Z81" s="106">
        <v>0</v>
      </c>
      <c r="AA81" s="106">
        <v>0</v>
      </c>
      <c r="AB81" s="106">
        <v>0</v>
      </c>
      <c r="AC81" s="106">
        <v>0</v>
      </c>
      <c r="AD81" s="106">
        <v>0</v>
      </c>
      <c r="AE81" s="106">
        <v>0</v>
      </c>
      <c r="AF81" s="106">
        <v>0</v>
      </c>
      <c r="AG81" s="106">
        <v>0</v>
      </c>
      <c r="AH81" s="106">
        <v>0</v>
      </c>
      <c r="AI81" s="106">
        <v>0</v>
      </c>
      <c r="AJ81" s="106">
        <v>0</v>
      </c>
      <c r="AK81" s="106">
        <v>0</v>
      </c>
      <c r="AL81" s="106">
        <v>0</v>
      </c>
      <c r="AM81" s="106">
        <v>0</v>
      </c>
      <c r="AN81" s="106">
        <v>0</v>
      </c>
      <c r="AO81" s="106">
        <v>0</v>
      </c>
      <c r="AP81" s="106">
        <v>0</v>
      </c>
      <c r="AQ81" s="106">
        <v>0</v>
      </c>
      <c r="AR81" s="106">
        <v>0</v>
      </c>
      <c r="AS81" s="106">
        <v>0</v>
      </c>
      <c r="AT81" s="106">
        <v>0</v>
      </c>
      <c r="AU81" s="106">
        <v>0</v>
      </c>
      <c r="AV81" s="106">
        <v>0</v>
      </c>
      <c r="AW81" s="106">
        <v>0</v>
      </c>
      <c r="AX81" s="106">
        <v>0</v>
      </c>
      <c r="AY81" s="106">
        <v>0</v>
      </c>
      <c r="AZ81" s="106">
        <v>0</v>
      </c>
      <c r="BA81" s="106">
        <v>0</v>
      </c>
      <c r="BB81" s="106">
        <v>0</v>
      </c>
      <c r="BC81" s="106">
        <v>0</v>
      </c>
      <c r="BD81" s="106">
        <v>0</v>
      </c>
      <c r="BE81" s="106">
        <v>0</v>
      </c>
      <c r="BF81" s="106">
        <v>0</v>
      </c>
      <c r="BG81" s="106">
        <v>0</v>
      </c>
      <c r="BH81" s="106">
        <v>0</v>
      </c>
      <c r="BI81" s="106">
        <v>0</v>
      </c>
      <c r="BJ81" s="106">
        <v>0</v>
      </c>
      <c r="BK81" s="106">
        <v>0</v>
      </c>
      <c r="BL81" s="106">
        <v>0</v>
      </c>
      <c r="BM81" s="106">
        <v>0</v>
      </c>
      <c r="BN81" s="106">
        <v>0</v>
      </c>
      <c r="BO81" s="106">
        <v>0</v>
      </c>
      <c r="BP81" s="106">
        <v>0</v>
      </c>
      <c r="BQ81" s="106">
        <v>0</v>
      </c>
      <c r="BR81" s="106">
        <v>0</v>
      </c>
      <c r="BS81" s="106">
        <v>0</v>
      </c>
      <c r="BT81" s="106">
        <v>0</v>
      </c>
      <c r="BU81" s="106">
        <v>0</v>
      </c>
      <c r="BV81" s="106">
        <v>0</v>
      </c>
      <c r="BW81" s="106">
        <v>0</v>
      </c>
      <c r="BX81" s="106">
        <v>0</v>
      </c>
      <c r="BY81" s="106">
        <v>0</v>
      </c>
      <c r="BZ81" s="106">
        <v>0</v>
      </c>
      <c r="CA81" s="106">
        <v>0</v>
      </c>
      <c r="CB81" s="106">
        <v>0</v>
      </c>
      <c r="CC81" s="106">
        <v>0</v>
      </c>
      <c r="CD81" s="106">
        <v>0</v>
      </c>
      <c r="CE81" s="106">
        <v>0</v>
      </c>
      <c r="CF81" s="106">
        <v>0</v>
      </c>
      <c r="CG81" s="106">
        <v>0</v>
      </c>
      <c r="CH81" s="106">
        <v>0</v>
      </c>
      <c r="CI81" s="106">
        <v>0</v>
      </c>
      <c r="CJ81" s="106">
        <v>0</v>
      </c>
      <c r="CK81" s="106">
        <v>0</v>
      </c>
      <c r="CL81" s="106">
        <v>0</v>
      </c>
      <c r="CM81" s="106">
        <v>0</v>
      </c>
      <c r="CN81" s="106">
        <v>0</v>
      </c>
      <c r="CO81" s="106">
        <v>0</v>
      </c>
      <c r="CP81" s="106">
        <v>0</v>
      </c>
      <c r="CQ81" s="106">
        <v>0</v>
      </c>
      <c r="CR81" s="106">
        <v>0</v>
      </c>
      <c r="CS81" s="106">
        <v>0</v>
      </c>
      <c r="CT81" s="106">
        <v>0</v>
      </c>
      <c r="CU81" s="106">
        <v>0</v>
      </c>
    </row>
    <row r="82" spans="2:99" x14ac:dyDescent="0.2">
      <c r="C82" s="105" t="s">
        <v>247</v>
      </c>
      <c r="D82" s="106">
        <v>0</v>
      </c>
      <c r="E82" s="106">
        <v>0</v>
      </c>
      <c r="F82" s="106">
        <v>0</v>
      </c>
      <c r="G82" s="106">
        <v>0</v>
      </c>
      <c r="H82" s="106">
        <v>0</v>
      </c>
      <c r="I82" s="106">
        <v>0</v>
      </c>
      <c r="J82" s="106">
        <v>0</v>
      </c>
      <c r="K82" s="106">
        <v>0</v>
      </c>
      <c r="L82" s="106">
        <v>0</v>
      </c>
      <c r="M82" s="106">
        <v>0</v>
      </c>
      <c r="N82" s="106">
        <v>0</v>
      </c>
      <c r="O82" s="106">
        <v>0</v>
      </c>
      <c r="P82" s="106">
        <v>0</v>
      </c>
      <c r="Q82" s="106">
        <v>0</v>
      </c>
      <c r="R82" s="106">
        <v>0</v>
      </c>
      <c r="S82" s="106">
        <v>0</v>
      </c>
      <c r="T82" s="106">
        <v>0</v>
      </c>
      <c r="U82" s="106">
        <v>0</v>
      </c>
      <c r="V82" s="106">
        <v>0</v>
      </c>
      <c r="W82" s="106">
        <v>0</v>
      </c>
      <c r="X82" s="106">
        <v>0</v>
      </c>
      <c r="Y82" s="106">
        <v>0</v>
      </c>
      <c r="Z82" s="106">
        <v>0</v>
      </c>
      <c r="AA82" s="106">
        <v>0</v>
      </c>
      <c r="AB82" s="106">
        <v>0</v>
      </c>
      <c r="AC82" s="106">
        <v>0</v>
      </c>
      <c r="AD82" s="106">
        <v>0</v>
      </c>
      <c r="AE82" s="106">
        <v>0</v>
      </c>
      <c r="AF82" s="106">
        <v>0</v>
      </c>
      <c r="AG82" s="106">
        <v>0</v>
      </c>
      <c r="AH82" s="106">
        <v>0</v>
      </c>
      <c r="AI82" s="106">
        <v>0</v>
      </c>
      <c r="AJ82" s="106">
        <v>0</v>
      </c>
      <c r="AK82" s="106">
        <v>0</v>
      </c>
      <c r="AL82" s="106">
        <v>0</v>
      </c>
      <c r="AM82" s="106">
        <v>0</v>
      </c>
      <c r="AN82" s="106">
        <v>0</v>
      </c>
      <c r="AO82" s="106">
        <v>0</v>
      </c>
      <c r="AP82" s="106">
        <v>0</v>
      </c>
      <c r="AQ82" s="106">
        <v>0</v>
      </c>
      <c r="AR82" s="106">
        <v>0</v>
      </c>
      <c r="AS82" s="106">
        <v>0</v>
      </c>
      <c r="AT82" s="106">
        <v>0</v>
      </c>
      <c r="AU82" s="106">
        <v>0</v>
      </c>
      <c r="AV82" s="106">
        <v>0</v>
      </c>
      <c r="AW82" s="106">
        <v>0</v>
      </c>
      <c r="AX82" s="106">
        <v>0</v>
      </c>
      <c r="AY82" s="106">
        <v>0</v>
      </c>
      <c r="AZ82" s="106">
        <v>0</v>
      </c>
      <c r="BA82" s="106">
        <v>0</v>
      </c>
      <c r="BB82" s="106">
        <v>0</v>
      </c>
      <c r="BC82" s="106">
        <v>0</v>
      </c>
      <c r="BD82" s="106">
        <v>0</v>
      </c>
      <c r="BE82" s="106">
        <v>0</v>
      </c>
      <c r="BF82" s="106">
        <v>0</v>
      </c>
      <c r="BG82" s="106">
        <v>0</v>
      </c>
      <c r="BH82" s="106">
        <v>0</v>
      </c>
      <c r="BI82" s="106">
        <v>0</v>
      </c>
      <c r="BJ82" s="106">
        <v>0</v>
      </c>
      <c r="BK82" s="106">
        <v>0</v>
      </c>
      <c r="BL82" s="106">
        <v>0</v>
      </c>
      <c r="BM82" s="106">
        <v>0</v>
      </c>
      <c r="BN82" s="106">
        <v>0</v>
      </c>
      <c r="BO82" s="106">
        <v>0</v>
      </c>
      <c r="BP82" s="106">
        <v>0</v>
      </c>
      <c r="BQ82" s="106">
        <v>0</v>
      </c>
      <c r="BR82" s="106">
        <v>0</v>
      </c>
      <c r="BS82" s="106">
        <v>0</v>
      </c>
      <c r="BT82" s="106">
        <v>0</v>
      </c>
      <c r="BU82" s="106">
        <v>0</v>
      </c>
      <c r="BV82" s="106">
        <v>0</v>
      </c>
      <c r="BW82" s="106">
        <v>0</v>
      </c>
      <c r="BX82" s="106">
        <v>0</v>
      </c>
      <c r="BY82" s="106">
        <v>0</v>
      </c>
      <c r="BZ82" s="106">
        <v>0</v>
      </c>
      <c r="CA82" s="106">
        <v>0</v>
      </c>
      <c r="CB82" s="106">
        <v>0</v>
      </c>
      <c r="CC82" s="106">
        <v>0</v>
      </c>
      <c r="CD82" s="106">
        <v>0</v>
      </c>
      <c r="CE82" s="106">
        <v>0</v>
      </c>
      <c r="CF82" s="106">
        <v>0</v>
      </c>
      <c r="CG82" s="106">
        <v>0</v>
      </c>
      <c r="CH82" s="106">
        <v>0</v>
      </c>
      <c r="CI82" s="106">
        <v>0</v>
      </c>
      <c r="CJ82" s="106">
        <v>0</v>
      </c>
      <c r="CK82" s="106">
        <v>0</v>
      </c>
      <c r="CL82" s="106">
        <v>0</v>
      </c>
      <c r="CM82" s="106">
        <v>0</v>
      </c>
      <c r="CN82" s="106">
        <v>0</v>
      </c>
      <c r="CO82" s="106">
        <v>0</v>
      </c>
      <c r="CP82" s="106">
        <v>0</v>
      </c>
      <c r="CQ82" s="106">
        <v>0</v>
      </c>
      <c r="CR82" s="106">
        <v>0</v>
      </c>
      <c r="CS82" s="106">
        <v>0</v>
      </c>
      <c r="CT82" s="106">
        <v>0</v>
      </c>
      <c r="CU82" s="106">
        <v>0</v>
      </c>
    </row>
    <row r="83" spans="2:99" x14ac:dyDescent="0.2">
      <c r="C83" s="105" t="s">
        <v>248</v>
      </c>
      <c r="D83" s="106">
        <v>0</v>
      </c>
      <c r="E83" s="106">
        <v>0</v>
      </c>
      <c r="F83" s="106">
        <v>0</v>
      </c>
      <c r="G83" s="106">
        <v>0</v>
      </c>
      <c r="H83" s="106">
        <v>0</v>
      </c>
      <c r="I83" s="106">
        <v>0</v>
      </c>
      <c r="J83" s="106">
        <v>0</v>
      </c>
      <c r="K83" s="106">
        <v>0</v>
      </c>
      <c r="L83" s="106">
        <v>0</v>
      </c>
      <c r="M83" s="106">
        <v>0</v>
      </c>
      <c r="N83" s="106">
        <v>0</v>
      </c>
      <c r="O83" s="106">
        <v>0</v>
      </c>
      <c r="P83" s="106">
        <v>0</v>
      </c>
      <c r="Q83" s="106">
        <v>0</v>
      </c>
      <c r="R83" s="106">
        <v>0</v>
      </c>
      <c r="S83" s="106">
        <v>0</v>
      </c>
      <c r="T83" s="106">
        <v>0</v>
      </c>
      <c r="U83" s="106">
        <v>0</v>
      </c>
      <c r="V83" s="106">
        <v>0</v>
      </c>
      <c r="W83" s="106">
        <v>0</v>
      </c>
      <c r="X83" s="106">
        <v>0</v>
      </c>
      <c r="Y83" s="106">
        <v>0</v>
      </c>
      <c r="Z83" s="106">
        <v>0</v>
      </c>
      <c r="AA83" s="106">
        <v>0</v>
      </c>
      <c r="AB83" s="106">
        <v>0</v>
      </c>
      <c r="AC83" s="106">
        <v>0</v>
      </c>
      <c r="AD83" s="106">
        <v>0</v>
      </c>
      <c r="AE83" s="106">
        <v>0</v>
      </c>
      <c r="AF83" s="106">
        <v>0</v>
      </c>
      <c r="AG83" s="106">
        <v>0</v>
      </c>
      <c r="AH83" s="106">
        <v>0</v>
      </c>
      <c r="AI83" s="106">
        <v>0</v>
      </c>
      <c r="AJ83" s="106">
        <v>0</v>
      </c>
      <c r="AK83" s="106">
        <v>0</v>
      </c>
      <c r="AL83" s="106">
        <v>0</v>
      </c>
      <c r="AM83" s="106">
        <v>0</v>
      </c>
      <c r="AN83" s="106">
        <v>0</v>
      </c>
      <c r="AO83" s="106">
        <v>0</v>
      </c>
      <c r="AP83" s="106">
        <v>0</v>
      </c>
      <c r="AQ83" s="106">
        <v>0</v>
      </c>
      <c r="AR83" s="106">
        <v>0</v>
      </c>
      <c r="AS83" s="106">
        <v>0</v>
      </c>
      <c r="AT83" s="106">
        <v>0</v>
      </c>
      <c r="AU83" s="106">
        <v>0</v>
      </c>
      <c r="AV83" s="106">
        <v>0</v>
      </c>
      <c r="AW83" s="106">
        <v>0</v>
      </c>
      <c r="AX83" s="106">
        <v>0</v>
      </c>
      <c r="AY83" s="106">
        <v>0</v>
      </c>
      <c r="AZ83" s="106">
        <v>0</v>
      </c>
      <c r="BA83" s="106">
        <v>0</v>
      </c>
      <c r="BB83" s="106">
        <v>0</v>
      </c>
      <c r="BC83" s="106">
        <v>0</v>
      </c>
      <c r="BD83" s="106">
        <v>0</v>
      </c>
      <c r="BE83" s="106">
        <v>0</v>
      </c>
      <c r="BF83" s="106">
        <v>0</v>
      </c>
      <c r="BG83" s="106">
        <v>0</v>
      </c>
      <c r="BH83" s="106">
        <v>0</v>
      </c>
      <c r="BI83" s="106">
        <v>0</v>
      </c>
      <c r="BJ83" s="106">
        <v>0</v>
      </c>
      <c r="BK83" s="106">
        <v>0</v>
      </c>
      <c r="BL83" s="106">
        <v>0</v>
      </c>
      <c r="BM83" s="106">
        <v>0</v>
      </c>
      <c r="BN83" s="106">
        <v>0</v>
      </c>
      <c r="BO83" s="106">
        <v>0</v>
      </c>
      <c r="BP83" s="106">
        <v>0</v>
      </c>
      <c r="BQ83" s="106">
        <v>0</v>
      </c>
      <c r="BR83" s="106">
        <v>0</v>
      </c>
      <c r="BS83" s="106">
        <v>0</v>
      </c>
      <c r="BT83" s="106">
        <v>0</v>
      </c>
      <c r="BU83" s="106">
        <v>0</v>
      </c>
      <c r="BV83" s="106">
        <v>0</v>
      </c>
      <c r="BW83" s="106">
        <v>0</v>
      </c>
      <c r="BX83" s="106">
        <v>0</v>
      </c>
      <c r="BY83" s="106">
        <v>0</v>
      </c>
      <c r="BZ83" s="106">
        <v>0</v>
      </c>
      <c r="CA83" s="106">
        <v>0</v>
      </c>
      <c r="CB83" s="106">
        <v>0</v>
      </c>
      <c r="CC83" s="106">
        <v>0</v>
      </c>
      <c r="CD83" s="106">
        <v>0</v>
      </c>
      <c r="CE83" s="106">
        <v>0</v>
      </c>
      <c r="CF83" s="106">
        <v>0</v>
      </c>
      <c r="CG83" s="106">
        <v>0</v>
      </c>
      <c r="CH83" s="106">
        <v>0</v>
      </c>
      <c r="CI83" s="106">
        <v>0</v>
      </c>
      <c r="CJ83" s="106">
        <v>0</v>
      </c>
      <c r="CK83" s="106">
        <v>0</v>
      </c>
      <c r="CL83" s="106">
        <v>0</v>
      </c>
      <c r="CM83" s="106">
        <v>0</v>
      </c>
      <c r="CN83" s="106">
        <v>0</v>
      </c>
      <c r="CO83" s="106">
        <v>0</v>
      </c>
      <c r="CP83" s="106">
        <v>0</v>
      </c>
      <c r="CQ83" s="106">
        <v>0</v>
      </c>
      <c r="CR83" s="106">
        <v>0</v>
      </c>
      <c r="CS83" s="106">
        <v>0</v>
      </c>
      <c r="CT83" s="106">
        <v>0</v>
      </c>
      <c r="CU83" s="106">
        <v>0</v>
      </c>
    </row>
    <row r="84" spans="2:99" x14ac:dyDescent="0.2">
      <c r="C84" s="105" t="s">
        <v>249</v>
      </c>
      <c r="D84" s="106">
        <v>0</v>
      </c>
      <c r="E84" s="106">
        <v>0</v>
      </c>
      <c r="F84" s="106">
        <v>0</v>
      </c>
      <c r="G84" s="106">
        <v>0</v>
      </c>
      <c r="H84" s="106">
        <v>0</v>
      </c>
      <c r="I84" s="106">
        <v>0</v>
      </c>
      <c r="J84" s="106">
        <v>0</v>
      </c>
      <c r="K84" s="106">
        <v>0</v>
      </c>
      <c r="L84" s="106">
        <v>0</v>
      </c>
      <c r="M84" s="106">
        <v>0</v>
      </c>
      <c r="N84" s="106">
        <v>0</v>
      </c>
      <c r="O84" s="106">
        <v>0</v>
      </c>
      <c r="P84" s="106">
        <v>0</v>
      </c>
      <c r="Q84" s="106">
        <v>0</v>
      </c>
      <c r="R84" s="106">
        <v>0</v>
      </c>
      <c r="S84" s="106">
        <v>0</v>
      </c>
      <c r="T84" s="106">
        <v>0</v>
      </c>
      <c r="U84" s="106">
        <v>0</v>
      </c>
      <c r="V84" s="106">
        <v>0</v>
      </c>
      <c r="W84" s="106">
        <v>0</v>
      </c>
      <c r="X84" s="106">
        <v>0</v>
      </c>
      <c r="Y84" s="106">
        <v>0</v>
      </c>
      <c r="Z84" s="106">
        <v>0</v>
      </c>
      <c r="AA84" s="106">
        <v>0</v>
      </c>
      <c r="AB84" s="106">
        <v>0</v>
      </c>
      <c r="AC84" s="106">
        <v>0</v>
      </c>
      <c r="AD84" s="106">
        <v>0</v>
      </c>
      <c r="AE84" s="106">
        <v>0</v>
      </c>
      <c r="AF84" s="106">
        <v>0</v>
      </c>
      <c r="AG84" s="106">
        <v>0</v>
      </c>
      <c r="AH84" s="106">
        <v>0</v>
      </c>
      <c r="AI84" s="106">
        <v>0</v>
      </c>
      <c r="AJ84" s="106">
        <v>0</v>
      </c>
      <c r="AK84" s="106">
        <v>0</v>
      </c>
      <c r="AL84" s="106">
        <v>0</v>
      </c>
      <c r="AM84" s="106">
        <v>0</v>
      </c>
      <c r="AN84" s="106">
        <v>0</v>
      </c>
      <c r="AO84" s="106">
        <v>0</v>
      </c>
      <c r="AP84" s="106">
        <v>0</v>
      </c>
      <c r="AQ84" s="106">
        <v>0</v>
      </c>
      <c r="AR84" s="106">
        <v>0</v>
      </c>
      <c r="AS84" s="106">
        <v>0</v>
      </c>
      <c r="AT84" s="106">
        <v>0</v>
      </c>
      <c r="AU84" s="106">
        <v>0</v>
      </c>
      <c r="AV84" s="106">
        <v>0</v>
      </c>
      <c r="AW84" s="106">
        <v>0</v>
      </c>
      <c r="AX84" s="106">
        <v>0</v>
      </c>
      <c r="AY84" s="106">
        <v>0</v>
      </c>
      <c r="AZ84" s="106">
        <v>0</v>
      </c>
      <c r="BA84" s="106">
        <v>0</v>
      </c>
      <c r="BB84" s="106">
        <v>0</v>
      </c>
      <c r="BC84" s="106">
        <v>0</v>
      </c>
      <c r="BD84" s="106">
        <v>0</v>
      </c>
      <c r="BE84" s="106">
        <v>0</v>
      </c>
      <c r="BF84" s="106">
        <v>0</v>
      </c>
      <c r="BG84" s="106">
        <v>0</v>
      </c>
      <c r="BH84" s="106">
        <v>0</v>
      </c>
      <c r="BI84" s="106">
        <v>0</v>
      </c>
      <c r="BJ84" s="106">
        <v>0</v>
      </c>
      <c r="BK84" s="106">
        <v>0</v>
      </c>
      <c r="BL84" s="106">
        <v>0</v>
      </c>
      <c r="BM84" s="106">
        <v>0</v>
      </c>
      <c r="BN84" s="106">
        <v>0</v>
      </c>
      <c r="BO84" s="106">
        <v>0</v>
      </c>
      <c r="BP84" s="106">
        <v>0</v>
      </c>
      <c r="BQ84" s="106">
        <v>0</v>
      </c>
      <c r="BR84" s="106">
        <v>0</v>
      </c>
      <c r="BS84" s="106">
        <v>0</v>
      </c>
      <c r="BT84" s="106">
        <v>0</v>
      </c>
      <c r="BU84" s="106">
        <v>0</v>
      </c>
      <c r="BV84" s="106">
        <v>0</v>
      </c>
      <c r="BW84" s="106">
        <v>0</v>
      </c>
      <c r="BX84" s="106">
        <v>0</v>
      </c>
      <c r="BY84" s="106">
        <v>0</v>
      </c>
      <c r="BZ84" s="106">
        <v>0</v>
      </c>
      <c r="CA84" s="106">
        <v>0</v>
      </c>
      <c r="CB84" s="106">
        <v>0</v>
      </c>
      <c r="CC84" s="106">
        <v>0</v>
      </c>
      <c r="CD84" s="106">
        <v>0</v>
      </c>
      <c r="CE84" s="106">
        <v>0</v>
      </c>
      <c r="CF84" s="106">
        <v>0</v>
      </c>
      <c r="CG84" s="106">
        <v>0</v>
      </c>
      <c r="CH84" s="106">
        <v>0</v>
      </c>
      <c r="CI84" s="106">
        <v>0</v>
      </c>
      <c r="CJ84" s="106">
        <v>0</v>
      </c>
      <c r="CK84" s="106">
        <v>0</v>
      </c>
      <c r="CL84" s="106">
        <v>0</v>
      </c>
      <c r="CM84" s="106">
        <v>0</v>
      </c>
      <c r="CN84" s="106">
        <v>0</v>
      </c>
      <c r="CO84" s="106">
        <v>0</v>
      </c>
      <c r="CP84" s="106">
        <v>0</v>
      </c>
      <c r="CQ84" s="106">
        <v>0</v>
      </c>
      <c r="CR84" s="106">
        <v>0</v>
      </c>
      <c r="CS84" s="106">
        <v>0</v>
      </c>
      <c r="CT84" s="106">
        <v>0</v>
      </c>
      <c r="CU84" s="106">
        <v>0</v>
      </c>
    </row>
    <row r="85" spans="2:99" x14ac:dyDescent="0.2">
      <c r="C85" s="105" t="s">
        <v>250</v>
      </c>
      <c r="D85" s="106">
        <v>0</v>
      </c>
      <c r="E85" s="106">
        <v>0</v>
      </c>
      <c r="F85" s="106">
        <v>0</v>
      </c>
      <c r="G85" s="106">
        <v>0</v>
      </c>
      <c r="H85" s="106">
        <v>0</v>
      </c>
      <c r="I85" s="106">
        <v>0</v>
      </c>
      <c r="J85" s="106">
        <v>0</v>
      </c>
      <c r="K85" s="106">
        <v>0</v>
      </c>
      <c r="L85" s="106">
        <v>0</v>
      </c>
      <c r="M85" s="106">
        <v>0</v>
      </c>
      <c r="N85" s="106">
        <v>0</v>
      </c>
      <c r="O85" s="106">
        <v>0</v>
      </c>
      <c r="P85" s="106">
        <v>0</v>
      </c>
      <c r="Q85" s="106">
        <v>0</v>
      </c>
      <c r="R85" s="106">
        <v>0</v>
      </c>
      <c r="S85" s="106">
        <v>0</v>
      </c>
      <c r="T85" s="106">
        <v>0</v>
      </c>
      <c r="U85" s="106">
        <v>0</v>
      </c>
      <c r="V85" s="106">
        <v>0</v>
      </c>
      <c r="W85" s="106">
        <v>0</v>
      </c>
      <c r="X85" s="106">
        <v>0</v>
      </c>
      <c r="Y85" s="106">
        <v>0</v>
      </c>
      <c r="Z85" s="106">
        <v>0</v>
      </c>
      <c r="AA85" s="106">
        <v>0</v>
      </c>
      <c r="AB85" s="106">
        <v>0</v>
      </c>
      <c r="AC85" s="106">
        <v>0</v>
      </c>
      <c r="AD85" s="106">
        <v>0</v>
      </c>
      <c r="AE85" s="106">
        <v>0</v>
      </c>
      <c r="AF85" s="106">
        <v>0</v>
      </c>
      <c r="AG85" s="106">
        <v>0</v>
      </c>
      <c r="AH85" s="106">
        <v>0</v>
      </c>
      <c r="AI85" s="106">
        <v>0</v>
      </c>
      <c r="AJ85" s="106">
        <v>0</v>
      </c>
      <c r="AK85" s="106">
        <v>0</v>
      </c>
      <c r="AL85" s="106">
        <v>0</v>
      </c>
      <c r="AM85" s="106">
        <v>0</v>
      </c>
      <c r="AN85" s="106">
        <v>0</v>
      </c>
      <c r="AO85" s="106">
        <v>0</v>
      </c>
      <c r="AP85" s="106">
        <v>0</v>
      </c>
      <c r="AQ85" s="106">
        <v>0</v>
      </c>
      <c r="AR85" s="106">
        <v>0</v>
      </c>
      <c r="AS85" s="106">
        <v>0</v>
      </c>
      <c r="AT85" s="106">
        <v>0</v>
      </c>
      <c r="AU85" s="106">
        <v>0</v>
      </c>
      <c r="AV85" s="106">
        <v>0</v>
      </c>
      <c r="AW85" s="106">
        <v>0</v>
      </c>
      <c r="AX85" s="106">
        <v>0</v>
      </c>
      <c r="AY85" s="106">
        <v>0</v>
      </c>
      <c r="AZ85" s="106">
        <v>0</v>
      </c>
      <c r="BA85" s="106">
        <v>0</v>
      </c>
      <c r="BB85" s="106">
        <v>0</v>
      </c>
      <c r="BC85" s="106">
        <v>0</v>
      </c>
      <c r="BD85" s="106">
        <v>0</v>
      </c>
      <c r="BE85" s="106">
        <v>0</v>
      </c>
      <c r="BF85" s="106">
        <v>0</v>
      </c>
      <c r="BG85" s="106">
        <v>0</v>
      </c>
      <c r="BH85" s="106">
        <v>0</v>
      </c>
      <c r="BI85" s="106">
        <v>0</v>
      </c>
      <c r="BJ85" s="106">
        <v>0</v>
      </c>
      <c r="BK85" s="106">
        <v>0</v>
      </c>
      <c r="BL85" s="106">
        <v>0</v>
      </c>
      <c r="BM85" s="106">
        <v>0</v>
      </c>
      <c r="BN85" s="106">
        <v>0</v>
      </c>
      <c r="BO85" s="106">
        <v>0</v>
      </c>
      <c r="BP85" s="106">
        <v>0</v>
      </c>
      <c r="BQ85" s="106">
        <v>0</v>
      </c>
      <c r="BR85" s="106">
        <v>0</v>
      </c>
      <c r="BS85" s="106">
        <v>0</v>
      </c>
      <c r="BT85" s="106">
        <v>0</v>
      </c>
      <c r="BU85" s="106">
        <v>0</v>
      </c>
      <c r="BV85" s="106">
        <v>0</v>
      </c>
      <c r="BW85" s="106">
        <v>0</v>
      </c>
      <c r="BX85" s="106">
        <v>0</v>
      </c>
      <c r="BY85" s="106">
        <v>0</v>
      </c>
      <c r="BZ85" s="106">
        <v>0</v>
      </c>
      <c r="CA85" s="106">
        <v>0</v>
      </c>
      <c r="CB85" s="106">
        <v>0</v>
      </c>
      <c r="CC85" s="106">
        <v>0</v>
      </c>
      <c r="CD85" s="106">
        <v>0</v>
      </c>
      <c r="CE85" s="106">
        <v>0</v>
      </c>
      <c r="CF85" s="106">
        <v>0</v>
      </c>
      <c r="CG85" s="106">
        <v>0</v>
      </c>
      <c r="CH85" s="106">
        <v>0</v>
      </c>
      <c r="CI85" s="106">
        <v>0</v>
      </c>
      <c r="CJ85" s="106">
        <v>0</v>
      </c>
      <c r="CK85" s="106">
        <v>0</v>
      </c>
      <c r="CL85" s="106">
        <v>0</v>
      </c>
      <c r="CM85" s="106">
        <v>0</v>
      </c>
      <c r="CN85" s="106">
        <v>0</v>
      </c>
      <c r="CO85" s="106">
        <v>0</v>
      </c>
      <c r="CP85" s="106">
        <v>0</v>
      </c>
      <c r="CQ85" s="106">
        <v>0</v>
      </c>
      <c r="CR85" s="106">
        <v>0</v>
      </c>
      <c r="CS85" s="106">
        <v>0</v>
      </c>
      <c r="CT85" s="106">
        <v>0</v>
      </c>
      <c r="CU85" s="106">
        <v>0</v>
      </c>
    </row>
    <row r="86" spans="2:99" x14ac:dyDescent="0.2">
      <c r="C86" s="105" t="s">
        <v>251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06">
        <v>0</v>
      </c>
      <c r="J86" s="106">
        <v>0</v>
      </c>
      <c r="K86" s="106">
        <v>0</v>
      </c>
      <c r="L86" s="106">
        <v>0</v>
      </c>
      <c r="M86" s="106">
        <v>0</v>
      </c>
      <c r="N86" s="106">
        <v>0</v>
      </c>
      <c r="O86" s="106">
        <v>0</v>
      </c>
      <c r="P86" s="106">
        <v>0</v>
      </c>
      <c r="Q86" s="106">
        <v>0</v>
      </c>
      <c r="R86" s="106">
        <v>0</v>
      </c>
      <c r="S86" s="106">
        <v>0</v>
      </c>
      <c r="T86" s="106">
        <v>0</v>
      </c>
      <c r="U86" s="106">
        <v>0</v>
      </c>
      <c r="V86" s="106">
        <v>0</v>
      </c>
      <c r="W86" s="106">
        <v>0</v>
      </c>
      <c r="X86" s="106">
        <v>0</v>
      </c>
      <c r="Y86" s="106">
        <v>0</v>
      </c>
      <c r="Z86" s="106">
        <v>0</v>
      </c>
      <c r="AA86" s="106">
        <v>0</v>
      </c>
      <c r="AB86" s="106">
        <v>0</v>
      </c>
      <c r="AC86" s="106">
        <v>0</v>
      </c>
      <c r="AD86" s="106">
        <v>0</v>
      </c>
      <c r="AE86" s="106">
        <v>0</v>
      </c>
      <c r="AF86" s="106">
        <v>0</v>
      </c>
      <c r="AG86" s="106">
        <v>0</v>
      </c>
      <c r="AH86" s="106">
        <v>0</v>
      </c>
      <c r="AI86" s="106">
        <v>0</v>
      </c>
      <c r="AJ86" s="106">
        <v>0</v>
      </c>
      <c r="AK86" s="106">
        <v>0</v>
      </c>
      <c r="AL86" s="106">
        <v>0</v>
      </c>
      <c r="AM86" s="106">
        <v>0</v>
      </c>
      <c r="AN86" s="106">
        <v>0</v>
      </c>
      <c r="AO86" s="106">
        <v>0</v>
      </c>
      <c r="AP86" s="106">
        <v>0</v>
      </c>
      <c r="AQ86" s="106">
        <v>0</v>
      </c>
      <c r="AR86" s="106">
        <v>0</v>
      </c>
      <c r="AS86" s="106">
        <v>0</v>
      </c>
      <c r="AT86" s="106">
        <v>0</v>
      </c>
      <c r="AU86" s="106">
        <v>0</v>
      </c>
      <c r="AV86" s="106">
        <v>0</v>
      </c>
      <c r="AW86" s="106">
        <v>0</v>
      </c>
      <c r="AX86" s="106">
        <v>0</v>
      </c>
      <c r="AY86" s="106">
        <v>0</v>
      </c>
      <c r="AZ86" s="106">
        <v>0</v>
      </c>
      <c r="BA86" s="106">
        <v>0</v>
      </c>
      <c r="BB86" s="106">
        <v>0</v>
      </c>
      <c r="BC86" s="106">
        <v>0</v>
      </c>
      <c r="BD86" s="106">
        <v>0</v>
      </c>
      <c r="BE86" s="106">
        <v>0</v>
      </c>
      <c r="BF86" s="106">
        <v>0</v>
      </c>
      <c r="BG86" s="106">
        <v>0</v>
      </c>
      <c r="BH86" s="106">
        <v>0</v>
      </c>
      <c r="BI86" s="106">
        <v>0</v>
      </c>
      <c r="BJ86" s="106">
        <v>0</v>
      </c>
      <c r="BK86" s="106">
        <v>0</v>
      </c>
      <c r="BL86" s="106">
        <v>0</v>
      </c>
      <c r="BM86" s="106">
        <v>0</v>
      </c>
      <c r="BN86" s="106">
        <v>0</v>
      </c>
      <c r="BO86" s="106">
        <v>0</v>
      </c>
      <c r="BP86" s="106">
        <v>0</v>
      </c>
      <c r="BQ86" s="106">
        <v>0</v>
      </c>
      <c r="BR86" s="106">
        <v>0</v>
      </c>
      <c r="BS86" s="106">
        <v>0</v>
      </c>
      <c r="BT86" s="106">
        <v>0</v>
      </c>
      <c r="BU86" s="106">
        <v>0</v>
      </c>
      <c r="BV86" s="106">
        <v>0</v>
      </c>
      <c r="BW86" s="106">
        <v>0</v>
      </c>
      <c r="BX86" s="106">
        <v>0</v>
      </c>
      <c r="BY86" s="106">
        <v>0</v>
      </c>
      <c r="BZ86" s="106">
        <v>0</v>
      </c>
      <c r="CA86" s="106">
        <v>0</v>
      </c>
      <c r="CB86" s="106">
        <v>0</v>
      </c>
      <c r="CC86" s="106">
        <v>0</v>
      </c>
      <c r="CD86" s="106">
        <v>0</v>
      </c>
      <c r="CE86" s="106">
        <v>0</v>
      </c>
      <c r="CF86" s="106">
        <v>0</v>
      </c>
      <c r="CG86" s="106">
        <v>0</v>
      </c>
      <c r="CH86" s="106">
        <v>0</v>
      </c>
      <c r="CI86" s="106">
        <v>0</v>
      </c>
      <c r="CJ86" s="106">
        <v>0</v>
      </c>
      <c r="CK86" s="106">
        <v>0</v>
      </c>
      <c r="CL86" s="106">
        <v>0</v>
      </c>
      <c r="CM86" s="106">
        <v>0</v>
      </c>
      <c r="CN86" s="106">
        <v>0</v>
      </c>
      <c r="CO86" s="106">
        <v>0</v>
      </c>
      <c r="CP86" s="106">
        <v>0</v>
      </c>
      <c r="CQ86" s="106">
        <v>0</v>
      </c>
      <c r="CR86" s="106">
        <v>0</v>
      </c>
      <c r="CS86" s="106">
        <v>0</v>
      </c>
      <c r="CT86" s="106">
        <v>0</v>
      </c>
      <c r="CU86" s="106">
        <v>0</v>
      </c>
    </row>
    <row r="87" spans="2:99" x14ac:dyDescent="0.2">
      <c r="B87" s="105" t="s">
        <v>131</v>
      </c>
      <c r="C87" s="105" t="s">
        <v>252</v>
      </c>
      <c r="D87" s="106">
        <v>0</v>
      </c>
      <c r="E87" s="106">
        <v>0</v>
      </c>
      <c r="F87" s="106">
        <v>0</v>
      </c>
      <c r="G87" s="106">
        <v>0</v>
      </c>
      <c r="H87" s="106">
        <v>0</v>
      </c>
      <c r="I87" s="106">
        <v>0</v>
      </c>
      <c r="J87" s="106">
        <v>0</v>
      </c>
      <c r="K87" s="106">
        <v>0</v>
      </c>
      <c r="L87" s="106">
        <v>0</v>
      </c>
      <c r="M87" s="106">
        <v>0</v>
      </c>
      <c r="N87" s="106">
        <v>0</v>
      </c>
      <c r="O87" s="106">
        <v>0</v>
      </c>
      <c r="P87" s="106">
        <v>0</v>
      </c>
      <c r="Q87" s="106">
        <v>0</v>
      </c>
      <c r="R87" s="106">
        <v>0</v>
      </c>
      <c r="S87" s="106">
        <v>0</v>
      </c>
      <c r="T87" s="106">
        <v>0</v>
      </c>
      <c r="U87" s="106">
        <v>0</v>
      </c>
      <c r="V87" s="106">
        <v>0</v>
      </c>
      <c r="W87" s="106">
        <v>0</v>
      </c>
      <c r="X87" s="106">
        <v>0</v>
      </c>
      <c r="Y87" s="106">
        <v>0</v>
      </c>
      <c r="Z87" s="106">
        <v>0</v>
      </c>
      <c r="AA87" s="106">
        <v>0</v>
      </c>
      <c r="AB87" s="106">
        <v>0</v>
      </c>
      <c r="AC87" s="106">
        <v>0</v>
      </c>
      <c r="AD87" s="106">
        <v>0</v>
      </c>
      <c r="AE87" s="106">
        <v>0</v>
      </c>
      <c r="AF87" s="106">
        <v>0</v>
      </c>
      <c r="AG87" s="106">
        <v>0</v>
      </c>
      <c r="AH87" s="106">
        <v>0</v>
      </c>
      <c r="AI87" s="106">
        <v>0</v>
      </c>
      <c r="AJ87" s="106">
        <v>0</v>
      </c>
      <c r="AK87" s="106">
        <v>0</v>
      </c>
      <c r="AL87" s="106">
        <v>0</v>
      </c>
      <c r="AM87" s="106">
        <v>0</v>
      </c>
      <c r="AN87" s="106">
        <v>0</v>
      </c>
      <c r="AO87" s="106">
        <v>0</v>
      </c>
      <c r="AP87" s="106">
        <v>0</v>
      </c>
      <c r="AQ87" s="106">
        <v>0</v>
      </c>
      <c r="AR87" s="106">
        <v>0</v>
      </c>
      <c r="AS87" s="106">
        <v>0</v>
      </c>
      <c r="AT87" s="106">
        <v>0</v>
      </c>
      <c r="AU87" s="106">
        <v>0</v>
      </c>
      <c r="AV87" s="106">
        <v>0</v>
      </c>
      <c r="AW87" s="106">
        <v>0</v>
      </c>
      <c r="AX87" s="106">
        <v>0</v>
      </c>
      <c r="AY87" s="106">
        <v>0</v>
      </c>
      <c r="AZ87" s="106">
        <v>0</v>
      </c>
      <c r="BA87" s="106">
        <v>0</v>
      </c>
      <c r="BB87" s="106">
        <v>0</v>
      </c>
      <c r="BC87" s="106">
        <v>0</v>
      </c>
      <c r="BD87" s="106">
        <v>0</v>
      </c>
      <c r="BE87" s="106">
        <v>0</v>
      </c>
      <c r="BF87" s="106">
        <v>0</v>
      </c>
      <c r="BG87" s="106">
        <v>0</v>
      </c>
      <c r="BH87" s="106">
        <v>0</v>
      </c>
      <c r="BI87" s="106">
        <v>0</v>
      </c>
      <c r="BJ87" s="106">
        <v>0</v>
      </c>
      <c r="BK87" s="106">
        <v>0</v>
      </c>
      <c r="BL87" s="106">
        <v>0</v>
      </c>
      <c r="BM87" s="106">
        <v>0</v>
      </c>
      <c r="BN87" s="106">
        <v>0</v>
      </c>
      <c r="BO87" s="106">
        <v>0</v>
      </c>
      <c r="BP87" s="106">
        <v>0</v>
      </c>
      <c r="BQ87" s="106">
        <v>0</v>
      </c>
      <c r="BR87" s="106">
        <v>0</v>
      </c>
      <c r="BS87" s="106">
        <v>0</v>
      </c>
      <c r="BT87" s="106">
        <v>0</v>
      </c>
      <c r="BU87" s="106">
        <v>0</v>
      </c>
      <c r="BV87" s="106">
        <v>0</v>
      </c>
      <c r="BW87" s="106">
        <v>0</v>
      </c>
      <c r="BX87" s="106">
        <v>0</v>
      </c>
      <c r="BY87" s="106">
        <v>0</v>
      </c>
      <c r="BZ87" s="106">
        <v>0</v>
      </c>
      <c r="CA87" s="106">
        <v>0</v>
      </c>
      <c r="CB87" s="106">
        <v>0</v>
      </c>
      <c r="CC87" s="106">
        <v>0</v>
      </c>
      <c r="CD87" s="106">
        <v>0</v>
      </c>
      <c r="CE87" s="106">
        <v>0</v>
      </c>
      <c r="CF87" s="106">
        <v>0</v>
      </c>
      <c r="CG87" s="106">
        <v>0</v>
      </c>
      <c r="CH87" s="106">
        <v>0</v>
      </c>
      <c r="CI87" s="106">
        <v>0</v>
      </c>
      <c r="CJ87" s="106">
        <v>0</v>
      </c>
      <c r="CK87" s="106">
        <v>0</v>
      </c>
      <c r="CL87" s="106">
        <v>0</v>
      </c>
      <c r="CM87" s="106">
        <v>0</v>
      </c>
      <c r="CN87" s="106">
        <v>0</v>
      </c>
      <c r="CO87" s="106">
        <v>0</v>
      </c>
      <c r="CP87" s="106">
        <v>0</v>
      </c>
      <c r="CQ87" s="106">
        <v>0</v>
      </c>
      <c r="CR87" s="106">
        <v>0</v>
      </c>
      <c r="CS87" s="106">
        <v>0</v>
      </c>
      <c r="CT87" s="106">
        <v>0</v>
      </c>
      <c r="CU87" s="106">
        <v>0</v>
      </c>
    </row>
    <row r="88" spans="2:99" x14ac:dyDescent="0.2">
      <c r="C88" s="105" t="s">
        <v>253</v>
      </c>
      <c r="D88" s="106">
        <v>0</v>
      </c>
      <c r="E88" s="106">
        <v>0</v>
      </c>
      <c r="F88" s="106">
        <v>0</v>
      </c>
      <c r="G88" s="106">
        <v>0</v>
      </c>
      <c r="H88" s="106">
        <v>0</v>
      </c>
      <c r="I88" s="106">
        <v>0</v>
      </c>
      <c r="J88" s="106">
        <v>0</v>
      </c>
      <c r="K88" s="106">
        <v>0</v>
      </c>
      <c r="L88" s="106">
        <v>0</v>
      </c>
      <c r="M88" s="106">
        <v>0</v>
      </c>
      <c r="N88" s="106">
        <v>0</v>
      </c>
      <c r="O88" s="106">
        <v>0</v>
      </c>
      <c r="P88" s="106">
        <v>0</v>
      </c>
      <c r="Q88" s="106">
        <v>0</v>
      </c>
      <c r="R88" s="106">
        <v>0</v>
      </c>
      <c r="S88" s="106">
        <v>0</v>
      </c>
      <c r="T88" s="106">
        <v>0</v>
      </c>
      <c r="U88" s="106">
        <v>0</v>
      </c>
      <c r="V88" s="106">
        <v>0</v>
      </c>
      <c r="W88" s="106">
        <v>0</v>
      </c>
      <c r="X88" s="106">
        <v>0</v>
      </c>
      <c r="Y88" s="106">
        <v>0</v>
      </c>
      <c r="Z88" s="106">
        <v>0</v>
      </c>
      <c r="AA88" s="106">
        <v>0</v>
      </c>
      <c r="AB88" s="106">
        <v>0</v>
      </c>
      <c r="AC88" s="106">
        <v>0</v>
      </c>
      <c r="AD88" s="106">
        <v>0</v>
      </c>
      <c r="AE88" s="106">
        <v>0</v>
      </c>
      <c r="AF88" s="106">
        <v>0</v>
      </c>
      <c r="AG88" s="106">
        <v>0</v>
      </c>
      <c r="AH88" s="106">
        <v>0</v>
      </c>
      <c r="AI88" s="106">
        <v>0</v>
      </c>
      <c r="AJ88" s="106">
        <v>0</v>
      </c>
      <c r="AK88" s="106">
        <v>0</v>
      </c>
      <c r="AL88" s="106">
        <v>0</v>
      </c>
      <c r="AM88" s="106">
        <v>0</v>
      </c>
      <c r="AN88" s="106">
        <v>0</v>
      </c>
      <c r="AO88" s="106">
        <v>0</v>
      </c>
      <c r="AP88" s="106">
        <v>0</v>
      </c>
      <c r="AQ88" s="106">
        <v>0</v>
      </c>
      <c r="AR88" s="106">
        <v>0</v>
      </c>
      <c r="AS88" s="106">
        <v>0</v>
      </c>
      <c r="AT88" s="106">
        <v>0</v>
      </c>
      <c r="AU88" s="106">
        <v>0</v>
      </c>
      <c r="AV88" s="106">
        <v>0</v>
      </c>
      <c r="AW88" s="106">
        <v>0</v>
      </c>
      <c r="AX88" s="106">
        <v>0</v>
      </c>
      <c r="AY88" s="106">
        <v>0</v>
      </c>
      <c r="AZ88" s="106">
        <v>0</v>
      </c>
      <c r="BA88" s="106">
        <v>0</v>
      </c>
      <c r="BB88" s="106">
        <v>0</v>
      </c>
      <c r="BC88" s="106">
        <v>0</v>
      </c>
      <c r="BD88" s="106">
        <v>0</v>
      </c>
      <c r="BE88" s="106">
        <v>0</v>
      </c>
      <c r="BF88" s="106">
        <v>0</v>
      </c>
      <c r="BG88" s="106">
        <v>0</v>
      </c>
      <c r="BH88" s="106">
        <v>0</v>
      </c>
      <c r="BI88" s="106">
        <v>0</v>
      </c>
      <c r="BJ88" s="106">
        <v>0</v>
      </c>
      <c r="BK88" s="106">
        <v>0</v>
      </c>
      <c r="BL88" s="106">
        <v>0</v>
      </c>
      <c r="BM88" s="106">
        <v>0</v>
      </c>
      <c r="BN88" s="106">
        <v>0</v>
      </c>
      <c r="BO88" s="106">
        <v>0</v>
      </c>
      <c r="BP88" s="106">
        <v>0</v>
      </c>
      <c r="BQ88" s="106">
        <v>0</v>
      </c>
      <c r="BR88" s="106">
        <v>0</v>
      </c>
      <c r="BS88" s="106">
        <v>0</v>
      </c>
      <c r="BT88" s="106">
        <v>0</v>
      </c>
      <c r="BU88" s="106">
        <v>0</v>
      </c>
      <c r="BV88" s="106">
        <v>0</v>
      </c>
      <c r="BW88" s="106">
        <v>0</v>
      </c>
      <c r="BX88" s="106">
        <v>0</v>
      </c>
      <c r="BY88" s="106">
        <v>0</v>
      </c>
      <c r="BZ88" s="106">
        <v>0</v>
      </c>
      <c r="CA88" s="106">
        <v>0</v>
      </c>
      <c r="CB88" s="106">
        <v>0</v>
      </c>
      <c r="CC88" s="106">
        <v>0</v>
      </c>
      <c r="CD88" s="106">
        <v>0</v>
      </c>
      <c r="CE88" s="106">
        <v>0</v>
      </c>
      <c r="CF88" s="106">
        <v>0</v>
      </c>
      <c r="CG88" s="106">
        <v>0</v>
      </c>
      <c r="CH88" s="106">
        <v>0</v>
      </c>
      <c r="CI88" s="106">
        <v>0</v>
      </c>
      <c r="CJ88" s="106">
        <v>0</v>
      </c>
      <c r="CK88" s="106">
        <v>0</v>
      </c>
      <c r="CL88" s="106">
        <v>0</v>
      </c>
      <c r="CM88" s="106">
        <v>0</v>
      </c>
      <c r="CN88" s="106">
        <v>0</v>
      </c>
      <c r="CO88" s="106">
        <v>0</v>
      </c>
      <c r="CP88" s="106">
        <v>0</v>
      </c>
      <c r="CQ88" s="106">
        <v>0</v>
      </c>
      <c r="CR88" s="106">
        <v>0</v>
      </c>
      <c r="CS88" s="106">
        <v>0</v>
      </c>
      <c r="CT88" s="106">
        <v>0</v>
      </c>
      <c r="CU88" s="106">
        <v>0</v>
      </c>
    </row>
    <row r="89" spans="2:99" x14ac:dyDescent="0.2">
      <c r="C89" s="105" t="s">
        <v>254</v>
      </c>
      <c r="D89" s="106">
        <v>0</v>
      </c>
      <c r="E89" s="106">
        <v>0</v>
      </c>
      <c r="F89" s="106">
        <v>0</v>
      </c>
      <c r="G89" s="106">
        <v>0</v>
      </c>
      <c r="H89" s="106">
        <v>0</v>
      </c>
      <c r="I89" s="106">
        <v>0</v>
      </c>
      <c r="J89" s="106">
        <v>0</v>
      </c>
      <c r="K89" s="106">
        <v>0</v>
      </c>
      <c r="L89" s="106">
        <v>0</v>
      </c>
      <c r="M89" s="106">
        <v>0</v>
      </c>
      <c r="N89" s="106">
        <v>0</v>
      </c>
      <c r="O89" s="106">
        <v>0</v>
      </c>
      <c r="P89" s="106">
        <v>0</v>
      </c>
      <c r="Q89" s="106">
        <v>0</v>
      </c>
      <c r="R89" s="106">
        <v>0</v>
      </c>
      <c r="S89" s="106">
        <v>0</v>
      </c>
      <c r="T89" s="106">
        <v>0</v>
      </c>
      <c r="U89" s="106">
        <v>0</v>
      </c>
      <c r="V89" s="106">
        <v>0</v>
      </c>
      <c r="W89" s="106">
        <v>0</v>
      </c>
      <c r="X89" s="106">
        <v>0</v>
      </c>
      <c r="Y89" s="106">
        <v>0</v>
      </c>
      <c r="Z89" s="106">
        <v>0</v>
      </c>
      <c r="AA89" s="106">
        <v>0</v>
      </c>
      <c r="AB89" s="106">
        <v>0</v>
      </c>
      <c r="AC89" s="106">
        <v>0</v>
      </c>
      <c r="AD89" s="106">
        <v>0</v>
      </c>
      <c r="AE89" s="106">
        <v>0</v>
      </c>
      <c r="AF89" s="106">
        <v>0</v>
      </c>
      <c r="AG89" s="106">
        <v>0</v>
      </c>
      <c r="AH89" s="106">
        <v>0</v>
      </c>
      <c r="AI89" s="106">
        <v>0</v>
      </c>
      <c r="AJ89" s="106">
        <v>0</v>
      </c>
      <c r="AK89" s="106">
        <v>0</v>
      </c>
      <c r="AL89" s="106">
        <v>0</v>
      </c>
      <c r="AM89" s="106">
        <v>0</v>
      </c>
      <c r="AN89" s="106">
        <v>0</v>
      </c>
      <c r="AO89" s="106">
        <v>0</v>
      </c>
      <c r="AP89" s="106">
        <v>0</v>
      </c>
      <c r="AQ89" s="106">
        <v>0</v>
      </c>
      <c r="AR89" s="106">
        <v>0</v>
      </c>
      <c r="AS89" s="106">
        <v>0</v>
      </c>
      <c r="AT89" s="106">
        <v>0</v>
      </c>
      <c r="AU89" s="106">
        <v>0</v>
      </c>
      <c r="AV89" s="106">
        <v>0</v>
      </c>
      <c r="AW89" s="106">
        <v>0</v>
      </c>
      <c r="AX89" s="106">
        <v>0</v>
      </c>
      <c r="AY89" s="106">
        <v>0</v>
      </c>
      <c r="AZ89" s="106">
        <v>0</v>
      </c>
      <c r="BA89" s="106">
        <v>0</v>
      </c>
      <c r="BB89" s="106">
        <v>0</v>
      </c>
      <c r="BC89" s="106">
        <v>0</v>
      </c>
      <c r="BD89" s="106">
        <v>0</v>
      </c>
      <c r="BE89" s="106">
        <v>0</v>
      </c>
      <c r="BF89" s="106">
        <v>0</v>
      </c>
      <c r="BG89" s="106">
        <v>0</v>
      </c>
      <c r="BH89" s="106">
        <v>0</v>
      </c>
      <c r="BI89" s="106">
        <v>0</v>
      </c>
      <c r="BJ89" s="106">
        <v>0</v>
      </c>
      <c r="BK89" s="106">
        <v>0</v>
      </c>
      <c r="BL89" s="106">
        <v>0</v>
      </c>
      <c r="BM89" s="106">
        <v>0</v>
      </c>
      <c r="BN89" s="106">
        <v>0</v>
      </c>
      <c r="BO89" s="106">
        <v>0</v>
      </c>
      <c r="BP89" s="106">
        <v>0</v>
      </c>
      <c r="BQ89" s="106">
        <v>0</v>
      </c>
      <c r="BR89" s="106">
        <v>0</v>
      </c>
      <c r="BS89" s="106">
        <v>0</v>
      </c>
      <c r="BT89" s="106">
        <v>0</v>
      </c>
      <c r="BU89" s="106">
        <v>0</v>
      </c>
      <c r="BV89" s="106">
        <v>0</v>
      </c>
      <c r="BW89" s="106">
        <v>0</v>
      </c>
      <c r="BX89" s="106">
        <v>0</v>
      </c>
      <c r="BY89" s="106">
        <v>0</v>
      </c>
      <c r="BZ89" s="106">
        <v>0</v>
      </c>
      <c r="CA89" s="106">
        <v>0</v>
      </c>
      <c r="CB89" s="106">
        <v>0</v>
      </c>
      <c r="CC89" s="106">
        <v>0</v>
      </c>
      <c r="CD89" s="106">
        <v>0</v>
      </c>
      <c r="CE89" s="106">
        <v>0</v>
      </c>
      <c r="CF89" s="106">
        <v>0</v>
      </c>
      <c r="CG89" s="106">
        <v>0</v>
      </c>
      <c r="CH89" s="106">
        <v>0</v>
      </c>
      <c r="CI89" s="106">
        <v>0</v>
      </c>
      <c r="CJ89" s="106">
        <v>0</v>
      </c>
      <c r="CK89" s="106">
        <v>0</v>
      </c>
      <c r="CL89" s="106">
        <v>0</v>
      </c>
      <c r="CM89" s="106">
        <v>0</v>
      </c>
      <c r="CN89" s="106">
        <v>0</v>
      </c>
      <c r="CO89" s="106">
        <v>0</v>
      </c>
      <c r="CP89" s="106">
        <v>0</v>
      </c>
      <c r="CQ89" s="106">
        <v>0</v>
      </c>
      <c r="CR89" s="106">
        <v>0</v>
      </c>
      <c r="CS89" s="106">
        <v>0</v>
      </c>
      <c r="CT89" s="106">
        <v>0</v>
      </c>
      <c r="CU89" s="106">
        <v>0</v>
      </c>
    </row>
    <row r="90" spans="2:99" x14ac:dyDescent="0.2">
      <c r="C90" s="105" t="s">
        <v>255</v>
      </c>
      <c r="D90" s="106">
        <v>0</v>
      </c>
      <c r="E90" s="106">
        <v>0</v>
      </c>
      <c r="F90" s="106">
        <v>0</v>
      </c>
      <c r="G90" s="106">
        <v>0</v>
      </c>
      <c r="H90" s="106">
        <v>0</v>
      </c>
      <c r="I90" s="106">
        <v>0</v>
      </c>
      <c r="J90" s="106">
        <v>0</v>
      </c>
      <c r="K90" s="106">
        <v>0</v>
      </c>
      <c r="L90" s="106">
        <v>0</v>
      </c>
      <c r="M90" s="106">
        <v>0</v>
      </c>
      <c r="N90" s="106">
        <v>0</v>
      </c>
      <c r="O90" s="106">
        <v>0</v>
      </c>
      <c r="P90" s="106">
        <v>0</v>
      </c>
      <c r="Q90" s="106">
        <v>0</v>
      </c>
      <c r="R90" s="106">
        <v>0</v>
      </c>
      <c r="S90" s="106">
        <v>0</v>
      </c>
      <c r="T90" s="106">
        <v>0</v>
      </c>
      <c r="U90" s="106">
        <v>0</v>
      </c>
      <c r="V90" s="106">
        <v>0</v>
      </c>
      <c r="W90" s="106">
        <v>0</v>
      </c>
      <c r="X90" s="106">
        <v>0</v>
      </c>
      <c r="Y90" s="106">
        <v>0</v>
      </c>
      <c r="Z90" s="106">
        <v>0</v>
      </c>
      <c r="AA90" s="106">
        <v>0</v>
      </c>
      <c r="AB90" s="106">
        <v>0</v>
      </c>
      <c r="AC90" s="106">
        <v>0</v>
      </c>
      <c r="AD90" s="106">
        <v>0</v>
      </c>
      <c r="AE90" s="106">
        <v>0</v>
      </c>
      <c r="AF90" s="106">
        <v>0</v>
      </c>
      <c r="AG90" s="106">
        <v>0</v>
      </c>
      <c r="AH90" s="106">
        <v>0</v>
      </c>
      <c r="AI90" s="106">
        <v>0</v>
      </c>
      <c r="AJ90" s="106">
        <v>0</v>
      </c>
      <c r="AK90" s="106">
        <v>0</v>
      </c>
      <c r="AL90" s="106">
        <v>0</v>
      </c>
      <c r="AM90" s="106">
        <v>0</v>
      </c>
      <c r="AN90" s="106">
        <v>0</v>
      </c>
      <c r="AO90" s="106">
        <v>0</v>
      </c>
      <c r="AP90" s="106">
        <v>0</v>
      </c>
      <c r="AQ90" s="106">
        <v>0</v>
      </c>
      <c r="AR90" s="106">
        <v>0</v>
      </c>
      <c r="AS90" s="106">
        <v>0</v>
      </c>
      <c r="AT90" s="106">
        <v>0</v>
      </c>
      <c r="AU90" s="106">
        <v>0</v>
      </c>
      <c r="AV90" s="106">
        <v>0</v>
      </c>
      <c r="AW90" s="106">
        <v>0</v>
      </c>
      <c r="AX90" s="106">
        <v>0</v>
      </c>
      <c r="AY90" s="106">
        <v>0</v>
      </c>
      <c r="AZ90" s="106">
        <v>0</v>
      </c>
      <c r="BA90" s="106">
        <v>0</v>
      </c>
      <c r="BB90" s="106">
        <v>0</v>
      </c>
      <c r="BC90" s="106">
        <v>0</v>
      </c>
      <c r="BD90" s="106">
        <v>0</v>
      </c>
      <c r="BE90" s="106">
        <v>0</v>
      </c>
      <c r="BF90" s="106">
        <v>0</v>
      </c>
      <c r="BG90" s="106">
        <v>0</v>
      </c>
      <c r="BH90" s="106">
        <v>0</v>
      </c>
      <c r="BI90" s="106">
        <v>0</v>
      </c>
      <c r="BJ90" s="106">
        <v>0</v>
      </c>
      <c r="BK90" s="106">
        <v>0</v>
      </c>
      <c r="BL90" s="106">
        <v>0</v>
      </c>
      <c r="BM90" s="106">
        <v>0</v>
      </c>
      <c r="BN90" s="106">
        <v>0</v>
      </c>
      <c r="BO90" s="106">
        <v>0</v>
      </c>
      <c r="BP90" s="106">
        <v>0</v>
      </c>
      <c r="BQ90" s="106">
        <v>0</v>
      </c>
      <c r="BR90" s="106">
        <v>0</v>
      </c>
      <c r="BS90" s="106">
        <v>0</v>
      </c>
      <c r="BT90" s="106">
        <v>0</v>
      </c>
      <c r="BU90" s="106">
        <v>0</v>
      </c>
      <c r="BV90" s="106">
        <v>0</v>
      </c>
      <c r="BW90" s="106">
        <v>0</v>
      </c>
      <c r="BX90" s="106">
        <v>0</v>
      </c>
      <c r="BY90" s="106">
        <v>0</v>
      </c>
      <c r="BZ90" s="106">
        <v>0</v>
      </c>
      <c r="CA90" s="106">
        <v>0</v>
      </c>
      <c r="CB90" s="106">
        <v>0</v>
      </c>
      <c r="CC90" s="106">
        <v>0</v>
      </c>
      <c r="CD90" s="106">
        <v>0</v>
      </c>
      <c r="CE90" s="106">
        <v>0</v>
      </c>
      <c r="CF90" s="106">
        <v>0</v>
      </c>
      <c r="CG90" s="106">
        <v>0</v>
      </c>
      <c r="CH90" s="106">
        <v>0</v>
      </c>
      <c r="CI90" s="106">
        <v>0</v>
      </c>
      <c r="CJ90" s="106">
        <v>0</v>
      </c>
      <c r="CK90" s="106">
        <v>0</v>
      </c>
      <c r="CL90" s="106">
        <v>0</v>
      </c>
      <c r="CM90" s="106">
        <v>0</v>
      </c>
      <c r="CN90" s="106">
        <v>0</v>
      </c>
      <c r="CO90" s="106">
        <v>0</v>
      </c>
      <c r="CP90" s="106">
        <v>0</v>
      </c>
      <c r="CQ90" s="106">
        <v>0</v>
      </c>
      <c r="CR90" s="106">
        <v>0</v>
      </c>
      <c r="CS90" s="106">
        <v>0</v>
      </c>
      <c r="CT90" s="106">
        <v>0</v>
      </c>
      <c r="CU90" s="106">
        <v>0</v>
      </c>
    </row>
    <row r="91" spans="2:99" x14ac:dyDescent="0.2">
      <c r="C91" s="105" t="s">
        <v>256</v>
      </c>
      <c r="D91" s="106">
        <v>0</v>
      </c>
      <c r="E91" s="106">
        <v>0</v>
      </c>
      <c r="F91" s="106">
        <v>0</v>
      </c>
      <c r="G91" s="106">
        <v>0</v>
      </c>
      <c r="H91" s="106">
        <v>0</v>
      </c>
      <c r="I91" s="106">
        <v>0</v>
      </c>
      <c r="J91" s="106">
        <v>0</v>
      </c>
      <c r="K91" s="106">
        <v>0</v>
      </c>
      <c r="L91" s="106">
        <v>0</v>
      </c>
      <c r="M91" s="106">
        <v>0</v>
      </c>
      <c r="N91" s="106">
        <v>0</v>
      </c>
      <c r="O91" s="106">
        <v>0</v>
      </c>
      <c r="P91" s="106">
        <v>0</v>
      </c>
      <c r="Q91" s="106">
        <v>0</v>
      </c>
      <c r="R91" s="106">
        <v>0</v>
      </c>
      <c r="S91" s="106">
        <v>0</v>
      </c>
      <c r="T91" s="106">
        <v>0</v>
      </c>
      <c r="U91" s="106">
        <v>0</v>
      </c>
      <c r="V91" s="106">
        <v>0</v>
      </c>
      <c r="W91" s="106">
        <v>0</v>
      </c>
      <c r="X91" s="106">
        <v>0</v>
      </c>
      <c r="Y91" s="106">
        <v>0</v>
      </c>
      <c r="Z91" s="106">
        <v>0</v>
      </c>
      <c r="AA91" s="106">
        <v>0</v>
      </c>
      <c r="AB91" s="106">
        <v>0</v>
      </c>
      <c r="AC91" s="106">
        <v>0</v>
      </c>
      <c r="AD91" s="106">
        <v>0</v>
      </c>
      <c r="AE91" s="106">
        <v>0</v>
      </c>
      <c r="AF91" s="106">
        <v>0</v>
      </c>
      <c r="AG91" s="106">
        <v>0</v>
      </c>
      <c r="AH91" s="106">
        <v>0</v>
      </c>
      <c r="AI91" s="106">
        <v>0</v>
      </c>
      <c r="AJ91" s="106">
        <v>0</v>
      </c>
      <c r="AK91" s="106">
        <v>0</v>
      </c>
      <c r="AL91" s="106">
        <v>0</v>
      </c>
      <c r="AM91" s="106">
        <v>0</v>
      </c>
      <c r="AN91" s="106">
        <v>0</v>
      </c>
      <c r="AO91" s="106">
        <v>0</v>
      </c>
      <c r="AP91" s="106">
        <v>0</v>
      </c>
      <c r="AQ91" s="106">
        <v>0</v>
      </c>
      <c r="AR91" s="106">
        <v>0</v>
      </c>
      <c r="AS91" s="106">
        <v>0</v>
      </c>
      <c r="AT91" s="106">
        <v>0</v>
      </c>
      <c r="AU91" s="106">
        <v>0</v>
      </c>
      <c r="AV91" s="106">
        <v>0</v>
      </c>
      <c r="AW91" s="106">
        <v>0</v>
      </c>
      <c r="AX91" s="106">
        <v>0</v>
      </c>
      <c r="AY91" s="106">
        <v>0</v>
      </c>
      <c r="AZ91" s="106">
        <v>0</v>
      </c>
      <c r="BA91" s="106">
        <v>0</v>
      </c>
      <c r="BB91" s="106">
        <v>0</v>
      </c>
      <c r="BC91" s="106">
        <v>0</v>
      </c>
      <c r="BD91" s="106">
        <v>0</v>
      </c>
      <c r="BE91" s="106">
        <v>0</v>
      </c>
      <c r="BF91" s="106">
        <v>0</v>
      </c>
      <c r="BG91" s="106">
        <v>0</v>
      </c>
      <c r="BH91" s="106">
        <v>0</v>
      </c>
      <c r="BI91" s="106">
        <v>0</v>
      </c>
      <c r="BJ91" s="106">
        <v>0</v>
      </c>
      <c r="BK91" s="106">
        <v>0</v>
      </c>
      <c r="BL91" s="106">
        <v>0</v>
      </c>
      <c r="BM91" s="106">
        <v>0</v>
      </c>
      <c r="BN91" s="106">
        <v>0</v>
      </c>
      <c r="BO91" s="106">
        <v>0</v>
      </c>
      <c r="BP91" s="106">
        <v>0</v>
      </c>
      <c r="BQ91" s="106">
        <v>0</v>
      </c>
      <c r="BR91" s="106">
        <v>0</v>
      </c>
      <c r="BS91" s="106">
        <v>0</v>
      </c>
      <c r="BT91" s="106">
        <v>0</v>
      </c>
      <c r="BU91" s="106">
        <v>0</v>
      </c>
      <c r="BV91" s="106">
        <v>0</v>
      </c>
      <c r="BW91" s="106">
        <v>0</v>
      </c>
      <c r="BX91" s="106">
        <v>0</v>
      </c>
      <c r="BY91" s="106">
        <v>0</v>
      </c>
      <c r="BZ91" s="106">
        <v>0</v>
      </c>
      <c r="CA91" s="106">
        <v>0</v>
      </c>
      <c r="CB91" s="106">
        <v>0</v>
      </c>
      <c r="CC91" s="106">
        <v>0</v>
      </c>
      <c r="CD91" s="106">
        <v>0</v>
      </c>
      <c r="CE91" s="106">
        <v>0</v>
      </c>
      <c r="CF91" s="106">
        <v>0</v>
      </c>
      <c r="CG91" s="106">
        <v>0</v>
      </c>
      <c r="CH91" s="106">
        <v>0</v>
      </c>
      <c r="CI91" s="106">
        <v>0</v>
      </c>
      <c r="CJ91" s="106">
        <v>0</v>
      </c>
      <c r="CK91" s="106">
        <v>0</v>
      </c>
      <c r="CL91" s="106">
        <v>0</v>
      </c>
      <c r="CM91" s="106">
        <v>0</v>
      </c>
      <c r="CN91" s="106">
        <v>0</v>
      </c>
      <c r="CO91" s="106">
        <v>0</v>
      </c>
      <c r="CP91" s="106">
        <v>0</v>
      </c>
      <c r="CQ91" s="106">
        <v>0</v>
      </c>
      <c r="CR91" s="106">
        <v>0</v>
      </c>
      <c r="CS91" s="106">
        <v>0</v>
      </c>
      <c r="CT91" s="106">
        <v>0</v>
      </c>
      <c r="CU91" s="106">
        <v>0</v>
      </c>
    </row>
    <row r="92" spans="2:99" x14ac:dyDescent="0.2">
      <c r="C92" s="105" t="s">
        <v>257</v>
      </c>
      <c r="D92" s="106">
        <v>0</v>
      </c>
      <c r="E92" s="106">
        <v>0</v>
      </c>
      <c r="F92" s="106">
        <v>0</v>
      </c>
      <c r="G92" s="106">
        <v>0</v>
      </c>
      <c r="H92" s="106">
        <v>0</v>
      </c>
      <c r="I92" s="106">
        <v>0</v>
      </c>
      <c r="J92" s="106">
        <v>0</v>
      </c>
      <c r="K92" s="106">
        <v>0</v>
      </c>
      <c r="L92" s="106">
        <v>0</v>
      </c>
      <c r="M92" s="106">
        <v>0</v>
      </c>
      <c r="N92" s="106">
        <v>0</v>
      </c>
      <c r="O92" s="106">
        <v>0</v>
      </c>
      <c r="P92" s="106">
        <v>0</v>
      </c>
      <c r="Q92" s="106">
        <v>0</v>
      </c>
      <c r="R92" s="106">
        <v>0</v>
      </c>
      <c r="S92" s="106">
        <v>0</v>
      </c>
      <c r="T92" s="106">
        <v>0</v>
      </c>
      <c r="U92" s="106">
        <v>0</v>
      </c>
      <c r="V92" s="106">
        <v>0</v>
      </c>
      <c r="W92" s="106">
        <v>0</v>
      </c>
      <c r="X92" s="106">
        <v>0</v>
      </c>
      <c r="Y92" s="106">
        <v>0</v>
      </c>
      <c r="Z92" s="106">
        <v>0</v>
      </c>
      <c r="AA92" s="106">
        <v>0</v>
      </c>
      <c r="AB92" s="106">
        <v>0</v>
      </c>
      <c r="AC92" s="106">
        <v>0</v>
      </c>
      <c r="AD92" s="106">
        <v>0</v>
      </c>
      <c r="AE92" s="106">
        <v>0</v>
      </c>
      <c r="AF92" s="106">
        <v>0</v>
      </c>
      <c r="AG92" s="106">
        <v>0</v>
      </c>
      <c r="AH92" s="106">
        <v>0</v>
      </c>
      <c r="AI92" s="106">
        <v>0</v>
      </c>
      <c r="AJ92" s="106">
        <v>0</v>
      </c>
      <c r="AK92" s="106">
        <v>0</v>
      </c>
      <c r="AL92" s="106">
        <v>0</v>
      </c>
      <c r="AM92" s="106">
        <v>0</v>
      </c>
      <c r="AN92" s="106">
        <v>0</v>
      </c>
      <c r="AO92" s="106">
        <v>0</v>
      </c>
      <c r="AP92" s="106">
        <v>0</v>
      </c>
      <c r="AQ92" s="106">
        <v>0</v>
      </c>
      <c r="AR92" s="106">
        <v>0</v>
      </c>
      <c r="AS92" s="106">
        <v>0</v>
      </c>
      <c r="AT92" s="106">
        <v>0</v>
      </c>
      <c r="AU92" s="106">
        <v>0</v>
      </c>
      <c r="AV92" s="106">
        <v>0</v>
      </c>
      <c r="AW92" s="106">
        <v>0</v>
      </c>
      <c r="AX92" s="106">
        <v>0</v>
      </c>
      <c r="AY92" s="106">
        <v>0</v>
      </c>
      <c r="AZ92" s="106">
        <v>0</v>
      </c>
      <c r="BA92" s="106">
        <v>0</v>
      </c>
      <c r="BB92" s="106">
        <v>0</v>
      </c>
      <c r="BC92" s="106">
        <v>0</v>
      </c>
      <c r="BD92" s="106">
        <v>0</v>
      </c>
      <c r="BE92" s="106">
        <v>0</v>
      </c>
      <c r="BF92" s="106">
        <v>0</v>
      </c>
      <c r="BG92" s="106">
        <v>0</v>
      </c>
      <c r="BH92" s="106">
        <v>0</v>
      </c>
      <c r="BI92" s="106">
        <v>0</v>
      </c>
      <c r="BJ92" s="106">
        <v>0</v>
      </c>
      <c r="BK92" s="106">
        <v>0</v>
      </c>
      <c r="BL92" s="106">
        <v>0</v>
      </c>
      <c r="BM92" s="106">
        <v>0</v>
      </c>
      <c r="BN92" s="106">
        <v>0</v>
      </c>
      <c r="BO92" s="106">
        <v>0</v>
      </c>
      <c r="BP92" s="106">
        <v>0</v>
      </c>
      <c r="BQ92" s="106">
        <v>0</v>
      </c>
      <c r="BR92" s="106">
        <v>0</v>
      </c>
      <c r="BS92" s="106">
        <v>0</v>
      </c>
      <c r="BT92" s="106">
        <v>0</v>
      </c>
      <c r="BU92" s="106">
        <v>0</v>
      </c>
      <c r="BV92" s="106">
        <v>0</v>
      </c>
      <c r="BW92" s="106">
        <v>0</v>
      </c>
      <c r="BX92" s="106">
        <v>0</v>
      </c>
      <c r="BY92" s="106">
        <v>0</v>
      </c>
      <c r="BZ92" s="106">
        <v>0</v>
      </c>
      <c r="CA92" s="106">
        <v>0</v>
      </c>
      <c r="CB92" s="106">
        <v>0</v>
      </c>
      <c r="CC92" s="106">
        <v>0</v>
      </c>
      <c r="CD92" s="106">
        <v>0</v>
      </c>
      <c r="CE92" s="106">
        <v>0</v>
      </c>
      <c r="CF92" s="106">
        <v>0</v>
      </c>
      <c r="CG92" s="106">
        <v>0</v>
      </c>
      <c r="CH92" s="106">
        <v>0</v>
      </c>
      <c r="CI92" s="106">
        <v>0</v>
      </c>
      <c r="CJ92" s="106">
        <v>0</v>
      </c>
      <c r="CK92" s="106">
        <v>0</v>
      </c>
      <c r="CL92" s="106">
        <v>0</v>
      </c>
      <c r="CM92" s="106">
        <v>0</v>
      </c>
      <c r="CN92" s="106">
        <v>0</v>
      </c>
      <c r="CO92" s="106">
        <v>0</v>
      </c>
      <c r="CP92" s="106">
        <v>0</v>
      </c>
      <c r="CQ92" s="106">
        <v>0</v>
      </c>
      <c r="CR92" s="106">
        <v>0</v>
      </c>
      <c r="CS92" s="106">
        <v>0</v>
      </c>
      <c r="CT92" s="106">
        <v>0</v>
      </c>
      <c r="CU92" s="106">
        <v>0</v>
      </c>
    </row>
    <row r="93" spans="2:99" x14ac:dyDescent="0.2">
      <c r="C93" s="105" t="s">
        <v>258</v>
      </c>
      <c r="D93" s="106">
        <v>0</v>
      </c>
      <c r="E93" s="106">
        <v>0</v>
      </c>
      <c r="F93" s="106">
        <v>0</v>
      </c>
      <c r="G93" s="106">
        <v>0</v>
      </c>
      <c r="H93" s="106">
        <v>0</v>
      </c>
      <c r="I93" s="106">
        <v>0</v>
      </c>
      <c r="J93" s="106">
        <v>0</v>
      </c>
      <c r="K93" s="106">
        <v>0</v>
      </c>
      <c r="L93" s="106">
        <v>0</v>
      </c>
      <c r="M93" s="106">
        <v>0</v>
      </c>
      <c r="N93" s="106">
        <v>0</v>
      </c>
      <c r="O93" s="106">
        <v>0</v>
      </c>
      <c r="P93" s="106">
        <v>0</v>
      </c>
      <c r="Q93" s="106">
        <v>0</v>
      </c>
      <c r="R93" s="106">
        <v>0</v>
      </c>
      <c r="S93" s="106">
        <v>0</v>
      </c>
      <c r="T93" s="106">
        <v>0</v>
      </c>
      <c r="U93" s="106">
        <v>0</v>
      </c>
      <c r="V93" s="106">
        <v>0</v>
      </c>
      <c r="W93" s="106">
        <v>0</v>
      </c>
      <c r="X93" s="106">
        <v>0</v>
      </c>
      <c r="Y93" s="106">
        <v>0</v>
      </c>
      <c r="Z93" s="106">
        <v>0</v>
      </c>
      <c r="AA93" s="106">
        <v>0</v>
      </c>
      <c r="AB93" s="106">
        <v>0</v>
      </c>
      <c r="AC93" s="106">
        <v>0</v>
      </c>
      <c r="AD93" s="106">
        <v>0</v>
      </c>
      <c r="AE93" s="106">
        <v>0</v>
      </c>
      <c r="AF93" s="106">
        <v>0</v>
      </c>
      <c r="AG93" s="106">
        <v>0</v>
      </c>
      <c r="AH93" s="106">
        <v>0</v>
      </c>
      <c r="AI93" s="106">
        <v>0</v>
      </c>
      <c r="AJ93" s="106">
        <v>0</v>
      </c>
      <c r="AK93" s="106">
        <v>0</v>
      </c>
      <c r="AL93" s="106">
        <v>0</v>
      </c>
      <c r="AM93" s="106">
        <v>0</v>
      </c>
      <c r="AN93" s="106">
        <v>0</v>
      </c>
      <c r="AO93" s="106">
        <v>0</v>
      </c>
      <c r="AP93" s="106">
        <v>0</v>
      </c>
      <c r="AQ93" s="106">
        <v>0</v>
      </c>
      <c r="AR93" s="106">
        <v>0</v>
      </c>
      <c r="AS93" s="106">
        <v>0</v>
      </c>
      <c r="AT93" s="106">
        <v>0</v>
      </c>
      <c r="AU93" s="106">
        <v>0</v>
      </c>
      <c r="AV93" s="106">
        <v>0</v>
      </c>
      <c r="AW93" s="106">
        <v>0</v>
      </c>
      <c r="AX93" s="106">
        <v>0</v>
      </c>
      <c r="AY93" s="106">
        <v>0</v>
      </c>
      <c r="AZ93" s="106">
        <v>0</v>
      </c>
      <c r="BA93" s="106">
        <v>0</v>
      </c>
      <c r="BB93" s="106">
        <v>0</v>
      </c>
      <c r="BC93" s="106">
        <v>0</v>
      </c>
      <c r="BD93" s="106">
        <v>0</v>
      </c>
      <c r="BE93" s="106">
        <v>0</v>
      </c>
      <c r="BF93" s="106">
        <v>0</v>
      </c>
      <c r="BG93" s="106">
        <v>0</v>
      </c>
      <c r="BH93" s="106">
        <v>0</v>
      </c>
      <c r="BI93" s="106">
        <v>0</v>
      </c>
      <c r="BJ93" s="106">
        <v>0</v>
      </c>
      <c r="BK93" s="106">
        <v>0</v>
      </c>
      <c r="BL93" s="106">
        <v>0</v>
      </c>
      <c r="BM93" s="106">
        <v>0</v>
      </c>
      <c r="BN93" s="106">
        <v>0</v>
      </c>
      <c r="BO93" s="106">
        <v>0</v>
      </c>
      <c r="BP93" s="106">
        <v>0</v>
      </c>
      <c r="BQ93" s="106">
        <v>0</v>
      </c>
      <c r="BR93" s="106">
        <v>0</v>
      </c>
      <c r="BS93" s="106">
        <v>0</v>
      </c>
      <c r="BT93" s="106">
        <v>0</v>
      </c>
      <c r="BU93" s="106">
        <v>0</v>
      </c>
      <c r="BV93" s="106">
        <v>0</v>
      </c>
      <c r="BW93" s="106">
        <v>0</v>
      </c>
      <c r="BX93" s="106">
        <v>0</v>
      </c>
      <c r="BY93" s="106">
        <v>0</v>
      </c>
      <c r="BZ93" s="106">
        <v>0</v>
      </c>
      <c r="CA93" s="106">
        <v>0</v>
      </c>
      <c r="CB93" s="106">
        <v>0</v>
      </c>
      <c r="CC93" s="106">
        <v>0</v>
      </c>
      <c r="CD93" s="106">
        <v>0</v>
      </c>
      <c r="CE93" s="106">
        <v>0</v>
      </c>
      <c r="CF93" s="106">
        <v>0</v>
      </c>
      <c r="CG93" s="106">
        <v>0</v>
      </c>
      <c r="CH93" s="106">
        <v>0</v>
      </c>
      <c r="CI93" s="106">
        <v>0</v>
      </c>
      <c r="CJ93" s="106">
        <v>0</v>
      </c>
      <c r="CK93" s="106">
        <v>0</v>
      </c>
      <c r="CL93" s="106">
        <v>0</v>
      </c>
      <c r="CM93" s="106">
        <v>0</v>
      </c>
      <c r="CN93" s="106">
        <v>0</v>
      </c>
      <c r="CO93" s="106">
        <v>0</v>
      </c>
      <c r="CP93" s="106">
        <v>0</v>
      </c>
      <c r="CQ93" s="106">
        <v>0</v>
      </c>
      <c r="CR93" s="106">
        <v>0</v>
      </c>
      <c r="CS93" s="106">
        <v>0</v>
      </c>
      <c r="CT93" s="106">
        <v>0</v>
      </c>
      <c r="CU93" s="106">
        <v>0</v>
      </c>
    </row>
    <row r="94" spans="2:99" x14ac:dyDescent="0.2">
      <c r="C94" s="105" t="s">
        <v>259</v>
      </c>
      <c r="D94" s="106">
        <v>0</v>
      </c>
      <c r="E94" s="106">
        <v>0</v>
      </c>
      <c r="F94" s="106">
        <v>0</v>
      </c>
      <c r="G94" s="106">
        <v>0</v>
      </c>
      <c r="H94" s="106">
        <v>0</v>
      </c>
      <c r="I94" s="106">
        <v>0</v>
      </c>
      <c r="J94" s="106">
        <v>0</v>
      </c>
      <c r="K94" s="106">
        <v>0</v>
      </c>
      <c r="L94" s="106">
        <v>0</v>
      </c>
      <c r="M94" s="106">
        <v>0</v>
      </c>
      <c r="N94" s="106">
        <v>0</v>
      </c>
      <c r="O94" s="106">
        <v>0</v>
      </c>
      <c r="P94" s="106">
        <v>0</v>
      </c>
      <c r="Q94" s="106">
        <v>0</v>
      </c>
      <c r="R94" s="106">
        <v>0</v>
      </c>
      <c r="S94" s="106">
        <v>0</v>
      </c>
      <c r="T94" s="106">
        <v>0</v>
      </c>
      <c r="U94" s="106">
        <v>0</v>
      </c>
      <c r="V94" s="106">
        <v>0</v>
      </c>
      <c r="W94" s="106">
        <v>0</v>
      </c>
      <c r="X94" s="106">
        <v>0</v>
      </c>
      <c r="Y94" s="106">
        <v>0</v>
      </c>
      <c r="Z94" s="106">
        <v>0</v>
      </c>
      <c r="AA94" s="106">
        <v>0</v>
      </c>
      <c r="AB94" s="106">
        <v>0</v>
      </c>
      <c r="AC94" s="106">
        <v>0</v>
      </c>
      <c r="AD94" s="106">
        <v>0</v>
      </c>
      <c r="AE94" s="106">
        <v>0</v>
      </c>
      <c r="AF94" s="106">
        <v>0</v>
      </c>
      <c r="AG94" s="106">
        <v>0</v>
      </c>
      <c r="AH94" s="106">
        <v>0</v>
      </c>
      <c r="AI94" s="106">
        <v>0</v>
      </c>
      <c r="AJ94" s="106">
        <v>0</v>
      </c>
      <c r="AK94" s="106">
        <v>0</v>
      </c>
      <c r="AL94" s="106">
        <v>0</v>
      </c>
      <c r="AM94" s="106">
        <v>0</v>
      </c>
      <c r="AN94" s="106">
        <v>0</v>
      </c>
      <c r="AO94" s="106">
        <v>0</v>
      </c>
      <c r="AP94" s="106">
        <v>0</v>
      </c>
      <c r="AQ94" s="106">
        <v>0</v>
      </c>
      <c r="AR94" s="106">
        <v>0</v>
      </c>
      <c r="AS94" s="106">
        <v>0</v>
      </c>
      <c r="AT94" s="106">
        <v>0</v>
      </c>
      <c r="AU94" s="106">
        <v>0</v>
      </c>
      <c r="AV94" s="106">
        <v>0</v>
      </c>
      <c r="AW94" s="106">
        <v>0</v>
      </c>
      <c r="AX94" s="106">
        <v>0</v>
      </c>
      <c r="AY94" s="106">
        <v>0</v>
      </c>
      <c r="AZ94" s="106">
        <v>0</v>
      </c>
      <c r="BA94" s="106">
        <v>0</v>
      </c>
      <c r="BB94" s="106">
        <v>0</v>
      </c>
      <c r="BC94" s="106">
        <v>0</v>
      </c>
      <c r="BD94" s="106">
        <v>0</v>
      </c>
      <c r="BE94" s="106">
        <v>0</v>
      </c>
      <c r="BF94" s="106">
        <v>0</v>
      </c>
      <c r="BG94" s="106">
        <v>0</v>
      </c>
      <c r="BH94" s="106">
        <v>0</v>
      </c>
      <c r="BI94" s="106">
        <v>0</v>
      </c>
      <c r="BJ94" s="106">
        <v>0</v>
      </c>
      <c r="BK94" s="106">
        <v>0</v>
      </c>
      <c r="BL94" s="106">
        <v>0</v>
      </c>
      <c r="BM94" s="106">
        <v>0</v>
      </c>
      <c r="BN94" s="106">
        <v>0</v>
      </c>
      <c r="BO94" s="106">
        <v>0</v>
      </c>
      <c r="BP94" s="106">
        <v>0</v>
      </c>
      <c r="BQ94" s="106">
        <v>0</v>
      </c>
      <c r="BR94" s="106">
        <v>0</v>
      </c>
      <c r="BS94" s="106">
        <v>0</v>
      </c>
      <c r="BT94" s="106">
        <v>0</v>
      </c>
      <c r="BU94" s="106">
        <v>0</v>
      </c>
      <c r="BV94" s="106">
        <v>0</v>
      </c>
      <c r="BW94" s="106">
        <v>0</v>
      </c>
      <c r="BX94" s="106">
        <v>0</v>
      </c>
      <c r="BY94" s="106">
        <v>0</v>
      </c>
      <c r="BZ94" s="106">
        <v>0</v>
      </c>
      <c r="CA94" s="106">
        <v>0</v>
      </c>
      <c r="CB94" s="106">
        <v>0</v>
      </c>
      <c r="CC94" s="106">
        <v>0</v>
      </c>
      <c r="CD94" s="106">
        <v>0</v>
      </c>
      <c r="CE94" s="106">
        <v>0</v>
      </c>
      <c r="CF94" s="106">
        <v>0</v>
      </c>
      <c r="CG94" s="106">
        <v>0</v>
      </c>
      <c r="CH94" s="106">
        <v>0</v>
      </c>
      <c r="CI94" s="106">
        <v>0</v>
      </c>
      <c r="CJ94" s="106">
        <v>0</v>
      </c>
      <c r="CK94" s="106">
        <v>0</v>
      </c>
      <c r="CL94" s="106">
        <v>0</v>
      </c>
      <c r="CM94" s="106">
        <v>0</v>
      </c>
      <c r="CN94" s="106">
        <v>0</v>
      </c>
      <c r="CO94" s="106">
        <v>0</v>
      </c>
      <c r="CP94" s="106">
        <v>0</v>
      </c>
      <c r="CQ94" s="106">
        <v>0</v>
      </c>
      <c r="CR94" s="106">
        <v>0</v>
      </c>
      <c r="CS94" s="106">
        <v>0</v>
      </c>
      <c r="CT94" s="106">
        <v>0</v>
      </c>
      <c r="CU94" s="106">
        <v>0</v>
      </c>
    </row>
    <row r="95" spans="2:99" x14ac:dyDescent="0.2">
      <c r="B95" s="105" t="s">
        <v>132</v>
      </c>
      <c r="C95" s="105" t="s">
        <v>260</v>
      </c>
      <c r="D95" s="106">
        <v>0</v>
      </c>
      <c r="E95" s="106">
        <v>0</v>
      </c>
      <c r="F95" s="106">
        <v>0</v>
      </c>
      <c r="G95" s="106">
        <v>0</v>
      </c>
      <c r="H95" s="106">
        <v>0</v>
      </c>
      <c r="I95" s="106">
        <v>0</v>
      </c>
      <c r="J95" s="106">
        <v>0</v>
      </c>
      <c r="K95" s="106">
        <v>0</v>
      </c>
      <c r="L95" s="106">
        <v>0</v>
      </c>
      <c r="M95" s="106">
        <v>0</v>
      </c>
      <c r="N95" s="106">
        <v>0</v>
      </c>
      <c r="O95" s="106">
        <v>0</v>
      </c>
      <c r="P95" s="106">
        <v>0</v>
      </c>
      <c r="Q95" s="106">
        <v>0</v>
      </c>
      <c r="R95" s="106">
        <v>0</v>
      </c>
      <c r="S95" s="106">
        <v>0</v>
      </c>
      <c r="T95" s="106">
        <v>0</v>
      </c>
      <c r="U95" s="106">
        <v>0</v>
      </c>
      <c r="V95" s="106">
        <v>0</v>
      </c>
      <c r="W95" s="106">
        <v>0</v>
      </c>
      <c r="X95" s="106">
        <v>0</v>
      </c>
      <c r="Y95" s="106">
        <v>0</v>
      </c>
      <c r="Z95" s="106">
        <v>0</v>
      </c>
      <c r="AA95" s="106">
        <v>0</v>
      </c>
      <c r="AB95" s="106">
        <v>0</v>
      </c>
      <c r="AC95" s="106">
        <v>0</v>
      </c>
      <c r="AD95" s="106">
        <v>0</v>
      </c>
      <c r="AE95" s="106">
        <v>0</v>
      </c>
      <c r="AF95" s="106">
        <v>0</v>
      </c>
      <c r="AG95" s="106">
        <v>0</v>
      </c>
      <c r="AH95" s="106">
        <v>0</v>
      </c>
      <c r="AI95" s="106">
        <v>0</v>
      </c>
      <c r="AJ95" s="106">
        <v>0</v>
      </c>
      <c r="AK95" s="106">
        <v>0</v>
      </c>
      <c r="AL95" s="106">
        <v>0</v>
      </c>
      <c r="AM95" s="106">
        <v>0</v>
      </c>
      <c r="AN95" s="106">
        <v>0</v>
      </c>
      <c r="AO95" s="106">
        <v>0</v>
      </c>
      <c r="AP95" s="106">
        <v>0</v>
      </c>
      <c r="AQ95" s="106">
        <v>0</v>
      </c>
      <c r="AR95" s="106">
        <v>0</v>
      </c>
      <c r="AS95" s="106">
        <v>0</v>
      </c>
      <c r="AT95" s="106">
        <v>0</v>
      </c>
      <c r="AU95" s="106">
        <v>0</v>
      </c>
      <c r="AV95" s="106">
        <v>0</v>
      </c>
      <c r="AW95" s="106">
        <v>0</v>
      </c>
      <c r="AX95" s="106">
        <v>0</v>
      </c>
      <c r="AY95" s="106">
        <v>0</v>
      </c>
      <c r="AZ95" s="106">
        <v>0</v>
      </c>
      <c r="BA95" s="106">
        <v>0</v>
      </c>
      <c r="BB95" s="106">
        <v>0</v>
      </c>
      <c r="BC95" s="106">
        <v>0</v>
      </c>
      <c r="BD95" s="106">
        <v>0</v>
      </c>
      <c r="BE95" s="106">
        <v>0</v>
      </c>
      <c r="BF95" s="106">
        <v>0</v>
      </c>
      <c r="BG95" s="106">
        <v>0</v>
      </c>
      <c r="BH95" s="106">
        <v>0</v>
      </c>
      <c r="BI95" s="106">
        <v>0</v>
      </c>
      <c r="BJ95" s="106">
        <v>0</v>
      </c>
      <c r="BK95" s="106">
        <v>0</v>
      </c>
      <c r="BL95" s="106">
        <v>0</v>
      </c>
      <c r="BM95" s="106">
        <v>0</v>
      </c>
      <c r="BN95" s="106">
        <v>0</v>
      </c>
      <c r="BO95" s="106">
        <v>0</v>
      </c>
      <c r="BP95" s="106">
        <v>0</v>
      </c>
      <c r="BQ95" s="106">
        <v>0</v>
      </c>
      <c r="BR95" s="106">
        <v>0</v>
      </c>
      <c r="BS95" s="106">
        <v>0</v>
      </c>
      <c r="BT95" s="106">
        <v>0</v>
      </c>
      <c r="BU95" s="106">
        <v>0</v>
      </c>
      <c r="BV95" s="106">
        <v>0</v>
      </c>
      <c r="BW95" s="106">
        <v>0</v>
      </c>
      <c r="BX95" s="106">
        <v>0</v>
      </c>
      <c r="BY95" s="106">
        <v>0</v>
      </c>
      <c r="BZ95" s="106">
        <v>0</v>
      </c>
      <c r="CA95" s="106">
        <v>0</v>
      </c>
      <c r="CB95" s="106">
        <v>0</v>
      </c>
      <c r="CC95" s="106">
        <v>0</v>
      </c>
      <c r="CD95" s="106">
        <v>0</v>
      </c>
      <c r="CE95" s="106">
        <v>0</v>
      </c>
      <c r="CF95" s="106">
        <v>0</v>
      </c>
      <c r="CG95" s="106">
        <v>0</v>
      </c>
      <c r="CH95" s="106">
        <v>0</v>
      </c>
      <c r="CI95" s="106">
        <v>0</v>
      </c>
      <c r="CJ95" s="106">
        <v>0</v>
      </c>
      <c r="CK95" s="106">
        <v>0</v>
      </c>
      <c r="CL95" s="106">
        <v>0</v>
      </c>
      <c r="CM95" s="106">
        <v>0</v>
      </c>
      <c r="CN95" s="106">
        <v>0</v>
      </c>
      <c r="CO95" s="106">
        <v>0</v>
      </c>
      <c r="CP95" s="106">
        <v>0</v>
      </c>
      <c r="CQ95" s="106">
        <v>0</v>
      </c>
      <c r="CR95" s="106">
        <v>0</v>
      </c>
      <c r="CS95" s="106">
        <v>0</v>
      </c>
      <c r="CT95" s="106">
        <v>0</v>
      </c>
      <c r="CU95" s="106">
        <v>0</v>
      </c>
    </row>
    <row r="96" spans="2:99" x14ac:dyDescent="0.2">
      <c r="C96" s="105" t="s">
        <v>261</v>
      </c>
      <c r="D96" s="106">
        <v>0</v>
      </c>
      <c r="E96" s="106">
        <v>0</v>
      </c>
      <c r="F96" s="106">
        <v>0</v>
      </c>
      <c r="G96" s="106">
        <v>0</v>
      </c>
      <c r="H96" s="106">
        <v>0</v>
      </c>
      <c r="I96" s="106">
        <v>0</v>
      </c>
      <c r="J96" s="106">
        <v>0</v>
      </c>
      <c r="K96" s="106">
        <v>0</v>
      </c>
      <c r="L96" s="106">
        <v>0</v>
      </c>
      <c r="M96" s="106">
        <v>0</v>
      </c>
      <c r="N96" s="106">
        <v>0</v>
      </c>
      <c r="O96" s="106">
        <v>0</v>
      </c>
      <c r="P96" s="106">
        <v>0</v>
      </c>
      <c r="Q96" s="106">
        <v>0</v>
      </c>
      <c r="R96" s="106">
        <v>0</v>
      </c>
      <c r="S96" s="106">
        <v>0</v>
      </c>
      <c r="T96" s="106">
        <v>0</v>
      </c>
      <c r="U96" s="106">
        <v>0</v>
      </c>
      <c r="V96" s="106">
        <v>0</v>
      </c>
      <c r="W96" s="106">
        <v>0</v>
      </c>
      <c r="X96" s="106">
        <v>0</v>
      </c>
      <c r="Y96" s="106">
        <v>0</v>
      </c>
      <c r="Z96" s="106">
        <v>0</v>
      </c>
      <c r="AA96" s="106">
        <v>0</v>
      </c>
      <c r="AB96" s="106">
        <v>0</v>
      </c>
      <c r="AC96" s="106">
        <v>0</v>
      </c>
      <c r="AD96" s="106">
        <v>0</v>
      </c>
      <c r="AE96" s="106">
        <v>0</v>
      </c>
      <c r="AF96" s="106">
        <v>0</v>
      </c>
      <c r="AG96" s="106">
        <v>0</v>
      </c>
      <c r="AH96" s="106">
        <v>0</v>
      </c>
      <c r="AI96" s="106">
        <v>0</v>
      </c>
      <c r="AJ96" s="106">
        <v>0</v>
      </c>
      <c r="AK96" s="106">
        <v>0</v>
      </c>
      <c r="AL96" s="106">
        <v>0</v>
      </c>
      <c r="AM96" s="106">
        <v>0</v>
      </c>
      <c r="AN96" s="106">
        <v>0</v>
      </c>
      <c r="AO96" s="106">
        <v>0</v>
      </c>
      <c r="AP96" s="106">
        <v>0</v>
      </c>
      <c r="AQ96" s="106">
        <v>0</v>
      </c>
      <c r="AR96" s="106">
        <v>0</v>
      </c>
      <c r="AS96" s="106">
        <v>0</v>
      </c>
      <c r="AT96" s="106">
        <v>0</v>
      </c>
      <c r="AU96" s="106">
        <v>0</v>
      </c>
      <c r="AV96" s="106">
        <v>0</v>
      </c>
      <c r="AW96" s="106">
        <v>0</v>
      </c>
      <c r="AX96" s="106">
        <v>0</v>
      </c>
      <c r="AY96" s="106">
        <v>0</v>
      </c>
      <c r="AZ96" s="106">
        <v>0</v>
      </c>
      <c r="BA96" s="106">
        <v>0</v>
      </c>
      <c r="BB96" s="106">
        <v>0</v>
      </c>
      <c r="BC96" s="106">
        <v>0</v>
      </c>
      <c r="BD96" s="106">
        <v>0</v>
      </c>
      <c r="BE96" s="106">
        <v>0</v>
      </c>
      <c r="BF96" s="106">
        <v>0</v>
      </c>
      <c r="BG96" s="106">
        <v>0</v>
      </c>
      <c r="BH96" s="106">
        <v>0</v>
      </c>
      <c r="BI96" s="106">
        <v>0</v>
      </c>
      <c r="BJ96" s="106">
        <v>0</v>
      </c>
      <c r="BK96" s="106">
        <v>0</v>
      </c>
      <c r="BL96" s="106">
        <v>0</v>
      </c>
      <c r="BM96" s="106">
        <v>0</v>
      </c>
      <c r="BN96" s="106">
        <v>0</v>
      </c>
      <c r="BO96" s="106">
        <v>0</v>
      </c>
      <c r="BP96" s="106">
        <v>0</v>
      </c>
      <c r="BQ96" s="106">
        <v>0</v>
      </c>
      <c r="BR96" s="106">
        <v>0</v>
      </c>
      <c r="BS96" s="106">
        <v>0</v>
      </c>
      <c r="BT96" s="106">
        <v>0</v>
      </c>
      <c r="BU96" s="106">
        <v>0</v>
      </c>
      <c r="BV96" s="106">
        <v>0</v>
      </c>
      <c r="BW96" s="106">
        <v>0</v>
      </c>
      <c r="BX96" s="106">
        <v>0</v>
      </c>
      <c r="BY96" s="106">
        <v>0</v>
      </c>
      <c r="BZ96" s="106">
        <v>0</v>
      </c>
      <c r="CA96" s="106">
        <v>0</v>
      </c>
      <c r="CB96" s="106">
        <v>0</v>
      </c>
      <c r="CC96" s="106">
        <v>0</v>
      </c>
      <c r="CD96" s="106">
        <v>0</v>
      </c>
      <c r="CE96" s="106">
        <v>0</v>
      </c>
      <c r="CF96" s="106">
        <v>0</v>
      </c>
      <c r="CG96" s="106">
        <v>0</v>
      </c>
      <c r="CH96" s="106">
        <v>0</v>
      </c>
      <c r="CI96" s="106">
        <v>0</v>
      </c>
      <c r="CJ96" s="106">
        <v>0</v>
      </c>
      <c r="CK96" s="106">
        <v>0</v>
      </c>
      <c r="CL96" s="106">
        <v>0</v>
      </c>
      <c r="CM96" s="106">
        <v>0</v>
      </c>
      <c r="CN96" s="106">
        <v>0</v>
      </c>
      <c r="CO96" s="106">
        <v>0</v>
      </c>
      <c r="CP96" s="106">
        <v>0</v>
      </c>
      <c r="CQ96" s="106">
        <v>0</v>
      </c>
      <c r="CR96" s="106">
        <v>0</v>
      </c>
      <c r="CS96" s="106">
        <v>0</v>
      </c>
      <c r="CT96" s="106">
        <v>0</v>
      </c>
      <c r="CU96" s="106">
        <v>0</v>
      </c>
    </row>
    <row r="97" spans="2:99" x14ac:dyDescent="0.2">
      <c r="C97" s="105" t="s">
        <v>262</v>
      </c>
      <c r="D97" s="106">
        <v>0</v>
      </c>
      <c r="E97" s="106">
        <v>0</v>
      </c>
      <c r="F97" s="106">
        <v>0</v>
      </c>
      <c r="G97" s="106">
        <v>0</v>
      </c>
      <c r="H97" s="106">
        <v>0</v>
      </c>
      <c r="I97" s="106">
        <v>0</v>
      </c>
      <c r="J97" s="106">
        <v>0</v>
      </c>
      <c r="K97" s="106">
        <v>0</v>
      </c>
      <c r="L97" s="106">
        <v>0</v>
      </c>
      <c r="M97" s="106">
        <v>0</v>
      </c>
      <c r="N97" s="106">
        <v>0</v>
      </c>
      <c r="O97" s="106">
        <v>0</v>
      </c>
      <c r="P97" s="106">
        <v>0</v>
      </c>
      <c r="Q97" s="106">
        <v>0</v>
      </c>
      <c r="R97" s="106">
        <v>0</v>
      </c>
      <c r="S97" s="106">
        <v>0</v>
      </c>
      <c r="T97" s="106">
        <v>0</v>
      </c>
      <c r="U97" s="106">
        <v>0</v>
      </c>
      <c r="V97" s="106">
        <v>0</v>
      </c>
      <c r="W97" s="106">
        <v>0</v>
      </c>
      <c r="X97" s="106">
        <v>0</v>
      </c>
      <c r="Y97" s="106">
        <v>0</v>
      </c>
      <c r="Z97" s="106">
        <v>0</v>
      </c>
      <c r="AA97" s="106">
        <v>0</v>
      </c>
      <c r="AB97" s="106">
        <v>0</v>
      </c>
      <c r="AC97" s="106">
        <v>0</v>
      </c>
      <c r="AD97" s="106">
        <v>0</v>
      </c>
      <c r="AE97" s="106">
        <v>0</v>
      </c>
      <c r="AF97" s="106">
        <v>0</v>
      </c>
      <c r="AG97" s="106">
        <v>0</v>
      </c>
      <c r="AH97" s="106">
        <v>0</v>
      </c>
      <c r="AI97" s="106">
        <v>0</v>
      </c>
      <c r="AJ97" s="106">
        <v>0</v>
      </c>
      <c r="AK97" s="106">
        <v>0</v>
      </c>
      <c r="AL97" s="106">
        <v>0</v>
      </c>
      <c r="AM97" s="106">
        <v>0</v>
      </c>
      <c r="AN97" s="106">
        <v>0</v>
      </c>
      <c r="AO97" s="106">
        <v>0</v>
      </c>
      <c r="AP97" s="106">
        <v>0</v>
      </c>
      <c r="AQ97" s="106">
        <v>0</v>
      </c>
      <c r="AR97" s="106">
        <v>0</v>
      </c>
      <c r="AS97" s="106">
        <v>0</v>
      </c>
      <c r="AT97" s="106">
        <v>0</v>
      </c>
      <c r="AU97" s="106">
        <v>0</v>
      </c>
      <c r="AV97" s="106">
        <v>0</v>
      </c>
      <c r="AW97" s="106">
        <v>0</v>
      </c>
      <c r="AX97" s="106">
        <v>0</v>
      </c>
      <c r="AY97" s="106">
        <v>0</v>
      </c>
      <c r="AZ97" s="106">
        <v>0</v>
      </c>
      <c r="BA97" s="106">
        <v>0</v>
      </c>
      <c r="BB97" s="106">
        <v>0</v>
      </c>
      <c r="BC97" s="106">
        <v>0</v>
      </c>
      <c r="BD97" s="106">
        <v>0</v>
      </c>
      <c r="BE97" s="106">
        <v>0</v>
      </c>
      <c r="BF97" s="106">
        <v>0</v>
      </c>
      <c r="BG97" s="106">
        <v>0</v>
      </c>
      <c r="BH97" s="106">
        <v>0</v>
      </c>
      <c r="BI97" s="106">
        <v>0</v>
      </c>
      <c r="BJ97" s="106">
        <v>0</v>
      </c>
      <c r="BK97" s="106">
        <v>0</v>
      </c>
      <c r="BL97" s="106">
        <v>0</v>
      </c>
      <c r="BM97" s="106">
        <v>0</v>
      </c>
      <c r="BN97" s="106">
        <v>0</v>
      </c>
      <c r="BO97" s="106">
        <v>0</v>
      </c>
      <c r="BP97" s="106">
        <v>0</v>
      </c>
      <c r="BQ97" s="106">
        <v>0</v>
      </c>
      <c r="BR97" s="106">
        <v>0</v>
      </c>
      <c r="BS97" s="106">
        <v>0</v>
      </c>
      <c r="BT97" s="106">
        <v>0</v>
      </c>
      <c r="BU97" s="106">
        <v>0</v>
      </c>
      <c r="BV97" s="106">
        <v>0</v>
      </c>
      <c r="BW97" s="106">
        <v>0</v>
      </c>
      <c r="BX97" s="106">
        <v>0</v>
      </c>
      <c r="BY97" s="106">
        <v>0</v>
      </c>
      <c r="BZ97" s="106">
        <v>0</v>
      </c>
      <c r="CA97" s="106">
        <v>0</v>
      </c>
      <c r="CB97" s="106">
        <v>0</v>
      </c>
      <c r="CC97" s="106">
        <v>0</v>
      </c>
      <c r="CD97" s="106">
        <v>0</v>
      </c>
      <c r="CE97" s="106">
        <v>0</v>
      </c>
      <c r="CF97" s="106">
        <v>0</v>
      </c>
      <c r="CG97" s="106">
        <v>0</v>
      </c>
      <c r="CH97" s="106">
        <v>0</v>
      </c>
      <c r="CI97" s="106">
        <v>0</v>
      </c>
      <c r="CJ97" s="106">
        <v>0</v>
      </c>
      <c r="CK97" s="106">
        <v>0</v>
      </c>
      <c r="CL97" s="106">
        <v>0</v>
      </c>
      <c r="CM97" s="106">
        <v>0</v>
      </c>
      <c r="CN97" s="106">
        <v>0</v>
      </c>
      <c r="CO97" s="106">
        <v>0</v>
      </c>
      <c r="CP97" s="106">
        <v>0</v>
      </c>
      <c r="CQ97" s="106">
        <v>0</v>
      </c>
      <c r="CR97" s="106">
        <v>0</v>
      </c>
      <c r="CS97" s="106">
        <v>0</v>
      </c>
      <c r="CT97" s="106">
        <v>0</v>
      </c>
      <c r="CU97" s="106">
        <v>0</v>
      </c>
    </row>
    <row r="98" spans="2:99" x14ac:dyDescent="0.2">
      <c r="C98" s="105" t="s">
        <v>263</v>
      </c>
      <c r="D98" s="106">
        <v>0</v>
      </c>
      <c r="E98" s="106">
        <v>0</v>
      </c>
      <c r="F98" s="106">
        <v>0</v>
      </c>
      <c r="G98" s="106">
        <v>0</v>
      </c>
      <c r="H98" s="106">
        <v>0</v>
      </c>
      <c r="I98" s="106">
        <v>0</v>
      </c>
      <c r="J98" s="106">
        <v>0</v>
      </c>
      <c r="K98" s="106">
        <v>0</v>
      </c>
      <c r="L98" s="106">
        <v>0</v>
      </c>
      <c r="M98" s="106">
        <v>0</v>
      </c>
      <c r="N98" s="106">
        <v>0</v>
      </c>
      <c r="O98" s="106">
        <v>0</v>
      </c>
      <c r="P98" s="106">
        <v>0</v>
      </c>
      <c r="Q98" s="106">
        <v>0</v>
      </c>
      <c r="R98" s="106">
        <v>0</v>
      </c>
      <c r="S98" s="106">
        <v>0</v>
      </c>
      <c r="T98" s="106">
        <v>0</v>
      </c>
      <c r="U98" s="106">
        <v>0</v>
      </c>
      <c r="V98" s="106">
        <v>0</v>
      </c>
      <c r="W98" s="106">
        <v>0</v>
      </c>
      <c r="X98" s="106">
        <v>0</v>
      </c>
      <c r="Y98" s="106">
        <v>0</v>
      </c>
      <c r="Z98" s="106">
        <v>0</v>
      </c>
      <c r="AA98" s="106">
        <v>0</v>
      </c>
      <c r="AB98" s="106">
        <v>0</v>
      </c>
      <c r="AC98" s="106">
        <v>0</v>
      </c>
      <c r="AD98" s="106">
        <v>0</v>
      </c>
      <c r="AE98" s="106">
        <v>0</v>
      </c>
      <c r="AF98" s="106">
        <v>0</v>
      </c>
      <c r="AG98" s="106">
        <v>0</v>
      </c>
      <c r="AH98" s="106">
        <v>0</v>
      </c>
      <c r="AI98" s="106">
        <v>0</v>
      </c>
      <c r="AJ98" s="106">
        <v>0</v>
      </c>
      <c r="AK98" s="106">
        <v>0</v>
      </c>
      <c r="AL98" s="106">
        <v>0</v>
      </c>
      <c r="AM98" s="106">
        <v>0</v>
      </c>
      <c r="AN98" s="106">
        <v>0</v>
      </c>
      <c r="AO98" s="106">
        <v>0</v>
      </c>
      <c r="AP98" s="106">
        <v>0</v>
      </c>
      <c r="AQ98" s="106">
        <v>0</v>
      </c>
      <c r="AR98" s="106">
        <v>0</v>
      </c>
      <c r="AS98" s="106">
        <v>0</v>
      </c>
      <c r="AT98" s="106">
        <v>0</v>
      </c>
      <c r="AU98" s="106">
        <v>0</v>
      </c>
      <c r="AV98" s="106">
        <v>0</v>
      </c>
      <c r="AW98" s="106">
        <v>0</v>
      </c>
      <c r="AX98" s="106">
        <v>0</v>
      </c>
      <c r="AY98" s="106">
        <v>0</v>
      </c>
      <c r="AZ98" s="106">
        <v>0</v>
      </c>
      <c r="BA98" s="106">
        <v>0</v>
      </c>
      <c r="BB98" s="106">
        <v>0</v>
      </c>
      <c r="BC98" s="106">
        <v>0</v>
      </c>
      <c r="BD98" s="106">
        <v>0</v>
      </c>
      <c r="BE98" s="106">
        <v>0</v>
      </c>
      <c r="BF98" s="106">
        <v>0</v>
      </c>
      <c r="BG98" s="106">
        <v>0</v>
      </c>
      <c r="BH98" s="106">
        <v>0</v>
      </c>
      <c r="BI98" s="106">
        <v>0</v>
      </c>
      <c r="BJ98" s="106">
        <v>0</v>
      </c>
      <c r="BK98" s="106">
        <v>0</v>
      </c>
      <c r="BL98" s="106">
        <v>0</v>
      </c>
      <c r="BM98" s="106">
        <v>0</v>
      </c>
      <c r="BN98" s="106">
        <v>0</v>
      </c>
      <c r="BO98" s="106">
        <v>0</v>
      </c>
      <c r="BP98" s="106">
        <v>0</v>
      </c>
      <c r="BQ98" s="106">
        <v>0</v>
      </c>
      <c r="BR98" s="106">
        <v>0</v>
      </c>
      <c r="BS98" s="106">
        <v>0</v>
      </c>
      <c r="BT98" s="106">
        <v>0</v>
      </c>
      <c r="BU98" s="106">
        <v>0</v>
      </c>
      <c r="BV98" s="106">
        <v>0</v>
      </c>
      <c r="BW98" s="106">
        <v>0</v>
      </c>
      <c r="BX98" s="106">
        <v>0</v>
      </c>
      <c r="BY98" s="106">
        <v>0</v>
      </c>
      <c r="BZ98" s="106">
        <v>0</v>
      </c>
      <c r="CA98" s="106">
        <v>0</v>
      </c>
      <c r="CB98" s="106">
        <v>0</v>
      </c>
      <c r="CC98" s="106">
        <v>0</v>
      </c>
      <c r="CD98" s="106">
        <v>0</v>
      </c>
      <c r="CE98" s="106">
        <v>0</v>
      </c>
      <c r="CF98" s="106">
        <v>0</v>
      </c>
      <c r="CG98" s="106">
        <v>0</v>
      </c>
      <c r="CH98" s="106">
        <v>0</v>
      </c>
      <c r="CI98" s="106">
        <v>0</v>
      </c>
      <c r="CJ98" s="106">
        <v>0</v>
      </c>
      <c r="CK98" s="106">
        <v>0</v>
      </c>
      <c r="CL98" s="106">
        <v>0</v>
      </c>
      <c r="CM98" s="106">
        <v>0</v>
      </c>
      <c r="CN98" s="106">
        <v>0</v>
      </c>
      <c r="CO98" s="106">
        <v>0</v>
      </c>
      <c r="CP98" s="106">
        <v>0</v>
      </c>
      <c r="CQ98" s="106">
        <v>0</v>
      </c>
      <c r="CR98" s="106">
        <v>0</v>
      </c>
      <c r="CS98" s="106">
        <v>0</v>
      </c>
      <c r="CT98" s="106">
        <v>0</v>
      </c>
      <c r="CU98" s="106">
        <v>0</v>
      </c>
    </row>
    <row r="99" spans="2:99" x14ac:dyDescent="0.2">
      <c r="C99" s="105" t="s">
        <v>264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  <c r="AY99" s="106">
        <v>0</v>
      </c>
      <c r="AZ99" s="106">
        <v>0</v>
      </c>
      <c r="BA99" s="106">
        <v>0</v>
      </c>
      <c r="BB99" s="106">
        <v>0</v>
      </c>
      <c r="BC99" s="106">
        <v>0</v>
      </c>
      <c r="BD99" s="106">
        <v>0</v>
      </c>
      <c r="BE99" s="106">
        <v>0</v>
      </c>
      <c r="BF99" s="106">
        <v>0</v>
      </c>
      <c r="BG99" s="106">
        <v>0</v>
      </c>
      <c r="BH99" s="106">
        <v>0</v>
      </c>
      <c r="BI99" s="106">
        <v>0</v>
      </c>
      <c r="BJ99" s="106">
        <v>0</v>
      </c>
      <c r="BK99" s="106">
        <v>0</v>
      </c>
      <c r="BL99" s="106">
        <v>0</v>
      </c>
      <c r="BM99" s="106">
        <v>0</v>
      </c>
      <c r="BN99" s="106">
        <v>0</v>
      </c>
      <c r="BO99" s="106">
        <v>0</v>
      </c>
      <c r="BP99" s="106">
        <v>0</v>
      </c>
      <c r="BQ99" s="106">
        <v>0</v>
      </c>
      <c r="BR99" s="106">
        <v>0</v>
      </c>
      <c r="BS99" s="106">
        <v>0</v>
      </c>
      <c r="BT99" s="106">
        <v>0</v>
      </c>
      <c r="BU99" s="106">
        <v>0</v>
      </c>
      <c r="BV99" s="106">
        <v>0</v>
      </c>
      <c r="BW99" s="106">
        <v>0</v>
      </c>
      <c r="BX99" s="106">
        <v>0</v>
      </c>
      <c r="BY99" s="106">
        <v>0</v>
      </c>
      <c r="BZ99" s="106">
        <v>0</v>
      </c>
      <c r="CA99" s="106">
        <v>0</v>
      </c>
      <c r="CB99" s="106">
        <v>0</v>
      </c>
      <c r="CC99" s="106">
        <v>0</v>
      </c>
      <c r="CD99" s="106">
        <v>0</v>
      </c>
      <c r="CE99" s="106">
        <v>0</v>
      </c>
      <c r="CF99" s="106">
        <v>0</v>
      </c>
      <c r="CG99" s="106">
        <v>0</v>
      </c>
      <c r="CH99" s="106">
        <v>0</v>
      </c>
      <c r="CI99" s="106">
        <v>0</v>
      </c>
      <c r="CJ99" s="106">
        <v>0</v>
      </c>
      <c r="CK99" s="106">
        <v>0</v>
      </c>
      <c r="CL99" s="106">
        <v>0</v>
      </c>
      <c r="CM99" s="106">
        <v>0</v>
      </c>
      <c r="CN99" s="106">
        <v>0</v>
      </c>
      <c r="CO99" s="106">
        <v>0</v>
      </c>
      <c r="CP99" s="106">
        <v>0</v>
      </c>
      <c r="CQ99" s="106">
        <v>0</v>
      </c>
      <c r="CR99" s="106">
        <v>0</v>
      </c>
      <c r="CS99" s="106">
        <v>0</v>
      </c>
      <c r="CT99" s="106">
        <v>0</v>
      </c>
      <c r="CU99" s="106">
        <v>0</v>
      </c>
    </row>
    <row r="100" spans="2:99" x14ac:dyDescent="0.2">
      <c r="C100" s="105" t="s">
        <v>265</v>
      </c>
      <c r="D100" s="106">
        <v>0</v>
      </c>
      <c r="E100" s="106">
        <v>0</v>
      </c>
      <c r="F100" s="106">
        <v>0</v>
      </c>
      <c r="G100" s="106">
        <v>0</v>
      </c>
      <c r="H100" s="106">
        <v>0</v>
      </c>
      <c r="I100" s="106">
        <v>0</v>
      </c>
      <c r="J100" s="106">
        <v>0</v>
      </c>
      <c r="K100" s="106">
        <v>0</v>
      </c>
      <c r="L100" s="106">
        <v>0</v>
      </c>
      <c r="M100" s="106">
        <v>0</v>
      </c>
      <c r="N100" s="106">
        <v>0</v>
      </c>
      <c r="O100" s="106">
        <v>0</v>
      </c>
      <c r="P100" s="106">
        <v>0</v>
      </c>
      <c r="Q100" s="106">
        <v>0</v>
      </c>
      <c r="R100" s="106">
        <v>0</v>
      </c>
      <c r="S100" s="106">
        <v>0</v>
      </c>
      <c r="T100" s="106">
        <v>0</v>
      </c>
      <c r="U100" s="106">
        <v>0</v>
      </c>
      <c r="V100" s="106">
        <v>0</v>
      </c>
      <c r="W100" s="106">
        <v>0</v>
      </c>
      <c r="X100" s="106">
        <v>0</v>
      </c>
      <c r="Y100" s="106">
        <v>0</v>
      </c>
      <c r="Z100" s="106">
        <v>0</v>
      </c>
      <c r="AA100" s="106">
        <v>0</v>
      </c>
      <c r="AB100" s="106">
        <v>0</v>
      </c>
      <c r="AC100" s="106">
        <v>0</v>
      </c>
      <c r="AD100" s="106">
        <v>0</v>
      </c>
      <c r="AE100" s="106">
        <v>0</v>
      </c>
      <c r="AF100" s="106">
        <v>0</v>
      </c>
      <c r="AG100" s="106">
        <v>0</v>
      </c>
      <c r="AH100" s="106">
        <v>0</v>
      </c>
      <c r="AI100" s="106">
        <v>0</v>
      </c>
      <c r="AJ100" s="106">
        <v>0</v>
      </c>
      <c r="AK100" s="106">
        <v>0</v>
      </c>
      <c r="AL100" s="106">
        <v>0</v>
      </c>
      <c r="AM100" s="106">
        <v>0</v>
      </c>
      <c r="AN100" s="106">
        <v>0</v>
      </c>
      <c r="AO100" s="106">
        <v>0</v>
      </c>
      <c r="AP100" s="106">
        <v>0</v>
      </c>
      <c r="AQ100" s="106">
        <v>0</v>
      </c>
      <c r="AR100" s="106">
        <v>0</v>
      </c>
      <c r="AS100" s="106">
        <v>0</v>
      </c>
      <c r="AT100" s="106">
        <v>0</v>
      </c>
      <c r="AU100" s="106">
        <v>0</v>
      </c>
      <c r="AV100" s="106">
        <v>0</v>
      </c>
      <c r="AW100" s="106">
        <v>0</v>
      </c>
      <c r="AX100" s="106">
        <v>0</v>
      </c>
      <c r="AY100" s="106">
        <v>0</v>
      </c>
      <c r="AZ100" s="106">
        <v>0</v>
      </c>
      <c r="BA100" s="106">
        <v>0</v>
      </c>
      <c r="BB100" s="106">
        <v>0</v>
      </c>
      <c r="BC100" s="106">
        <v>0</v>
      </c>
      <c r="BD100" s="106">
        <v>0</v>
      </c>
      <c r="BE100" s="106">
        <v>0</v>
      </c>
      <c r="BF100" s="106">
        <v>0</v>
      </c>
      <c r="BG100" s="106">
        <v>0</v>
      </c>
      <c r="BH100" s="106">
        <v>0</v>
      </c>
      <c r="BI100" s="106">
        <v>0</v>
      </c>
      <c r="BJ100" s="106">
        <v>0</v>
      </c>
      <c r="BK100" s="106">
        <v>0</v>
      </c>
      <c r="BL100" s="106">
        <v>0</v>
      </c>
      <c r="BM100" s="106">
        <v>0</v>
      </c>
      <c r="BN100" s="106">
        <v>0</v>
      </c>
      <c r="BO100" s="106">
        <v>0</v>
      </c>
      <c r="BP100" s="106">
        <v>0</v>
      </c>
      <c r="BQ100" s="106">
        <v>0</v>
      </c>
      <c r="BR100" s="106">
        <v>0</v>
      </c>
      <c r="BS100" s="106">
        <v>0</v>
      </c>
      <c r="BT100" s="106">
        <v>0</v>
      </c>
      <c r="BU100" s="106">
        <v>0</v>
      </c>
      <c r="BV100" s="106">
        <v>0</v>
      </c>
      <c r="BW100" s="106">
        <v>0</v>
      </c>
      <c r="BX100" s="106">
        <v>0</v>
      </c>
      <c r="BY100" s="106">
        <v>0</v>
      </c>
      <c r="BZ100" s="106">
        <v>0</v>
      </c>
      <c r="CA100" s="106">
        <v>0</v>
      </c>
      <c r="CB100" s="106">
        <v>0</v>
      </c>
      <c r="CC100" s="106">
        <v>0</v>
      </c>
      <c r="CD100" s="106">
        <v>0</v>
      </c>
      <c r="CE100" s="106">
        <v>0</v>
      </c>
      <c r="CF100" s="106">
        <v>0</v>
      </c>
      <c r="CG100" s="106">
        <v>0</v>
      </c>
      <c r="CH100" s="106">
        <v>0</v>
      </c>
      <c r="CI100" s="106">
        <v>0</v>
      </c>
      <c r="CJ100" s="106">
        <v>0</v>
      </c>
      <c r="CK100" s="106">
        <v>0</v>
      </c>
      <c r="CL100" s="106">
        <v>0</v>
      </c>
      <c r="CM100" s="106">
        <v>0</v>
      </c>
      <c r="CN100" s="106">
        <v>0</v>
      </c>
      <c r="CO100" s="106">
        <v>0</v>
      </c>
      <c r="CP100" s="106">
        <v>0</v>
      </c>
      <c r="CQ100" s="106">
        <v>0</v>
      </c>
      <c r="CR100" s="106">
        <v>0</v>
      </c>
      <c r="CS100" s="106">
        <v>0</v>
      </c>
      <c r="CT100" s="106">
        <v>0</v>
      </c>
      <c r="CU100" s="106">
        <v>0</v>
      </c>
    </row>
    <row r="101" spans="2:99" x14ac:dyDescent="0.2">
      <c r="C101" s="105" t="s">
        <v>266</v>
      </c>
      <c r="D101" s="106">
        <v>0</v>
      </c>
      <c r="E101" s="106">
        <v>0</v>
      </c>
      <c r="F101" s="106">
        <v>0</v>
      </c>
      <c r="G101" s="106">
        <v>0</v>
      </c>
      <c r="H101" s="106">
        <v>0</v>
      </c>
      <c r="I101" s="106">
        <v>0</v>
      </c>
      <c r="J101" s="106">
        <v>0</v>
      </c>
      <c r="K101" s="106">
        <v>0</v>
      </c>
      <c r="L101" s="106">
        <v>0</v>
      </c>
      <c r="M101" s="106">
        <v>0</v>
      </c>
      <c r="N101" s="106">
        <v>0</v>
      </c>
      <c r="O101" s="106">
        <v>0</v>
      </c>
      <c r="P101" s="106">
        <v>0</v>
      </c>
      <c r="Q101" s="106">
        <v>0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0</v>
      </c>
      <c r="AW101" s="106">
        <v>0</v>
      </c>
      <c r="AX101" s="106">
        <v>0</v>
      </c>
      <c r="AY101" s="106">
        <v>0</v>
      </c>
      <c r="AZ101" s="106">
        <v>0</v>
      </c>
      <c r="BA101" s="106">
        <v>0</v>
      </c>
      <c r="BB101" s="106">
        <v>0</v>
      </c>
      <c r="BC101" s="106">
        <v>0</v>
      </c>
      <c r="BD101" s="106">
        <v>0</v>
      </c>
      <c r="BE101" s="106">
        <v>0</v>
      </c>
      <c r="BF101" s="106">
        <v>0</v>
      </c>
      <c r="BG101" s="106">
        <v>0</v>
      </c>
      <c r="BH101" s="106">
        <v>0</v>
      </c>
      <c r="BI101" s="106">
        <v>0</v>
      </c>
      <c r="BJ101" s="106">
        <v>0</v>
      </c>
      <c r="BK101" s="106">
        <v>0</v>
      </c>
      <c r="BL101" s="106">
        <v>0</v>
      </c>
      <c r="BM101" s="106">
        <v>0</v>
      </c>
      <c r="BN101" s="106">
        <v>0</v>
      </c>
      <c r="BO101" s="106">
        <v>0</v>
      </c>
      <c r="BP101" s="106">
        <v>0</v>
      </c>
      <c r="BQ101" s="106">
        <v>0</v>
      </c>
      <c r="BR101" s="106">
        <v>0</v>
      </c>
      <c r="BS101" s="106">
        <v>0</v>
      </c>
      <c r="BT101" s="106">
        <v>0</v>
      </c>
      <c r="BU101" s="106">
        <v>0</v>
      </c>
      <c r="BV101" s="106">
        <v>0</v>
      </c>
      <c r="BW101" s="106">
        <v>0</v>
      </c>
      <c r="BX101" s="106">
        <v>0</v>
      </c>
      <c r="BY101" s="106">
        <v>0</v>
      </c>
      <c r="BZ101" s="106">
        <v>0</v>
      </c>
      <c r="CA101" s="106">
        <v>0</v>
      </c>
      <c r="CB101" s="106">
        <v>0</v>
      </c>
      <c r="CC101" s="106">
        <v>0</v>
      </c>
      <c r="CD101" s="106">
        <v>0</v>
      </c>
      <c r="CE101" s="106">
        <v>0</v>
      </c>
      <c r="CF101" s="106">
        <v>0</v>
      </c>
      <c r="CG101" s="106">
        <v>0</v>
      </c>
      <c r="CH101" s="106">
        <v>0</v>
      </c>
      <c r="CI101" s="106">
        <v>0</v>
      </c>
      <c r="CJ101" s="106">
        <v>0</v>
      </c>
      <c r="CK101" s="106">
        <v>0</v>
      </c>
      <c r="CL101" s="106">
        <v>0</v>
      </c>
      <c r="CM101" s="106">
        <v>0</v>
      </c>
      <c r="CN101" s="106">
        <v>0</v>
      </c>
      <c r="CO101" s="106">
        <v>0</v>
      </c>
      <c r="CP101" s="106">
        <v>0</v>
      </c>
      <c r="CQ101" s="106">
        <v>0</v>
      </c>
      <c r="CR101" s="106">
        <v>0</v>
      </c>
      <c r="CS101" s="106">
        <v>0</v>
      </c>
      <c r="CT101" s="106">
        <v>0</v>
      </c>
      <c r="CU101" s="106">
        <v>0</v>
      </c>
    </row>
    <row r="102" spans="2:99" x14ac:dyDescent="0.2">
      <c r="C102" s="105" t="s">
        <v>267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  <c r="AZ102" s="106">
        <v>0</v>
      </c>
      <c r="BA102" s="106">
        <v>0</v>
      </c>
      <c r="BB102" s="106">
        <v>0</v>
      </c>
      <c r="BC102" s="106">
        <v>0</v>
      </c>
      <c r="BD102" s="106">
        <v>0</v>
      </c>
      <c r="BE102" s="106">
        <v>0</v>
      </c>
      <c r="BF102" s="106">
        <v>0</v>
      </c>
      <c r="BG102" s="106">
        <v>0</v>
      </c>
      <c r="BH102" s="106">
        <v>0</v>
      </c>
      <c r="BI102" s="106">
        <v>0</v>
      </c>
      <c r="BJ102" s="106">
        <v>0</v>
      </c>
      <c r="BK102" s="106">
        <v>0</v>
      </c>
      <c r="BL102" s="106">
        <v>0</v>
      </c>
      <c r="BM102" s="106">
        <v>0</v>
      </c>
      <c r="BN102" s="106">
        <v>0</v>
      </c>
      <c r="BO102" s="106">
        <v>0</v>
      </c>
      <c r="BP102" s="106">
        <v>0</v>
      </c>
      <c r="BQ102" s="106">
        <v>0</v>
      </c>
      <c r="BR102" s="106">
        <v>0</v>
      </c>
      <c r="BS102" s="106">
        <v>0</v>
      </c>
      <c r="BT102" s="106">
        <v>0</v>
      </c>
      <c r="BU102" s="106">
        <v>0</v>
      </c>
      <c r="BV102" s="106">
        <v>0</v>
      </c>
      <c r="BW102" s="106">
        <v>0</v>
      </c>
      <c r="BX102" s="106">
        <v>0</v>
      </c>
      <c r="BY102" s="106">
        <v>0</v>
      </c>
      <c r="BZ102" s="106">
        <v>0</v>
      </c>
      <c r="CA102" s="106">
        <v>0</v>
      </c>
      <c r="CB102" s="106">
        <v>0</v>
      </c>
      <c r="CC102" s="106">
        <v>0</v>
      </c>
      <c r="CD102" s="106">
        <v>0</v>
      </c>
      <c r="CE102" s="106">
        <v>0</v>
      </c>
      <c r="CF102" s="106">
        <v>0</v>
      </c>
      <c r="CG102" s="106">
        <v>0</v>
      </c>
      <c r="CH102" s="106">
        <v>0</v>
      </c>
      <c r="CI102" s="106">
        <v>0</v>
      </c>
      <c r="CJ102" s="106">
        <v>0</v>
      </c>
      <c r="CK102" s="106">
        <v>0</v>
      </c>
      <c r="CL102" s="106">
        <v>0</v>
      </c>
      <c r="CM102" s="106">
        <v>0</v>
      </c>
      <c r="CN102" s="106">
        <v>0</v>
      </c>
      <c r="CO102" s="106">
        <v>0</v>
      </c>
      <c r="CP102" s="106">
        <v>0</v>
      </c>
      <c r="CQ102" s="106">
        <v>0</v>
      </c>
      <c r="CR102" s="106">
        <v>0</v>
      </c>
      <c r="CS102" s="106">
        <v>0</v>
      </c>
      <c r="CT102" s="106">
        <v>0</v>
      </c>
      <c r="CU102" s="106">
        <v>0</v>
      </c>
    </row>
    <row r="103" spans="2:99" x14ac:dyDescent="0.2">
      <c r="C103" s="105" t="s">
        <v>268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  <c r="AZ103" s="106">
        <v>0</v>
      </c>
      <c r="BA103" s="106">
        <v>0</v>
      </c>
      <c r="BB103" s="106">
        <v>0</v>
      </c>
      <c r="BC103" s="106">
        <v>0</v>
      </c>
      <c r="BD103" s="106">
        <v>0</v>
      </c>
      <c r="BE103" s="106">
        <v>0</v>
      </c>
      <c r="BF103" s="106">
        <v>0</v>
      </c>
      <c r="BG103" s="106">
        <v>0</v>
      </c>
      <c r="BH103" s="106">
        <v>0</v>
      </c>
      <c r="BI103" s="106">
        <v>0</v>
      </c>
      <c r="BJ103" s="106">
        <v>0</v>
      </c>
      <c r="BK103" s="106">
        <v>0</v>
      </c>
      <c r="BL103" s="106">
        <v>0</v>
      </c>
      <c r="BM103" s="106">
        <v>0</v>
      </c>
      <c r="BN103" s="106">
        <v>0</v>
      </c>
      <c r="BO103" s="106">
        <v>0</v>
      </c>
      <c r="BP103" s="106">
        <v>0</v>
      </c>
      <c r="BQ103" s="106">
        <v>0</v>
      </c>
      <c r="BR103" s="106">
        <v>0</v>
      </c>
      <c r="BS103" s="106">
        <v>0</v>
      </c>
      <c r="BT103" s="106">
        <v>0</v>
      </c>
      <c r="BU103" s="106">
        <v>0</v>
      </c>
      <c r="BV103" s="106">
        <v>0</v>
      </c>
      <c r="BW103" s="106">
        <v>0</v>
      </c>
      <c r="BX103" s="106">
        <v>0</v>
      </c>
      <c r="BY103" s="106">
        <v>0</v>
      </c>
      <c r="BZ103" s="106">
        <v>0</v>
      </c>
      <c r="CA103" s="106">
        <v>0</v>
      </c>
      <c r="CB103" s="106">
        <v>0</v>
      </c>
      <c r="CC103" s="106">
        <v>0</v>
      </c>
      <c r="CD103" s="106">
        <v>0</v>
      </c>
      <c r="CE103" s="106">
        <v>0</v>
      </c>
      <c r="CF103" s="106">
        <v>0</v>
      </c>
      <c r="CG103" s="106">
        <v>0</v>
      </c>
      <c r="CH103" s="106">
        <v>0</v>
      </c>
      <c r="CI103" s="106">
        <v>0</v>
      </c>
      <c r="CJ103" s="106">
        <v>0</v>
      </c>
      <c r="CK103" s="106">
        <v>0</v>
      </c>
      <c r="CL103" s="106">
        <v>0</v>
      </c>
      <c r="CM103" s="106">
        <v>0</v>
      </c>
      <c r="CN103" s="106">
        <v>0</v>
      </c>
      <c r="CO103" s="106">
        <v>0</v>
      </c>
      <c r="CP103" s="106">
        <v>0</v>
      </c>
      <c r="CQ103" s="106">
        <v>0</v>
      </c>
      <c r="CR103" s="106">
        <v>0</v>
      </c>
      <c r="CS103" s="106">
        <v>0</v>
      </c>
      <c r="CT103" s="106">
        <v>0</v>
      </c>
      <c r="CU103" s="106">
        <v>0</v>
      </c>
    </row>
    <row r="104" spans="2:99" x14ac:dyDescent="0.2">
      <c r="C104" s="105" t="s">
        <v>269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  <c r="AZ104" s="106">
        <v>0</v>
      </c>
      <c r="BA104" s="106">
        <v>0</v>
      </c>
      <c r="BB104" s="106">
        <v>0</v>
      </c>
      <c r="BC104" s="106">
        <v>0</v>
      </c>
      <c r="BD104" s="106">
        <v>0</v>
      </c>
      <c r="BE104" s="106">
        <v>0</v>
      </c>
      <c r="BF104" s="106">
        <v>0</v>
      </c>
      <c r="BG104" s="106">
        <v>0</v>
      </c>
      <c r="BH104" s="106">
        <v>0</v>
      </c>
      <c r="BI104" s="106">
        <v>0</v>
      </c>
      <c r="BJ104" s="106">
        <v>0</v>
      </c>
      <c r="BK104" s="106">
        <v>0</v>
      </c>
      <c r="BL104" s="106">
        <v>0</v>
      </c>
      <c r="BM104" s="106">
        <v>0</v>
      </c>
      <c r="BN104" s="106">
        <v>0</v>
      </c>
      <c r="BO104" s="106">
        <v>0</v>
      </c>
      <c r="BP104" s="106">
        <v>0</v>
      </c>
      <c r="BQ104" s="106">
        <v>0</v>
      </c>
      <c r="BR104" s="106">
        <v>0</v>
      </c>
      <c r="BS104" s="106">
        <v>0</v>
      </c>
      <c r="BT104" s="106">
        <v>0</v>
      </c>
      <c r="BU104" s="106">
        <v>0</v>
      </c>
      <c r="BV104" s="106">
        <v>0</v>
      </c>
      <c r="BW104" s="106">
        <v>0</v>
      </c>
      <c r="BX104" s="106">
        <v>0</v>
      </c>
      <c r="BY104" s="106">
        <v>0</v>
      </c>
      <c r="BZ104" s="106">
        <v>0</v>
      </c>
      <c r="CA104" s="106">
        <v>0</v>
      </c>
      <c r="CB104" s="106">
        <v>0</v>
      </c>
      <c r="CC104" s="106">
        <v>0</v>
      </c>
      <c r="CD104" s="106">
        <v>0</v>
      </c>
      <c r="CE104" s="106">
        <v>0</v>
      </c>
      <c r="CF104" s="106">
        <v>0</v>
      </c>
      <c r="CG104" s="106">
        <v>0</v>
      </c>
      <c r="CH104" s="106">
        <v>0</v>
      </c>
      <c r="CI104" s="106">
        <v>0</v>
      </c>
      <c r="CJ104" s="106">
        <v>0</v>
      </c>
      <c r="CK104" s="106">
        <v>0</v>
      </c>
      <c r="CL104" s="106">
        <v>0</v>
      </c>
      <c r="CM104" s="106">
        <v>0</v>
      </c>
      <c r="CN104" s="106">
        <v>0</v>
      </c>
      <c r="CO104" s="106">
        <v>0</v>
      </c>
      <c r="CP104" s="106">
        <v>0</v>
      </c>
      <c r="CQ104" s="106">
        <v>0</v>
      </c>
      <c r="CR104" s="106">
        <v>0</v>
      </c>
      <c r="CS104" s="106">
        <v>0</v>
      </c>
      <c r="CT104" s="106">
        <v>0</v>
      </c>
      <c r="CU104" s="106">
        <v>0</v>
      </c>
    </row>
    <row r="105" spans="2:99" x14ac:dyDescent="0.2">
      <c r="C105" s="105" t="s">
        <v>270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  <c r="AZ105" s="106">
        <v>0</v>
      </c>
      <c r="BA105" s="106">
        <v>0</v>
      </c>
      <c r="BB105" s="106">
        <v>0</v>
      </c>
      <c r="BC105" s="106">
        <v>0</v>
      </c>
      <c r="BD105" s="106">
        <v>0</v>
      </c>
      <c r="BE105" s="106">
        <v>0</v>
      </c>
      <c r="BF105" s="106">
        <v>0</v>
      </c>
      <c r="BG105" s="106">
        <v>0</v>
      </c>
      <c r="BH105" s="106">
        <v>0</v>
      </c>
      <c r="BI105" s="106">
        <v>0</v>
      </c>
      <c r="BJ105" s="106">
        <v>0</v>
      </c>
      <c r="BK105" s="106">
        <v>0</v>
      </c>
      <c r="BL105" s="106">
        <v>0</v>
      </c>
      <c r="BM105" s="106">
        <v>0</v>
      </c>
      <c r="BN105" s="106">
        <v>0</v>
      </c>
      <c r="BO105" s="106">
        <v>0</v>
      </c>
      <c r="BP105" s="106">
        <v>0</v>
      </c>
      <c r="BQ105" s="106">
        <v>0</v>
      </c>
      <c r="BR105" s="106">
        <v>0</v>
      </c>
      <c r="BS105" s="106">
        <v>0</v>
      </c>
      <c r="BT105" s="106">
        <v>0</v>
      </c>
      <c r="BU105" s="106">
        <v>0</v>
      </c>
      <c r="BV105" s="106">
        <v>0</v>
      </c>
      <c r="BW105" s="106">
        <v>0</v>
      </c>
      <c r="BX105" s="106">
        <v>0</v>
      </c>
      <c r="BY105" s="106">
        <v>0</v>
      </c>
      <c r="BZ105" s="106">
        <v>0</v>
      </c>
      <c r="CA105" s="106">
        <v>0</v>
      </c>
      <c r="CB105" s="106">
        <v>0</v>
      </c>
      <c r="CC105" s="106">
        <v>0</v>
      </c>
      <c r="CD105" s="106">
        <v>0</v>
      </c>
      <c r="CE105" s="106">
        <v>0</v>
      </c>
      <c r="CF105" s="106">
        <v>0</v>
      </c>
      <c r="CG105" s="106">
        <v>0</v>
      </c>
      <c r="CH105" s="106">
        <v>0</v>
      </c>
      <c r="CI105" s="106">
        <v>0</v>
      </c>
      <c r="CJ105" s="106">
        <v>0</v>
      </c>
      <c r="CK105" s="106">
        <v>0</v>
      </c>
      <c r="CL105" s="106">
        <v>0</v>
      </c>
      <c r="CM105" s="106">
        <v>0</v>
      </c>
      <c r="CN105" s="106">
        <v>0</v>
      </c>
      <c r="CO105" s="106">
        <v>0</v>
      </c>
      <c r="CP105" s="106">
        <v>0</v>
      </c>
      <c r="CQ105" s="106">
        <v>0</v>
      </c>
      <c r="CR105" s="106">
        <v>0</v>
      </c>
      <c r="CS105" s="106">
        <v>0</v>
      </c>
      <c r="CT105" s="106">
        <v>0</v>
      </c>
      <c r="CU105" s="106">
        <v>0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0</v>
      </c>
      <c r="E112" s="106">
        <f>SUM(L$49:L$70)+SUM(N$49:N$70)+SUM(P$49:P$70)+SUM(R$49:R$70)</f>
        <v>0</v>
      </c>
      <c r="F112" s="106">
        <f>SUM(T$49:T$70)+SUM(V$49:V$70)+SUM(X$49:X$70)+SUM(Z$49:Z$70)</f>
        <v>0</v>
      </c>
      <c r="G112" s="106">
        <f>SUM(AB$49:AB$70)+SUM(AD$49:AD$70)+SUM(AF$49:AF$70)+SUM(AH$49:AH$70)</f>
        <v>0</v>
      </c>
      <c r="H112" s="106">
        <f>SUM(AJ$49:AJ$70)+SUM(AL$49:AL$70)+SUM(AN$49:AN$70)+SUM(AP$49:AP$70)</f>
        <v>0</v>
      </c>
      <c r="I112" s="106">
        <f>SUM(AR$49:AR$70)+SUM(AT$49:AT$70)+SUM(AV$49:AV$70)+SUM(AX$49:AX$70)</f>
        <v>0</v>
      </c>
      <c r="J112" s="106">
        <f>SUM(AZ$49:AZ$70)+SUM(BB$49:BB$70)+SUM(BD$49:BD$70)+SUM(BF$49:BF$70)</f>
        <v>0</v>
      </c>
      <c r="K112" s="106">
        <f>SUM(BH$49:BH$70)+SUM(BJ$49:BJ$70)+SUM(BL$49:BL$70)+SUM(BN$49:BN$70)</f>
        <v>0</v>
      </c>
      <c r="L112" s="106">
        <f>SUM(BP$49:BP$70)+SUM(BR$49:BR$70)+SUM(BT$49:BT$70)+SUM(BV$49:BV$70)</f>
        <v>0</v>
      </c>
      <c r="M112" s="106">
        <f>SUM(BX$49:BX$70)+SUM(BZ$49:BZ$70)+SUM(CB$49:CB$70)+SUM(CD$49:CD$70)</f>
        <v>0</v>
      </c>
      <c r="N112" s="106">
        <f>SUM(CF$49:CF$70)+SUM(CH$49:CH$70)+SUM(CJ$49:CJ$70)+SUM(CL$49:CL$70)</f>
        <v>0</v>
      </c>
      <c r="O112" s="106">
        <f>SUM(CN$49:CN$70)+SUM(CP$49:CP$70)+SUM(CR$49:CR$70)+SUM(CT$49:CT$70)</f>
        <v>0</v>
      </c>
    </row>
    <row r="113" spans="2:15" x14ac:dyDescent="0.2">
      <c r="C113" s="105" t="s">
        <v>130</v>
      </c>
      <c r="D113" s="106">
        <f>SUM(D$71:D$86)+SUM(F$71:F$86)+SUM(H$71:H$86)+SUM(J$71:J$86)</f>
        <v>0</v>
      </c>
      <c r="E113" s="106">
        <f>SUM(L$71:L$86)+SUM(N$71:N$86)+SUM(P$71:P$86)+SUM(R$71:R$86)</f>
        <v>0</v>
      </c>
      <c r="F113" s="106">
        <f>SUM(T$71:T$86)+SUM(V$71:V$86)+SUM(X$71:X$86)+SUM(Z$71:Z$86)</f>
        <v>0</v>
      </c>
      <c r="G113" s="106">
        <f>SUM(AB$71:AB$86)+SUM(AD$71:AD$86)+SUM(AF$71:AF$86)+SUM(AH$71:AH$86)</f>
        <v>0</v>
      </c>
      <c r="H113" s="106">
        <f>SUM(AJ$71:AJ$86)+SUM(AL$71:AL$86)+SUM(AN$71:AN$86)+SUM(AP$71:AP$86)</f>
        <v>0</v>
      </c>
      <c r="I113" s="106">
        <f>SUM(AR$71:AR$86)+SUM(AT$71:AT$86)+SUM(AV$71:AV$86)+SUM(AX$71:AX$86)</f>
        <v>0</v>
      </c>
      <c r="J113" s="106">
        <f>SUM(AZ$71:AZ$86)+SUM(BB$71:BB$86)+SUM(BD$71:BD$86)+SUM(BF$71:BF$86)</f>
        <v>0</v>
      </c>
      <c r="K113" s="106">
        <f>SUM(BH$71:BH$86)+SUM(BJ$71:BJ$86)+SUM(BL$71:BL$86)+SUM(BN$71:BN$86)</f>
        <v>0</v>
      </c>
      <c r="L113" s="106">
        <f>SUM(BP$71:BP$86)+SUM(BR$71:BR$86)+SUM(BT$71:BT$86)+SUM(BV$71:BV$86)</f>
        <v>0</v>
      </c>
      <c r="M113" s="106">
        <f>SUM(BX$71:BX$86)+SUM(BZ$71:BZ$86)+SUM(CB$71:CB$86)+SUM(CD$71:CD$86)</f>
        <v>0</v>
      </c>
      <c r="N113" s="106">
        <f>SUM(CF$71:CF$86)+SUM(CH$71:CH$86)+SUM(CJ$71:CJ$86)+SUM(CL$71:CL$86)</f>
        <v>0</v>
      </c>
      <c r="O113" s="106">
        <f>SUM(CN$71:CN$86)+SUM(CP$71:CP$86)+SUM(CR$71:CR$86)+SUM(CT$71:CT$86)</f>
        <v>0</v>
      </c>
    </row>
    <row r="114" spans="2:15" x14ac:dyDescent="0.2">
      <c r="C114" s="105" t="s">
        <v>131</v>
      </c>
      <c r="D114" s="106">
        <f>SUM(D$87:D$94)+SUM(F$87:F$94)+SUM(H$87:H$94)+SUM(J$87:J$94)</f>
        <v>0</v>
      </c>
      <c r="E114" s="106">
        <f>SUM(L$87:L$94)+SUM(N$87:N$94)+SUM(P$87:P$94)+SUM(R$87:R$94)</f>
        <v>0</v>
      </c>
      <c r="F114" s="106">
        <f>SUM(T$87:T$94)+SUM(V$87:V$94)+SUM(X$87:X$94)+SUM(Z$87:Z$94)</f>
        <v>0</v>
      </c>
      <c r="G114" s="106">
        <f>SUM(AB$87:AB$94)+SUM(AD$87:AD$94)+SUM(AF$87:AF$94)+SUM(AH$87:AH$94)</f>
        <v>0</v>
      </c>
      <c r="H114" s="106">
        <f>SUM(AJ$87:AJ$94)+SUM(AL$87:AL$94)+SUM(AN$87:AN$94)+SUM(AP$87:AP$94)</f>
        <v>0</v>
      </c>
      <c r="I114" s="106">
        <f>SUM(AR$87:AR$94)+SUM(AT$87:AT$94)+SUM(AV$87:AV$94)+SUM(AX$87:AX$94)</f>
        <v>0</v>
      </c>
      <c r="J114" s="106">
        <f>SUM(AZ$87:AZ$94)+SUM(BB$87:BB$94)+SUM(BD$87:BD$94)+SUM(BF$87:BF$94)</f>
        <v>0</v>
      </c>
      <c r="K114" s="106">
        <f>SUM(BH$87:BH$94)+SUM(BJ$87:BJ$94)+SUM(BL$87:BL$94)+SUM(BN$87:BN$94)</f>
        <v>0</v>
      </c>
      <c r="L114" s="106">
        <f>SUM(BP$87:BP$94)+SUM(BR$87:BR$94)+SUM(BT$87:BT$94)+SUM(BV$87:BV$94)</f>
        <v>0</v>
      </c>
      <c r="M114" s="106">
        <f>SUM(BX$87:BX$94)+SUM(BZ$87:BZ$94)+SUM(CB$87:CB$94)+SUM(CD$87:CD$94)</f>
        <v>0</v>
      </c>
      <c r="N114" s="106">
        <f>SUM(CF$87:CF$94)+SUM(CH$87:CH$94)+SUM(CJ$87:CJ$94)+SUM(CL$87:CL$94)</f>
        <v>0</v>
      </c>
      <c r="O114" s="106">
        <f>SUM(CN$87:CN$94)+SUM(CP$87:CP$94)+SUM(CR$87:CR$94)+SUM(CT$87:CT$94)</f>
        <v>0</v>
      </c>
    </row>
    <row r="115" spans="2:15" x14ac:dyDescent="0.2">
      <c r="C115" s="105" t="s">
        <v>132</v>
      </c>
      <c r="D115" s="106">
        <f>SUM(D$95:D$105)+SUM(F$95:F$105)+SUM(H$95:H$105)+SUM(J$95:J$105)</f>
        <v>0</v>
      </c>
      <c r="E115" s="106">
        <f>SUM(L$95:L$105)+SUM(N$95:N$105)+SUM(P$95:P$105)+SUM(R$95:R$105)</f>
        <v>0</v>
      </c>
      <c r="F115" s="106">
        <f>SUM(T$95:T$105)+SUM(V$95:V$105)+SUM(X$95:X$105)+SUM(Z$95:Z$105)</f>
        <v>0</v>
      </c>
      <c r="G115" s="106">
        <f>SUM(AB$95:AB$105)+SUM(AD$95:AD$105)+SUM(AF$95:AF$105)+SUM(AH$95:AH$105)</f>
        <v>0</v>
      </c>
      <c r="H115" s="106">
        <f>SUM(AJ$95:AJ$105)+SUM(AL$95:AL$105)+SUM(AN$95:AN$105)+SUM(AP$95:AP$105)</f>
        <v>0</v>
      </c>
      <c r="I115" s="106">
        <f>SUM(AR$95:AR$105)+SUM(AT$95:AT$105)+SUM(AV$95:AV$105)+SUM(AX$95:AX$105)</f>
        <v>0</v>
      </c>
      <c r="J115" s="106">
        <f>SUM(AZ$95:AZ$105)+SUM(BB$95:BB$105)+SUM(BD$95:BD$105)+SUM(BF$95:BF$105)</f>
        <v>0</v>
      </c>
      <c r="K115" s="106">
        <f>SUM(BH$95:BH$105)+SUM(BJ$95:BJ$105)+SUM(BL$95:BL$105)+SUM(BN$95:BN$105)</f>
        <v>0</v>
      </c>
      <c r="L115" s="106">
        <f>SUM(BP$95:BP$105)+SUM(BR$95:BR$105)+SUM(BT$95:BT$105)+SUM(BV$95:BV$105)</f>
        <v>0</v>
      </c>
      <c r="M115" s="106">
        <f>SUM(BX$95:BX$105)+SUM(BZ$95:BZ$105)+SUM(CB$95:CB$105)+SUM(CD$95:CD$105)</f>
        <v>0</v>
      </c>
      <c r="N115" s="106">
        <f>SUM(CF$95:CF$105)+SUM(CH$95:CH$105)+SUM(CJ$95:CJ$105)+SUM(CL$95:CL$105)</f>
        <v>0</v>
      </c>
      <c r="O115" s="106">
        <f>SUM(CN$95:CN$105)+SUM(CP$95:CP$105)+SUM(CR$95:CR$105)+SUM(CT$95:CT$105)</f>
        <v>0</v>
      </c>
    </row>
    <row r="116" spans="2:15" x14ac:dyDescent="0.2">
      <c r="C116" s="105" t="s">
        <v>277</v>
      </c>
      <c r="D116" s="106">
        <f t="shared" ref="D116:O116" si="0">SUM(D$109:D$115)</f>
        <v>0</v>
      </c>
      <c r="E116" s="106">
        <f t="shared" si="0"/>
        <v>0</v>
      </c>
      <c r="F116" s="106">
        <f t="shared" si="0"/>
        <v>0</v>
      </c>
      <c r="G116" s="106">
        <f t="shared" si="0"/>
        <v>0</v>
      </c>
      <c r="H116" s="106">
        <f t="shared" si="0"/>
        <v>0</v>
      </c>
      <c r="I116" s="106">
        <f t="shared" si="0"/>
        <v>0</v>
      </c>
      <c r="J116" s="106">
        <f t="shared" si="0"/>
        <v>0</v>
      </c>
      <c r="K116" s="106">
        <f t="shared" si="0"/>
        <v>0</v>
      </c>
      <c r="L116" s="106">
        <f t="shared" si="0"/>
        <v>0</v>
      </c>
      <c r="M116" s="106">
        <f t="shared" si="0"/>
        <v>0</v>
      </c>
      <c r="N116" s="106">
        <f t="shared" si="0"/>
        <v>0</v>
      </c>
      <c r="O116" s="106">
        <f t="shared" si="0"/>
        <v>0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0</v>
      </c>
      <c r="E120" s="106">
        <f>E109*pricing!E33*2000</f>
        <v>0</v>
      </c>
      <c r="F120" s="106">
        <f>F109*pricing!F33*2000</f>
        <v>0</v>
      </c>
      <c r="G120" s="106">
        <f>G109*pricing!G33*2000</f>
        <v>0</v>
      </c>
      <c r="H120" s="106">
        <f>H109*pricing!H33*2000</f>
        <v>0</v>
      </c>
      <c r="I120" s="106">
        <f>I109*pricing!I33*2000</f>
        <v>0</v>
      </c>
      <c r="J120" s="106">
        <f>J109*pricing!J33*2000</f>
        <v>0</v>
      </c>
      <c r="K120" s="106">
        <f>K109*pricing!K33*2000</f>
        <v>0</v>
      </c>
      <c r="L120" s="106">
        <f>L109*pricing!L33*2000</f>
        <v>0</v>
      </c>
      <c r="M120" s="106">
        <f>M109*pricing!M33*2000</f>
        <v>0</v>
      </c>
      <c r="N120" s="106">
        <f>N109*pricing!N33*2000</f>
        <v>0</v>
      </c>
      <c r="O120" s="106">
        <f>O109*pricing!O33*2000</f>
        <v>0</v>
      </c>
    </row>
    <row r="121" spans="2:15" x14ac:dyDescent="0.2">
      <c r="C121" s="105" t="s">
        <v>127</v>
      </c>
      <c r="D121" s="106">
        <f>D110*pricing!D34*2000</f>
        <v>0</v>
      </c>
      <c r="E121" s="106">
        <f>E110*pricing!E34*2000</f>
        <v>0</v>
      </c>
      <c r="F121" s="106">
        <f>F110*pricing!F34*2000</f>
        <v>0</v>
      </c>
      <c r="G121" s="106">
        <f>G110*pricing!G34*2000</f>
        <v>0</v>
      </c>
      <c r="H121" s="106">
        <f>H110*pricing!H34*2000</f>
        <v>0</v>
      </c>
      <c r="I121" s="106">
        <f>I110*pricing!I34*2000</f>
        <v>0</v>
      </c>
      <c r="J121" s="106">
        <f>J110*pricing!J34*2000</f>
        <v>0</v>
      </c>
      <c r="K121" s="106">
        <f>K110*pricing!K34*2000</f>
        <v>0</v>
      </c>
      <c r="L121" s="106">
        <f>L110*pricing!L34*2000</f>
        <v>0</v>
      </c>
      <c r="M121" s="106">
        <f>M110*pricing!M34*2000</f>
        <v>0</v>
      </c>
      <c r="N121" s="106">
        <f>N110*pricing!N34*2000</f>
        <v>0</v>
      </c>
      <c r="O121" s="106">
        <f>O110*pricing!O34*2000</f>
        <v>0</v>
      </c>
    </row>
    <row r="122" spans="2:15" x14ac:dyDescent="0.2">
      <c r="C122" s="105" t="s">
        <v>128</v>
      </c>
      <c r="D122" s="106">
        <f>D111*pricing!D35*2000</f>
        <v>0</v>
      </c>
      <c r="E122" s="106">
        <f>E111*pricing!E35*2000</f>
        <v>0</v>
      </c>
      <c r="F122" s="106">
        <f>F111*pricing!F35*2000</f>
        <v>0</v>
      </c>
      <c r="G122" s="106">
        <f>G111*pricing!G35*2000</f>
        <v>0</v>
      </c>
      <c r="H122" s="106">
        <f>H111*pricing!H35*2000</f>
        <v>0</v>
      </c>
      <c r="I122" s="106">
        <f>I111*pricing!I35*2000</f>
        <v>0</v>
      </c>
      <c r="J122" s="106">
        <f>J111*pricing!J35*2000</f>
        <v>0</v>
      </c>
      <c r="K122" s="106">
        <f>K111*pricing!K35*2000</f>
        <v>0</v>
      </c>
      <c r="L122" s="106">
        <f>L111*pricing!L35*2000</f>
        <v>0</v>
      </c>
      <c r="M122" s="106">
        <f>M111*pricing!M35*2000</f>
        <v>0</v>
      </c>
      <c r="N122" s="106">
        <f>N111*pricing!N35*2000</f>
        <v>0</v>
      </c>
      <c r="O122" s="106">
        <f>O111*pricing!O35*2000</f>
        <v>0</v>
      </c>
    </row>
    <row r="123" spans="2:15" x14ac:dyDescent="0.2">
      <c r="C123" s="105" t="s">
        <v>129</v>
      </c>
      <c r="D123" s="106">
        <f>D112*pricing!D36*2000</f>
        <v>0</v>
      </c>
      <c r="E123" s="106">
        <f>E112*pricing!E36*2000</f>
        <v>0</v>
      </c>
      <c r="F123" s="106">
        <f>F112*pricing!F36*2000</f>
        <v>0</v>
      </c>
      <c r="G123" s="106">
        <f>G112*pricing!G36*2000</f>
        <v>0</v>
      </c>
      <c r="H123" s="106">
        <f>H112*pricing!H36*2000</f>
        <v>0</v>
      </c>
      <c r="I123" s="106">
        <f>I112*pricing!I36*2000</f>
        <v>0</v>
      </c>
      <c r="J123" s="106">
        <f>J112*pricing!J36*2000</f>
        <v>0</v>
      </c>
      <c r="K123" s="106">
        <f>K112*pricing!K36*2000</f>
        <v>0</v>
      </c>
      <c r="L123" s="106">
        <f>L112*pricing!L36*2000</f>
        <v>0</v>
      </c>
      <c r="M123" s="106">
        <f>M112*pricing!M36*2000</f>
        <v>0</v>
      </c>
      <c r="N123" s="106">
        <f>N112*pricing!N36*2000</f>
        <v>0</v>
      </c>
      <c r="O123" s="106">
        <f>O112*pricing!O36*2000</f>
        <v>0</v>
      </c>
    </row>
    <row r="124" spans="2:15" x14ac:dyDescent="0.2">
      <c r="C124" s="105" t="s">
        <v>130</v>
      </c>
      <c r="D124" s="106">
        <f>D113*pricing!D37*2000</f>
        <v>0</v>
      </c>
      <c r="E124" s="106">
        <f>E113*pricing!E37*2000</f>
        <v>0</v>
      </c>
      <c r="F124" s="106">
        <f>F113*pricing!F37*2000</f>
        <v>0</v>
      </c>
      <c r="G124" s="106">
        <f>G113*pricing!G37*2000</f>
        <v>0</v>
      </c>
      <c r="H124" s="106">
        <f>H113*pricing!H37*2000</f>
        <v>0</v>
      </c>
      <c r="I124" s="106">
        <f>I113*pricing!I37*2000</f>
        <v>0</v>
      </c>
      <c r="J124" s="106">
        <f>J113*pricing!J37*2000</f>
        <v>0</v>
      </c>
      <c r="K124" s="106">
        <f>K113*pricing!K37*2000</f>
        <v>0</v>
      </c>
      <c r="L124" s="106">
        <f>L113*pricing!L37*2000</f>
        <v>0</v>
      </c>
      <c r="M124" s="106">
        <f>M113*pricing!M37*2000</f>
        <v>0</v>
      </c>
      <c r="N124" s="106">
        <f>N113*pricing!N37*2000</f>
        <v>0</v>
      </c>
      <c r="O124" s="106">
        <f>O113*pricing!O37*2000</f>
        <v>0</v>
      </c>
    </row>
    <row r="125" spans="2:15" x14ac:dyDescent="0.2">
      <c r="C125" s="105" t="s">
        <v>131</v>
      </c>
      <c r="D125" s="106">
        <f>D114*pricing!D38*2000</f>
        <v>0</v>
      </c>
      <c r="E125" s="106">
        <f>E114*pricing!E38*2000</f>
        <v>0</v>
      </c>
      <c r="F125" s="106">
        <f>F114*pricing!F38*2000</f>
        <v>0</v>
      </c>
      <c r="G125" s="106">
        <f>G114*pricing!G38*2000</f>
        <v>0</v>
      </c>
      <c r="H125" s="106">
        <f>H114*pricing!H38*2000</f>
        <v>0</v>
      </c>
      <c r="I125" s="106">
        <f>I114*pricing!I38*2000</f>
        <v>0</v>
      </c>
      <c r="J125" s="106">
        <f>J114*pricing!J38*2000</f>
        <v>0</v>
      </c>
      <c r="K125" s="106">
        <f>K114*pricing!K38*2000</f>
        <v>0</v>
      </c>
      <c r="L125" s="106">
        <f>L114*pricing!L38*2000</f>
        <v>0</v>
      </c>
      <c r="M125" s="106">
        <f>M114*pricing!M38*2000</f>
        <v>0</v>
      </c>
      <c r="N125" s="106">
        <f>N114*pricing!N38*2000</f>
        <v>0</v>
      </c>
      <c r="O125" s="106">
        <f>O114*pricing!O38*2000</f>
        <v>0</v>
      </c>
    </row>
    <row r="126" spans="2:15" x14ac:dyDescent="0.2">
      <c r="C126" s="105" t="s">
        <v>132</v>
      </c>
      <c r="D126" s="106">
        <f>D115*pricing!D39*2000</f>
        <v>0</v>
      </c>
      <c r="E126" s="106">
        <f>E115*pricing!E39*2000</f>
        <v>0</v>
      </c>
      <c r="F126" s="106">
        <f>F115*pricing!F39*2000</f>
        <v>0</v>
      </c>
      <c r="G126" s="106">
        <f>G115*pricing!G39*2000</f>
        <v>0</v>
      </c>
      <c r="H126" s="106">
        <f>H115*pricing!H39*2000</f>
        <v>0</v>
      </c>
      <c r="I126" s="106">
        <f>I115*pricing!I39*2000</f>
        <v>0</v>
      </c>
      <c r="J126" s="106">
        <f>J115*pricing!J39*2000</f>
        <v>0</v>
      </c>
      <c r="K126" s="106">
        <f>K115*pricing!K39*2000</f>
        <v>0</v>
      </c>
      <c r="L126" s="106">
        <f>L115*pricing!L39*2000</f>
        <v>0</v>
      </c>
      <c r="M126" s="106">
        <f>M115*pricing!M39*2000</f>
        <v>0</v>
      </c>
      <c r="N126" s="106">
        <f>N115*pricing!N39*2000</f>
        <v>0</v>
      </c>
      <c r="O126" s="106">
        <f>O115*pricing!O39*2000</f>
        <v>0</v>
      </c>
    </row>
    <row r="127" spans="2:15" x14ac:dyDescent="0.2">
      <c r="C127" s="105" t="s">
        <v>277</v>
      </c>
      <c r="D127" s="106">
        <f>SUM(D$120:D$126)</f>
        <v>0</v>
      </c>
      <c r="E127" s="106">
        <f t="shared" ref="E127:O127" si="1">SUM(E$120:E$126)</f>
        <v>0</v>
      </c>
      <c r="F127" s="106">
        <f t="shared" si="1"/>
        <v>0</v>
      </c>
      <c r="G127" s="106">
        <f t="shared" si="1"/>
        <v>0</v>
      </c>
      <c r="H127" s="106">
        <f t="shared" si="1"/>
        <v>0</v>
      </c>
      <c r="I127" s="106">
        <f t="shared" si="1"/>
        <v>0</v>
      </c>
      <c r="J127" s="106">
        <f t="shared" si="1"/>
        <v>0</v>
      </c>
      <c r="K127" s="106">
        <f t="shared" si="1"/>
        <v>0</v>
      </c>
      <c r="L127" s="106">
        <f t="shared" si="1"/>
        <v>0</v>
      </c>
      <c r="M127" s="106">
        <f t="shared" si="1"/>
        <v>0</v>
      </c>
      <c r="N127" s="106">
        <f t="shared" si="1"/>
        <v>0</v>
      </c>
      <c r="O127" s="106">
        <f t="shared" si="1"/>
        <v>0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0</v>
      </c>
      <c r="E134" s="112">
        <f>SUM(M$49:M$70)+SUM(O$49:O$70)+SUM(Q$49:Q$70)+SUM(S$49:S$70)</f>
        <v>0</v>
      </c>
      <c r="F134" s="112">
        <f>SUM(U$49:U$70)+SUM(W$49:W$70)+SUM(Y$49:Y$70)+SUM(AA$49:AA$70)</f>
        <v>0</v>
      </c>
      <c r="G134" s="112">
        <f>SUM(AC$49:AC$70)+SUM(AE$49:AE$70)+SUM(AG$49:AG$70)+SUM(AI$49:AI$70)</f>
        <v>0</v>
      </c>
      <c r="H134" s="112">
        <f>SUM(AK$49:AK$70)+SUM(AM$49:AM$70)+SUM(AO$49:AO$70)+SUM(AQ$49:AQ$70)</f>
        <v>0</v>
      </c>
      <c r="I134" s="112">
        <f>SUM(AS$49:AS$70)+SUM(AU$49:AU$70)+SUM(AW$49:AW$70)+SUM(AY$49:AY$70)</f>
        <v>0</v>
      </c>
      <c r="J134" s="112">
        <f>SUM(BA$49:BA$70)+SUM(BC$49:BC$70)+SUM(BE$49:BE$70)+SUM(BG$49:BG$70)</f>
        <v>0</v>
      </c>
      <c r="K134" s="112">
        <f>SUM(BI$49:BI$70)+SUM(BK$49:BK$70)+SUM(BM$49:BM$70)+SUM(BO$49:BO$70)</f>
        <v>0</v>
      </c>
      <c r="L134" s="112">
        <f>SUM(BQ$49:BQ$70)+SUM(BS$49:BS$70)+SUM(BU$49:BU$70)+SUM(BW$49:BW$70)</f>
        <v>0</v>
      </c>
      <c r="M134" s="112">
        <f>SUM(BY$49:BY$70)+SUM(CA$49:CA$70)+SUM(CC$49:CC$70)+SUM(CE$49:CE$70)</f>
        <v>0</v>
      </c>
      <c r="N134" s="112">
        <f>SUM(CG$49:CG$70)+SUM(CI$49:CI$70)+SUM(CK$49:CK$70)+SUM(CM$49:CM$70)</f>
        <v>0</v>
      </c>
      <c r="O134" s="112">
        <f>SUM(CO$49:CO$70)+SUM(CQ$49:CQ$70)+SUM(CS$49:CS$70)+SUM(CU$49:CU$70)</f>
        <v>0</v>
      </c>
    </row>
    <row r="135" spans="2:15" x14ac:dyDescent="0.2">
      <c r="C135" s="111" t="s">
        <v>130</v>
      </c>
      <c r="D135" s="112">
        <f>SUM(E$71:E$86)+SUM(G$71:G$86)+SUM(I$71:I$86)+SUM(K$71:K$86)</f>
        <v>0</v>
      </c>
      <c r="E135" s="112">
        <f>SUM(M$71:M$86)+SUM(O$71:O$86)+SUM(Q$71:Q$86)+SUM(S$71:S$86)</f>
        <v>0</v>
      </c>
      <c r="F135" s="112">
        <f>SUM(U$71:U$86)+SUM(W$71:W$86)+SUM(Y$71:Y$86)+SUM(AA$71:AA$86)</f>
        <v>0</v>
      </c>
      <c r="G135" s="112">
        <f>SUM(AC$71:AC$86)+SUM(AE$71:AE$86)+SUM(AG$71:AG$86)+SUM(AI$71:AI$86)</f>
        <v>0</v>
      </c>
      <c r="H135" s="112">
        <f>SUM(AK$71:AK$86)+SUM(AM$71:AM$86)+SUM(AO$71:AO$86)+SUM(AQ$71:AQ$86)</f>
        <v>0</v>
      </c>
      <c r="I135" s="112">
        <f>SUM(AS$71:AS$86)+SUM(AU$71:AU$86)+SUM(AW$71:AW$86)+SUM(AY$71:AY$86)</f>
        <v>0</v>
      </c>
      <c r="J135" s="112">
        <f>SUM(BA$71:BA$86)+SUM(BC$71:BC$86)+SUM(BE$71:BE$86)+SUM(BG$71:BG$86)</f>
        <v>0</v>
      </c>
      <c r="K135" s="112">
        <f>SUM(BI$71:BI$86)+SUM(BK$71:BK$86)+SUM(BM$71:BM$86)+SUM(BO$71:BO$86)</f>
        <v>0</v>
      </c>
      <c r="L135" s="112">
        <f>SUM(BQ$71:BQ$86)+SUM(BS$71:BS$86)+SUM(BU$71:BU$86)+SUM(BW$71:BW$86)</f>
        <v>0</v>
      </c>
      <c r="M135" s="112">
        <f>SUM(BY$71:BY$86)+SUM(CA$71:CA$86)+SUM(CC$71:CC$86)+SUM(CE$71:CE$86)</f>
        <v>0</v>
      </c>
      <c r="N135" s="112">
        <f>SUM(CG$71:CG$86)+SUM(CI$71:CI$86)+SUM(CK$71:CK$86)+SUM(CM$71:CM$86)</f>
        <v>0</v>
      </c>
      <c r="O135" s="112">
        <f>SUM(CO$71:CO$86)+SUM(CQ$71:CQ$86)+SUM(CS$71:CS$86)+SUM(CU$71:CU$86)</f>
        <v>0</v>
      </c>
    </row>
    <row r="136" spans="2:15" x14ac:dyDescent="0.2">
      <c r="C136" s="111" t="s">
        <v>131</v>
      </c>
      <c r="D136" s="112">
        <f>SUM(E$87:E$94)+SUM(G$87:G$94)+SUM(I$87:I$94)+SUM(K$87:K$94)</f>
        <v>0</v>
      </c>
      <c r="E136" s="112">
        <f>SUM(M$87:M$94)+SUM(O$87:O$94)+SUM(Q$87:Q$94)+SUM(S$87:S$94)</f>
        <v>0</v>
      </c>
      <c r="F136" s="112">
        <f>SUM(U$87:U$94)+SUM(W$87:W$94)+SUM(Y$87:Y$94)+SUM(AA$87:AA$94)</f>
        <v>0</v>
      </c>
      <c r="G136" s="112">
        <f>SUM(AC$87:AC$94)+SUM(AE$87:AE$94)+SUM(AG$87:AG$94)+SUM(AI$87:AI$94)</f>
        <v>0</v>
      </c>
      <c r="H136" s="112">
        <f>SUM(AK$87:AK$94)+SUM(AM$87:AM$94)+SUM(AO$87:AO$94)+SUM(AQ$87:AQ$94)</f>
        <v>0</v>
      </c>
      <c r="I136" s="112">
        <f>SUM(AS$87:AS$94)+SUM(AU$87:AU$94)+SUM(AW$87:AW$94)+SUM(AY$87:AY$94)</f>
        <v>0</v>
      </c>
      <c r="J136" s="112">
        <f>SUM(BA$87:BA$94)+SUM(BC$87:BC$94)+SUM(BE$87:BE$94)+SUM(BG$87:BG$94)</f>
        <v>0</v>
      </c>
      <c r="K136" s="112">
        <f>SUM(BI$87:BI$94)+SUM(BK$87:BK$94)+SUM(BM$87:BM$94)+SUM(BO$87:BO$94)</f>
        <v>0</v>
      </c>
      <c r="L136" s="112">
        <f>SUM(BQ$87:BQ$94)+SUM(BS$87:BS$94)+SUM(BU$87:BU$94)+SUM(BW$87:BW$94)</f>
        <v>0</v>
      </c>
      <c r="M136" s="112">
        <f>SUM(BY$87:BY$94)+SUM(CA$87:CA$94)+SUM(CC$87:CC$94)+SUM(CE$87:CE$94)</f>
        <v>0</v>
      </c>
      <c r="N136" s="112">
        <f>SUM(CG$87:CG$94)+SUM(CI$87:CI$94)+SUM(CK$87:CK$94)+SUM(CM$87:CM$94)</f>
        <v>0</v>
      </c>
      <c r="O136" s="112">
        <f>SUM(CO$87:CO$94)+SUM(CQ$87:CQ$94)+SUM(CS$87:CS$94)+SUM(CU$87:CU$94)</f>
        <v>0</v>
      </c>
    </row>
    <row r="137" spans="2:15" x14ac:dyDescent="0.2">
      <c r="C137" s="111" t="s">
        <v>132</v>
      </c>
      <c r="D137" s="112">
        <f>SUM(E$95:E$105)+SUM(G$95:G$105)+SUM(I$95:I$105)+SUM(K$95:K$105)</f>
        <v>0</v>
      </c>
      <c r="E137" s="112">
        <f>SUM(M$95:M$105)+SUM(O$95:O$105)+SUM(Q$95:Q$105)+SUM(S$95:S$105)</f>
        <v>0</v>
      </c>
      <c r="F137" s="112">
        <f>SUM(U$95:U$105)+SUM(W$95:W$105)+SUM(Y$95:Y$105)+SUM(AA$95:AA$105)</f>
        <v>0</v>
      </c>
      <c r="G137" s="112">
        <f>SUM(AC$95:AC$105)+SUM(AE$95:AE$105)+SUM(AG$95:AG$105)+SUM(AI$95:AI$105)</f>
        <v>0</v>
      </c>
      <c r="H137" s="112">
        <f>SUM(AK$95:AK$105)+SUM(AM$95:AM$105)+SUM(AO$95:AO$105)+SUM(AQ$95:AQ$105)</f>
        <v>0</v>
      </c>
      <c r="I137" s="112">
        <f>SUM(AS$95:AS$105)+SUM(AU$95:AU$105)+SUM(AW$95:AW$105)+SUM(AY$95:AY$105)</f>
        <v>0</v>
      </c>
      <c r="J137" s="112">
        <f>SUM(BA$95:BA$105)+SUM(BC$95:BC$105)+SUM(BE$95:BE$105)+SUM(BG$95:BG$105)</f>
        <v>0</v>
      </c>
      <c r="K137" s="112">
        <f>SUM(BI$95:BI$105)+SUM(BK$95:BK$105)+SUM(BM$95:BM$105)+SUM(BO$95:BO$105)</f>
        <v>0</v>
      </c>
      <c r="L137" s="112">
        <f>SUM(BQ$95:BQ$105)+SUM(BS$95:BS$105)+SUM(BU$95:BU$105)+SUM(BW$95:BW$105)</f>
        <v>0</v>
      </c>
      <c r="M137" s="112">
        <f>SUM(BY$95:BY$105)+SUM(CA$95:CA$105)+SUM(CC$95:CC$105)+SUM(CE$95:CE$105)</f>
        <v>0</v>
      </c>
      <c r="N137" s="112">
        <f>SUM(CG$95:CG$105)+SUM(CI$95:CI$105)+SUM(CK$95:CK$105)+SUM(CM$95:CM$105)</f>
        <v>0</v>
      </c>
      <c r="O137" s="112">
        <f>SUM(CO$95:CO$105)+SUM(CQ$95:CQ$105)+SUM(CS$95:CS$105)+SUM(CU$95:CU$105)</f>
        <v>0</v>
      </c>
    </row>
    <row r="138" spans="2:15" x14ac:dyDescent="0.2">
      <c r="C138" s="111" t="s">
        <v>277</v>
      </c>
      <c r="D138" s="106">
        <f t="shared" ref="D138:O138" si="2">SUM(D$131:D$137)</f>
        <v>0</v>
      </c>
      <c r="E138" s="106">
        <f t="shared" si="2"/>
        <v>0</v>
      </c>
      <c r="F138" s="106">
        <f t="shared" si="2"/>
        <v>0</v>
      </c>
      <c r="G138" s="106">
        <f t="shared" si="2"/>
        <v>0</v>
      </c>
      <c r="H138" s="106">
        <f t="shared" si="2"/>
        <v>0</v>
      </c>
      <c r="I138" s="106">
        <f t="shared" si="2"/>
        <v>0</v>
      </c>
      <c r="J138" s="106">
        <f t="shared" si="2"/>
        <v>0</v>
      </c>
      <c r="K138" s="106">
        <f t="shared" si="2"/>
        <v>0</v>
      </c>
      <c r="L138" s="106">
        <f t="shared" si="2"/>
        <v>0</v>
      </c>
      <c r="M138" s="106">
        <f t="shared" si="2"/>
        <v>0</v>
      </c>
      <c r="N138" s="106">
        <f t="shared" si="2"/>
        <v>0</v>
      </c>
      <c r="O138" s="106">
        <f t="shared" si="2"/>
        <v>0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166</v>
      </c>
      <c r="B1" s="105" t="s">
        <v>167</v>
      </c>
      <c r="C1" s="105" t="s">
        <v>168</v>
      </c>
      <c r="D1" s="105" t="s">
        <v>169</v>
      </c>
      <c r="E1" s="105" t="s">
        <v>170</v>
      </c>
    </row>
    <row r="2" spans="1:5" x14ac:dyDescent="0.2">
      <c r="A2" s="105" t="s">
        <v>126</v>
      </c>
      <c r="B2" s="105" t="s">
        <v>171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172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173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174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175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176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177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178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179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180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181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182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183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184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185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186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187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188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189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190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191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192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193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194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195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196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197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198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199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200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201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202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203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204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205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206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207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208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209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210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211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212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213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214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215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216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217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218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219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220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221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222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223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224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225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226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227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228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229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230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231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232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233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234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235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236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237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238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239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240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241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242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243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244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245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246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247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248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249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250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251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252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253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254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255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256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257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258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259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260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261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262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263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264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265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266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267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268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269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270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Jeff</cp:lastModifiedBy>
  <dcterms:created xsi:type="dcterms:W3CDTF">2003-07-09T21:14:27Z</dcterms:created>
  <dcterms:modified xsi:type="dcterms:W3CDTF">2015-11-24T22:17:08Z</dcterms:modified>
</cp:coreProperties>
</file>