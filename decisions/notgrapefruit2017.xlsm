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311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Volumes/notgrapefruit/"/>
    </mc:Choice>
  </mc:AlternateContent>
  <bookViews>
    <workbookView xWindow="0" yWindow="460" windowWidth="28800" windowHeight="1746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shipping_manufacturing!$L$4:$L$12</definedName>
    <definedName name="AddColumn2">shipping_manufacturing!$K$16:$K$20</definedName>
    <definedName name="AddColumn3">shipping_manufacturing!$L$24:$L$32</definedName>
    <definedName name="AddRow3">shipping_manufacturing!$B$32</definedName>
    <definedName name="AddRow4">shipping_manufacturing!$B$42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shipping_manufacturing!$B$36</definedName>
  </definedNames>
  <calcPr calcId="15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0" i="7" l="1"/>
  <c r="C29" i="7"/>
  <c r="C28" i="7"/>
  <c r="C27" i="7"/>
  <c r="I19" i="7"/>
  <c r="G19" i="7"/>
  <c r="E19" i="7"/>
  <c r="C19" i="7"/>
  <c r="G8" i="7"/>
  <c r="C8" i="7"/>
  <c r="I7" i="7"/>
  <c r="E7" i="7"/>
  <c r="J6" i="7"/>
  <c r="H6" i="7"/>
  <c r="F6" i="7"/>
  <c r="D6" i="7"/>
  <c r="K31" i="7"/>
  <c r="J31" i="7"/>
  <c r="I31" i="7"/>
  <c r="H31" i="7"/>
  <c r="G31" i="7"/>
  <c r="F31" i="7"/>
  <c r="E31" i="7"/>
  <c r="D31" i="7"/>
  <c r="C31" i="7"/>
  <c r="J19" i="7"/>
  <c r="H19" i="7"/>
  <c r="F19" i="7"/>
  <c r="D19" i="7"/>
  <c r="K11" i="7"/>
  <c r="K10" i="7"/>
  <c r="K9" i="7"/>
  <c r="K8" i="7"/>
  <c r="K7" i="7"/>
  <c r="K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107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<sst xmlns="http://schemas.openxmlformats.org/spreadsheetml/2006/main" count="526" uniqueCount="167">
  <si>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</si>
  <si>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</si>
  <si>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</si>
  <si>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</si>
  <si>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</si>
  <si>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</si>
  <si>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</si>
  <si>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</si>
  <si>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</si>
  <si>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</si>
  <si>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</si>
  <si>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</si>
  <si>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</si>
  <si>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</si>
  <si>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</si>
  <si>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</si>
  <si>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</si>
  <si>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</si>
  <si>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</si>
  <si>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</si>
  <si>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</si>
  <si>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</si>
  <si>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</si>
  <si>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</si>
  <si>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</si>
  <si>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</si>
  <si>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</si>
  <si>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</si>
  <si>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</si>
  <si>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</si>
  <si>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</si>
  <si>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</si>
  <si>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</si>
  <si>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</si>
  <si>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</si>
  <si>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</si>
  <si>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</si>
  <si>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</si>
  <si>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</si>
  <si>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</si>
  <si>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</si>
  <si>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</si>
  <si>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</si>
  <si>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</si>
  <si>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</si>
  <si>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</si>
  <si>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</si>
  <si>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</si>
  <si>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</si>
  <si>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</si>
  <si>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</si>
  <si>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</si>
  <si>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</si>
  <si>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</si>
  <si>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</si>
  <si>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</si>
  <si>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</si>
  <si>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</si>
  <si>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</si>
  <si>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</si>
  <si>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</si>
  <si>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</si>
  <si>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</si>
  <si>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</si>
  <si>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</si>
  <si>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</si>
  <si>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</si>
  <si>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</si>
  <si>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</si>
  <si>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</si>
  <si>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</si>
  <si>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</si>
  <si>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</si>
  <si>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</si>
  <si>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</si>
  <si>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</si>
  <si>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</si>
  <si>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</si>
  <si>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</si>
  <si>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</si>
  <si>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</si>
  <si>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</si>
  <si>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</si>
  <si>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</si>
  <si>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</si>
  <si>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</si>
  <si>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</si>
  <si>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</si>
  <si>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</si>
  <si>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</si>
  <si>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</si>
  <si>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</si>
  <si>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</si>
  <si>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</si>
  <si>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</si>
  <si>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</si>
  <si>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</si>
  <si>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</si>
  <si>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</si>
  <si>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</si>
  <si>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</si>
  <si>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</si>
  <si>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</si>
  <si>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</si>
  <si>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</si>
  <si>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</si>
  <si>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</si>
  <si>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</si>
  <si>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</si>
  <si>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</si>
  <si>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</si>
  <si>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</si>
  <si>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</si>
  <si>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</si>
  <si>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</si>
  <si>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</si>
  <si>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</si>
  <si>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</si>
  <si>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</si>
  <si>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</si>
  <si>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</si>
  <si>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</si>
  <si>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</si>
  <si>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</si>
  <si>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</si>
  <si>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</si>
  <si>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</si>
  <si>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</si>
  <si>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</si>
  <si>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</si>
  <si>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</si>
  <si>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</si>
  <si>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</si>
  <si>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</si>
  <si>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</si>
  <si>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</si>
  <si>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</si>
  <si>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</si>
  <si>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</si>
  <si>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</si>
  <si>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</si>
  <si>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</si>
  <si>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</si>
  <si>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</si>
  <si>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</si>
  <si>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</si>
  <si>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</si>
  <si>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</si>
  <si>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</si>
  <si>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</si>
  <si>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</si>
  <si>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</si>
  <si>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</si>
  <si>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</si>
  <si>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</si>
  <si>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</si>
  <si>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</si>
  <si>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</si>
  <si>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</si>
  <si>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</si>
  <si>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</si>
  <si>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</si>
  <si>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</si>
  <si>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</si>
  <si>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</si>
  <si>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notgrapefruit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</si>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</sst>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3" x14ac:dyDescent="0.15"/>
  <cols>
    <col min="1" max="1" width="4.6640625" customWidth="1"/>
  </cols>
  <sheetData>
    <row r="2" spans="2:6" x14ac:dyDescent="0.15">
      <c r="B2" s="1" t="s">
        <v>0</v>
      </c>
    </row>
    <row r="3" spans="2:6" x14ac:dyDescent="0.15">
      <c r="B3" s="2"/>
      <c r="C3" s="3"/>
      <c r="D3" s="3"/>
      <c r="E3" s="3"/>
      <c r="F3" s="3"/>
    </row>
    <row r="4" spans="2:6" x14ac:dyDescent="0.15">
      <c r="B4" s="4"/>
      <c r="C4" s="5" t="s">
        <v>1</v>
      </c>
      <c r="D4" s="98" t="s">
        <v>165</v>
      </c>
      <c r="E4" s="99"/>
      <c r="F4" s="100"/>
    </row>
    <row r="5" spans="2:6" x14ac:dyDescent="0.15">
      <c r="B5" s="6"/>
      <c r="C5" s="7" t="s">
        <v>111</v>
      </c>
      <c r="D5" s="101">
        <v>2017</v>
      </c>
      <c r="E5" s="102"/>
      <c r="F5" s="103"/>
    </row>
    <row r="6" spans="2:6" x14ac:dyDescent="0.15">
      <c r="B6" s="3"/>
      <c r="C6" s="3"/>
      <c r="D6" s="3"/>
      <c r="E6" s="3"/>
      <c r="F6" s="3"/>
    </row>
  </sheetData>
  <sheetProtection algorithmName="SHA-512" hashValue="LHiTg+YZ9ChjIB3bC8vfudIITLfCvqsmG6DRWBBb9nOiYaBZegEmGHK0ILH5IMOuuUVXO8lE6rV8Q/4embGS8w==" saltValue="l59CHTr0WxX3Ry4zhHtmA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19" workbookViewId="0"/>
  </sheetViews>
  <sheetFormatPr baseColWidth="10" defaultColWidth="9.1640625" defaultRowHeight="13" x14ac:dyDescent="0.15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9.1640625" style="9"/>
  </cols>
  <sheetData>
    <row r="2" spans="2:8" x14ac:dyDescent="0.15">
      <c r="B2" s="8" t="s">
        <v>2</v>
      </c>
    </row>
    <row r="3" spans="2:8" x14ac:dyDescent="0.15">
      <c r="B3" s="10" t="s">
        <v>155</v>
      </c>
    </row>
    <row r="4" spans="2:8" x14ac:dyDescent="0.15">
      <c r="B4" s="11"/>
      <c r="C4" s="12"/>
      <c r="D4" s="12"/>
      <c r="E4" s="12"/>
      <c r="F4" s="12"/>
      <c r="G4" s="12"/>
      <c r="H4" s="12"/>
    </row>
    <row r="5" spans="2:8" x14ac:dyDescent="0.15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15">
      <c r="B6" s="14" t="s">
        <v>5</v>
      </c>
      <c r="C6" s="84"/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 x14ac:dyDescent="0.15">
      <c r="B7" s="14" t="s">
        <v>7</v>
      </c>
      <c r="C7" s="84"/>
      <c r="D7" s="15">
        <v>250</v>
      </c>
      <c r="E7" s="15" t="s">
        <v>166</v>
      </c>
      <c r="F7" s="15" t="s">
        <v>6</v>
      </c>
      <c r="G7" s="15">
        <f t="shared" si="0"/>
        <v>250</v>
      </c>
      <c r="H7" s="17" t="str">
        <f t="shared" si="1"/>
        <v/>
      </c>
    </row>
    <row r="8" spans="2:8" x14ac:dyDescent="0.15">
      <c r="B8" s="14" t="s">
        <v>8</v>
      </c>
      <c r="C8" s="84"/>
      <c r="D8" s="15">
        <v>750</v>
      </c>
      <c r="E8" s="15" t="s">
        <v>166</v>
      </c>
      <c r="F8" s="15" t="s">
        <v>6</v>
      </c>
      <c r="G8" s="15">
        <f t="shared" si="0"/>
        <v>750</v>
      </c>
      <c r="H8" s="17" t="str">
        <f t="shared" si="1"/>
        <v/>
      </c>
    </row>
    <row r="9" spans="2:8" x14ac:dyDescent="0.15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15">
      <c r="B10" s="14" t="s">
        <v>10</v>
      </c>
      <c r="C10" s="84"/>
      <c r="D10" s="15">
        <v>250</v>
      </c>
      <c r="E10" s="15" t="s">
        <v>166</v>
      </c>
      <c r="F10" s="15" t="s">
        <v>6</v>
      </c>
      <c r="G10" s="15">
        <f t="shared" si="0"/>
        <v>250</v>
      </c>
      <c r="H10" s="17" t="str">
        <f t="shared" si="1"/>
        <v/>
      </c>
    </row>
    <row r="11" spans="2:8" x14ac:dyDescent="0.15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15">
      <c r="B12" s="14" t="s">
        <v>12</v>
      </c>
      <c r="C12" s="84"/>
      <c r="D12" s="15">
        <v>0</v>
      </c>
      <c r="E12" s="15" t="s">
        <v>166</v>
      </c>
      <c r="F12" s="15" t="s">
        <v>6</v>
      </c>
      <c r="G12" s="15">
        <f t="shared" si="0"/>
        <v>0</v>
      </c>
      <c r="H12" s="17" t="str">
        <f t="shared" si="1"/>
        <v/>
      </c>
    </row>
    <row r="13" spans="2:8" x14ac:dyDescent="0.15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15">
      <c r="B14" s="14" t="s">
        <v>14</v>
      </c>
      <c r="C14" s="84"/>
      <c r="D14" s="15">
        <v>250</v>
      </c>
      <c r="E14" s="15" t="s">
        <v>166</v>
      </c>
      <c r="F14" s="15" t="s">
        <v>6</v>
      </c>
      <c r="G14" s="15">
        <f t="shared" si="0"/>
        <v>250</v>
      </c>
      <c r="H14" s="17" t="str">
        <f t="shared" si="1"/>
        <v/>
      </c>
    </row>
    <row r="15" spans="2:8" x14ac:dyDescent="0.15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15">
      <c r="B16" s="21"/>
      <c r="C16" s="21"/>
      <c r="D16" s="21">
        <f>COUNTIF($D$6:$D$15,"&gt;0")</f>
        <v>4</v>
      </c>
      <c r="E16" s="21" t="s">
        <v>16</v>
      </c>
      <c r="F16" s="12"/>
      <c r="G16" s="21">
        <f>COUNTIF(G6:G15,"&gt;0")</f>
        <v>4</v>
      </c>
      <c r="H16" s="82" t="s">
        <v>16</v>
      </c>
    </row>
    <row r="18" spans="2:8" x14ac:dyDescent="0.15">
      <c r="B18" s="10" t="s">
        <v>148</v>
      </c>
    </row>
    <row r="19" spans="2:8" x14ac:dyDescent="0.15">
      <c r="B19" s="11"/>
      <c r="C19" s="12"/>
      <c r="D19" s="12"/>
      <c r="E19" s="12"/>
      <c r="F19" s="12"/>
      <c r="G19" s="12"/>
      <c r="H19" s="12"/>
    </row>
    <row r="20" spans="2:8" x14ac:dyDescent="0.15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15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15">
      <c r="B22" s="14" t="s">
        <v>7</v>
      </c>
      <c r="C22" s="85"/>
      <c r="D22" s="15">
        <v>17</v>
      </c>
      <c r="E22" s="15"/>
      <c r="F22" s="15" t="s">
        <v>6</v>
      </c>
      <c r="G22" s="15">
        <f t="shared" si="2"/>
        <v>17</v>
      </c>
      <c r="H22" s="17"/>
    </row>
    <row r="23" spans="2:8" x14ac:dyDescent="0.15">
      <c r="B23" s="14" t="s">
        <v>8</v>
      </c>
      <c r="C23" s="85"/>
      <c r="D23" s="15">
        <v>50</v>
      </c>
      <c r="E23" s="15"/>
      <c r="F23" s="15" t="s">
        <v>6</v>
      </c>
      <c r="G23" s="15">
        <f t="shared" si="2"/>
        <v>50</v>
      </c>
      <c r="H23" s="17"/>
    </row>
    <row r="24" spans="2:8" x14ac:dyDescent="0.15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15">
      <c r="B25" s="14" t="s">
        <v>10</v>
      </c>
      <c r="C25" s="85"/>
      <c r="D25" s="15">
        <v>17</v>
      </c>
      <c r="E25" s="15"/>
      <c r="F25" s="15" t="s">
        <v>6</v>
      </c>
      <c r="G25" s="15">
        <f t="shared" si="2"/>
        <v>17</v>
      </c>
      <c r="H25" s="17"/>
    </row>
    <row r="26" spans="2:8" x14ac:dyDescent="0.15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15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15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15">
      <c r="B29" s="14" t="s">
        <v>14</v>
      </c>
      <c r="C29" s="85"/>
      <c r="D29" s="15">
        <v>17</v>
      </c>
      <c r="E29" s="15"/>
      <c r="F29" s="15" t="s">
        <v>6</v>
      </c>
      <c r="G29" s="15">
        <f t="shared" si="2"/>
        <v>17</v>
      </c>
      <c r="H29" s="17"/>
    </row>
    <row r="30" spans="2:8" x14ac:dyDescent="0.15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15">
      <c r="B31" s="21"/>
      <c r="C31" s="21"/>
      <c r="D31" s="21">
        <f>SUM($D$21:$D$30)</f>
        <v>101</v>
      </c>
      <c r="E31" s="21" t="s">
        <v>18</v>
      </c>
      <c r="F31" s="21"/>
      <c r="G31" s="21"/>
      <c r="H31" s="22"/>
    </row>
    <row r="33" spans="2:8" x14ac:dyDescent="0.15">
      <c r="B33" s="10" t="s">
        <v>156</v>
      </c>
    </row>
    <row r="34" spans="2:8" x14ac:dyDescent="0.15">
      <c r="B34" s="11"/>
      <c r="C34" s="12"/>
      <c r="D34" s="12"/>
      <c r="E34" s="12"/>
      <c r="F34" s="12"/>
      <c r="G34" s="12"/>
      <c r="H34" s="12"/>
    </row>
    <row r="35" spans="2:8" x14ac:dyDescent="0.15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15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15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15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15">
      <c r="B39" s="14" t="s">
        <v>22</v>
      </c>
      <c r="C39" s="84"/>
      <c r="D39" s="14">
        <v>0</v>
      </c>
      <c r="E39" s="15" t="s">
        <v>166</v>
      </c>
      <c r="F39" s="15" t="s">
        <v>6</v>
      </c>
      <c r="G39" s="15">
        <f t="shared" si="3"/>
        <v>0</v>
      </c>
      <c r="H39" s="17" t="str">
        <f t="shared" si="4"/>
        <v/>
      </c>
    </row>
    <row r="40" spans="2:8" x14ac:dyDescent="0.15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15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15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15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15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15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15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15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15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15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15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15">
      <c r="B51" s="14" t="s">
        <v>34</v>
      </c>
      <c r="C51" s="84"/>
      <c r="D51" s="14">
        <v>1000</v>
      </c>
      <c r="E51" s="15" t="s">
        <v>166</v>
      </c>
      <c r="F51" s="15" t="s">
        <v>6</v>
      </c>
      <c r="G51" s="15">
        <f t="shared" si="3"/>
        <v>1000</v>
      </c>
      <c r="H51" s="17" t="str">
        <f t="shared" si="4"/>
        <v/>
      </c>
    </row>
    <row r="52" spans="2:8" x14ac:dyDescent="0.15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15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15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15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15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15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15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15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15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15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15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15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15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15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15">
      <c r="B66" s="14" t="s">
        <v>49</v>
      </c>
      <c r="C66" s="85"/>
      <c r="D66" s="15">
        <v>3000</v>
      </c>
      <c r="E66" s="15" t="s">
        <v>166</v>
      </c>
      <c r="F66" s="15" t="s">
        <v>6</v>
      </c>
      <c r="G66" s="15">
        <f t="shared" si="3"/>
        <v>3000</v>
      </c>
      <c r="H66" s="17" t="str">
        <f t="shared" si="4"/>
        <v/>
      </c>
    </row>
    <row r="67" spans="2:8" x14ac:dyDescent="0.15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15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15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15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15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15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15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15">
      <c r="B74" s="14" t="s">
        <v>57</v>
      </c>
      <c r="C74" s="85"/>
      <c r="D74" s="15">
        <v>750</v>
      </c>
      <c r="E74" s="15" t="s">
        <v>166</v>
      </c>
      <c r="F74" s="15" t="s">
        <v>6</v>
      </c>
      <c r="G74" s="15">
        <f t="shared" si="5"/>
        <v>750</v>
      </c>
      <c r="H74" s="17" t="str">
        <f t="shared" si="6"/>
        <v/>
      </c>
    </row>
    <row r="75" spans="2:8" x14ac:dyDescent="0.15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15">
      <c r="B76" s="14" t="s">
        <v>59</v>
      </c>
      <c r="C76" s="85"/>
      <c r="D76" s="15">
        <v>0</v>
      </c>
      <c r="E76" s="15" t="s">
        <v>166</v>
      </c>
      <c r="F76" s="15" t="s">
        <v>6</v>
      </c>
      <c r="G76" s="15">
        <f t="shared" si="5"/>
        <v>0</v>
      </c>
      <c r="H76" s="17" t="str">
        <f t="shared" si="6"/>
        <v/>
      </c>
    </row>
    <row r="77" spans="2:8" x14ac:dyDescent="0.15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15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15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15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15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15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15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15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15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15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15">
      <c r="B87" s="14" t="s">
        <v>70</v>
      </c>
      <c r="C87" s="85"/>
      <c r="D87" s="15">
        <v>1400</v>
      </c>
      <c r="E87" s="15" t="s">
        <v>166</v>
      </c>
      <c r="F87" s="15" t="s">
        <v>6</v>
      </c>
      <c r="G87" s="15">
        <f t="shared" si="5"/>
        <v>1400</v>
      </c>
      <c r="H87" s="17" t="str">
        <f t="shared" si="6"/>
        <v/>
      </c>
    </row>
    <row r="88" spans="2:8" x14ac:dyDescent="0.15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15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15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15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15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15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15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15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15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15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15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15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15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15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15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15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15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15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15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15">
      <c r="B107" s="12"/>
      <c r="C107" s="12"/>
      <c r="D107" s="12">
        <f>COUNTIF($D$36:$D$106,"&gt;0")</f>
        <v>4</v>
      </c>
      <c r="E107" s="12" t="s">
        <v>90</v>
      </c>
      <c r="F107" s="12"/>
      <c r="G107" s="12">
        <f>COUNTIF(G36:G106,"&gt;0")</f>
        <v>4</v>
      </c>
      <c r="H107" s="83" t="s">
        <v>90</v>
      </c>
    </row>
  </sheetData>
  <sheetProtection algorithmName="SHA-512" hashValue="8jdaxVf9HVc9yngfog5Iz27Rsai8iQvc0qsxYgAGDO1sm3Dsoz+iqrScHgODUmCWkZrFvGQBHvHrX0cRiXkbOQ==" saltValue="tuxBen3Eg5f0wkhKHGYC0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47" sqref="C47:N48"/>
    </sheetView>
  </sheetViews>
  <sheetFormatPr baseColWidth="10" defaultColWidth="9.1640625" defaultRowHeight="13" x14ac:dyDescent="0.15"/>
  <cols>
    <col min="1" max="1" width="4.6640625" style="29" customWidth="1"/>
    <col min="2" max="2" width="16.6640625" style="29" customWidth="1"/>
    <col min="3" max="14" width="8.6640625" style="29" customWidth="1"/>
    <col min="15" max="16384" width="9.1640625" style="29"/>
  </cols>
  <sheetData>
    <row r="2" spans="2:14" x14ac:dyDescent="0.15">
      <c r="B2" s="28" t="s">
        <v>140</v>
      </c>
    </row>
    <row r="3" spans="2:14" x14ac:dyDescent="0.15">
      <c r="B3" s="30" t="s">
        <v>164</v>
      </c>
    </row>
    <row r="4" spans="2:14" x14ac:dyDescent="0.15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15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15">
      <c r="B6" s="36" t="s">
        <v>104</v>
      </c>
      <c r="C6" s="86">
        <v>1976</v>
      </c>
      <c r="D6" s="86">
        <v>1976</v>
      </c>
      <c r="E6" s="86">
        <v>1976</v>
      </c>
      <c r="F6" s="86">
        <v>1976</v>
      </c>
      <c r="G6" s="86">
        <v>1976</v>
      </c>
      <c r="H6" s="86">
        <v>1976</v>
      </c>
      <c r="I6" s="86">
        <v>1976</v>
      </c>
      <c r="J6" s="86">
        <v>1976</v>
      </c>
      <c r="K6" s="86">
        <v>1976</v>
      </c>
      <c r="L6" s="86">
        <v>1976</v>
      </c>
      <c r="M6" s="86">
        <v>1976</v>
      </c>
      <c r="N6" s="86">
        <v>1976</v>
      </c>
    </row>
    <row r="7" spans="2:14" x14ac:dyDescent="0.15">
      <c r="B7" s="36" t="s">
        <v>105</v>
      </c>
      <c r="C7" s="87">
        <v>314</v>
      </c>
      <c r="D7" s="87">
        <v>314</v>
      </c>
      <c r="E7" s="87">
        <v>314</v>
      </c>
      <c r="F7" s="87">
        <v>314</v>
      </c>
      <c r="G7" s="87">
        <v>314</v>
      </c>
      <c r="H7" s="87">
        <v>314</v>
      </c>
      <c r="I7" s="87">
        <v>314</v>
      </c>
      <c r="J7" s="87">
        <v>314</v>
      </c>
      <c r="K7" s="87">
        <v>314</v>
      </c>
      <c r="L7" s="87">
        <v>314</v>
      </c>
      <c r="M7" s="87">
        <v>314</v>
      </c>
      <c r="N7" s="87">
        <v>314</v>
      </c>
    </row>
    <row r="8" spans="2:14" x14ac:dyDescent="0.15">
      <c r="B8" s="36" t="s">
        <v>106</v>
      </c>
      <c r="C8" s="87">
        <v>389</v>
      </c>
      <c r="D8" s="87">
        <v>389</v>
      </c>
      <c r="E8" s="87">
        <v>389</v>
      </c>
      <c r="F8" s="87">
        <v>389</v>
      </c>
      <c r="G8" s="87">
        <v>389</v>
      </c>
      <c r="H8" s="87">
        <v>389</v>
      </c>
      <c r="I8" s="87">
        <v>389</v>
      </c>
      <c r="J8" s="87">
        <v>389</v>
      </c>
      <c r="K8" s="87">
        <v>389</v>
      </c>
      <c r="L8" s="87">
        <v>389</v>
      </c>
      <c r="M8" s="87">
        <v>389</v>
      </c>
      <c r="N8" s="87">
        <v>389</v>
      </c>
    </row>
    <row r="9" spans="2:14" x14ac:dyDescent="0.15">
      <c r="B9" s="36" t="s">
        <v>107</v>
      </c>
      <c r="C9" s="87">
        <v>0</v>
      </c>
      <c r="D9" s="87">
        <v>0</v>
      </c>
      <c r="E9" s="87">
        <v>0</v>
      </c>
      <c r="F9" s="87">
        <v>0</v>
      </c>
      <c r="G9" s="87">
        <v>0</v>
      </c>
      <c r="H9" s="87">
        <v>0</v>
      </c>
      <c r="I9" s="87">
        <v>0</v>
      </c>
      <c r="J9" s="87">
        <v>0</v>
      </c>
      <c r="K9" s="87">
        <v>0</v>
      </c>
      <c r="L9" s="87">
        <v>0</v>
      </c>
      <c r="M9" s="87">
        <v>0</v>
      </c>
      <c r="N9" s="87">
        <v>0</v>
      </c>
    </row>
    <row r="10" spans="2:14" x14ac:dyDescent="0.15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 x14ac:dyDescent="0.15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 x14ac:dyDescent="0.15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15">
      <c r="B14" s="30" t="s">
        <v>157</v>
      </c>
    </row>
    <row r="15" spans="2:14" x14ac:dyDescent="0.15">
      <c r="B15" s="31"/>
      <c r="C15" s="32"/>
      <c r="D15" s="32"/>
      <c r="E15" s="51"/>
      <c r="F15" s="32"/>
      <c r="G15" s="32"/>
      <c r="H15" s="32"/>
    </row>
    <row r="16" spans="2:14" x14ac:dyDescent="0.15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15">
      <c r="B17" s="41" t="s">
        <v>104</v>
      </c>
      <c r="C17" s="89">
        <v>1.1000000000000001</v>
      </c>
      <c r="D17" s="89">
        <v>0.6</v>
      </c>
      <c r="E17" s="89">
        <v>1</v>
      </c>
      <c r="F17" s="89">
        <v>0.7</v>
      </c>
      <c r="G17" s="89">
        <v>0.9</v>
      </c>
      <c r="H17" s="89">
        <v>1000000</v>
      </c>
      <c r="I17" s="29" t="s">
        <v>110</v>
      </c>
    </row>
    <row r="18" spans="2:33" x14ac:dyDescent="0.15">
      <c r="B18" s="36" t="s">
        <v>105</v>
      </c>
      <c r="C18" s="90">
        <v>1.1000000000000001</v>
      </c>
      <c r="D18" s="90">
        <v>0.65</v>
      </c>
      <c r="E18" s="90">
        <v>1</v>
      </c>
      <c r="F18" s="90">
        <v>0.8</v>
      </c>
      <c r="G18" s="90">
        <v>0.9</v>
      </c>
      <c r="H18" s="90">
        <v>1000000</v>
      </c>
      <c r="I18" s="29" t="s">
        <v>110</v>
      </c>
    </row>
    <row r="19" spans="2:33" x14ac:dyDescent="0.15">
      <c r="B19" s="36" t="s">
        <v>106</v>
      </c>
      <c r="C19" s="90">
        <v>1.1000000000000001</v>
      </c>
      <c r="D19" s="90">
        <v>0.72</v>
      </c>
      <c r="E19" s="90">
        <v>1</v>
      </c>
      <c r="F19" s="90">
        <v>0.82</v>
      </c>
      <c r="G19" s="90">
        <v>0.9</v>
      </c>
      <c r="H19" s="90">
        <v>1000000</v>
      </c>
      <c r="I19" s="29" t="s">
        <v>110</v>
      </c>
    </row>
    <row r="20" spans="2:33" x14ac:dyDescent="0.15">
      <c r="B20" s="36" t="s">
        <v>107</v>
      </c>
      <c r="C20" s="90">
        <v>1</v>
      </c>
      <c r="D20" s="90">
        <v>1000000</v>
      </c>
      <c r="E20" s="90">
        <v>1</v>
      </c>
      <c r="F20" s="90">
        <v>1000000</v>
      </c>
      <c r="G20" s="90">
        <v>1</v>
      </c>
      <c r="H20" s="90">
        <v>1000000</v>
      </c>
    </row>
    <row r="21" spans="2:33" x14ac:dyDescent="0.15">
      <c r="B21" s="36" t="s">
        <v>108</v>
      </c>
      <c r="C21" s="90">
        <v>1</v>
      </c>
      <c r="D21" s="90">
        <v>1000000</v>
      </c>
      <c r="E21" s="90">
        <v>1</v>
      </c>
      <c r="F21" s="90">
        <v>1000000</v>
      </c>
      <c r="G21" s="90">
        <v>1</v>
      </c>
      <c r="H21" s="90">
        <v>1000000</v>
      </c>
    </row>
    <row r="22" spans="2:33" x14ac:dyDescent="0.15">
      <c r="B22" s="37" t="s">
        <v>109</v>
      </c>
      <c r="C22" s="90">
        <v>1</v>
      </c>
      <c r="D22" s="90">
        <v>1000000</v>
      </c>
      <c r="E22" s="90">
        <v>1</v>
      </c>
      <c r="F22" s="90">
        <v>1000000</v>
      </c>
      <c r="G22" s="90">
        <v>1</v>
      </c>
      <c r="H22" s="90">
        <v>1000000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15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15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15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15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15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15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15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15">
      <c r="B30" s="41" t="s">
        <v>112</v>
      </c>
      <c r="C30" s="36">
        <f>basic_info!$D$5</f>
        <v>2017</v>
      </c>
      <c r="D30" s="44">
        <v>0.71662753591933626</v>
      </c>
      <c r="E30" s="35">
        <v>0</v>
      </c>
      <c r="F30" s="47">
        <v>0.7118064307683698</v>
      </c>
      <c r="G30" s="46">
        <v>0</v>
      </c>
      <c r="H30" s="47">
        <v>0.65742258166301204</v>
      </c>
      <c r="I30" s="46">
        <v>0</v>
      </c>
      <c r="J30" s="47">
        <v>0.8608485705892801</v>
      </c>
      <c r="K30" s="46">
        <v>0</v>
      </c>
      <c r="L30" s="47">
        <v>0.91910454752448723</v>
      </c>
      <c r="M30" s="46"/>
      <c r="N30" s="60"/>
      <c r="O30" s="71" t="s">
        <v>162</v>
      </c>
      <c r="P30" s="41">
        <f>M30+K30+I30+E30+G30</f>
        <v>0</v>
      </c>
      <c r="Q30" s="70"/>
    </row>
    <row r="31" spans="2:33" x14ac:dyDescent="0.15">
      <c r="B31" s="36"/>
      <c r="C31" s="47">
        <f>basic_info!$D$5+1</f>
        <v>2018</v>
      </c>
      <c r="D31" s="76"/>
      <c r="E31" s="75"/>
      <c r="F31" s="69">
        <v>0.68616087553988669</v>
      </c>
      <c r="G31" s="79">
        <v>0</v>
      </c>
      <c r="H31" s="61">
        <v>0.64171751702829749</v>
      </c>
      <c r="I31" s="62">
        <v>0</v>
      </c>
      <c r="J31" s="61">
        <v>0.8295043288750632</v>
      </c>
      <c r="K31" s="62">
        <v>0</v>
      </c>
      <c r="L31" s="61">
        <v>0.85195298768145433</v>
      </c>
      <c r="M31" s="62"/>
      <c r="N31" s="63">
        <v>0.87181858933515421</v>
      </c>
      <c r="O31" s="88"/>
      <c r="P31" s="63">
        <f>O31+M31+K31+I31+G31</f>
        <v>0</v>
      </c>
    </row>
    <row r="32" spans="2:33" x14ac:dyDescent="0.15">
      <c r="B32" s="36"/>
      <c r="C32" s="47">
        <f>basic_info!$D$5+2</f>
        <v>2019</v>
      </c>
      <c r="D32" s="76"/>
      <c r="E32" s="75"/>
      <c r="F32" s="75"/>
      <c r="G32" s="75"/>
      <c r="H32" s="69">
        <v>0.65376248745918275</v>
      </c>
      <c r="I32" s="79">
        <v>0</v>
      </c>
      <c r="J32" s="61">
        <v>0.84540928358710421</v>
      </c>
      <c r="K32" s="62">
        <v>0</v>
      </c>
      <c r="L32" s="61">
        <v>0.79341974686465555</v>
      </c>
      <c r="M32" s="62"/>
      <c r="N32" s="63">
        <v>0.87729954875381289</v>
      </c>
      <c r="O32" s="88"/>
      <c r="P32" s="63">
        <f>O32+M32+K32+I32</f>
        <v>0</v>
      </c>
    </row>
    <row r="33" spans="2:17" x14ac:dyDescent="0.15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0.76962524616122252</v>
      </c>
      <c r="K33" s="79">
        <v>0</v>
      </c>
      <c r="L33" s="61">
        <v>0.75112057603575599</v>
      </c>
      <c r="M33" s="62"/>
      <c r="N33" s="63">
        <v>0.80188642998529402</v>
      </c>
      <c r="O33" s="88"/>
      <c r="P33" s="63">
        <f>O33+M33+K33</f>
        <v>0</v>
      </c>
    </row>
    <row r="34" spans="2:17" x14ac:dyDescent="0.15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0.73914561780691146</v>
      </c>
      <c r="M34" s="79"/>
      <c r="N34" s="63">
        <v>0.73716643524096881</v>
      </c>
      <c r="O34" s="88"/>
      <c r="P34" s="63">
        <f>O34+M34</f>
        <v>0</v>
      </c>
    </row>
    <row r="35" spans="2:17" x14ac:dyDescent="0.15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0.67792213259339329</v>
      </c>
      <c r="O35" s="88"/>
      <c r="P35" s="65">
        <f>O35</f>
        <v>0</v>
      </c>
    </row>
    <row r="36" spans="2:17" x14ac:dyDescent="0.15">
      <c r="B36" s="41" t="s">
        <v>113</v>
      </c>
      <c r="C36" s="36">
        <f>basic_info!$D$5</f>
        <v>2017</v>
      </c>
      <c r="D36" s="44">
        <v>1.0587453955633634</v>
      </c>
      <c r="E36" s="35">
        <v>0</v>
      </c>
      <c r="F36" s="73">
        <v>1.0938135695671274</v>
      </c>
      <c r="G36" s="74">
        <v>0</v>
      </c>
      <c r="H36" s="73">
        <v>1.1014713588815135</v>
      </c>
      <c r="I36" s="74">
        <v>0</v>
      </c>
      <c r="J36" s="73">
        <v>1.042842908637313</v>
      </c>
      <c r="K36" s="74">
        <v>136000</v>
      </c>
      <c r="L36" s="66">
        <v>1.1390647533197611</v>
      </c>
      <c r="M36" s="67"/>
      <c r="N36" s="68"/>
      <c r="O36" s="71" t="s">
        <v>162</v>
      </c>
      <c r="P36" s="41">
        <f>M36+K36+I36+E36+G36</f>
        <v>136000</v>
      </c>
      <c r="Q36" s="70"/>
    </row>
    <row r="37" spans="2:17" x14ac:dyDescent="0.15">
      <c r="B37" s="36"/>
      <c r="C37" s="47">
        <f>basic_info!$D$5+1</f>
        <v>2018</v>
      </c>
      <c r="D37" s="76"/>
      <c r="E37" s="75"/>
      <c r="F37" s="69">
        <v>1.0288140534879155</v>
      </c>
      <c r="G37" s="79">
        <v>0</v>
      </c>
      <c r="H37" s="61">
        <v>1.0108999284690923</v>
      </c>
      <c r="I37" s="62">
        <v>0</v>
      </c>
      <c r="J37" s="61">
        <v>1.0032828986441651</v>
      </c>
      <c r="K37" s="62">
        <v>136000</v>
      </c>
      <c r="L37" s="61">
        <v>1.0357981248188022</v>
      </c>
      <c r="M37" s="62"/>
      <c r="N37" s="61">
        <v>0.97406708065219405</v>
      </c>
      <c r="O37" s="88"/>
      <c r="P37" s="63">
        <f>O37+M37+K37+I37+G37</f>
        <v>136000</v>
      </c>
    </row>
    <row r="38" spans="2:17" x14ac:dyDescent="0.15">
      <c r="B38" s="36"/>
      <c r="C38" s="47">
        <f>basic_info!$D$5+2</f>
        <v>2019</v>
      </c>
      <c r="D38" s="76"/>
      <c r="E38" s="75"/>
      <c r="F38" s="75"/>
      <c r="G38" s="75"/>
      <c r="H38" s="69">
        <v>0.98955166281759732</v>
      </c>
      <c r="I38" s="79">
        <v>0</v>
      </c>
      <c r="J38" s="61">
        <v>0.95103433990902408</v>
      </c>
      <c r="K38" s="62">
        <v>136000</v>
      </c>
      <c r="L38" s="61">
        <v>0.9919351074281193</v>
      </c>
      <c r="M38" s="62"/>
      <c r="N38" s="61">
        <v>0.94692158975803442</v>
      </c>
      <c r="O38" s="88"/>
      <c r="P38" s="63">
        <f>O38+M38+K38+I38</f>
        <v>136000</v>
      </c>
    </row>
    <row r="39" spans="2:17" x14ac:dyDescent="0.15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0.9180320969671012</v>
      </c>
      <c r="K39" s="79">
        <v>136000</v>
      </c>
      <c r="L39" s="61">
        <v>0.95493263137485418</v>
      </c>
      <c r="M39" s="62"/>
      <c r="N39" s="61">
        <v>0.93709078332824058</v>
      </c>
      <c r="O39" s="88"/>
      <c r="P39" s="63">
        <f>O39+M39+K39</f>
        <v>136000</v>
      </c>
    </row>
    <row r="40" spans="2:17" x14ac:dyDescent="0.15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0.9100411573201419</v>
      </c>
      <c r="M40" s="79">
        <v>89461</v>
      </c>
      <c r="N40" s="61">
        <v>0.92721692835977987</v>
      </c>
      <c r="O40" s="88"/>
      <c r="P40" s="63">
        <f>O40+M40</f>
        <v>89461</v>
      </c>
    </row>
    <row r="41" spans="2:17" x14ac:dyDescent="0.15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0.89172850017249583</v>
      </c>
      <c r="O41" s="88">
        <v>89461</v>
      </c>
      <c r="P41" s="64">
        <f>O41</f>
        <v>89461</v>
      </c>
    </row>
    <row r="42" spans="2:17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15">
      <c r="B44" s="30" t="s">
        <v>153</v>
      </c>
    </row>
    <row r="45" spans="2:17" x14ac:dyDescent="0.15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15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15">
      <c r="B47" s="41" t="s">
        <v>112</v>
      </c>
      <c r="C47" s="91">
        <v>8.1999999999999993</v>
      </c>
      <c r="D47" s="91">
        <v>8.1999999999999993</v>
      </c>
      <c r="E47" s="91">
        <v>8.1999999999999993</v>
      </c>
      <c r="F47" s="91">
        <v>8.1999999999999993</v>
      </c>
      <c r="G47" s="91">
        <v>8.1999999999999993</v>
      </c>
      <c r="H47" s="91">
        <v>8.1999999999999993</v>
      </c>
      <c r="I47" s="91">
        <v>8.1999999999999993</v>
      </c>
      <c r="J47" s="91">
        <v>8.1999999999999993</v>
      </c>
      <c r="K47" s="91">
        <v>8.1999999999999993</v>
      </c>
      <c r="L47" s="91">
        <v>9</v>
      </c>
      <c r="M47" s="91">
        <v>9</v>
      </c>
      <c r="N47" s="91">
        <v>8.1999999999999993</v>
      </c>
      <c r="O47" s="33">
        <f>SUM(C47:N47)</f>
        <v>100.00000000000001</v>
      </c>
    </row>
    <row r="48" spans="2:17" x14ac:dyDescent="0.15">
      <c r="B48" s="37" t="s">
        <v>113</v>
      </c>
      <c r="C48" s="91">
        <v>8.1999999999999993</v>
      </c>
      <c r="D48" s="91">
        <v>8.1999999999999993</v>
      </c>
      <c r="E48" s="91">
        <v>8.1999999999999993</v>
      </c>
      <c r="F48" s="91">
        <v>8.1999999999999993</v>
      </c>
      <c r="G48" s="91">
        <v>8.1999999999999993</v>
      </c>
      <c r="H48" s="91">
        <v>8.1999999999999993</v>
      </c>
      <c r="I48" s="91">
        <v>8.1999999999999993</v>
      </c>
      <c r="J48" s="91">
        <v>8.1999999999999993</v>
      </c>
      <c r="K48" s="91">
        <v>8.1999999999999993</v>
      </c>
      <c r="L48" s="91">
        <v>9</v>
      </c>
      <c r="M48" s="91">
        <v>9</v>
      </c>
      <c r="N48" s="91">
        <v>8.1999999999999993</v>
      </c>
      <c r="O48" s="33">
        <f>SUM(C48:N48)</f>
        <v>100.00000000000001</v>
      </c>
    </row>
    <row r="49" spans="2:15" x14ac:dyDescent="0.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vXlmnCkLw1NXtOD90uidQQ0pkLqZWkhpXHkh1N/VBVsh+vFQ0kLdbp3XaVuwqg6WoY3Kkfr623uOX5KcErI+KQ==" saltValue="/t9ZzC7GiTLrFK4MEa58d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7"/>
  <sheetViews>
    <sheetView showGridLines="0" workbookViewId="0">
      <selection activeCell="D13" sqref="D13"/>
    </sheetView>
  </sheetViews>
  <sheetFormatPr baseColWidth="10" defaultColWidth="9.1640625" defaultRowHeight="13" x14ac:dyDescent="0.15"/>
  <cols>
    <col min="1" max="1" width="4.6640625" style="29" customWidth="1"/>
    <col min="2" max="2" width="17.33203125" style="29" customWidth="1"/>
    <col min="3" max="16384" width="9.1640625" style="29"/>
  </cols>
  <sheetData>
    <row r="2" spans="2:20" x14ac:dyDescent="0.15">
      <c r="B2" s="28" t="s">
        <v>114</v>
      </c>
    </row>
    <row r="3" spans="2:20" x14ac:dyDescent="0.15">
      <c r="B3" s="30" t="s">
        <v>144</v>
      </c>
    </row>
    <row r="4" spans="2:20" x14ac:dyDescent="0.15">
      <c r="B4" s="48"/>
      <c r="C4" s="48"/>
      <c r="D4" s="48"/>
      <c r="E4" s="48"/>
      <c r="F4" s="48"/>
      <c r="G4" s="48"/>
      <c r="H4" s="48"/>
      <c r="I4" s="48"/>
      <c r="J4" s="48"/>
      <c r="K4" s="48"/>
      <c r="L4" s="49"/>
      <c r="M4" s="49"/>
      <c r="N4" s="49"/>
      <c r="O4" s="49"/>
      <c r="P4" s="49"/>
      <c r="Q4" s="49"/>
    </row>
    <row r="5" spans="2:20" x14ac:dyDescent="0.15">
      <c r="B5" s="45" t="s">
        <v>115</v>
      </c>
      <c r="C5" s="45" t="s">
        <v>7</v>
      </c>
      <c r="D5" s="45" t="s">
        <v>8</v>
      </c>
      <c r="E5" s="45" t="s">
        <v>10</v>
      </c>
      <c r="F5" s="45" t="s">
        <v>14</v>
      </c>
      <c r="G5" s="45" t="s">
        <v>34</v>
      </c>
      <c r="H5" s="45" t="s">
        <v>49</v>
      </c>
      <c r="I5" s="45" t="s">
        <v>57</v>
      </c>
      <c r="J5" s="45" t="s">
        <v>70</v>
      </c>
      <c r="K5" s="45" t="s">
        <v>150</v>
      </c>
      <c r="L5" s="50"/>
      <c r="M5" s="50"/>
      <c r="N5" s="50"/>
      <c r="O5" s="50"/>
      <c r="P5" s="50"/>
      <c r="Q5" s="50"/>
      <c r="R5" s="50"/>
      <c r="S5" s="50"/>
      <c r="T5" s="50"/>
    </row>
    <row r="6" spans="2:20" x14ac:dyDescent="0.15">
      <c r="B6" s="45" t="s">
        <v>163</v>
      </c>
      <c r="C6" s="92"/>
      <c r="D6" s="92">
        <f>639/1979 * 100</f>
        <v>32.289034866093985</v>
      </c>
      <c r="E6" s="92"/>
      <c r="F6" s="92">
        <f>181/1979 * 100</f>
        <v>9.1460333501768574</v>
      </c>
      <c r="G6" s="92"/>
      <c r="H6" s="92">
        <f>100*858/1979</f>
        <v>43.355229914098032</v>
      </c>
      <c r="I6" s="92"/>
      <c r="J6" s="92">
        <f>100*301/1979</f>
        <v>15.209701869631127</v>
      </c>
      <c r="K6" s="96">
        <f>SUM($C$6:$J$6)</f>
        <v>100.00000000000001</v>
      </c>
      <c r="L6" s="49"/>
      <c r="M6" s="49"/>
      <c r="N6" s="49"/>
      <c r="O6" s="49"/>
      <c r="P6" s="49"/>
      <c r="Q6" s="49"/>
      <c r="R6" s="50"/>
      <c r="S6" s="50"/>
      <c r="T6" s="50"/>
    </row>
    <row r="7" spans="2:20" x14ac:dyDescent="0.15">
      <c r="B7" s="45" t="s">
        <v>105</v>
      </c>
      <c r="C7" s="92"/>
      <c r="D7" s="92"/>
      <c r="E7" s="92">
        <f>100*183/316</f>
        <v>57.911392405063289</v>
      </c>
      <c r="F7" s="92"/>
      <c r="G7" s="92"/>
      <c r="H7" s="92"/>
      <c r="I7" s="92">
        <f>100*133/316</f>
        <v>42.088607594936711</v>
      </c>
      <c r="J7" s="92"/>
      <c r="K7" s="96">
        <f>SUM($C$7:$J$7)</f>
        <v>100</v>
      </c>
      <c r="L7" s="49"/>
      <c r="M7" s="49"/>
      <c r="N7" s="49"/>
      <c r="O7" s="49"/>
      <c r="P7" s="49"/>
      <c r="Q7" s="49"/>
      <c r="R7" s="50"/>
      <c r="S7" s="50"/>
      <c r="T7" s="50"/>
    </row>
    <row r="8" spans="2:20" x14ac:dyDescent="0.15">
      <c r="B8" s="45" t="s">
        <v>106</v>
      </c>
      <c r="C8" s="92">
        <f>100*193/389</f>
        <v>49.614395886889461</v>
      </c>
      <c r="D8" s="92"/>
      <c r="E8" s="92"/>
      <c r="F8" s="92"/>
      <c r="G8" s="92">
        <f>100*196/389</f>
        <v>50.385604113110539</v>
      </c>
      <c r="H8" s="92"/>
      <c r="I8" s="92"/>
      <c r="J8" s="92"/>
      <c r="K8" s="96">
        <f>SUM($C$8:$J$8)</f>
        <v>100</v>
      </c>
      <c r="L8" s="49"/>
      <c r="M8" s="49"/>
      <c r="N8" s="49"/>
      <c r="O8" s="49"/>
      <c r="P8" s="49"/>
      <c r="Q8" s="49"/>
      <c r="R8" s="50"/>
      <c r="S8" s="50"/>
      <c r="T8" s="50"/>
    </row>
    <row r="9" spans="2:20" x14ac:dyDescent="0.15">
      <c r="B9" s="45" t="s">
        <v>107</v>
      </c>
      <c r="C9" s="92">
        <v>100</v>
      </c>
      <c r="D9" s="92"/>
      <c r="E9" s="92"/>
      <c r="F9" s="92"/>
      <c r="G9" s="92"/>
      <c r="H9" s="92"/>
      <c r="I9" s="92"/>
      <c r="J9" s="92"/>
      <c r="K9" s="96">
        <f>SUM($C$9:$J$9)</f>
        <v>100</v>
      </c>
      <c r="L9" s="49"/>
      <c r="M9" s="49"/>
      <c r="N9" s="49"/>
      <c r="O9" s="49"/>
      <c r="P9" s="49"/>
      <c r="Q9" s="49"/>
      <c r="R9" s="50"/>
      <c r="S9" s="50"/>
      <c r="T9" s="50"/>
    </row>
    <row r="10" spans="2:20" x14ac:dyDescent="0.15">
      <c r="B10" s="45" t="s">
        <v>108</v>
      </c>
      <c r="C10" s="92">
        <v>100</v>
      </c>
      <c r="D10" s="92"/>
      <c r="E10" s="92"/>
      <c r="F10" s="92"/>
      <c r="G10" s="92"/>
      <c r="H10" s="92"/>
      <c r="I10" s="92"/>
      <c r="J10" s="92"/>
      <c r="K10" s="96">
        <f>SUM($C$10:$J$10)</f>
        <v>100</v>
      </c>
      <c r="L10" s="49"/>
      <c r="M10" s="49"/>
      <c r="N10" s="49"/>
      <c r="O10" s="49"/>
      <c r="P10" s="49"/>
      <c r="Q10" s="49"/>
      <c r="R10" s="50"/>
      <c r="S10" s="50"/>
      <c r="T10" s="50"/>
    </row>
    <row r="11" spans="2:20" x14ac:dyDescent="0.15">
      <c r="B11" s="45" t="s">
        <v>109</v>
      </c>
      <c r="C11" s="93">
        <v>100</v>
      </c>
      <c r="D11" s="93"/>
      <c r="E11" s="93"/>
      <c r="F11" s="93"/>
      <c r="G11" s="93"/>
      <c r="H11" s="93"/>
      <c r="I11" s="93"/>
      <c r="J11" s="93"/>
      <c r="K11" s="95">
        <f>SUM($C$11:$J$11)</f>
        <v>100</v>
      </c>
      <c r="L11" s="49"/>
      <c r="M11" s="49"/>
      <c r="N11" s="49"/>
      <c r="O11" s="49"/>
      <c r="P11" s="49"/>
      <c r="Q11" s="49"/>
      <c r="R11" s="50"/>
      <c r="S11" s="50"/>
      <c r="T11" s="50"/>
    </row>
    <row r="12" spans="2:20" x14ac:dyDescent="0.1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49"/>
      <c r="M12" s="49"/>
      <c r="N12" s="49"/>
      <c r="O12" s="49"/>
      <c r="P12" s="49"/>
      <c r="Q12" s="49"/>
      <c r="R12" s="50"/>
      <c r="S12" s="50"/>
      <c r="T12" s="50"/>
    </row>
    <row r="13" spans="2:20" x14ac:dyDescent="0.15">
      <c r="C13" s="49"/>
      <c r="D13" s="49"/>
      <c r="E13" s="49"/>
      <c r="F13" s="49"/>
      <c r="G13" s="49"/>
      <c r="H13" s="49"/>
      <c r="I13" s="50"/>
      <c r="J13" s="50"/>
      <c r="K13" s="50"/>
    </row>
    <row r="14" spans="2:20" x14ac:dyDescent="0.15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20" x14ac:dyDescent="0.15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20" x14ac:dyDescent="0.15">
      <c r="B16" s="31"/>
      <c r="C16" s="31"/>
      <c r="D16" s="31"/>
      <c r="E16" s="31"/>
      <c r="F16" s="31"/>
      <c r="G16" s="31"/>
      <c r="H16" s="31"/>
      <c r="I16" s="31"/>
      <c r="J16" s="31"/>
      <c r="K16" s="50"/>
      <c r="L16" s="50"/>
      <c r="M16" s="50"/>
      <c r="N16" s="50"/>
      <c r="Q16" s="50"/>
      <c r="R16" s="50"/>
      <c r="S16" s="50"/>
    </row>
    <row r="17" spans="2:20" x14ac:dyDescent="0.15">
      <c r="B17" s="45" t="s">
        <v>118</v>
      </c>
      <c r="C17" s="45" t="s">
        <v>7</v>
      </c>
      <c r="D17" s="45"/>
      <c r="E17" s="45" t="s">
        <v>8</v>
      </c>
      <c r="F17" s="45"/>
      <c r="G17" s="45" t="s">
        <v>10</v>
      </c>
      <c r="H17" s="45"/>
      <c r="I17" s="45" t="s">
        <v>14</v>
      </c>
      <c r="J17" s="45"/>
      <c r="K17" s="50"/>
      <c r="L17" s="50"/>
      <c r="M17" s="50"/>
      <c r="N17" s="50"/>
      <c r="Q17" s="50"/>
      <c r="R17" s="50"/>
      <c r="S17" s="50"/>
    </row>
    <row r="18" spans="2:20" x14ac:dyDescent="0.15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45" t="s">
        <v>133</v>
      </c>
      <c r="J18" s="45" t="s">
        <v>123</v>
      </c>
      <c r="K18" s="50"/>
      <c r="L18" s="50"/>
      <c r="M18" s="50"/>
      <c r="N18" s="50"/>
      <c r="O18" s="50"/>
      <c r="Q18" s="50"/>
      <c r="R18" s="50"/>
      <c r="S18" s="50"/>
    </row>
    <row r="19" spans="2:20" x14ac:dyDescent="0.15">
      <c r="B19" s="45" t="s">
        <v>120</v>
      </c>
      <c r="C19" s="93">
        <f>100*(146/(146+47))</f>
        <v>75.647668393782382</v>
      </c>
      <c r="D19" s="44">
        <f>100-$C$19</f>
        <v>24.352331606217618</v>
      </c>
      <c r="E19" s="93">
        <f>100*((91+217+77)/(91+217+77+67+133+54))</f>
        <v>60.250391236306733</v>
      </c>
      <c r="F19" s="44">
        <f>100-$E$19</f>
        <v>39.749608763693267</v>
      </c>
      <c r="G19" s="93">
        <f>100*((34+70)/(34+70+22+57))</f>
        <v>56.830601092896174</v>
      </c>
      <c r="H19" s="44">
        <f>100-$G$19</f>
        <v>43.169398907103826</v>
      </c>
      <c r="I19" s="93">
        <f>100*(109/(109+73))</f>
        <v>59.890109890109891</v>
      </c>
      <c r="J19" s="33">
        <f>100-$I$19</f>
        <v>40.109890109890109</v>
      </c>
      <c r="Q19" s="50"/>
      <c r="R19" s="50"/>
      <c r="S19" s="50"/>
    </row>
    <row r="20" spans="2:20" x14ac:dyDescent="0.15">
      <c r="B20" s="54"/>
      <c r="C20" s="54"/>
      <c r="D20" s="54"/>
      <c r="E20" s="54"/>
      <c r="F20" s="54"/>
      <c r="G20" s="54"/>
      <c r="H20" s="54"/>
      <c r="I20" s="54"/>
      <c r="J20" s="54"/>
      <c r="K20" s="50"/>
      <c r="L20" s="50"/>
      <c r="M20" s="50"/>
      <c r="N20" s="50"/>
      <c r="Q20" s="50"/>
      <c r="R20" s="50"/>
      <c r="S20" s="50"/>
    </row>
    <row r="21" spans="2:20" x14ac:dyDescent="0.15">
      <c r="I21" s="50"/>
      <c r="J21" s="50"/>
      <c r="K21" s="50"/>
    </row>
    <row r="22" spans="2:20" x14ac:dyDescent="0.15">
      <c r="B22" s="52" t="s">
        <v>114</v>
      </c>
      <c r="I22" s="50"/>
      <c r="J22" s="50"/>
      <c r="K22" s="50"/>
    </row>
    <row r="23" spans="2:20" x14ac:dyDescent="0.15">
      <c r="B23" s="55" t="s">
        <v>145</v>
      </c>
      <c r="I23" s="50"/>
      <c r="J23" s="50"/>
      <c r="K23" s="50"/>
    </row>
    <row r="24" spans="2:20" x14ac:dyDescent="0.15">
      <c r="B24" s="31"/>
      <c r="C24" s="31"/>
      <c r="D24" s="31"/>
      <c r="E24" s="31"/>
      <c r="F24" s="31"/>
      <c r="G24" s="31"/>
      <c r="H24" s="31"/>
      <c r="I24" s="31"/>
      <c r="J24" s="31"/>
      <c r="K24" s="31"/>
      <c r="R24" s="50"/>
      <c r="S24" s="50"/>
      <c r="T24" s="50"/>
    </row>
    <row r="25" spans="2:20" x14ac:dyDescent="0.15">
      <c r="B25" s="45" t="s">
        <v>121</v>
      </c>
      <c r="C25" s="45" t="s">
        <v>122</v>
      </c>
      <c r="D25" s="45" t="s">
        <v>7</v>
      </c>
      <c r="E25" s="45"/>
      <c r="F25" s="45" t="s">
        <v>8</v>
      </c>
      <c r="G25" s="45"/>
      <c r="H25" s="45" t="s">
        <v>10</v>
      </c>
      <c r="I25" s="45"/>
      <c r="J25" s="45" t="s">
        <v>14</v>
      </c>
      <c r="K25" s="45"/>
      <c r="R25" s="50"/>
      <c r="S25" s="50"/>
      <c r="T25" s="50"/>
    </row>
    <row r="26" spans="2:20" x14ac:dyDescent="0.15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J26" s="45" t="s">
        <v>133</v>
      </c>
      <c r="K26" s="45" t="s">
        <v>123</v>
      </c>
      <c r="R26" s="50"/>
      <c r="S26" s="50"/>
      <c r="T26" s="50"/>
    </row>
    <row r="27" spans="2:20" x14ac:dyDescent="0.15">
      <c r="B27" s="45" t="s">
        <v>34</v>
      </c>
      <c r="C27" s="92">
        <f>100*479/2841</f>
        <v>16.860260471664908</v>
      </c>
      <c r="D27" s="92">
        <v>100</v>
      </c>
      <c r="E27" s="92">
        <v>100</v>
      </c>
      <c r="F27" s="92">
        <v>0</v>
      </c>
      <c r="G27" s="92">
        <v>0</v>
      </c>
      <c r="H27" s="92">
        <v>0</v>
      </c>
      <c r="I27" s="92">
        <v>0</v>
      </c>
      <c r="J27" s="92">
        <v>0</v>
      </c>
      <c r="K27" s="94">
        <v>0</v>
      </c>
      <c r="R27" s="50"/>
      <c r="S27" s="50"/>
      <c r="T27" s="50"/>
    </row>
    <row r="28" spans="2:20" x14ac:dyDescent="0.15">
      <c r="B28" s="45" t="s">
        <v>49</v>
      </c>
      <c r="C28" s="92">
        <f>100*(476+400+440)/2841</f>
        <v>46.321717705033436</v>
      </c>
      <c r="D28" s="92">
        <v>0</v>
      </c>
      <c r="E28" s="92">
        <v>0</v>
      </c>
      <c r="F28" s="92">
        <v>100</v>
      </c>
      <c r="G28" s="92">
        <v>100</v>
      </c>
      <c r="H28" s="92">
        <v>0</v>
      </c>
      <c r="I28" s="92">
        <v>0</v>
      </c>
      <c r="J28" s="92">
        <v>0</v>
      </c>
      <c r="K28" s="94">
        <v>0</v>
      </c>
      <c r="R28" s="50"/>
      <c r="S28" s="50"/>
      <c r="T28" s="50"/>
    </row>
    <row r="29" spans="2:20" x14ac:dyDescent="0.15">
      <c r="B29" s="45" t="s">
        <v>57</v>
      </c>
      <c r="C29" s="92">
        <f>100*(100+194)/2841</f>
        <v>10.348468848996832</v>
      </c>
      <c r="D29" s="92">
        <v>0</v>
      </c>
      <c r="E29" s="92">
        <v>0</v>
      </c>
      <c r="F29" s="92">
        <v>0</v>
      </c>
      <c r="G29" s="92">
        <v>0</v>
      </c>
      <c r="H29" s="92">
        <v>100</v>
      </c>
      <c r="I29" s="92">
        <v>100</v>
      </c>
      <c r="J29" s="92">
        <v>0</v>
      </c>
      <c r="K29" s="94">
        <v>0</v>
      </c>
      <c r="R29" s="50"/>
      <c r="S29" s="50"/>
      <c r="T29" s="50"/>
    </row>
    <row r="30" spans="2:20" x14ac:dyDescent="0.15">
      <c r="B30" s="45" t="s">
        <v>70</v>
      </c>
      <c r="C30" s="92">
        <f>100*(752/2841)</f>
        <v>26.469552974304822</v>
      </c>
      <c r="D30" s="92">
        <v>0</v>
      </c>
      <c r="E30" s="92">
        <v>0</v>
      </c>
      <c r="F30" s="92">
        <v>0</v>
      </c>
      <c r="G30" s="92">
        <v>0</v>
      </c>
      <c r="H30" s="92">
        <v>0</v>
      </c>
      <c r="I30" s="92">
        <v>0</v>
      </c>
      <c r="J30" s="92">
        <v>100</v>
      </c>
      <c r="K30" s="94">
        <v>100</v>
      </c>
      <c r="R30" s="50"/>
      <c r="S30" s="50"/>
      <c r="T30" s="50"/>
    </row>
    <row r="31" spans="2:20" x14ac:dyDescent="0.15">
      <c r="B31" s="45" t="s">
        <v>150</v>
      </c>
      <c r="C31" s="97">
        <f>SUM($C$27:$C$30)</f>
        <v>100</v>
      </c>
      <c r="D31" s="97">
        <f>SUM($D$27:$D$30)</f>
        <v>100</v>
      </c>
      <c r="E31" s="97">
        <f>SUM($E$27:$E$30)</f>
        <v>100</v>
      </c>
      <c r="F31" s="97">
        <f>SUM($F$27:$F$30)</f>
        <v>100</v>
      </c>
      <c r="G31" s="97">
        <f>SUM($G$27:$G$30)</f>
        <v>100</v>
      </c>
      <c r="H31" s="97">
        <f>SUM($H$27:$H$30)</f>
        <v>100</v>
      </c>
      <c r="I31" s="97">
        <f>SUM($I$27:$I$30)</f>
        <v>100</v>
      </c>
      <c r="J31" s="97">
        <f>SUM($J$27:$J$30)</f>
        <v>100</v>
      </c>
      <c r="K31" s="95">
        <f>SUM($K$27:$K$30)</f>
        <v>100</v>
      </c>
      <c r="R31" s="50"/>
      <c r="S31" s="50"/>
      <c r="T31" s="50"/>
    </row>
    <row r="32" spans="2:20" x14ac:dyDescent="0.15">
      <c r="B32" s="54"/>
      <c r="C32" s="54"/>
      <c r="D32" s="54"/>
      <c r="E32" s="54"/>
      <c r="F32" s="54"/>
      <c r="G32" s="54"/>
      <c r="H32" s="54"/>
      <c r="I32" s="54"/>
      <c r="J32" s="54"/>
      <c r="K32" s="54"/>
      <c r="R32" s="50"/>
      <c r="S32" s="50"/>
      <c r="T32" s="50"/>
    </row>
    <row r="33" spans="2:14" x14ac:dyDescent="0.15">
      <c r="I33" s="50"/>
      <c r="J33" s="50"/>
      <c r="K33" s="50"/>
    </row>
    <row r="34" spans="2:14" x14ac:dyDescent="0.15">
      <c r="B34" s="52" t="s">
        <v>124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 x14ac:dyDescent="0.15">
      <c r="B35" s="53" t="s">
        <v>143</v>
      </c>
      <c r="C35" s="50"/>
      <c r="D35" s="50"/>
      <c r="E35" s="50"/>
      <c r="F35" s="50"/>
      <c r="G35" s="50"/>
      <c r="H35" s="50"/>
      <c r="I35" s="50"/>
      <c r="J35" s="50"/>
      <c r="K35" s="50"/>
    </row>
    <row r="36" spans="2:14" x14ac:dyDescent="0.15"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</row>
    <row r="37" spans="2:14" x14ac:dyDescent="0.15">
      <c r="B37" s="45" t="s">
        <v>147</v>
      </c>
      <c r="C37" s="45" t="s">
        <v>92</v>
      </c>
      <c r="D37" s="45" t="s">
        <v>93</v>
      </c>
      <c r="E37" s="45" t="s">
        <v>94</v>
      </c>
      <c r="F37" s="45" t="s">
        <v>95</v>
      </c>
      <c r="G37" s="45" t="s">
        <v>96</v>
      </c>
      <c r="H37" s="45" t="s">
        <v>97</v>
      </c>
      <c r="I37" s="45" t="s">
        <v>98</v>
      </c>
      <c r="J37" s="45" t="s">
        <v>99</v>
      </c>
      <c r="K37" s="45" t="s">
        <v>100</v>
      </c>
      <c r="L37" s="45" t="s">
        <v>101</v>
      </c>
      <c r="M37" s="45" t="s">
        <v>102</v>
      </c>
      <c r="N37" s="45" t="s">
        <v>103</v>
      </c>
    </row>
    <row r="38" spans="2:14" x14ac:dyDescent="0.15">
      <c r="B38" s="45" t="s">
        <v>34</v>
      </c>
      <c r="C38" s="92">
        <v>10</v>
      </c>
      <c r="D38" s="92">
        <v>10</v>
      </c>
      <c r="E38" s="92">
        <v>10</v>
      </c>
      <c r="F38" s="92">
        <v>10</v>
      </c>
      <c r="G38" s="92">
        <v>10</v>
      </c>
      <c r="H38" s="92">
        <v>10</v>
      </c>
      <c r="I38" s="92">
        <v>10</v>
      </c>
      <c r="J38" s="92">
        <v>10</v>
      </c>
      <c r="K38" s="92">
        <v>10</v>
      </c>
      <c r="L38" s="92">
        <v>10</v>
      </c>
      <c r="M38" s="92">
        <v>10</v>
      </c>
      <c r="N38" s="92">
        <v>10</v>
      </c>
    </row>
    <row r="39" spans="2:14" x14ac:dyDescent="0.15">
      <c r="B39" s="45" t="s">
        <v>49</v>
      </c>
      <c r="C39" s="92">
        <v>18</v>
      </c>
      <c r="D39" s="92">
        <v>18</v>
      </c>
      <c r="E39" s="92">
        <v>18</v>
      </c>
      <c r="F39" s="92">
        <v>18</v>
      </c>
      <c r="G39" s="92">
        <v>18</v>
      </c>
      <c r="H39" s="92">
        <v>18</v>
      </c>
      <c r="I39" s="92">
        <v>18</v>
      </c>
      <c r="J39" s="92">
        <v>18</v>
      </c>
      <c r="K39" s="92">
        <v>18</v>
      </c>
      <c r="L39" s="92">
        <v>18</v>
      </c>
      <c r="M39" s="92">
        <v>18</v>
      </c>
      <c r="N39" s="92">
        <v>18</v>
      </c>
    </row>
    <row r="40" spans="2:14" x14ac:dyDescent="0.15">
      <c r="B40" s="45" t="s">
        <v>57</v>
      </c>
      <c r="C40" s="92">
        <v>23</v>
      </c>
      <c r="D40" s="92">
        <v>23</v>
      </c>
      <c r="E40" s="92">
        <v>23</v>
      </c>
      <c r="F40" s="92">
        <v>23</v>
      </c>
      <c r="G40" s="92">
        <v>23</v>
      </c>
      <c r="H40" s="92">
        <v>23</v>
      </c>
      <c r="I40" s="92">
        <v>23</v>
      </c>
      <c r="J40" s="92">
        <v>23</v>
      </c>
      <c r="K40" s="92">
        <v>23</v>
      </c>
      <c r="L40" s="92">
        <v>23</v>
      </c>
      <c r="M40" s="92">
        <v>23</v>
      </c>
      <c r="N40" s="92">
        <v>23</v>
      </c>
    </row>
    <row r="41" spans="2:14" x14ac:dyDescent="0.15">
      <c r="B41" s="45" t="s">
        <v>70</v>
      </c>
      <c r="C41" s="93">
        <v>10</v>
      </c>
      <c r="D41" s="93">
        <v>10</v>
      </c>
      <c r="E41" s="93">
        <v>10</v>
      </c>
      <c r="F41" s="93">
        <v>10</v>
      </c>
      <c r="G41" s="93">
        <v>10</v>
      </c>
      <c r="H41" s="93">
        <v>10</v>
      </c>
      <c r="I41" s="93">
        <v>10</v>
      </c>
      <c r="J41" s="93">
        <v>10</v>
      </c>
      <c r="K41" s="93">
        <v>10</v>
      </c>
      <c r="L41" s="93">
        <v>10</v>
      </c>
      <c r="M41" s="93">
        <v>10</v>
      </c>
      <c r="N41" s="93">
        <v>10</v>
      </c>
    </row>
    <row r="42" spans="2:14" x14ac:dyDescent="0.15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</row>
    <row r="43" spans="2:14" x14ac:dyDescent="0.15">
      <c r="I43" s="50"/>
      <c r="J43" s="50"/>
      <c r="K43" s="50"/>
    </row>
    <row r="44" spans="2:14" x14ac:dyDescent="0.15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15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15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15">
      <c r="B47" s="56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 x14ac:dyDescent="0.15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 x14ac:dyDescent="0.15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2:24" x14ac:dyDescent="0.15"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2:24" x14ac:dyDescent="0.15"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3" spans="2:24" x14ac:dyDescent="0.15">
      <c r="P53" s="50"/>
      <c r="Q53" s="50"/>
      <c r="R53" s="50"/>
      <c r="S53" s="50"/>
      <c r="T53" s="50"/>
      <c r="U53" s="50"/>
      <c r="V53" s="50"/>
      <c r="W53" s="50"/>
      <c r="X53" s="50"/>
    </row>
    <row r="65" spans="9:10" x14ac:dyDescent="0.15">
      <c r="I65" s="50"/>
      <c r="J65" s="50"/>
    </row>
    <row r="66" spans="9:10" x14ac:dyDescent="0.15">
      <c r="I66" s="50"/>
      <c r="J66" s="50"/>
    </row>
    <row r="67" spans="9:10" x14ac:dyDescent="0.15">
      <c r="I67" s="50"/>
      <c r="J67" s="50"/>
    </row>
  </sheetData>
  <sheetProtection algorithmName="SHA-512" hashValue="yPoOA8xKFIzSQIfn4RNmsLWub2XU/TNCP0CyRzjz5m8QnBTZrsnhHpW1aZpdvUNhTPwEuNTgZfLNTTW3F0D1Fg==" saltValue="RtIDIBV6fUg8yqjR4C1Es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J11 C19 E19 G19 I19 C27:K30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8:N41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workbookViewId="0">
      <selection activeCell="R37" sqref="R37"/>
    </sheetView>
  </sheetViews>
  <sheetFormatPr baseColWidth="10" defaultColWidth="9.1640625" defaultRowHeight="13" x14ac:dyDescent="0.15"/>
  <cols>
    <col min="1" max="2" width="4.6640625" style="29" customWidth="1"/>
    <col min="3" max="3" width="12.6640625" style="29" customWidth="1"/>
    <col min="4" max="15" width="8.6640625" style="29" customWidth="1"/>
    <col min="16" max="16384" width="9.1640625" style="29"/>
  </cols>
  <sheetData>
    <row r="2" spans="2:15" x14ac:dyDescent="0.15">
      <c r="C2" s="28" t="s">
        <v>158</v>
      </c>
    </row>
    <row r="3" spans="2:15" x14ac:dyDescent="0.15">
      <c r="C3" s="30" t="s">
        <v>138</v>
      </c>
    </row>
    <row r="4" spans="2:15" x14ac:dyDescent="0.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15">
      <c r="C6" s="41" t="s">
        <v>126</v>
      </c>
      <c r="D6" s="88">
        <v>2.0499999999999998</v>
      </c>
      <c r="E6" s="88">
        <v>2.0499999999999998</v>
      </c>
      <c r="F6" s="88">
        <v>2.0499999999999998</v>
      </c>
      <c r="G6" s="88">
        <v>2.0499999999999998</v>
      </c>
      <c r="H6" s="88">
        <v>2.0499999999999998</v>
      </c>
      <c r="I6" s="88">
        <v>2.0499999999999998</v>
      </c>
      <c r="J6" s="88">
        <v>2.0499999999999998</v>
      </c>
      <c r="K6" s="88">
        <v>2.0499999999999998</v>
      </c>
      <c r="L6" s="88">
        <v>2.0499999999999998</v>
      </c>
      <c r="M6" s="88">
        <v>2.0499999999999998</v>
      </c>
      <c r="N6" s="88">
        <v>2.0499999999999998</v>
      </c>
      <c r="O6" s="88">
        <v>2.0499999999999998</v>
      </c>
    </row>
    <row r="7" spans="2:15" x14ac:dyDescent="0.15">
      <c r="C7" s="36" t="s">
        <v>127</v>
      </c>
      <c r="D7" s="88">
        <v>1.95</v>
      </c>
      <c r="E7" s="88">
        <v>1.95</v>
      </c>
      <c r="F7" s="88">
        <v>1.95</v>
      </c>
      <c r="G7" s="88">
        <v>1.95</v>
      </c>
      <c r="H7" s="88">
        <v>1.95</v>
      </c>
      <c r="I7" s="88">
        <v>1.95</v>
      </c>
      <c r="J7" s="88">
        <v>1.95</v>
      </c>
      <c r="K7" s="88">
        <v>1.95</v>
      </c>
      <c r="L7" s="88">
        <v>1.95</v>
      </c>
      <c r="M7" s="88">
        <v>1.95</v>
      </c>
      <c r="N7" s="88">
        <v>1.95</v>
      </c>
      <c r="O7" s="88">
        <v>1.95</v>
      </c>
    </row>
    <row r="8" spans="2:15" x14ac:dyDescent="0.15">
      <c r="C8" s="36" t="s">
        <v>128</v>
      </c>
      <c r="D8" s="88">
        <v>1.85</v>
      </c>
      <c r="E8" s="88">
        <v>1.85</v>
      </c>
      <c r="F8" s="88">
        <v>1.85</v>
      </c>
      <c r="G8" s="88">
        <v>1.85</v>
      </c>
      <c r="H8" s="88">
        <v>1.85</v>
      </c>
      <c r="I8" s="88">
        <v>1.85</v>
      </c>
      <c r="J8" s="88">
        <v>1.85</v>
      </c>
      <c r="K8" s="88">
        <v>1.85</v>
      </c>
      <c r="L8" s="88">
        <v>1.85</v>
      </c>
      <c r="M8" s="88">
        <v>1.85</v>
      </c>
      <c r="N8" s="88">
        <v>1.85</v>
      </c>
      <c r="O8" s="88">
        <v>1.85</v>
      </c>
    </row>
    <row r="9" spans="2:15" x14ac:dyDescent="0.15">
      <c r="C9" s="36" t="s">
        <v>129</v>
      </c>
      <c r="D9" s="88">
        <v>2.12</v>
      </c>
      <c r="E9" s="88">
        <v>2.12</v>
      </c>
      <c r="F9" s="88">
        <v>2.12</v>
      </c>
      <c r="G9" s="88">
        <v>2.12</v>
      </c>
      <c r="H9" s="88">
        <v>2.12</v>
      </c>
      <c r="I9" s="88">
        <v>2.12</v>
      </c>
      <c r="J9" s="88">
        <v>2.12</v>
      </c>
      <c r="K9" s="88">
        <v>2.12</v>
      </c>
      <c r="L9" s="88">
        <v>2.12</v>
      </c>
      <c r="M9" s="88">
        <v>2.12</v>
      </c>
      <c r="N9" s="88">
        <v>2.12</v>
      </c>
      <c r="O9" s="88">
        <v>2.12</v>
      </c>
    </row>
    <row r="10" spans="2:15" x14ac:dyDescent="0.15">
      <c r="C10" s="36" t="s">
        <v>130</v>
      </c>
      <c r="D10" s="88">
        <v>2.2999999999999998</v>
      </c>
      <c r="E10" s="88">
        <v>2.2999999999999998</v>
      </c>
      <c r="F10" s="88">
        <v>2.2999999999999998</v>
      </c>
      <c r="G10" s="88">
        <v>2.2999999999999998</v>
      </c>
      <c r="H10" s="88">
        <v>2.2999999999999998</v>
      </c>
      <c r="I10" s="88">
        <v>2.2999999999999998</v>
      </c>
      <c r="J10" s="88">
        <v>2.2999999999999998</v>
      </c>
      <c r="K10" s="88">
        <v>2.2999999999999998</v>
      </c>
      <c r="L10" s="88">
        <v>2.2999999999999998</v>
      </c>
      <c r="M10" s="88">
        <v>2.2999999999999998</v>
      </c>
      <c r="N10" s="88">
        <v>2.2999999999999998</v>
      </c>
      <c r="O10" s="88">
        <v>2.2999999999999998</v>
      </c>
    </row>
    <row r="11" spans="2:15" x14ac:dyDescent="0.15">
      <c r="C11" s="36" t="s">
        <v>131</v>
      </c>
      <c r="D11" s="88">
        <v>2.63</v>
      </c>
      <c r="E11" s="88">
        <v>2.63</v>
      </c>
      <c r="F11" s="88">
        <v>2.63</v>
      </c>
      <c r="G11" s="88">
        <v>2.63</v>
      </c>
      <c r="H11" s="88">
        <v>2.63</v>
      </c>
      <c r="I11" s="88">
        <v>2.63</v>
      </c>
      <c r="J11" s="88">
        <v>2.63</v>
      </c>
      <c r="K11" s="88">
        <v>2.63</v>
      </c>
      <c r="L11" s="88">
        <v>2.63</v>
      </c>
      <c r="M11" s="88">
        <v>2.63</v>
      </c>
      <c r="N11" s="88">
        <v>2.63</v>
      </c>
      <c r="O11" s="88">
        <v>2.63</v>
      </c>
    </row>
    <row r="12" spans="2:15" x14ac:dyDescent="0.15">
      <c r="C12" s="37" t="s">
        <v>132</v>
      </c>
      <c r="D12" s="88">
        <v>3.15</v>
      </c>
      <c r="E12" s="88">
        <v>3.15</v>
      </c>
      <c r="F12" s="88">
        <v>3.15</v>
      </c>
      <c r="G12" s="88">
        <v>3.15</v>
      </c>
      <c r="H12" s="88">
        <v>3.15</v>
      </c>
      <c r="I12" s="88">
        <v>3.15</v>
      </c>
      <c r="J12" s="88">
        <v>3.15</v>
      </c>
      <c r="K12" s="88">
        <v>3.15</v>
      </c>
      <c r="L12" s="88">
        <v>3.15</v>
      </c>
      <c r="M12" s="88">
        <v>3.15</v>
      </c>
      <c r="N12" s="88">
        <v>3.15</v>
      </c>
      <c r="O12" s="88">
        <v>3.15</v>
      </c>
    </row>
    <row r="13" spans="2:15" x14ac:dyDescent="0.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15">
      <c r="C15" s="41" t="s">
        <v>126</v>
      </c>
      <c r="D15" s="88">
        <v>2.5</v>
      </c>
      <c r="E15" s="88">
        <v>2.5</v>
      </c>
      <c r="F15" s="88">
        <v>2.5</v>
      </c>
      <c r="G15" s="88">
        <v>2.5</v>
      </c>
      <c r="H15" s="88">
        <v>2.5</v>
      </c>
      <c r="I15" s="88">
        <v>2.5</v>
      </c>
      <c r="J15" s="88">
        <v>2.5</v>
      </c>
      <c r="K15" s="88">
        <v>2.5</v>
      </c>
      <c r="L15" s="88">
        <v>2.5</v>
      </c>
      <c r="M15" s="88">
        <v>2.5</v>
      </c>
      <c r="N15" s="88">
        <v>2.5</v>
      </c>
      <c r="O15" s="88">
        <v>2.5</v>
      </c>
    </row>
    <row r="16" spans="2:15" x14ac:dyDescent="0.15">
      <c r="C16" s="36" t="s">
        <v>127</v>
      </c>
      <c r="D16" s="88">
        <v>2.4500000000000002</v>
      </c>
      <c r="E16" s="88">
        <v>2.4500000000000002</v>
      </c>
      <c r="F16" s="88">
        <v>2.4500000000000002</v>
      </c>
      <c r="G16" s="88">
        <v>2.4500000000000002</v>
      </c>
      <c r="H16" s="88">
        <v>2.4500000000000002</v>
      </c>
      <c r="I16" s="88">
        <v>2.4500000000000002</v>
      </c>
      <c r="J16" s="88">
        <v>2.4500000000000002</v>
      </c>
      <c r="K16" s="88">
        <v>2.4500000000000002</v>
      </c>
      <c r="L16" s="88">
        <v>2.4500000000000002</v>
      </c>
      <c r="M16" s="88">
        <v>2.4500000000000002</v>
      </c>
      <c r="N16" s="88">
        <v>2.4500000000000002</v>
      </c>
      <c r="O16" s="88">
        <v>2.4500000000000002</v>
      </c>
    </row>
    <row r="17" spans="2:15" x14ac:dyDescent="0.15">
      <c r="C17" s="36" t="s">
        <v>128</v>
      </c>
      <c r="D17" s="88">
        <v>2.65</v>
      </c>
      <c r="E17" s="88">
        <v>2.65</v>
      </c>
      <c r="F17" s="88">
        <v>2.65</v>
      </c>
      <c r="G17" s="88">
        <v>2.65</v>
      </c>
      <c r="H17" s="88">
        <v>2.65</v>
      </c>
      <c r="I17" s="88">
        <v>2.65</v>
      </c>
      <c r="J17" s="88">
        <v>2.65</v>
      </c>
      <c r="K17" s="88">
        <v>2.65</v>
      </c>
      <c r="L17" s="88">
        <v>2.65</v>
      </c>
      <c r="M17" s="88">
        <v>2.65</v>
      </c>
      <c r="N17" s="88">
        <v>2.65</v>
      </c>
      <c r="O17" s="88">
        <v>2.65</v>
      </c>
    </row>
    <row r="18" spans="2:15" x14ac:dyDescent="0.15">
      <c r="C18" s="36" t="s">
        <v>129</v>
      </c>
      <c r="D18" s="88">
        <v>3.85</v>
      </c>
      <c r="E18" s="88">
        <v>3.85</v>
      </c>
      <c r="F18" s="88">
        <v>3.85</v>
      </c>
      <c r="G18" s="88">
        <v>3.85</v>
      </c>
      <c r="H18" s="88">
        <v>3.85</v>
      </c>
      <c r="I18" s="88">
        <v>3.85</v>
      </c>
      <c r="J18" s="88">
        <v>3.85</v>
      </c>
      <c r="K18" s="88">
        <v>3.85</v>
      </c>
      <c r="L18" s="88">
        <v>3.85</v>
      </c>
      <c r="M18" s="88">
        <v>3.85</v>
      </c>
      <c r="N18" s="88">
        <v>3.85</v>
      </c>
      <c r="O18" s="88">
        <v>3.85</v>
      </c>
    </row>
    <row r="19" spans="2:15" x14ac:dyDescent="0.15">
      <c r="C19" s="36" t="s">
        <v>130</v>
      </c>
      <c r="D19" s="88">
        <v>3.45</v>
      </c>
      <c r="E19" s="88">
        <v>3.45</v>
      </c>
      <c r="F19" s="88">
        <v>3.45</v>
      </c>
      <c r="G19" s="88">
        <v>3.45</v>
      </c>
      <c r="H19" s="88">
        <v>3.45</v>
      </c>
      <c r="I19" s="88">
        <v>3.45</v>
      </c>
      <c r="J19" s="88">
        <v>3.45</v>
      </c>
      <c r="K19" s="88">
        <v>3.45</v>
      </c>
      <c r="L19" s="88">
        <v>3.45</v>
      </c>
      <c r="M19" s="88">
        <v>3.45</v>
      </c>
      <c r="N19" s="88">
        <v>3.45</v>
      </c>
      <c r="O19" s="88">
        <v>3.45</v>
      </c>
    </row>
    <row r="20" spans="2:15" x14ac:dyDescent="0.15">
      <c r="C20" s="36" t="s">
        <v>131</v>
      </c>
      <c r="D20" s="88">
        <v>2.25</v>
      </c>
      <c r="E20" s="88">
        <v>2.25</v>
      </c>
      <c r="F20" s="88">
        <v>2.25</v>
      </c>
      <c r="G20" s="88">
        <v>2.25</v>
      </c>
      <c r="H20" s="88">
        <v>2.25</v>
      </c>
      <c r="I20" s="88">
        <v>2.25</v>
      </c>
      <c r="J20" s="88">
        <v>2.25</v>
      </c>
      <c r="K20" s="88">
        <v>2.25</v>
      </c>
      <c r="L20" s="88">
        <v>2.25</v>
      </c>
      <c r="M20" s="88">
        <v>2.25</v>
      </c>
      <c r="N20" s="88">
        <v>2.25</v>
      </c>
      <c r="O20" s="88">
        <v>2.25</v>
      </c>
    </row>
    <row r="21" spans="2:15" x14ac:dyDescent="0.15">
      <c r="C21" s="37" t="s">
        <v>132</v>
      </c>
      <c r="D21" s="88">
        <v>2.2599999999999998</v>
      </c>
      <c r="E21" s="88">
        <v>2.2599999999999998</v>
      </c>
      <c r="F21" s="88">
        <v>2.2599999999999998</v>
      </c>
      <c r="G21" s="88">
        <v>2.2599999999999998</v>
      </c>
      <c r="H21" s="88">
        <v>2.2599999999999998</v>
      </c>
      <c r="I21" s="88">
        <v>2.2599999999999998</v>
      </c>
      <c r="J21" s="88">
        <v>2.2599999999999998</v>
      </c>
      <c r="K21" s="88">
        <v>2.2599999999999998</v>
      </c>
      <c r="L21" s="88">
        <v>2.2599999999999998</v>
      </c>
      <c r="M21" s="88">
        <v>2.2599999999999998</v>
      </c>
      <c r="N21" s="88">
        <v>2.2599999999999998</v>
      </c>
      <c r="O21" s="88">
        <v>2.2599999999999998</v>
      </c>
    </row>
    <row r="22" spans="2:15" x14ac:dyDescent="0.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15">
      <c r="C24" s="41" t="s">
        <v>126</v>
      </c>
      <c r="D24" s="88">
        <v>3.55</v>
      </c>
      <c r="E24" s="88">
        <v>3.55</v>
      </c>
      <c r="F24" s="88">
        <v>3.55</v>
      </c>
      <c r="G24" s="88">
        <v>3.55</v>
      </c>
      <c r="H24" s="88">
        <v>3.55</v>
      </c>
      <c r="I24" s="88">
        <v>3.55</v>
      </c>
      <c r="J24" s="88">
        <v>3.55</v>
      </c>
      <c r="K24" s="88">
        <v>3.55</v>
      </c>
      <c r="L24" s="88">
        <v>3.55</v>
      </c>
      <c r="M24" s="88">
        <v>3.55</v>
      </c>
      <c r="N24" s="88">
        <v>3.55</v>
      </c>
      <c r="O24" s="88">
        <v>3.55</v>
      </c>
    </row>
    <row r="25" spans="2:15" x14ac:dyDescent="0.15">
      <c r="C25" s="36" t="s">
        <v>127</v>
      </c>
      <c r="D25" s="88">
        <v>3.56</v>
      </c>
      <c r="E25" s="88">
        <v>3.56</v>
      </c>
      <c r="F25" s="88">
        <v>3.56</v>
      </c>
      <c r="G25" s="88">
        <v>3.56</v>
      </c>
      <c r="H25" s="88">
        <v>3.56</v>
      </c>
      <c r="I25" s="88">
        <v>3.56</v>
      </c>
      <c r="J25" s="88">
        <v>3.56</v>
      </c>
      <c r="K25" s="88">
        <v>3.56</v>
      </c>
      <c r="L25" s="88">
        <v>3.56</v>
      </c>
      <c r="M25" s="88">
        <v>3.56</v>
      </c>
      <c r="N25" s="88">
        <v>3.56</v>
      </c>
      <c r="O25" s="88">
        <v>3.56</v>
      </c>
    </row>
    <row r="26" spans="2:15" x14ac:dyDescent="0.15">
      <c r="C26" s="36" t="s">
        <v>128</v>
      </c>
      <c r="D26" s="88">
        <v>3.85</v>
      </c>
      <c r="E26" s="88">
        <v>3.85</v>
      </c>
      <c r="F26" s="88">
        <v>3.85</v>
      </c>
      <c r="G26" s="88">
        <v>3.85</v>
      </c>
      <c r="H26" s="88">
        <v>3.85</v>
      </c>
      <c r="I26" s="88">
        <v>3.85</v>
      </c>
      <c r="J26" s="88">
        <v>3.85</v>
      </c>
      <c r="K26" s="88">
        <v>3.85</v>
      </c>
      <c r="L26" s="88">
        <v>3.85</v>
      </c>
      <c r="M26" s="88">
        <v>3.85</v>
      </c>
      <c r="N26" s="88">
        <v>3.85</v>
      </c>
      <c r="O26" s="88">
        <v>3.85</v>
      </c>
    </row>
    <row r="27" spans="2:15" x14ac:dyDescent="0.15">
      <c r="C27" s="36" t="s">
        <v>129</v>
      </c>
      <c r="D27" s="88">
        <v>3.9</v>
      </c>
      <c r="E27" s="88">
        <v>3.9</v>
      </c>
      <c r="F27" s="88">
        <v>3.9</v>
      </c>
      <c r="G27" s="88">
        <v>3.9</v>
      </c>
      <c r="H27" s="88">
        <v>3.9</v>
      </c>
      <c r="I27" s="88">
        <v>3.9</v>
      </c>
      <c r="J27" s="88">
        <v>3.9</v>
      </c>
      <c r="K27" s="88">
        <v>3.9</v>
      </c>
      <c r="L27" s="88">
        <v>3.9</v>
      </c>
      <c r="M27" s="88">
        <v>3.9</v>
      </c>
      <c r="N27" s="88">
        <v>3.9</v>
      </c>
      <c r="O27" s="88">
        <v>3.9</v>
      </c>
    </row>
    <row r="28" spans="2:15" x14ac:dyDescent="0.15">
      <c r="C28" s="36" t="s">
        <v>130</v>
      </c>
      <c r="D28" s="88">
        <v>4</v>
      </c>
      <c r="E28" s="88">
        <v>4</v>
      </c>
      <c r="F28" s="88">
        <v>4</v>
      </c>
      <c r="G28" s="88">
        <v>4</v>
      </c>
      <c r="H28" s="88">
        <v>4</v>
      </c>
      <c r="I28" s="88">
        <v>4</v>
      </c>
      <c r="J28" s="88">
        <v>4</v>
      </c>
      <c r="K28" s="88">
        <v>4</v>
      </c>
      <c r="L28" s="88">
        <v>4</v>
      </c>
      <c r="M28" s="88">
        <v>4</v>
      </c>
      <c r="N28" s="88">
        <v>4</v>
      </c>
      <c r="O28" s="88">
        <v>4</v>
      </c>
    </row>
    <row r="29" spans="2:15" x14ac:dyDescent="0.15">
      <c r="C29" s="36" t="s">
        <v>131</v>
      </c>
      <c r="D29" s="88">
        <v>3.9</v>
      </c>
      <c r="E29" s="88">
        <v>3.9</v>
      </c>
      <c r="F29" s="88">
        <v>3.9</v>
      </c>
      <c r="G29" s="88">
        <v>3.9</v>
      </c>
      <c r="H29" s="88">
        <v>3.9</v>
      </c>
      <c r="I29" s="88">
        <v>3.9</v>
      </c>
      <c r="J29" s="88">
        <v>3.9</v>
      </c>
      <c r="K29" s="88">
        <v>3.9</v>
      </c>
      <c r="L29" s="88">
        <v>3.9</v>
      </c>
      <c r="M29" s="88">
        <v>3.9</v>
      </c>
      <c r="N29" s="88">
        <v>3.9</v>
      </c>
      <c r="O29" s="88">
        <v>3.9</v>
      </c>
    </row>
    <row r="30" spans="2:15" x14ac:dyDescent="0.15">
      <c r="C30" s="37" t="s">
        <v>132</v>
      </c>
      <c r="D30" s="88">
        <v>3.9</v>
      </c>
      <c r="E30" s="88">
        <v>3.9</v>
      </c>
      <c r="F30" s="88">
        <v>3.9</v>
      </c>
      <c r="G30" s="88">
        <v>3.9</v>
      </c>
      <c r="H30" s="88">
        <v>3.9</v>
      </c>
      <c r="I30" s="88">
        <v>3.9</v>
      </c>
      <c r="J30" s="88">
        <v>3.9</v>
      </c>
      <c r="K30" s="88">
        <v>3.9</v>
      </c>
      <c r="L30" s="88">
        <v>3.9</v>
      </c>
      <c r="M30" s="88">
        <v>3.9</v>
      </c>
      <c r="N30" s="88">
        <v>3.9</v>
      </c>
      <c r="O30" s="88">
        <v>3.9</v>
      </c>
    </row>
    <row r="31" spans="2:15" x14ac:dyDescent="0.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15">
      <c r="C33" s="41" t="s">
        <v>126</v>
      </c>
      <c r="D33" s="88">
        <v>1.65</v>
      </c>
      <c r="E33" s="88">
        <v>1.65</v>
      </c>
      <c r="F33" s="88">
        <v>1.65</v>
      </c>
      <c r="G33" s="88">
        <v>1.65</v>
      </c>
      <c r="H33" s="88">
        <v>1.65</v>
      </c>
      <c r="I33" s="88">
        <v>1.65</v>
      </c>
      <c r="J33" s="88">
        <v>1.65</v>
      </c>
      <c r="K33" s="88">
        <v>1.65</v>
      </c>
      <c r="L33" s="88">
        <v>1.65</v>
      </c>
      <c r="M33" s="88">
        <v>1.65</v>
      </c>
      <c r="N33" s="88">
        <v>1.65</v>
      </c>
      <c r="O33" s="88">
        <v>1.65</v>
      </c>
    </row>
    <row r="34" spans="3:15" x14ac:dyDescent="0.15">
      <c r="C34" s="36" t="s">
        <v>127</v>
      </c>
      <c r="D34" s="88">
        <v>1.65</v>
      </c>
      <c r="E34" s="88">
        <v>1.65</v>
      </c>
      <c r="F34" s="88">
        <v>1.65</v>
      </c>
      <c r="G34" s="88">
        <v>1.65</v>
      </c>
      <c r="H34" s="88">
        <v>1.65</v>
      </c>
      <c r="I34" s="88">
        <v>1.65</v>
      </c>
      <c r="J34" s="88">
        <v>1.65</v>
      </c>
      <c r="K34" s="88">
        <v>1.65</v>
      </c>
      <c r="L34" s="88">
        <v>1.65</v>
      </c>
      <c r="M34" s="88">
        <v>1.65</v>
      </c>
      <c r="N34" s="88">
        <v>1.65</v>
      </c>
      <c r="O34" s="88">
        <v>1.65</v>
      </c>
    </row>
    <row r="35" spans="3:15" x14ac:dyDescent="0.15">
      <c r="C35" s="36" t="s">
        <v>128</v>
      </c>
      <c r="D35" s="88">
        <v>1.7</v>
      </c>
      <c r="E35" s="88">
        <v>1.7</v>
      </c>
      <c r="F35" s="88">
        <v>1.7</v>
      </c>
      <c r="G35" s="88">
        <v>1.7</v>
      </c>
      <c r="H35" s="88">
        <v>1.7</v>
      </c>
      <c r="I35" s="88">
        <v>1.7</v>
      </c>
      <c r="J35" s="88">
        <v>1.7</v>
      </c>
      <c r="K35" s="88">
        <v>1.7</v>
      </c>
      <c r="L35" s="88">
        <v>1.7</v>
      </c>
      <c r="M35" s="88">
        <v>1.7</v>
      </c>
      <c r="N35" s="88">
        <v>1.7</v>
      </c>
      <c r="O35" s="88">
        <v>1.7</v>
      </c>
    </row>
    <row r="36" spans="3:15" x14ac:dyDescent="0.15">
      <c r="C36" s="36" t="s">
        <v>129</v>
      </c>
      <c r="D36" s="88">
        <v>1.35</v>
      </c>
      <c r="E36" s="88">
        <v>1.35</v>
      </c>
      <c r="F36" s="88">
        <v>1.35</v>
      </c>
      <c r="G36" s="88">
        <v>1.35</v>
      </c>
      <c r="H36" s="88">
        <v>1.35</v>
      </c>
      <c r="I36" s="88">
        <v>1.35</v>
      </c>
      <c r="J36" s="88">
        <v>1.35</v>
      </c>
      <c r="K36" s="88">
        <v>1.35</v>
      </c>
      <c r="L36" s="88">
        <v>1.35</v>
      </c>
      <c r="M36" s="88">
        <v>1.35</v>
      </c>
      <c r="N36" s="88">
        <v>1.35</v>
      </c>
      <c r="O36" s="88">
        <v>1.35</v>
      </c>
    </row>
    <row r="37" spans="3:15" x14ac:dyDescent="0.15">
      <c r="C37" s="36" t="s">
        <v>130</v>
      </c>
      <c r="D37" s="88">
        <v>1.6</v>
      </c>
      <c r="E37" s="88">
        <v>1.6</v>
      </c>
      <c r="F37" s="88">
        <v>1.6</v>
      </c>
      <c r="G37" s="88">
        <v>1.6</v>
      </c>
      <c r="H37" s="88">
        <v>1.6</v>
      </c>
      <c r="I37" s="88">
        <v>1.6</v>
      </c>
      <c r="J37" s="88">
        <v>1.6</v>
      </c>
      <c r="K37" s="88">
        <v>1.6</v>
      </c>
      <c r="L37" s="88">
        <v>1.6</v>
      </c>
      <c r="M37" s="88">
        <v>1.6</v>
      </c>
      <c r="N37" s="88">
        <v>1.6</v>
      </c>
      <c r="O37" s="88">
        <v>1.6</v>
      </c>
    </row>
    <row r="38" spans="3:15" x14ac:dyDescent="0.15">
      <c r="C38" s="36" t="s">
        <v>131</v>
      </c>
      <c r="D38" s="88">
        <v>2.1</v>
      </c>
      <c r="E38" s="88">
        <v>2.1</v>
      </c>
      <c r="F38" s="88">
        <v>2.1</v>
      </c>
      <c r="G38" s="88">
        <v>2.1</v>
      </c>
      <c r="H38" s="88">
        <v>2.1</v>
      </c>
      <c r="I38" s="88">
        <v>2.1</v>
      </c>
      <c r="J38" s="88">
        <v>2.1</v>
      </c>
      <c r="K38" s="88">
        <v>2.1</v>
      </c>
      <c r="L38" s="88">
        <v>2.1</v>
      </c>
      <c r="M38" s="88">
        <v>2.1</v>
      </c>
      <c r="N38" s="88">
        <v>2.1</v>
      </c>
      <c r="O38" s="88">
        <v>2.1</v>
      </c>
    </row>
    <row r="39" spans="3:15" x14ac:dyDescent="0.15">
      <c r="C39" s="37" t="s">
        <v>132</v>
      </c>
      <c r="D39" s="88">
        <v>2</v>
      </c>
      <c r="E39" s="88">
        <v>2</v>
      </c>
      <c r="F39" s="88">
        <v>2</v>
      </c>
      <c r="G39" s="88">
        <v>2</v>
      </c>
      <c r="H39" s="88">
        <v>2</v>
      </c>
      <c r="I39" s="88">
        <v>2</v>
      </c>
      <c r="J39" s="88">
        <v>2</v>
      </c>
      <c r="K39" s="88">
        <v>2</v>
      </c>
      <c r="L39" s="88">
        <v>2</v>
      </c>
      <c r="M39" s="88">
        <v>2</v>
      </c>
      <c r="N39" s="88">
        <v>2</v>
      </c>
      <c r="O39" s="88">
        <v>2</v>
      </c>
    </row>
    <row r="40" spans="3:15" x14ac:dyDescent="0.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Ihd78+3iIZ9AN4fkxzNhw4BBHK+iAtWWPGOj/W+RfqSmh0ycDklKXax8YyWkygXM00JX8Ad/OONVyOVPUOCx1g==" saltValue="C6AEm30l+HXx+Cn2jypXk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Microsoft Office User</cp:lastModifiedBy>
  <dcterms:created xsi:type="dcterms:W3CDTF">2003-07-09T21:14:27Z</dcterms:created>
  <dcterms:modified xsi:type="dcterms:W3CDTF">2015-12-08T15:53:51Z</dcterms:modified>
</cp:coreProperties>
</file>