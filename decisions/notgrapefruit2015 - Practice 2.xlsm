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311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dz/Documents/Princeton/Senior/ORF411/OJ/Results/Practice2/"/>
    </mc:Choice>
  </mc:AlternateContent>
  <bookViews>
    <workbookView xWindow="0" yWindow="460" windowWidth="28800" windowHeight="17460" activeTab="2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9" i="7" l="1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107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H6" i="5"/>
  <c r="G16" i="5"/>
</calcChain>
</file>

<file path=xl/sharedStrings.xml><?xml version="1.0" encoding="utf-8"?>
<sst xmlns="http://schemas.openxmlformats.org/spreadsheetml/2006/main" count="432" uniqueCount="166">
  <si>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</si>
  <si>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</si>
  <si>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</si>
  <si>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</si>
  <si>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</si>
  <si>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</si>
  <si>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</si>
  <si>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</si>
  <si>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</si>
  <si>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</si>
  <si>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</si>
  <si>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</si>
  <si>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</si>
  <si>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</si>
  <si>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</si>
  <si>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</si>
  <si>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</si>
  <si>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</si>
  <si>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</si>
  <si>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</si>
  <si>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</si>
  <si>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</si>
  <si>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</si>
  <si>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</si>
  <si>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</si>
  <si>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</si>
  <si>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</si>
  <si>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</si>
  <si>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</si>
  <si>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</si>
  <si>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</si>
  <si>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</si>
  <si>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</si>
  <si>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</si>
  <si>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</si>
  <si>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</si>
  <si>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</si>
  <si>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</si>
  <si>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</si>
  <si>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</si>
  <si>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</si>
  <si>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</si>
  <si>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</si>
  <si>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</si>
  <si>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</si>
  <si>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</si>
  <si>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</si>
  <si>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</si>
  <si>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</si>
  <si>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</si>
  <si>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</si>
  <si>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</si>
  <si>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</si>
  <si>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</si>
  <si>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</si>
  <si>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</si>
  <si>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</si>
  <si>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</si>
  <si>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</si>
  <si>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</si>
  <si>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</si>
  <si>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</si>
  <si>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</si>
  <si>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</si>
  <si>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</si>
  <si>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</si>
  <si>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</si>
  <si>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</si>
  <si>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</si>
  <si>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</si>
  <si>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</si>
  <si>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</si>
  <si>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</si>
  <si>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</si>
  <si>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</si>
  <si>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</si>
  <si>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</si>
  <si>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</si>
  <si>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</si>
  <si>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</si>
  <si>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</si>
  <si>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</si>
  <si>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</si>
  <si>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</si>
  <si>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</si>
  <si>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</si>
  <si>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</si>
  <si>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</si>
  <si>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</si>
  <si>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</si>
  <si>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</si>
  <si>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</si>
  <si>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</si>
  <si>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</si>
  <si>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</si>
  <si>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</si>
  <si>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</si>
  <si>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</si>
  <si>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</si>
  <si>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</si>
  <si>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</si>
  <si>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</si>
  <si>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</si>
  <si>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</si>
  <si>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</si>
  <si>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</si>
  <si>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</si>
  <si>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</si>
  <si>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</si>
  <si>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</si>
  <si>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</si>
  <si>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</si>
  <si>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</si>
  <si>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</si>
  <si>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</si>
  <si>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</si>
  <si>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</si>
  <si>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</si>
  <si>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</si>
  <si>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</si>
  <si>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</si>
  <si>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</si>
  <si>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</si>
  <si>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</si>
  <si>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</si>
  <si>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</si>
  <si>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</si>
  <si>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</si>
  <si>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</si>
  <si>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</si>
  <si>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</si>
  <si>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</si>
  <si>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</si>
  <si>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</si>
  <si>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</si>
  <si>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</si>
  <si>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</si>
  <si>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</si>
  <si>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</si>
  <si>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</si>
  <si>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</si>
  <si>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</si>
  <si>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</si>
  <si>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</si>
  <si>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</si>
  <si>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</si>
  <si>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</si>
  <si>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</si>
  <si>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</si>
  <si>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</si>
  <si>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</si>
  <si>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</si>
  <si>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</si>
  <si>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</si>
  <si>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</si>
  <si>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</si>
  <si>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</si>
  <si>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</si>
  <si>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</si>
  <si>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</si>
  <si>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</si>
  <si>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</si>
  <si>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</si>
  <si>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</si>
  <si>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</si>
  <si>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notgrapefruit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</si>
</sst>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14" xfId="0" applyBorder="1" applyProtection="1">
      <protection locked="0"/>
    </xf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3" x14ac:dyDescent="0.15"/>
  <cols>
    <col min="1" max="1" width="4.6640625" customWidth="1"/>
  </cols>
  <sheetData>
    <row r="2" spans="2:6" x14ac:dyDescent="0.15">
      <c r="B2" s="1" t="s">
        <v>0</v>
      </c>
    </row>
    <row r="3" spans="2:6" x14ac:dyDescent="0.15">
      <c r="B3" s="2"/>
      <c r="C3" s="3"/>
      <c r="D3" s="3"/>
      <c r="E3" s="3"/>
      <c r="F3" s="3"/>
    </row>
    <row r="4" spans="2:6" x14ac:dyDescent="0.15">
      <c r="B4" s="4"/>
      <c r="C4" s="5" t="s">
        <v>1</v>
      </c>
      <c r="D4" s="97" t="s">
        <v>165</v>
      </c>
      <c r="E4" s="98"/>
      <c r="F4" s="99"/>
    </row>
    <row r="5" spans="2:6" x14ac:dyDescent="0.15">
      <c r="B5" s="6"/>
      <c r="C5" s="7" t="s">
        <v>111</v>
      </c>
      <c r="D5" s="100">
        <v>2015</v>
      </c>
      <c r="E5" s="101"/>
      <c r="F5" s="102"/>
    </row>
    <row r="6" spans="2:6" x14ac:dyDescent="0.15">
      <c r="B6" s="3"/>
      <c r="C6" s="3"/>
      <c r="D6" s="3"/>
      <c r="E6" s="3"/>
      <c r="F6" s="3"/>
    </row>
  </sheetData>
  <sheetProtection algorithmName="SHA-512" hashValue="ipHBlZMRsMcG7APtgHhvfdlKOsmQI5NemRno/7gEpXGLeqAygJrnR7zsz1u7wrWJFj06BdAYeVpxRPqeyGNT0Q==" saltValue="0b9WSkQIetU2QfVKVYA1ww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64" workbookViewId="0"/>
  </sheetViews>
  <sheetFormatPr baseColWidth="10" defaultColWidth="9.1640625" defaultRowHeight="13" x14ac:dyDescent="0.15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9.1640625" style="9"/>
  </cols>
  <sheetData>
    <row r="2" spans="2:8" x14ac:dyDescent="0.15">
      <c r="B2" s="8" t="s">
        <v>2</v>
      </c>
    </row>
    <row r="3" spans="2:8" x14ac:dyDescent="0.15">
      <c r="B3" s="10" t="s">
        <v>155</v>
      </c>
    </row>
    <row r="4" spans="2:8" x14ac:dyDescent="0.15">
      <c r="B4" s="11"/>
      <c r="C4" s="12"/>
      <c r="D4" s="12"/>
      <c r="E4" s="12"/>
      <c r="F4" s="12"/>
      <c r="G4" s="12"/>
      <c r="H4" s="12"/>
    </row>
    <row r="5" spans="2:8" x14ac:dyDescent="0.15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15">
      <c r="B6" s="14" t="s">
        <v>5</v>
      </c>
      <c r="C6" s="84"/>
      <c r="D6" s="15">
        <v>345</v>
      </c>
      <c r="E6" s="15"/>
      <c r="F6" s="15" t="s">
        <v>6</v>
      </c>
      <c r="G6" s="15">
        <f t="shared" ref="G6:G15" si="0">$D6+$C6</f>
        <v>345</v>
      </c>
      <c r="H6" s="16" t="str">
        <f t="shared" ref="H6:H15" si="1">IF(AND($D6=0, $G6&gt;0),"new", IF(AND($D6&gt;0, $G6=0),"sold",""))</f>
        <v/>
      </c>
    </row>
    <row r="7" spans="2:8" x14ac:dyDescent="0.15">
      <c r="B7" s="14" t="s">
        <v>7</v>
      </c>
      <c r="C7" s="84"/>
      <c r="D7" s="15">
        <v>0</v>
      </c>
      <c r="E7" s="15"/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15">
      <c r="B8" s="14" t="s">
        <v>8</v>
      </c>
      <c r="C8" s="84"/>
      <c r="D8" s="15">
        <v>0</v>
      </c>
      <c r="E8" s="15"/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15">
      <c r="B9" s="14" t="s">
        <v>9</v>
      </c>
      <c r="C9" s="84"/>
      <c r="D9" s="15">
        <v>0</v>
      </c>
      <c r="E9" s="15"/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15">
      <c r="B10" s="14" t="s">
        <v>10</v>
      </c>
      <c r="C10" s="84"/>
      <c r="D10" s="15">
        <v>500</v>
      </c>
      <c r="E10" s="15"/>
      <c r="F10" s="15" t="s">
        <v>6</v>
      </c>
      <c r="G10" s="15">
        <f t="shared" si="0"/>
        <v>500</v>
      </c>
      <c r="H10" s="17" t="str">
        <f t="shared" si="1"/>
        <v/>
      </c>
    </row>
    <row r="11" spans="2:8" x14ac:dyDescent="0.15">
      <c r="B11" s="14" t="s">
        <v>11</v>
      </c>
      <c r="C11" s="84"/>
      <c r="D11" s="15">
        <v>0</v>
      </c>
      <c r="E11" s="15"/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15">
      <c r="B12" s="14" t="s">
        <v>12</v>
      </c>
      <c r="C12" s="84"/>
      <c r="D12" s="15">
        <v>3589</v>
      </c>
      <c r="E12" s="15"/>
      <c r="F12" s="15" t="s">
        <v>6</v>
      </c>
      <c r="G12" s="15">
        <f t="shared" si="0"/>
        <v>3589</v>
      </c>
      <c r="H12" s="17" t="str">
        <f t="shared" si="1"/>
        <v/>
      </c>
    </row>
    <row r="13" spans="2:8" x14ac:dyDescent="0.15">
      <c r="B13" s="14" t="s">
        <v>13</v>
      </c>
      <c r="C13" s="84"/>
      <c r="D13" s="15">
        <v>0</v>
      </c>
      <c r="E13" s="15"/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15">
      <c r="B14" s="14" t="s">
        <v>14</v>
      </c>
      <c r="C14" s="84"/>
      <c r="D14" s="15">
        <v>0</v>
      </c>
      <c r="E14" s="15"/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15">
      <c r="B15" s="18" t="s">
        <v>15</v>
      </c>
      <c r="C15" s="84"/>
      <c r="D15" s="15">
        <v>0</v>
      </c>
      <c r="E15" s="15"/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15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15">
      <c r="B18" s="10" t="s">
        <v>148</v>
      </c>
    </row>
    <row r="19" spans="2:8" x14ac:dyDescent="0.15">
      <c r="B19" s="11"/>
      <c r="C19" s="12"/>
      <c r="D19" s="12"/>
      <c r="E19" s="12"/>
      <c r="F19" s="12"/>
      <c r="G19" s="12"/>
      <c r="H19" s="12"/>
    </row>
    <row r="20" spans="2:8" x14ac:dyDescent="0.15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15">
      <c r="B21" s="14" t="s">
        <v>5</v>
      </c>
      <c r="C21" s="85"/>
      <c r="D21" s="15">
        <v>11</v>
      </c>
      <c r="E21" s="15"/>
      <c r="F21" s="15" t="s">
        <v>6</v>
      </c>
      <c r="G21" s="15">
        <f t="shared" ref="G21:G30" si="2">$D21+$C21</f>
        <v>11</v>
      </c>
      <c r="H21" s="17"/>
    </row>
    <row r="22" spans="2:8" x14ac:dyDescent="0.15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15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15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15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 x14ac:dyDescent="0.15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15">
      <c r="B27" s="14" t="s">
        <v>12</v>
      </c>
      <c r="C27" s="85"/>
      <c r="D27" s="15">
        <v>53</v>
      </c>
      <c r="E27" s="15"/>
      <c r="F27" s="15" t="s">
        <v>6</v>
      </c>
      <c r="G27" s="15">
        <f t="shared" si="2"/>
        <v>53</v>
      </c>
      <c r="H27" s="17"/>
    </row>
    <row r="28" spans="2:8" x14ac:dyDescent="0.15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15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15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15">
      <c r="B31" s="21"/>
      <c r="C31" s="21"/>
      <c r="D31" s="21">
        <f>SUM($D$21:$D$30)</f>
        <v>86</v>
      </c>
      <c r="E31" s="21" t="s">
        <v>18</v>
      </c>
      <c r="F31" s="21"/>
      <c r="G31" s="21"/>
      <c r="H31" s="22"/>
    </row>
    <row r="33" spans="2:8" x14ac:dyDescent="0.15">
      <c r="B33" s="10" t="s">
        <v>156</v>
      </c>
    </row>
    <row r="34" spans="2:8" x14ac:dyDescent="0.15">
      <c r="B34" s="11"/>
      <c r="C34" s="12"/>
      <c r="D34" s="12"/>
      <c r="E34" s="12"/>
      <c r="F34" s="12"/>
      <c r="G34" s="12"/>
      <c r="H34" s="12"/>
    </row>
    <row r="35" spans="2:8" x14ac:dyDescent="0.15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15">
      <c r="B36" s="25" t="s">
        <v>19</v>
      </c>
      <c r="C36" s="84"/>
      <c r="D36" s="25">
        <v>0</v>
      </c>
      <c r="E36" s="26"/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15">
      <c r="B37" s="14" t="s">
        <v>20</v>
      </c>
      <c r="C37" s="84"/>
      <c r="D37" s="14">
        <v>0</v>
      </c>
      <c r="E37" s="15"/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15">
      <c r="B38" s="14" t="s">
        <v>21</v>
      </c>
      <c r="C38" s="84"/>
      <c r="D38" s="14">
        <v>0</v>
      </c>
      <c r="E38" s="15"/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15">
      <c r="B39" s="14" t="s">
        <v>22</v>
      </c>
      <c r="C39" s="84"/>
      <c r="D39" s="14">
        <v>50000</v>
      </c>
      <c r="E39" s="15"/>
      <c r="F39" s="15" t="s">
        <v>6</v>
      </c>
      <c r="G39" s="15">
        <f t="shared" si="3"/>
        <v>50000</v>
      </c>
      <c r="H39" s="17" t="str">
        <f t="shared" si="4"/>
        <v/>
      </c>
    </row>
    <row r="40" spans="2:8" x14ac:dyDescent="0.15">
      <c r="B40" s="14" t="s">
        <v>23</v>
      </c>
      <c r="C40" s="84"/>
      <c r="D40" s="14">
        <v>0</v>
      </c>
      <c r="E40" s="15"/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15">
      <c r="B41" s="14" t="s">
        <v>24</v>
      </c>
      <c r="C41" s="84"/>
      <c r="D41" s="14">
        <v>0</v>
      </c>
      <c r="E41" s="15"/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15">
      <c r="B42" s="14" t="s">
        <v>25</v>
      </c>
      <c r="C42" s="84"/>
      <c r="D42" s="14">
        <v>0</v>
      </c>
      <c r="E42" s="15"/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15">
      <c r="B43" s="14" t="s">
        <v>26</v>
      </c>
      <c r="C43" s="84"/>
      <c r="D43" s="14">
        <v>0</v>
      </c>
      <c r="E43" s="15"/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15">
      <c r="B44" s="14" t="s">
        <v>27</v>
      </c>
      <c r="C44" s="84"/>
      <c r="D44" s="14">
        <v>0</v>
      </c>
      <c r="E44" s="15"/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15">
      <c r="B45" s="14" t="s">
        <v>28</v>
      </c>
      <c r="C45" s="84"/>
      <c r="D45" s="14">
        <v>0</v>
      </c>
      <c r="E45" s="15"/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15">
      <c r="B46" s="14" t="s">
        <v>29</v>
      </c>
      <c r="C46" s="84"/>
      <c r="D46" s="14">
        <v>0</v>
      </c>
      <c r="E46" s="15"/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15">
      <c r="B47" s="14" t="s">
        <v>30</v>
      </c>
      <c r="C47" s="84"/>
      <c r="D47" s="14">
        <v>0</v>
      </c>
      <c r="E47" s="15"/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15">
      <c r="B48" s="14" t="s">
        <v>31</v>
      </c>
      <c r="C48" s="84"/>
      <c r="D48" s="14">
        <v>0</v>
      </c>
      <c r="E48" s="15"/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15">
      <c r="B49" s="14" t="s">
        <v>32</v>
      </c>
      <c r="C49" s="84"/>
      <c r="D49" s="14">
        <v>0</v>
      </c>
      <c r="E49" s="15"/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15">
      <c r="B50" s="14" t="s">
        <v>33</v>
      </c>
      <c r="C50" s="84"/>
      <c r="D50" s="14">
        <v>0</v>
      </c>
      <c r="E50" s="15"/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15">
      <c r="B51" s="14" t="s">
        <v>34</v>
      </c>
      <c r="C51" s="84"/>
      <c r="D51" s="14">
        <v>0</v>
      </c>
      <c r="E51" s="15"/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15">
      <c r="B52" s="14" t="s">
        <v>35</v>
      </c>
      <c r="C52" s="84"/>
      <c r="D52" s="14">
        <v>0</v>
      </c>
      <c r="E52" s="15"/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15">
      <c r="B53" s="14" t="s">
        <v>36</v>
      </c>
      <c r="C53" s="84"/>
      <c r="D53" s="14">
        <v>0</v>
      </c>
      <c r="E53" s="15"/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15">
      <c r="B54" s="14" t="s">
        <v>37</v>
      </c>
      <c r="C54" s="84"/>
      <c r="D54" s="14">
        <v>0</v>
      </c>
      <c r="E54" s="15"/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15">
      <c r="B55" s="14" t="s">
        <v>38</v>
      </c>
      <c r="C55" s="84"/>
      <c r="D55" s="14">
        <v>0</v>
      </c>
      <c r="E55" s="15"/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15">
      <c r="B56" s="14" t="s">
        <v>39</v>
      </c>
      <c r="C56" s="84"/>
      <c r="D56" s="14">
        <v>0</v>
      </c>
      <c r="E56" s="15"/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15">
      <c r="B57" s="14" t="s">
        <v>40</v>
      </c>
      <c r="C57" s="84"/>
      <c r="D57" s="14">
        <v>0</v>
      </c>
      <c r="E57" s="15"/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15">
      <c r="B58" s="14" t="s">
        <v>41</v>
      </c>
      <c r="C58" s="84"/>
      <c r="D58" s="14">
        <v>0</v>
      </c>
      <c r="E58" s="15"/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15">
      <c r="B59" s="14" t="s">
        <v>42</v>
      </c>
      <c r="C59" s="84"/>
      <c r="D59" s="14">
        <v>0</v>
      </c>
      <c r="E59" s="15"/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15">
      <c r="B60" s="14" t="s">
        <v>43</v>
      </c>
      <c r="C60" s="84"/>
      <c r="D60" s="15">
        <v>0</v>
      </c>
      <c r="E60" s="15"/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15">
      <c r="B61" s="14" t="s">
        <v>44</v>
      </c>
      <c r="C61" s="85"/>
      <c r="D61" s="15">
        <v>0</v>
      </c>
      <c r="E61" s="15"/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15">
      <c r="B62" s="14" t="s">
        <v>45</v>
      </c>
      <c r="C62" s="85"/>
      <c r="D62" s="15">
        <v>0</v>
      </c>
      <c r="E62" s="15"/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15">
      <c r="B63" s="14" t="s">
        <v>46</v>
      </c>
      <c r="C63" s="85"/>
      <c r="D63" s="15">
        <v>0</v>
      </c>
      <c r="E63" s="15"/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15">
      <c r="B64" s="14" t="s">
        <v>47</v>
      </c>
      <c r="C64" s="85"/>
      <c r="D64" s="15">
        <v>0</v>
      </c>
      <c r="E64" s="15"/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15">
      <c r="B65" s="14" t="s">
        <v>48</v>
      </c>
      <c r="C65" s="85"/>
      <c r="D65" s="15">
        <v>0</v>
      </c>
      <c r="E65" s="15"/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15">
      <c r="B66" s="14" t="s">
        <v>49</v>
      </c>
      <c r="C66" s="85"/>
      <c r="D66" s="15">
        <v>0</v>
      </c>
      <c r="E66" s="15"/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15">
      <c r="B67" s="14" t="s">
        <v>50</v>
      </c>
      <c r="C67" s="85"/>
      <c r="D67" s="15">
        <v>0</v>
      </c>
      <c r="E67" s="15"/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15">
      <c r="B68" s="14" t="s">
        <v>51</v>
      </c>
      <c r="C68" s="85"/>
      <c r="D68" s="15">
        <v>0</v>
      </c>
      <c r="E68" s="15"/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15">
      <c r="B69" s="14" t="s">
        <v>52</v>
      </c>
      <c r="C69" s="85"/>
      <c r="D69" s="15">
        <v>0</v>
      </c>
      <c r="E69" s="15"/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15">
      <c r="B70" s="14" t="s">
        <v>53</v>
      </c>
      <c r="C70" s="85"/>
      <c r="D70" s="15">
        <v>0</v>
      </c>
      <c r="E70" s="15"/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15">
      <c r="B71" s="14" t="s">
        <v>54</v>
      </c>
      <c r="C71" s="85"/>
      <c r="D71" s="15">
        <v>0</v>
      </c>
      <c r="E71" s="15"/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15">
      <c r="B72" s="14" t="s">
        <v>55</v>
      </c>
      <c r="C72" s="85"/>
      <c r="D72" s="15">
        <v>0</v>
      </c>
      <c r="E72" s="15"/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15">
      <c r="B73" s="14" t="s">
        <v>56</v>
      </c>
      <c r="C73" s="85"/>
      <c r="D73" s="15">
        <v>0</v>
      </c>
      <c r="E73" s="15"/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15">
      <c r="B74" s="14" t="s">
        <v>57</v>
      </c>
      <c r="C74" s="85"/>
      <c r="D74" s="15">
        <v>0</v>
      </c>
      <c r="E74" s="15"/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15">
      <c r="B75" s="14" t="s">
        <v>58</v>
      </c>
      <c r="C75" s="85"/>
      <c r="D75" s="15">
        <v>0</v>
      </c>
      <c r="E75" s="15"/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15">
      <c r="B76" s="14" t="s">
        <v>59</v>
      </c>
      <c r="C76" s="85"/>
      <c r="D76" s="15">
        <v>51000</v>
      </c>
      <c r="E76" s="15"/>
      <c r="F76" s="15" t="s">
        <v>6</v>
      </c>
      <c r="G76" s="15">
        <f t="shared" si="5"/>
        <v>51000</v>
      </c>
      <c r="H76" s="17" t="str">
        <f t="shared" si="6"/>
        <v/>
      </c>
    </row>
    <row r="77" spans="2:8" x14ac:dyDescent="0.15">
      <c r="B77" s="14" t="s">
        <v>60</v>
      </c>
      <c r="C77" s="85"/>
      <c r="D77" s="15">
        <v>0</v>
      </c>
      <c r="E77" s="15"/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15">
      <c r="B78" s="14" t="s">
        <v>61</v>
      </c>
      <c r="C78" s="85"/>
      <c r="D78" s="15">
        <v>0</v>
      </c>
      <c r="E78" s="15"/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15">
      <c r="B79" s="14" t="s">
        <v>62</v>
      </c>
      <c r="C79" s="85"/>
      <c r="D79" s="15">
        <v>0</v>
      </c>
      <c r="E79" s="15"/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15">
      <c r="B80" s="14" t="s">
        <v>63</v>
      </c>
      <c r="C80" s="85"/>
      <c r="D80" s="15">
        <v>0</v>
      </c>
      <c r="E80" s="15"/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15">
      <c r="B81" s="14" t="s">
        <v>64</v>
      </c>
      <c r="C81" s="85"/>
      <c r="D81" s="15">
        <v>0</v>
      </c>
      <c r="E81" s="15"/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15">
      <c r="B82" s="14" t="s">
        <v>65</v>
      </c>
      <c r="C82" s="85"/>
      <c r="D82" s="15">
        <v>0</v>
      </c>
      <c r="E82" s="15"/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15">
      <c r="B83" s="27" t="s">
        <v>66</v>
      </c>
      <c r="C83" s="85"/>
      <c r="D83" s="14">
        <v>0</v>
      </c>
      <c r="E83" s="15"/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15">
      <c r="B84" s="14" t="s">
        <v>67</v>
      </c>
      <c r="C84" s="85"/>
      <c r="D84" s="15">
        <v>0</v>
      </c>
      <c r="E84" s="15"/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15">
      <c r="B85" s="14" t="s">
        <v>68</v>
      </c>
      <c r="C85" s="85"/>
      <c r="D85" s="15">
        <v>0</v>
      </c>
      <c r="E85" s="15"/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15">
      <c r="B86" s="14" t="s">
        <v>69</v>
      </c>
      <c r="C86" s="85"/>
      <c r="D86" s="15">
        <v>0</v>
      </c>
      <c r="E86" s="15"/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15">
      <c r="B87" s="14" t="s">
        <v>70</v>
      </c>
      <c r="C87" s="85"/>
      <c r="D87" s="15">
        <v>0</v>
      </c>
      <c r="E87" s="15"/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15">
      <c r="B88" s="14" t="s">
        <v>71</v>
      </c>
      <c r="C88" s="85"/>
      <c r="D88" s="15">
        <v>0</v>
      </c>
      <c r="E88" s="15"/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15">
      <c r="B89" s="14" t="s">
        <v>72</v>
      </c>
      <c r="C89" s="85"/>
      <c r="D89" s="15">
        <v>0</v>
      </c>
      <c r="E89" s="15"/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15">
      <c r="B90" s="14" t="s">
        <v>73</v>
      </c>
      <c r="C90" s="85"/>
      <c r="D90" s="15">
        <v>0</v>
      </c>
      <c r="E90" s="15"/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15">
      <c r="B91" s="14" t="s">
        <v>74</v>
      </c>
      <c r="C91" s="85"/>
      <c r="D91" s="15">
        <v>0</v>
      </c>
      <c r="E91" s="15"/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15">
      <c r="B92" s="14" t="s">
        <v>75</v>
      </c>
      <c r="C92" s="85"/>
      <c r="D92" s="15">
        <v>0</v>
      </c>
      <c r="E92" s="15"/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15">
      <c r="B93" s="14" t="s">
        <v>76</v>
      </c>
      <c r="C93" s="85"/>
      <c r="D93" s="15">
        <v>0</v>
      </c>
      <c r="E93" s="15"/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15">
      <c r="B94" s="14" t="s">
        <v>77</v>
      </c>
      <c r="C94" s="85"/>
      <c r="D94" s="15">
        <v>0</v>
      </c>
      <c r="E94" s="15"/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15">
      <c r="B95" s="14" t="s">
        <v>78</v>
      </c>
      <c r="C95" s="85"/>
      <c r="D95" s="15">
        <v>0</v>
      </c>
      <c r="E95" s="15"/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15">
      <c r="B96" s="14" t="s">
        <v>79</v>
      </c>
      <c r="C96" s="85"/>
      <c r="D96" s="15">
        <v>0</v>
      </c>
      <c r="E96" s="15"/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15">
      <c r="B97" s="14" t="s">
        <v>80</v>
      </c>
      <c r="C97" s="85"/>
      <c r="D97" s="15">
        <v>0</v>
      </c>
      <c r="E97" s="15"/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15">
      <c r="B98" s="14" t="s">
        <v>81</v>
      </c>
      <c r="C98" s="85"/>
      <c r="D98" s="15">
        <v>0</v>
      </c>
      <c r="E98" s="15"/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15">
      <c r="B99" s="14" t="s">
        <v>82</v>
      </c>
      <c r="C99" s="85"/>
      <c r="D99" s="15">
        <v>0</v>
      </c>
      <c r="E99" s="15"/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15">
      <c r="B100" s="14" t="s">
        <v>83</v>
      </c>
      <c r="C100" s="85"/>
      <c r="D100" s="15">
        <v>0</v>
      </c>
      <c r="E100" s="15"/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15">
      <c r="B101" s="14" t="s">
        <v>84</v>
      </c>
      <c r="C101" s="85"/>
      <c r="D101" s="15">
        <v>0</v>
      </c>
      <c r="E101" s="15"/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15">
      <c r="B102" s="14" t="s">
        <v>85</v>
      </c>
      <c r="C102" s="85"/>
      <c r="D102" s="15">
        <v>0</v>
      </c>
      <c r="E102" s="15"/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15">
      <c r="B103" s="14" t="s">
        <v>86</v>
      </c>
      <c r="C103" s="85"/>
      <c r="D103" s="15">
        <v>0</v>
      </c>
      <c r="E103" s="15"/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15">
      <c r="B104" s="14" t="s">
        <v>87</v>
      </c>
      <c r="C104" s="85"/>
      <c r="D104" s="15">
        <v>0</v>
      </c>
      <c r="E104" s="15"/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15">
      <c r="B105" s="14" t="s">
        <v>88</v>
      </c>
      <c r="C105" s="85"/>
      <c r="D105" s="15">
        <v>0</v>
      </c>
      <c r="E105" s="15"/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15">
      <c r="B106" s="18" t="s">
        <v>89</v>
      </c>
      <c r="C106" s="85"/>
      <c r="D106" s="19">
        <v>0</v>
      </c>
      <c r="E106" s="19"/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15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sheetProtection algorithmName="SHA-512" hashValue="DgAu5NQviaqKkBAqcit4/+k3pfFwdeWqiZN7LwEZqUIOTecPrHvIFqsevz+iCvMEEpWm/pULaWB6PaHeEykt/A==" saltValue="oHqwgB3Imt94Ocv6bNGNBw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abSelected="1" workbookViewId="0">
      <selection activeCell="D8" sqref="D8"/>
    </sheetView>
  </sheetViews>
  <sheetFormatPr baseColWidth="10" defaultColWidth="9.1640625" defaultRowHeight="13" x14ac:dyDescent="0.15"/>
  <cols>
    <col min="1" max="1" width="4.6640625" style="29" customWidth="1"/>
    <col min="2" max="2" width="16.6640625" style="29" customWidth="1"/>
    <col min="3" max="14" width="8.6640625" style="29" customWidth="1"/>
    <col min="15" max="16384" width="9.1640625" style="29"/>
  </cols>
  <sheetData>
    <row r="2" spans="2:14" x14ac:dyDescent="0.15">
      <c r="B2" s="28" t="s">
        <v>140</v>
      </c>
    </row>
    <row r="3" spans="2:14" x14ac:dyDescent="0.15">
      <c r="B3" s="30" t="s">
        <v>164</v>
      </c>
    </row>
    <row r="4" spans="2:14" x14ac:dyDescent="0.15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15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15">
      <c r="B6" s="36" t="s">
        <v>104</v>
      </c>
      <c r="C6" s="86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</row>
    <row r="7" spans="2:14" x14ac:dyDescent="0.15">
      <c r="B7" s="36" t="s">
        <v>105</v>
      </c>
      <c r="C7" s="103">
        <v>4434</v>
      </c>
      <c r="D7" s="103">
        <v>4434</v>
      </c>
      <c r="E7" s="103">
        <v>4434</v>
      </c>
      <c r="F7" s="103">
        <v>4434</v>
      </c>
      <c r="G7" s="103">
        <v>4434</v>
      </c>
      <c r="H7" s="103">
        <v>4434</v>
      </c>
      <c r="I7" s="103">
        <v>4434</v>
      </c>
      <c r="J7" s="103">
        <v>4434</v>
      </c>
      <c r="K7" s="103">
        <v>4434</v>
      </c>
      <c r="L7" s="103">
        <v>4434</v>
      </c>
      <c r="M7" s="103">
        <v>4434</v>
      </c>
      <c r="N7" s="103">
        <v>4434</v>
      </c>
    </row>
    <row r="8" spans="2:14" x14ac:dyDescent="0.15">
      <c r="B8" s="36" t="s">
        <v>106</v>
      </c>
      <c r="C8" s="88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</row>
    <row r="9" spans="2:14" x14ac:dyDescent="0.15">
      <c r="B9" s="36" t="s">
        <v>107</v>
      </c>
      <c r="C9" s="88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</row>
    <row r="10" spans="2:14" x14ac:dyDescent="0.15">
      <c r="B10" s="36" t="s">
        <v>108</v>
      </c>
      <c r="C10" s="88">
        <v>4434</v>
      </c>
      <c r="D10" s="88">
        <v>4434</v>
      </c>
      <c r="E10" s="88">
        <v>4434</v>
      </c>
      <c r="F10" s="88">
        <v>4434</v>
      </c>
      <c r="G10" s="88">
        <v>4434</v>
      </c>
      <c r="H10" s="88">
        <v>4434</v>
      </c>
      <c r="I10" s="88">
        <v>4434</v>
      </c>
      <c r="J10" s="88">
        <v>4434</v>
      </c>
      <c r="K10" s="88">
        <v>4434</v>
      </c>
      <c r="L10" s="88">
        <v>4434</v>
      </c>
      <c r="M10" s="88">
        <v>4434</v>
      </c>
      <c r="N10" s="88">
        <v>4434</v>
      </c>
    </row>
    <row r="11" spans="2:14" x14ac:dyDescent="0.15">
      <c r="B11" s="37" t="s">
        <v>109</v>
      </c>
      <c r="C11" s="88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</row>
    <row r="12" spans="2:14" x14ac:dyDescent="0.15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15">
      <c r="B14" s="30" t="s">
        <v>157</v>
      </c>
    </row>
    <row r="15" spans="2:14" x14ac:dyDescent="0.15">
      <c r="B15" s="31"/>
      <c r="C15" s="32"/>
      <c r="D15" s="32"/>
      <c r="E15" s="51"/>
      <c r="F15" s="32"/>
      <c r="G15" s="32"/>
      <c r="H15" s="32"/>
    </row>
    <row r="16" spans="2:14" x14ac:dyDescent="0.15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15">
      <c r="B17" s="41" t="s">
        <v>104</v>
      </c>
      <c r="C17" s="90">
        <v>1</v>
      </c>
      <c r="D17" s="90">
        <v>1000000</v>
      </c>
      <c r="E17" s="90">
        <v>1</v>
      </c>
      <c r="F17" s="90">
        <v>1000000</v>
      </c>
      <c r="G17" s="90">
        <v>1</v>
      </c>
      <c r="H17" s="90">
        <v>1000000</v>
      </c>
      <c r="I17" s="29" t="s">
        <v>110</v>
      </c>
    </row>
    <row r="18" spans="2:33" x14ac:dyDescent="0.15">
      <c r="B18" s="36" t="s">
        <v>105</v>
      </c>
      <c r="C18" s="90">
        <v>1</v>
      </c>
      <c r="D18" s="90">
        <v>1000000</v>
      </c>
      <c r="E18" s="90">
        <v>1</v>
      </c>
      <c r="F18" s="90">
        <v>1000000</v>
      </c>
      <c r="G18" s="90">
        <v>1</v>
      </c>
      <c r="H18" s="90">
        <v>1000000</v>
      </c>
      <c r="I18" s="29" t="s">
        <v>110</v>
      </c>
    </row>
    <row r="19" spans="2:33" x14ac:dyDescent="0.15">
      <c r="B19" s="36" t="s">
        <v>106</v>
      </c>
      <c r="C19" s="90">
        <v>1</v>
      </c>
      <c r="D19" s="90">
        <v>1000000</v>
      </c>
      <c r="E19" s="90">
        <v>1</v>
      </c>
      <c r="F19" s="90">
        <v>1000000</v>
      </c>
      <c r="G19" s="90">
        <v>1</v>
      </c>
      <c r="H19" s="90">
        <v>1000000</v>
      </c>
      <c r="I19" s="29" t="s">
        <v>110</v>
      </c>
    </row>
    <row r="20" spans="2:33" x14ac:dyDescent="0.15">
      <c r="B20" s="36" t="s">
        <v>107</v>
      </c>
      <c r="C20" s="90">
        <v>1</v>
      </c>
      <c r="D20" s="90">
        <v>1000000</v>
      </c>
      <c r="E20" s="90">
        <v>1</v>
      </c>
      <c r="F20" s="90">
        <v>1000000</v>
      </c>
      <c r="G20" s="90">
        <v>1</v>
      </c>
      <c r="H20" s="90">
        <v>1000000</v>
      </c>
    </row>
    <row r="21" spans="2:33" x14ac:dyDescent="0.15">
      <c r="B21" s="36" t="s">
        <v>108</v>
      </c>
      <c r="C21" s="90">
        <v>1</v>
      </c>
      <c r="D21" s="90">
        <v>1000000</v>
      </c>
      <c r="E21" s="90">
        <v>1</v>
      </c>
      <c r="F21" s="90">
        <v>1000000</v>
      </c>
      <c r="G21" s="90">
        <v>1</v>
      </c>
      <c r="H21" s="90">
        <v>1000000</v>
      </c>
    </row>
    <row r="22" spans="2:33" x14ac:dyDescent="0.15">
      <c r="B22" s="37" t="s">
        <v>109</v>
      </c>
      <c r="C22" s="90">
        <v>1</v>
      </c>
      <c r="D22" s="90">
        <v>1000000</v>
      </c>
      <c r="E22" s="90">
        <v>1</v>
      </c>
      <c r="F22" s="90">
        <v>1000000</v>
      </c>
      <c r="G22" s="90">
        <v>1</v>
      </c>
      <c r="H22" s="90">
        <v>1000000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15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15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15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15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15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15">
      <c r="D28" s="45">
        <f>basic_info!$D$5-5</f>
        <v>2010</v>
      </c>
      <c r="E28" s="49"/>
      <c r="F28" s="45">
        <f>basic_info!$D$5-4</f>
        <v>2011</v>
      </c>
      <c r="G28" s="49"/>
      <c r="H28" s="45">
        <f>basic_info!$D$5-3</f>
        <v>2012</v>
      </c>
      <c r="I28" s="49"/>
      <c r="J28" s="45">
        <f>basic_info!$D$5-2</f>
        <v>2013</v>
      </c>
      <c r="K28" s="49"/>
      <c r="L28" s="45">
        <f>basic_info!$D$5-1</f>
        <v>2014</v>
      </c>
      <c r="N28" s="45">
        <f>basic_info!$D$5</f>
        <v>2015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15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15">
      <c r="B30" s="41" t="s">
        <v>112</v>
      </c>
      <c r="C30" s="36">
        <f>basic_info!$D$5</f>
        <v>2015</v>
      </c>
      <c r="D30" s="44">
        <v>0.71606841632270113</v>
      </c>
      <c r="E30" s="35">
        <v>0</v>
      </c>
      <c r="F30" s="47">
        <v>0.72887055332178219</v>
      </c>
      <c r="G30" s="46">
        <v>0</v>
      </c>
      <c r="H30" s="47">
        <v>0.83662811576897178</v>
      </c>
      <c r="I30" s="46">
        <v>0</v>
      </c>
      <c r="J30" s="47">
        <v>0.81866788858339068</v>
      </c>
      <c r="K30" s="46">
        <v>0</v>
      </c>
      <c r="L30" s="47">
        <v>0.66383864317884189</v>
      </c>
      <c r="M30" s="46">
        <v>0</v>
      </c>
      <c r="N30" s="60"/>
      <c r="O30" s="71" t="s">
        <v>162</v>
      </c>
      <c r="P30" s="41">
        <f>M30+K30+I30+E30+G30</f>
        <v>0</v>
      </c>
      <c r="Q30" s="70"/>
    </row>
    <row r="31" spans="2:33" x14ac:dyDescent="0.15">
      <c r="B31" s="36"/>
      <c r="C31" s="47">
        <f>basic_info!$D$5+1</f>
        <v>2016</v>
      </c>
      <c r="D31" s="76"/>
      <c r="E31" s="75"/>
      <c r="F31" s="69">
        <v>0.67862145488531522</v>
      </c>
      <c r="G31" s="79">
        <v>0</v>
      </c>
      <c r="H31" s="61">
        <v>0.77144919455166439</v>
      </c>
      <c r="I31" s="62">
        <v>0</v>
      </c>
      <c r="J31" s="61">
        <v>0.74927989201390566</v>
      </c>
      <c r="K31" s="62">
        <v>0</v>
      </c>
      <c r="L31" s="61">
        <v>0.67403456532264949</v>
      </c>
      <c r="M31" s="62">
        <v>0</v>
      </c>
      <c r="N31" s="63">
        <v>0.9094305994382329</v>
      </c>
      <c r="O31" s="89"/>
      <c r="P31" s="63">
        <f>O31+M31+K31+I31+G31</f>
        <v>0</v>
      </c>
    </row>
    <row r="32" spans="2:33" x14ac:dyDescent="0.15">
      <c r="B32" s="36"/>
      <c r="C32" s="47">
        <f>basic_info!$D$5+2</f>
        <v>2017</v>
      </c>
      <c r="D32" s="76"/>
      <c r="E32" s="75"/>
      <c r="F32" s="75"/>
      <c r="G32" s="75"/>
      <c r="H32" s="69">
        <v>0.71662753591933626</v>
      </c>
      <c r="I32" s="79">
        <v>0</v>
      </c>
      <c r="J32" s="61">
        <v>0.7118064307683698</v>
      </c>
      <c r="K32" s="62">
        <v>0</v>
      </c>
      <c r="L32" s="61">
        <v>0.65742258166301204</v>
      </c>
      <c r="M32" s="62">
        <v>0</v>
      </c>
      <c r="N32" s="63">
        <v>0.8608485705892801</v>
      </c>
      <c r="O32" s="89"/>
      <c r="P32" s="63">
        <f>O32+M32+K32+I32</f>
        <v>0</v>
      </c>
    </row>
    <row r="33" spans="2:17" x14ac:dyDescent="0.15">
      <c r="B33" s="36"/>
      <c r="C33" s="47">
        <f>basic_info!$D$5+3</f>
        <v>2018</v>
      </c>
      <c r="D33" s="76"/>
      <c r="E33" s="75"/>
      <c r="F33" s="75"/>
      <c r="G33" s="75"/>
      <c r="H33" s="75"/>
      <c r="I33" s="75"/>
      <c r="J33" s="69">
        <v>0.68616087553988669</v>
      </c>
      <c r="K33" s="79">
        <v>0</v>
      </c>
      <c r="L33" s="61">
        <v>0.64171751702829749</v>
      </c>
      <c r="M33" s="62">
        <v>0</v>
      </c>
      <c r="N33" s="63">
        <v>0.8295043288750632</v>
      </c>
      <c r="O33" s="89"/>
      <c r="P33" s="63">
        <f>O33+M33+K33</f>
        <v>0</v>
      </c>
    </row>
    <row r="34" spans="2:17" x14ac:dyDescent="0.15">
      <c r="B34" s="36"/>
      <c r="C34" s="47">
        <f>basic_info!$D$5+4</f>
        <v>2019</v>
      </c>
      <c r="D34" s="76"/>
      <c r="E34" s="75"/>
      <c r="F34" s="75"/>
      <c r="G34" s="75"/>
      <c r="H34" s="75"/>
      <c r="I34" s="75"/>
      <c r="J34" s="75"/>
      <c r="K34" s="75"/>
      <c r="L34" s="69">
        <v>0.65376248745918275</v>
      </c>
      <c r="M34" s="79">
        <v>0</v>
      </c>
      <c r="N34" s="63">
        <v>0.84540928358710421</v>
      </c>
      <c r="O34" s="89"/>
      <c r="P34" s="63">
        <f>O34+M34</f>
        <v>0</v>
      </c>
    </row>
    <row r="35" spans="2:17" x14ac:dyDescent="0.15">
      <c r="B35" s="37"/>
      <c r="C35" s="72">
        <f>basic_info!$D$5+5</f>
        <v>2020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0.76962524616122252</v>
      </c>
      <c r="O35" s="89"/>
      <c r="P35" s="65">
        <f>O35</f>
        <v>0</v>
      </c>
    </row>
    <row r="36" spans="2:17" x14ac:dyDescent="0.15">
      <c r="B36" s="41" t="s">
        <v>113</v>
      </c>
      <c r="C36" s="36">
        <f>basic_info!$D$5</f>
        <v>2015</v>
      </c>
      <c r="D36" s="44">
        <v>1.1250861635625817</v>
      </c>
      <c r="E36" s="35">
        <v>0</v>
      </c>
      <c r="F36" s="73">
        <v>1.3053357330394562</v>
      </c>
      <c r="G36" s="74">
        <v>0</v>
      </c>
      <c r="H36" s="73">
        <v>1.1125214549937747</v>
      </c>
      <c r="I36" s="74">
        <v>0</v>
      </c>
      <c r="J36" s="73">
        <v>1.2057521205584205</v>
      </c>
      <c r="K36" s="74">
        <v>0</v>
      </c>
      <c r="L36" s="66">
        <v>1.201165752532078</v>
      </c>
      <c r="M36" s="67">
        <v>0</v>
      </c>
      <c r="N36" s="68"/>
      <c r="O36" s="71" t="s">
        <v>162</v>
      </c>
      <c r="P36" s="41">
        <f>M36+K36+I36+E36+G36</f>
        <v>0</v>
      </c>
      <c r="Q36" s="70"/>
    </row>
    <row r="37" spans="2:17" x14ac:dyDescent="0.15">
      <c r="B37" s="36"/>
      <c r="C37" s="47">
        <f>basic_info!$D$5+1</f>
        <v>2016</v>
      </c>
      <c r="D37" s="76"/>
      <c r="E37" s="75"/>
      <c r="F37" s="69">
        <v>1.2381058075672227</v>
      </c>
      <c r="G37" s="79">
        <v>0</v>
      </c>
      <c r="H37" s="61">
        <v>1.0896456341169221</v>
      </c>
      <c r="I37" s="62">
        <v>0</v>
      </c>
      <c r="J37" s="61">
        <v>1.1880059380028796</v>
      </c>
      <c r="K37" s="62">
        <v>0</v>
      </c>
      <c r="L37" s="61">
        <v>1.1979988746751256</v>
      </c>
      <c r="M37" s="62">
        <v>0</v>
      </c>
      <c r="N37" s="61">
        <v>1.1284743819827652</v>
      </c>
      <c r="O37" s="89"/>
      <c r="P37" s="63">
        <f>O37+M37+K37+I37+G37</f>
        <v>0</v>
      </c>
    </row>
    <row r="38" spans="2:17" x14ac:dyDescent="0.15">
      <c r="B38" s="36"/>
      <c r="C38" s="47">
        <f>basic_info!$D$5+2</f>
        <v>2017</v>
      </c>
      <c r="D38" s="76"/>
      <c r="E38" s="75"/>
      <c r="F38" s="75"/>
      <c r="G38" s="75"/>
      <c r="H38" s="69">
        <v>1.0587453955633634</v>
      </c>
      <c r="I38" s="79">
        <v>0</v>
      </c>
      <c r="J38" s="61">
        <v>1.0938135695671274</v>
      </c>
      <c r="K38" s="62">
        <v>0</v>
      </c>
      <c r="L38" s="61">
        <v>1.1014713588815135</v>
      </c>
      <c r="M38" s="62">
        <v>0</v>
      </c>
      <c r="N38" s="61">
        <v>1.042842908637313</v>
      </c>
      <c r="O38" s="89"/>
      <c r="P38" s="63">
        <f>O38+M38+K38+I38</f>
        <v>0</v>
      </c>
    </row>
    <row r="39" spans="2:17" x14ac:dyDescent="0.15">
      <c r="B39" s="36"/>
      <c r="C39" s="47">
        <f>basic_info!$D$5+3</f>
        <v>2018</v>
      </c>
      <c r="D39" s="76"/>
      <c r="E39" s="75"/>
      <c r="F39" s="75"/>
      <c r="G39" s="75"/>
      <c r="H39" s="75"/>
      <c r="I39" s="75"/>
      <c r="J39" s="69">
        <v>1.0288140534879155</v>
      </c>
      <c r="K39" s="79">
        <v>0</v>
      </c>
      <c r="L39" s="61">
        <v>1.0108999284690923</v>
      </c>
      <c r="M39" s="62">
        <v>0</v>
      </c>
      <c r="N39" s="61">
        <v>1.0032828986441651</v>
      </c>
      <c r="O39" s="89"/>
      <c r="P39" s="63">
        <f>O39+M39+K39</f>
        <v>0</v>
      </c>
    </row>
    <row r="40" spans="2:17" x14ac:dyDescent="0.15">
      <c r="B40" s="36"/>
      <c r="C40" s="47">
        <f>basic_info!$D$5+4</f>
        <v>2019</v>
      </c>
      <c r="D40" s="76"/>
      <c r="E40" s="75"/>
      <c r="F40" s="75"/>
      <c r="G40" s="75"/>
      <c r="H40" s="75"/>
      <c r="I40" s="75"/>
      <c r="J40" s="75"/>
      <c r="K40" s="75"/>
      <c r="L40" s="69">
        <v>0.98955166281759732</v>
      </c>
      <c r="M40" s="79">
        <v>0</v>
      </c>
      <c r="N40" s="61">
        <v>0.95103433990902408</v>
      </c>
      <c r="O40" s="89"/>
      <c r="P40" s="63">
        <f>O40+M40</f>
        <v>0</v>
      </c>
    </row>
    <row r="41" spans="2:17" x14ac:dyDescent="0.15">
      <c r="B41" s="37"/>
      <c r="C41" s="72">
        <f>basic_info!$D$5+5</f>
        <v>2020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0.9180320969671012</v>
      </c>
      <c r="O41" s="89"/>
      <c r="P41" s="64">
        <f>O41</f>
        <v>0</v>
      </c>
    </row>
    <row r="42" spans="2:17" x14ac:dyDescent="0.15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15">
      <c r="B44" s="30" t="s">
        <v>153</v>
      </c>
    </row>
    <row r="45" spans="2:17" x14ac:dyDescent="0.15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15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15">
      <c r="B47" s="41" t="s">
        <v>112</v>
      </c>
      <c r="C47" s="91">
        <v>100</v>
      </c>
      <c r="D47" s="91">
        <v>0</v>
      </c>
      <c r="E47" s="91">
        <v>0</v>
      </c>
      <c r="F47" s="91">
        <v>0</v>
      </c>
      <c r="G47" s="91">
        <v>0</v>
      </c>
      <c r="H47" s="91">
        <v>0</v>
      </c>
      <c r="I47" s="91">
        <v>0</v>
      </c>
      <c r="J47" s="91">
        <v>0</v>
      </c>
      <c r="K47" s="91">
        <v>0</v>
      </c>
      <c r="L47" s="91">
        <v>0</v>
      </c>
      <c r="M47" s="91">
        <v>0</v>
      </c>
      <c r="N47" s="91">
        <v>0</v>
      </c>
      <c r="O47" s="33">
        <f>SUM(C47:N47)</f>
        <v>100</v>
      </c>
    </row>
    <row r="48" spans="2:17" x14ac:dyDescent="0.15">
      <c r="B48" s="37" t="s">
        <v>113</v>
      </c>
      <c r="C48" s="91">
        <v>100</v>
      </c>
      <c r="D48" s="91">
        <v>0</v>
      </c>
      <c r="E48" s="91">
        <v>0</v>
      </c>
      <c r="F48" s="91">
        <v>0</v>
      </c>
      <c r="G48" s="91">
        <v>0</v>
      </c>
      <c r="H48" s="91">
        <v>0</v>
      </c>
      <c r="I48" s="91">
        <v>0</v>
      </c>
      <c r="J48" s="91">
        <v>0</v>
      </c>
      <c r="K48" s="91">
        <v>0</v>
      </c>
      <c r="L48" s="91">
        <v>0</v>
      </c>
      <c r="M48" s="91">
        <v>0</v>
      </c>
      <c r="N48" s="91">
        <v>0</v>
      </c>
      <c r="O48" s="33">
        <f>SUM(C48:N48)</f>
        <v>100</v>
      </c>
    </row>
    <row r="49" spans="2:15" x14ac:dyDescent="0.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RtxQlnh5FqRSWONlGlKymWjINv04ChqFAHfhh7AR+CqHIGhRkf5Alp1ZqwnlatCQzWcCVJshzzRVBRpzss8E/Q==" saltValue="EI9+3IcR03XDJoXsePGkr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6 C8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3"/>
  <sheetViews>
    <sheetView showGridLines="0" workbookViewId="0">
      <selection activeCell="F6" sqref="F6"/>
    </sheetView>
  </sheetViews>
  <sheetFormatPr baseColWidth="10" defaultColWidth="9.1640625" defaultRowHeight="13" x14ac:dyDescent="0.15"/>
  <cols>
    <col min="1" max="1" width="4.6640625" style="29" customWidth="1"/>
    <col min="2" max="2" width="17.33203125" style="29" customWidth="1"/>
    <col min="3" max="16384" width="9.1640625" style="29"/>
  </cols>
  <sheetData>
    <row r="2" spans="2:17" x14ac:dyDescent="0.15">
      <c r="B2" s="28" t="s">
        <v>114</v>
      </c>
    </row>
    <row r="3" spans="2:17" x14ac:dyDescent="0.15">
      <c r="B3" s="30" t="s">
        <v>144</v>
      </c>
    </row>
    <row r="4" spans="2:17" x14ac:dyDescent="0.15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 x14ac:dyDescent="0.15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 x14ac:dyDescent="0.15">
      <c r="B6" s="45" t="s">
        <v>163</v>
      </c>
      <c r="C6" s="92">
        <v>7.7807849999999998</v>
      </c>
      <c r="D6" s="92">
        <v>11.2765</v>
      </c>
      <c r="E6" s="92">
        <v>80.942714999999993</v>
      </c>
      <c r="F6" s="92">
        <v>0</v>
      </c>
      <c r="G6" s="92">
        <v>0</v>
      </c>
      <c r="H6" s="95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 x14ac:dyDescent="0.15">
      <c r="B7" s="45" t="s">
        <v>105</v>
      </c>
      <c r="C7" s="92">
        <v>7.7807849999999998</v>
      </c>
      <c r="D7" s="92">
        <v>11.2765</v>
      </c>
      <c r="E7" s="92">
        <v>80.942714999999993</v>
      </c>
      <c r="F7" s="92">
        <v>0</v>
      </c>
      <c r="G7" s="92">
        <v>0</v>
      </c>
      <c r="H7" s="95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 x14ac:dyDescent="0.15">
      <c r="B8" s="45" t="s">
        <v>106</v>
      </c>
      <c r="C8" s="92">
        <v>7.7807849999999998</v>
      </c>
      <c r="D8" s="92">
        <v>11.2765</v>
      </c>
      <c r="E8" s="92">
        <v>80.942714999999993</v>
      </c>
      <c r="F8" s="92">
        <v>0</v>
      </c>
      <c r="G8" s="92">
        <v>0</v>
      </c>
      <c r="H8" s="95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 x14ac:dyDescent="0.15">
      <c r="B9" s="45" t="s">
        <v>107</v>
      </c>
      <c r="C9" s="92">
        <v>7.7807849999999998</v>
      </c>
      <c r="D9" s="92">
        <v>11.2765</v>
      </c>
      <c r="E9" s="92">
        <v>80.942714999999993</v>
      </c>
      <c r="F9" s="92">
        <v>0</v>
      </c>
      <c r="G9" s="92">
        <v>0</v>
      </c>
      <c r="H9" s="95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 x14ac:dyDescent="0.15">
      <c r="B10" s="45" t="s">
        <v>108</v>
      </c>
      <c r="C10" s="92">
        <v>7.7807849999999998</v>
      </c>
      <c r="D10" s="92">
        <v>11.2765</v>
      </c>
      <c r="E10" s="92">
        <v>80.942714999999993</v>
      </c>
      <c r="F10" s="92">
        <v>0</v>
      </c>
      <c r="G10" s="92">
        <v>0</v>
      </c>
      <c r="H10" s="95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 x14ac:dyDescent="0.15">
      <c r="B11" s="45" t="s">
        <v>109</v>
      </c>
      <c r="C11" s="92">
        <v>7.7807849999999998</v>
      </c>
      <c r="D11" s="92">
        <v>11.2765</v>
      </c>
      <c r="E11" s="92">
        <v>80.942714999999993</v>
      </c>
      <c r="F11" s="93">
        <v>0</v>
      </c>
      <c r="G11" s="93">
        <v>0</v>
      </c>
      <c r="H11" s="94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 x14ac:dyDescent="0.15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 x14ac:dyDescent="0.15">
      <c r="C13" s="49"/>
      <c r="D13" s="49"/>
      <c r="E13" s="49"/>
      <c r="F13" s="49"/>
      <c r="G13" s="49"/>
      <c r="H13" s="49"/>
      <c r="I13" s="50"/>
      <c r="J13" s="50"/>
      <c r="K13" s="50"/>
    </row>
    <row r="14" spans="2:17" x14ac:dyDescent="0.15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 x14ac:dyDescent="0.15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 x14ac:dyDescent="0.15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15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15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15">
      <c r="B19" s="45" t="s">
        <v>120</v>
      </c>
      <c r="C19" s="93">
        <v>45</v>
      </c>
      <c r="D19" s="44">
        <f>100-$C$19</f>
        <v>55</v>
      </c>
      <c r="E19" s="93">
        <v>45</v>
      </c>
      <c r="F19" s="44">
        <f>100-$E$19</f>
        <v>55</v>
      </c>
      <c r="G19" s="93">
        <v>45</v>
      </c>
      <c r="H19" s="33">
        <f>100-$G$19</f>
        <v>55</v>
      </c>
      <c r="O19" s="50"/>
      <c r="P19" s="50"/>
      <c r="Q19" s="50"/>
    </row>
    <row r="20" spans="2:18" x14ac:dyDescent="0.15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15">
      <c r="I21" s="50"/>
      <c r="J21" s="50"/>
      <c r="K21" s="50"/>
    </row>
    <row r="22" spans="2:18" x14ac:dyDescent="0.15">
      <c r="B22" s="52" t="s">
        <v>114</v>
      </c>
      <c r="I22" s="50"/>
      <c r="J22" s="50"/>
      <c r="K22" s="50"/>
    </row>
    <row r="23" spans="2:18" x14ac:dyDescent="0.15">
      <c r="B23" s="55" t="s">
        <v>145</v>
      </c>
      <c r="I23" s="50"/>
      <c r="J23" s="50"/>
      <c r="K23" s="50"/>
    </row>
    <row r="24" spans="2:18" x14ac:dyDescent="0.15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15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15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15">
      <c r="B27" s="45" t="s">
        <v>22</v>
      </c>
      <c r="C27" s="92">
        <v>100</v>
      </c>
      <c r="D27" s="92">
        <v>37.5</v>
      </c>
      <c r="E27" s="92">
        <v>30</v>
      </c>
      <c r="F27" s="92">
        <v>37.5</v>
      </c>
      <c r="G27" s="92">
        <v>30</v>
      </c>
      <c r="H27" s="92">
        <v>37.5</v>
      </c>
      <c r="I27" s="92">
        <v>30</v>
      </c>
      <c r="P27" s="50"/>
      <c r="Q27" s="50"/>
      <c r="R27" s="50"/>
    </row>
    <row r="28" spans="2:18" x14ac:dyDescent="0.15">
      <c r="B28" s="45" t="s">
        <v>59</v>
      </c>
      <c r="C28" s="92">
        <v>0</v>
      </c>
      <c r="D28" s="92">
        <v>62.5</v>
      </c>
      <c r="E28" s="92">
        <v>70</v>
      </c>
      <c r="F28" s="92">
        <v>62.5</v>
      </c>
      <c r="G28" s="92">
        <v>70</v>
      </c>
      <c r="H28" s="92">
        <v>62.5</v>
      </c>
      <c r="I28" s="92">
        <v>70</v>
      </c>
      <c r="P28" s="50"/>
      <c r="Q28" s="50"/>
      <c r="R28" s="50"/>
    </row>
    <row r="29" spans="2:18" x14ac:dyDescent="0.15">
      <c r="B29" s="45" t="s">
        <v>150</v>
      </c>
      <c r="C29" s="96">
        <f>SUM($C$27:$C$28)</f>
        <v>100</v>
      </c>
      <c r="D29" s="96">
        <f>SUM($D$27:$D$28)</f>
        <v>100</v>
      </c>
      <c r="E29" s="96">
        <f>SUM($E$27:$E$28)</f>
        <v>100</v>
      </c>
      <c r="F29" s="96">
        <f>SUM($F$27:$F$28)</f>
        <v>100</v>
      </c>
      <c r="G29" s="96">
        <f>SUM($G$27:$G$28)</f>
        <v>100</v>
      </c>
      <c r="H29" s="96">
        <f>SUM($H$27:$H$28)</f>
        <v>100</v>
      </c>
      <c r="I29" s="94">
        <f>SUM($I$27:$I$28)</f>
        <v>100</v>
      </c>
      <c r="P29" s="50"/>
      <c r="Q29" s="50"/>
      <c r="R29" s="50"/>
    </row>
    <row r="30" spans="2:18" x14ac:dyDescent="0.15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 x14ac:dyDescent="0.15">
      <c r="I31" s="50"/>
      <c r="J31" s="50"/>
      <c r="K31" s="50"/>
    </row>
    <row r="32" spans="2:18" x14ac:dyDescent="0.15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15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15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15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15">
      <c r="B36" s="45" t="s">
        <v>22</v>
      </c>
      <c r="C36" s="92">
        <v>35</v>
      </c>
      <c r="D36" s="92">
        <v>35</v>
      </c>
      <c r="E36" s="92">
        <v>35</v>
      </c>
      <c r="F36" s="92">
        <v>35</v>
      </c>
      <c r="G36" s="92">
        <v>35</v>
      </c>
      <c r="H36" s="92">
        <v>35</v>
      </c>
      <c r="I36" s="92">
        <v>35</v>
      </c>
      <c r="J36" s="92">
        <v>35</v>
      </c>
      <c r="K36" s="92">
        <v>35</v>
      </c>
      <c r="L36" s="92">
        <v>35</v>
      </c>
      <c r="M36" s="92">
        <v>35</v>
      </c>
      <c r="N36" s="92">
        <v>35</v>
      </c>
    </row>
    <row r="37" spans="2:14" x14ac:dyDescent="0.15">
      <c r="B37" s="45" t="s">
        <v>59</v>
      </c>
      <c r="C37" s="92">
        <v>35</v>
      </c>
      <c r="D37" s="92">
        <v>35</v>
      </c>
      <c r="E37" s="92">
        <v>35</v>
      </c>
      <c r="F37" s="92">
        <v>35</v>
      </c>
      <c r="G37" s="92">
        <v>35</v>
      </c>
      <c r="H37" s="92">
        <v>35</v>
      </c>
      <c r="I37" s="92">
        <v>35</v>
      </c>
      <c r="J37" s="92">
        <v>35</v>
      </c>
      <c r="K37" s="92">
        <v>35</v>
      </c>
      <c r="L37" s="92">
        <v>35</v>
      </c>
      <c r="M37" s="92">
        <v>35</v>
      </c>
      <c r="N37" s="92">
        <v>35</v>
      </c>
    </row>
    <row r="38" spans="2:14" x14ac:dyDescent="0.15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15">
      <c r="I39" s="50"/>
      <c r="J39" s="50"/>
      <c r="K39" s="50"/>
    </row>
    <row r="40" spans="2:14" x14ac:dyDescent="0.15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15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15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15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15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15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15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15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15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15">
      <c r="I61" s="50"/>
      <c r="J61" s="50"/>
    </row>
    <row r="62" spans="9:24" x14ac:dyDescent="0.15">
      <c r="I62" s="50"/>
      <c r="J62" s="50"/>
    </row>
    <row r="63" spans="9:24" x14ac:dyDescent="0.15">
      <c r="I63" s="50"/>
      <c r="J63" s="50"/>
    </row>
  </sheetData>
  <sheetProtection algorithmName="SHA-512" hashValue="WymKDxpWOjI1nmNqvP16hAwEylS+u9+zQ0bRD8B25+W4bqZDj1JPVgwoqdv+UlWs2lM2ebk/YYeJhhDesLX/IQ==" saltValue="VtTua5UsCbDUBwfWeOdtjQ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>
      <selection activeCell="I36" sqref="I36"/>
    </sheetView>
  </sheetViews>
  <sheetFormatPr baseColWidth="10" defaultColWidth="9.1640625" defaultRowHeight="13" x14ac:dyDescent="0.15"/>
  <cols>
    <col min="1" max="2" width="4.6640625" style="29" customWidth="1"/>
    <col min="3" max="3" width="12.6640625" style="29" customWidth="1"/>
    <col min="4" max="15" width="8.6640625" style="29" customWidth="1"/>
    <col min="16" max="16384" width="9.1640625" style="29"/>
  </cols>
  <sheetData>
    <row r="2" spans="2:15" x14ac:dyDescent="0.15">
      <c r="C2" s="28" t="s">
        <v>158</v>
      </c>
    </row>
    <row r="3" spans="2:15" x14ac:dyDescent="0.15">
      <c r="C3" s="30" t="s">
        <v>138</v>
      </c>
    </row>
    <row r="4" spans="2:15" x14ac:dyDescent="0.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15">
      <c r="C6" s="41" t="s">
        <v>126</v>
      </c>
      <c r="D6" s="89">
        <v>4</v>
      </c>
      <c r="E6" s="89">
        <v>3.7272727272727275</v>
      </c>
      <c r="F6" s="89">
        <v>3.454545454545455</v>
      </c>
      <c r="G6" s="89">
        <v>3.1818181818181825</v>
      </c>
      <c r="H6" s="89">
        <v>2.9090909090909101</v>
      </c>
      <c r="I6" s="89">
        <v>2.6363636363636376</v>
      </c>
      <c r="J6" s="89">
        <v>2.3636363636363651</v>
      </c>
      <c r="K6" s="89">
        <v>2.0909090909090926</v>
      </c>
      <c r="L6" s="89">
        <v>1.8181818181818199</v>
      </c>
      <c r="M6" s="89">
        <v>1.5454545454545472</v>
      </c>
      <c r="N6" s="89">
        <v>1.2727272727272745</v>
      </c>
      <c r="O6" s="89">
        <v>1.0000000000000018</v>
      </c>
    </row>
    <row r="7" spans="2:15" x14ac:dyDescent="0.15">
      <c r="C7" s="36" t="s">
        <v>127</v>
      </c>
      <c r="D7" s="89">
        <v>4</v>
      </c>
      <c r="E7" s="89">
        <v>3.7272727272727275</v>
      </c>
      <c r="F7" s="89">
        <v>3.454545454545455</v>
      </c>
      <c r="G7" s="89">
        <v>3.1818181818181825</v>
      </c>
      <c r="H7" s="89">
        <v>2.9090909090909101</v>
      </c>
      <c r="I7" s="89">
        <v>2.6363636363636376</v>
      </c>
      <c r="J7" s="89">
        <v>2.3636363636363651</v>
      </c>
      <c r="K7" s="89">
        <v>2.0909090909090926</v>
      </c>
      <c r="L7" s="89">
        <v>1.8181818181818199</v>
      </c>
      <c r="M7" s="89">
        <v>1.5454545454545472</v>
      </c>
      <c r="N7" s="89">
        <v>1.2727272727272745</v>
      </c>
      <c r="O7" s="89">
        <v>1.0000000000000018</v>
      </c>
    </row>
    <row r="8" spans="2:15" x14ac:dyDescent="0.15">
      <c r="C8" s="36" t="s">
        <v>128</v>
      </c>
      <c r="D8" s="89">
        <v>4</v>
      </c>
      <c r="E8" s="89">
        <v>3.7272727272727275</v>
      </c>
      <c r="F8" s="89">
        <v>3.454545454545455</v>
      </c>
      <c r="G8" s="89">
        <v>3.1818181818181825</v>
      </c>
      <c r="H8" s="89">
        <v>2.9090909090909101</v>
      </c>
      <c r="I8" s="89">
        <v>2.6363636363636376</v>
      </c>
      <c r="J8" s="89">
        <v>2.3636363636363651</v>
      </c>
      <c r="K8" s="89">
        <v>2.0909090909090926</v>
      </c>
      <c r="L8" s="89">
        <v>1.8181818181818199</v>
      </c>
      <c r="M8" s="89">
        <v>1.5454545454545472</v>
      </c>
      <c r="N8" s="89">
        <v>1.2727272727272745</v>
      </c>
      <c r="O8" s="89">
        <v>1.0000000000000018</v>
      </c>
    </row>
    <row r="9" spans="2:15" x14ac:dyDescent="0.15">
      <c r="C9" s="36" t="s">
        <v>129</v>
      </c>
      <c r="D9" s="89">
        <v>4</v>
      </c>
      <c r="E9" s="89">
        <v>3.7272727272727275</v>
      </c>
      <c r="F9" s="89">
        <v>3.454545454545455</v>
      </c>
      <c r="G9" s="89">
        <v>3.1818181818181825</v>
      </c>
      <c r="H9" s="89">
        <v>2.9090909090909101</v>
      </c>
      <c r="I9" s="89">
        <v>2.6363636363636376</v>
      </c>
      <c r="J9" s="89">
        <v>2.3636363636363651</v>
      </c>
      <c r="K9" s="89">
        <v>2.0909090909090926</v>
      </c>
      <c r="L9" s="89">
        <v>1.8181818181818199</v>
      </c>
      <c r="M9" s="89">
        <v>1.5454545454545472</v>
      </c>
      <c r="N9" s="89">
        <v>1.2727272727272745</v>
      </c>
      <c r="O9" s="89">
        <v>1.0000000000000018</v>
      </c>
    </row>
    <row r="10" spans="2:15" x14ac:dyDescent="0.15">
      <c r="C10" s="36" t="s">
        <v>130</v>
      </c>
      <c r="D10" s="89">
        <v>4</v>
      </c>
      <c r="E10" s="89">
        <v>3.7272727272727275</v>
      </c>
      <c r="F10" s="89">
        <v>3.454545454545455</v>
      </c>
      <c r="G10" s="89">
        <v>3.1818181818181825</v>
      </c>
      <c r="H10" s="89">
        <v>2.9090909090909101</v>
      </c>
      <c r="I10" s="89">
        <v>2.6363636363636376</v>
      </c>
      <c r="J10" s="89">
        <v>2.3636363636363651</v>
      </c>
      <c r="K10" s="89">
        <v>2.0909090909090926</v>
      </c>
      <c r="L10" s="89">
        <v>1.8181818181818199</v>
      </c>
      <c r="M10" s="89">
        <v>1.5454545454545472</v>
      </c>
      <c r="N10" s="89">
        <v>1.2727272727272745</v>
      </c>
      <c r="O10" s="89">
        <v>1.0000000000000018</v>
      </c>
    </row>
    <row r="11" spans="2:15" x14ac:dyDescent="0.15">
      <c r="C11" s="36" t="s">
        <v>131</v>
      </c>
      <c r="D11" s="89">
        <v>4</v>
      </c>
      <c r="E11" s="89">
        <v>3.7272727272727275</v>
      </c>
      <c r="F11" s="89">
        <v>3.454545454545455</v>
      </c>
      <c r="G11" s="89">
        <v>3.1818181818181825</v>
      </c>
      <c r="H11" s="89">
        <v>2.9090909090909101</v>
      </c>
      <c r="I11" s="89">
        <v>2.6363636363636376</v>
      </c>
      <c r="J11" s="89">
        <v>2.3636363636363651</v>
      </c>
      <c r="K11" s="89">
        <v>2.0909090909090926</v>
      </c>
      <c r="L11" s="89">
        <v>1.8181818181818199</v>
      </c>
      <c r="M11" s="89">
        <v>1.5454545454545472</v>
      </c>
      <c r="N11" s="89">
        <v>1.2727272727272745</v>
      </c>
      <c r="O11" s="89">
        <v>1.0000000000000018</v>
      </c>
    </row>
    <row r="12" spans="2:15" x14ac:dyDescent="0.15">
      <c r="C12" s="37" t="s">
        <v>132</v>
      </c>
      <c r="D12" s="89">
        <v>4</v>
      </c>
      <c r="E12" s="89">
        <v>3.7272727272727275</v>
      </c>
      <c r="F12" s="89">
        <v>3.454545454545455</v>
      </c>
      <c r="G12" s="89">
        <v>3.1818181818181825</v>
      </c>
      <c r="H12" s="89">
        <v>2.9090909090909101</v>
      </c>
      <c r="I12" s="89">
        <v>2.6363636363636376</v>
      </c>
      <c r="J12" s="89">
        <v>2.3636363636363651</v>
      </c>
      <c r="K12" s="89">
        <v>2.0909090909090926</v>
      </c>
      <c r="L12" s="89">
        <v>1.8181818181818199</v>
      </c>
      <c r="M12" s="89">
        <v>1.5454545454545472</v>
      </c>
      <c r="N12" s="89">
        <v>1.2727272727272745</v>
      </c>
      <c r="O12" s="89">
        <v>1.0000000000000018</v>
      </c>
    </row>
    <row r="13" spans="2:15" x14ac:dyDescent="0.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15">
      <c r="C15" s="41" t="s">
        <v>126</v>
      </c>
      <c r="D15" s="89">
        <v>4</v>
      </c>
      <c r="E15" s="89">
        <v>3.7272727272727275</v>
      </c>
      <c r="F15" s="89">
        <v>3.454545454545455</v>
      </c>
      <c r="G15" s="89">
        <v>3.1818181818181825</v>
      </c>
      <c r="H15" s="89">
        <v>2.9090909090909101</v>
      </c>
      <c r="I15" s="89">
        <v>2.6363636363636376</v>
      </c>
      <c r="J15" s="89">
        <v>2.3636363636363651</v>
      </c>
      <c r="K15" s="89">
        <v>2.0909090909090926</v>
      </c>
      <c r="L15" s="89">
        <v>1.8181818181818199</v>
      </c>
      <c r="M15" s="89">
        <v>1.5454545454545472</v>
      </c>
      <c r="N15" s="89">
        <v>1.2727272727272745</v>
      </c>
      <c r="O15" s="89">
        <v>1.0000000000000018</v>
      </c>
    </row>
    <row r="16" spans="2:15" x14ac:dyDescent="0.15">
      <c r="C16" s="36" t="s">
        <v>127</v>
      </c>
      <c r="D16" s="89">
        <v>4</v>
      </c>
      <c r="E16" s="89">
        <v>3.7272727272727275</v>
      </c>
      <c r="F16" s="89">
        <v>3.454545454545455</v>
      </c>
      <c r="G16" s="89">
        <v>3.1818181818181825</v>
      </c>
      <c r="H16" s="89">
        <v>2.9090909090909101</v>
      </c>
      <c r="I16" s="89">
        <v>2.6363636363636376</v>
      </c>
      <c r="J16" s="89">
        <v>2.3636363636363651</v>
      </c>
      <c r="K16" s="89">
        <v>2.0909090909090926</v>
      </c>
      <c r="L16" s="89">
        <v>1.8181818181818199</v>
      </c>
      <c r="M16" s="89">
        <v>1.5454545454545472</v>
      </c>
      <c r="N16" s="89">
        <v>1.2727272727272745</v>
      </c>
      <c r="O16" s="89">
        <v>1.0000000000000018</v>
      </c>
    </row>
    <row r="17" spans="2:15" x14ac:dyDescent="0.15">
      <c r="C17" s="36" t="s">
        <v>128</v>
      </c>
      <c r="D17" s="89">
        <v>4</v>
      </c>
      <c r="E17" s="89">
        <v>3.7272727272727275</v>
      </c>
      <c r="F17" s="89">
        <v>3.454545454545455</v>
      </c>
      <c r="G17" s="89">
        <v>3.1818181818181825</v>
      </c>
      <c r="H17" s="89">
        <v>2.9090909090909101</v>
      </c>
      <c r="I17" s="89">
        <v>2.6363636363636376</v>
      </c>
      <c r="J17" s="89">
        <v>2.3636363636363651</v>
      </c>
      <c r="K17" s="89">
        <v>2.0909090909090926</v>
      </c>
      <c r="L17" s="89">
        <v>1.8181818181818199</v>
      </c>
      <c r="M17" s="89">
        <v>1.5454545454545472</v>
      </c>
      <c r="N17" s="89">
        <v>1.2727272727272745</v>
      </c>
      <c r="O17" s="89">
        <v>1.0000000000000018</v>
      </c>
    </row>
    <row r="18" spans="2:15" x14ac:dyDescent="0.15">
      <c r="C18" s="36" t="s">
        <v>129</v>
      </c>
      <c r="D18" s="89">
        <v>4</v>
      </c>
      <c r="E18" s="89">
        <v>3.7272727272727275</v>
      </c>
      <c r="F18" s="89">
        <v>3.454545454545455</v>
      </c>
      <c r="G18" s="89">
        <v>3.1818181818181825</v>
      </c>
      <c r="H18" s="89">
        <v>2.9090909090909101</v>
      </c>
      <c r="I18" s="89">
        <v>2.6363636363636376</v>
      </c>
      <c r="J18" s="89">
        <v>2.3636363636363651</v>
      </c>
      <c r="K18" s="89">
        <v>2.0909090909090926</v>
      </c>
      <c r="L18" s="89">
        <v>1.8181818181818199</v>
      </c>
      <c r="M18" s="89">
        <v>1.5454545454545472</v>
      </c>
      <c r="N18" s="89">
        <v>1.2727272727272745</v>
      </c>
      <c r="O18" s="89">
        <v>1.0000000000000018</v>
      </c>
    </row>
    <row r="19" spans="2:15" x14ac:dyDescent="0.15">
      <c r="C19" s="36" t="s">
        <v>130</v>
      </c>
      <c r="D19" s="89">
        <v>4</v>
      </c>
      <c r="E19" s="89">
        <v>3.7272727272727275</v>
      </c>
      <c r="F19" s="89">
        <v>3.454545454545455</v>
      </c>
      <c r="G19" s="89">
        <v>3.1818181818181825</v>
      </c>
      <c r="H19" s="89">
        <v>2.9090909090909101</v>
      </c>
      <c r="I19" s="89">
        <v>2.6363636363636376</v>
      </c>
      <c r="J19" s="89">
        <v>2.3636363636363651</v>
      </c>
      <c r="K19" s="89">
        <v>2.0909090909090926</v>
      </c>
      <c r="L19" s="89">
        <v>1.8181818181818199</v>
      </c>
      <c r="M19" s="89">
        <v>1.5454545454545472</v>
      </c>
      <c r="N19" s="89">
        <v>1.2727272727272745</v>
      </c>
      <c r="O19" s="89">
        <v>1.0000000000000018</v>
      </c>
    </row>
    <row r="20" spans="2:15" x14ac:dyDescent="0.15">
      <c r="C20" s="36" t="s">
        <v>131</v>
      </c>
      <c r="D20" s="89">
        <v>4</v>
      </c>
      <c r="E20" s="89">
        <v>3.7272727272727275</v>
      </c>
      <c r="F20" s="89">
        <v>3.454545454545455</v>
      </c>
      <c r="G20" s="89">
        <v>3.1818181818181825</v>
      </c>
      <c r="H20" s="89">
        <v>2.9090909090909101</v>
      </c>
      <c r="I20" s="89">
        <v>2.6363636363636376</v>
      </c>
      <c r="J20" s="89">
        <v>2.3636363636363651</v>
      </c>
      <c r="K20" s="89">
        <v>2.0909090909090926</v>
      </c>
      <c r="L20" s="89">
        <v>1.8181818181818199</v>
      </c>
      <c r="M20" s="89">
        <v>1.5454545454545472</v>
      </c>
      <c r="N20" s="89">
        <v>1.2727272727272745</v>
      </c>
      <c r="O20" s="89">
        <v>1.0000000000000018</v>
      </c>
    </row>
    <row r="21" spans="2:15" x14ac:dyDescent="0.15">
      <c r="C21" s="37" t="s">
        <v>132</v>
      </c>
      <c r="D21" s="89">
        <v>4</v>
      </c>
      <c r="E21" s="89">
        <v>3.7272727272727275</v>
      </c>
      <c r="F21" s="89">
        <v>3.454545454545455</v>
      </c>
      <c r="G21" s="89">
        <v>3.1818181818181825</v>
      </c>
      <c r="H21" s="89">
        <v>2.9090909090909101</v>
      </c>
      <c r="I21" s="89">
        <v>2.6363636363636376</v>
      </c>
      <c r="J21" s="89">
        <v>2.3636363636363651</v>
      </c>
      <c r="K21" s="89">
        <v>2.0909090909090926</v>
      </c>
      <c r="L21" s="89">
        <v>1.8181818181818199</v>
      </c>
      <c r="M21" s="89">
        <v>1.5454545454545472</v>
      </c>
      <c r="N21" s="89">
        <v>1.2727272727272745</v>
      </c>
      <c r="O21" s="89">
        <v>1.0000000000000018</v>
      </c>
    </row>
    <row r="22" spans="2:15" x14ac:dyDescent="0.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15">
      <c r="C24" s="41" t="s">
        <v>126</v>
      </c>
      <c r="D24" s="89">
        <v>4</v>
      </c>
      <c r="E24" s="89">
        <v>3.7272727272727275</v>
      </c>
      <c r="F24" s="89">
        <v>3.454545454545455</v>
      </c>
      <c r="G24" s="89">
        <v>3.1818181818181825</v>
      </c>
      <c r="H24" s="89">
        <v>2.9090909090909101</v>
      </c>
      <c r="I24" s="89">
        <v>2.6363636363636376</v>
      </c>
      <c r="J24" s="89">
        <v>2.3636363636363651</v>
      </c>
      <c r="K24" s="89">
        <v>2.0909090909090926</v>
      </c>
      <c r="L24" s="89">
        <v>1.8181818181818199</v>
      </c>
      <c r="M24" s="89">
        <v>1.5454545454545472</v>
      </c>
      <c r="N24" s="89">
        <v>1.2727272727272745</v>
      </c>
      <c r="O24" s="89">
        <v>1.0000000000000018</v>
      </c>
    </row>
    <row r="25" spans="2:15" x14ac:dyDescent="0.15">
      <c r="C25" s="36" t="s">
        <v>127</v>
      </c>
      <c r="D25" s="89">
        <v>4</v>
      </c>
      <c r="E25" s="89">
        <v>3.7272727272727275</v>
      </c>
      <c r="F25" s="89">
        <v>3.454545454545455</v>
      </c>
      <c r="G25" s="89">
        <v>3.1818181818181825</v>
      </c>
      <c r="H25" s="89">
        <v>2.9090909090909101</v>
      </c>
      <c r="I25" s="89">
        <v>2.6363636363636376</v>
      </c>
      <c r="J25" s="89">
        <v>2.3636363636363651</v>
      </c>
      <c r="K25" s="89">
        <v>2.0909090909090926</v>
      </c>
      <c r="L25" s="89">
        <v>1.8181818181818199</v>
      </c>
      <c r="M25" s="89">
        <v>1.5454545454545472</v>
      </c>
      <c r="N25" s="89">
        <v>1.2727272727272745</v>
      </c>
      <c r="O25" s="89">
        <v>1.0000000000000018</v>
      </c>
    </row>
    <row r="26" spans="2:15" x14ac:dyDescent="0.15">
      <c r="C26" s="36" t="s">
        <v>128</v>
      </c>
      <c r="D26" s="89">
        <v>4</v>
      </c>
      <c r="E26" s="89">
        <v>3.7272727272727275</v>
      </c>
      <c r="F26" s="89">
        <v>3.454545454545455</v>
      </c>
      <c r="G26" s="89">
        <v>3.1818181818181825</v>
      </c>
      <c r="H26" s="89">
        <v>2.9090909090909101</v>
      </c>
      <c r="I26" s="89">
        <v>2.6363636363636376</v>
      </c>
      <c r="J26" s="89">
        <v>2.3636363636363651</v>
      </c>
      <c r="K26" s="89">
        <v>2.0909090909090926</v>
      </c>
      <c r="L26" s="89">
        <v>1.8181818181818199</v>
      </c>
      <c r="M26" s="89">
        <v>1.5454545454545472</v>
      </c>
      <c r="N26" s="89">
        <v>1.2727272727272745</v>
      </c>
      <c r="O26" s="89">
        <v>1.0000000000000018</v>
      </c>
    </row>
    <row r="27" spans="2:15" x14ac:dyDescent="0.15">
      <c r="C27" s="36" t="s">
        <v>129</v>
      </c>
      <c r="D27" s="89">
        <v>4</v>
      </c>
      <c r="E27" s="89">
        <v>3.7272727272727275</v>
      </c>
      <c r="F27" s="89">
        <v>3.454545454545455</v>
      </c>
      <c r="G27" s="89">
        <v>3.1818181818181825</v>
      </c>
      <c r="H27" s="89">
        <v>2.9090909090909101</v>
      </c>
      <c r="I27" s="89">
        <v>2.6363636363636376</v>
      </c>
      <c r="J27" s="89">
        <v>2.3636363636363651</v>
      </c>
      <c r="K27" s="89">
        <v>2.0909090909090926</v>
      </c>
      <c r="L27" s="89">
        <v>1.8181818181818199</v>
      </c>
      <c r="M27" s="89">
        <v>1.5454545454545472</v>
      </c>
      <c r="N27" s="89">
        <v>1.2727272727272745</v>
      </c>
      <c r="O27" s="89">
        <v>1.0000000000000018</v>
      </c>
    </row>
    <row r="28" spans="2:15" x14ac:dyDescent="0.15">
      <c r="C28" s="36" t="s">
        <v>130</v>
      </c>
      <c r="D28" s="89">
        <v>4</v>
      </c>
      <c r="E28" s="89">
        <v>3.7272727272727275</v>
      </c>
      <c r="F28" s="89">
        <v>3.454545454545455</v>
      </c>
      <c r="G28" s="89">
        <v>3.1818181818181825</v>
      </c>
      <c r="H28" s="89">
        <v>2.9090909090909101</v>
      </c>
      <c r="I28" s="89">
        <v>2.6363636363636376</v>
      </c>
      <c r="J28" s="89">
        <v>2.3636363636363651</v>
      </c>
      <c r="K28" s="89">
        <v>2.0909090909090926</v>
      </c>
      <c r="L28" s="89">
        <v>1.8181818181818199</v>
      </c>
      <c r="M28" s="89">
        <v>1.5454545454545472</v>
      </c>
      <c r="N28" s="89">
        <v>1.2727272727272745</v>
      </c>
      <c r="O28" s="89">
        <v>1.0000000000000018</v>
      </c>
    </row>
    <row r="29" spans="2:15" x14ac:dyDescent="0.15">
      <c r="C29" s="36" t="s">
        <v>131</v>
      </c>
      <c r="D29" s="89">
        <v>4</v>
      </c>
      <c r="E29" s="89">
        <v>3.7272727272727275</v>
      </c>
      <c r="F29" s="89">
        <v>3.454545454545455</v>
      </c>
      <c r="G29" s="89">
        <v>3.1818181818181825</v>
      </c>
      <c r="H29" s="89">
        <v>2.9090909090909101</v>
      </c>
      <c r="I29" s="89">
        <v>2.6363636363636376</v>
      </c>
      <c r="J29" s="89">
        <v>2.3636363636363651</v>
      </c>
      <c r="K29" s="89">
        <v>2.0909090909090926</v>
      </c>
      <c r="L29" s="89">
        <v>1.8181818181818199</v>
      </c>
      <c r="M29" s="89">
        <v>1.5454545454545472</v>
      </c>
      <c r="N29" s="89">
        <v>1.2727272727272745</v>
      </c>
      <c r="O29" s="89">
        <v>1.0000000000000018</v>
      </c>
    </row>
    <row r="30" spans="2:15" x14ac:dyDescent="0.15">
      <c r="C30" s="37" t="s">
        <v>132</v>
      </c>
      <c r="D30" s="89">
        <v>4</v>
      </c>
      <c r="E30" s="89">
        <v>3.7272727272727275</v>
      </c>
      <c r="F30" s="89">
        <v>3.454545454545455</v>
      </c>
      <c r="G30" s="89">
        <v>3.1818181818181825</v>
      </c>
      <c r="H30" s="89">
        <v>2.9090909090909101</v>
      </c>
      <c r="I30" s="89">
        <v>2.6363636363636376</v>
      </c>
      <c r="J30" s="89">
        <v>2.3636363636363651</v>
      </c>
      <c r="K30" s="89">
        <v>2.0909090909090926</v>
      </c>
      <c r="L30" s="89">
        <v>1.8181818181818199</v>
      </c>
      <c r="M30" s="89">
        <v>1.5454545454545472</v>
      </c>
      <c r="N30" s="89">
        <v>1.2727272727272745</v>
      </c>
      <c r="O30" s="89">
        <v>1.0000000000000018</v>
      </c>
    </row>
    <row r="31" spans="2:15" x14ac:dyDescent="0.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15">
      <c r="C33" s="41" t="s">
        <v>126</v>
      </c>
      <c r="D33" s="89">
        <v>4</v>
      </c>
      <c r="E33" s="89">
        <v>3.7272727272727275</v>
      </c>
      <c r="F33" s="89">
        <v>3.454545454545455</v>
      </c>
      <c r="G33" s="89">
        <v>3.1818181818181825</v>
      </c>
      <c r="H33" s="89">
        <v>2.9090909090909101</v>
      </c>
      <c r="I33" s="89">
        <v>2.6363636363636376</v>
      </c>
      <c r="J33" s="89">
        <v>2.3636363636363651</v>
      </c>
      <c r="K33" s="89">
        <v>2.0909090909090926</v>
      </c>
      <c r="L33" s="89">
        <v>1.8181818181818199</v>
      </c>
      <c r="M33" s="89">
        <v>1.5454545454545472</v>
      </c>
      <c r="N33" s="89">
        <v>1.2727272727272745</v>
      </c>
      <c r="O33" s="89">
        <v>1.0000000000000018</v>
      </c>
    </row>
    <row r="34" spans="3:15" x14ac:dyDescent="0.15">
      <c r="C34" s="36" t="s">
        <v>127</v>
      </c>
      <c r="D34" s="89">
        <v>4</v>
      </c>
      <c r="E34" s="89">
        <v>3.7272727272727275</v>
      </c>
      <c r="F34" s="89">
        <v>3.454545454545455</v>
      </c>
      <c r="G34" s="89">
        <v>3.1818181818181825</v>
      </c>
      <c r="H34" s="89">
        <v>2.9090909090909101</v>
      </c>
      <c r="I34" s="89">
        <v>2.6363636363636376</v>
      </c>
      <c r="J34" s="89">
        <v>2.3636363636363651</v>
      </c>
      <c r="K34" s="89">
        <v>2.0909090909090926</v>
      </c>
      <c r="L34" s="89">
        <v>1.8181818181818199</v>
      </c>
      <c r="M34" s="89">
        <v>1.5454545454545472</v>
      </c>
      <c r="N34" s="89">
        <v>1.2727272727272745</v>
      </c>
      <c r="O34" s="89">
        <v>1.0000000000000018</v>
      </c>
    </row>
    <row r="35" spans="3:15" x14ac:dyDescent="0.15">
      <c r="C35" s="36" t="s">
        <v>128</v>
      </c>
      <c r="D35" s="89">
        <v>4</v>
      </c>
      <c r="E35" s="89">
        <v>3.7272727272727275</v>
      </c>
      <c r="F35" s="89">
        <v>3.454545454545455</v>
      </c>
      <c r="G35" s="89">
        <v>3.1818181818181825</v>
      </c>
      <c r="H35" s="89">
        <v>2.9090909090909101</v>
      </c>
      <c r="I35" s="89">
        <v>2.6363636363636376</v>
      </c>
      <c r="J35" s="89">
        <v>2.3636363636363651</v>
      </c>
      <c r="K35" s="89">
        <v>2.0909090909090926</v>
      </c>
      <c r="L35" s="89">
        <v>1.8181818181818199</v>
      </c>
      <c r="M35" s="89">
        <v>1.5454545454545472</v>
      </c>
      <c r="N35" s="89">
        <v>1.2727272727272745</v>
      </c>
      <c r="O35" s="89">
        <v>1.0000000000000018</v>
      </c>
    </row>
    <row r="36" spans="3:15" x14ac:dyDescent="0.15">
      <c r="C36" s="36" t="s">
        <v>129</v>
      </c>
      <c r="D36" s="89">
        <v>4</v>
      </c>
      <c r="E36" s="89">
        <v>3.7272727272727275</v>
      </c>
      <c r="F36" s="89">
        <v>3.454545454545455</v>
      </c>
      <c r="G36" s="89">
        <v>3.1818181818181825</v>
      </c>
      <c r="H36" s="89">
        <v>2.9090909090909101</v>
      </c>
      <c r="I36" s="89">
        <v>2.6363636363636376</v>
      </c>
      <c r="J36" s="89">
        <v>2.3636363636363651</v>
      </c>
      <c r="K36" s="89">
        <v>2.0909090909090926</v>
      </c>
      <c r="L36" s="89">
        <v>1.8181818181818199</v>
      </c>
      <c r="M36" s="89">
        <v>1.5454545454545472</v>
      </c>
      <c r="N36" s="89">
        <v>1.2727272727272745</v>
      </c>
      <c r="O36" s="89">
        <v>1.0000000000000018</v>
      </c>
    </row>
    <row r="37" spans="3:15" x14ac:dyDescent="0.15">
      <c r="C37" s="36" t="s">
        <v>130</v>
      </c>
      <c r="D37" s="89">
        <v>4</v>
      </c>
      <c r="E37" s="89">
        <v>3.7272727272727275</v>
      </c>
      <c r="F37" s="89">
        <v>3.454545454545455</v>
      </c>
      <c r="G37" s="89">
        <v>3.1818181818181825</v>
      </c>
      <c r="H37" s="89">
        <v>2.9090909090909101</v>
      </c>
      <c r="I37" s="89">
        <v>2.6363636363636376</v>
      </c>
      <c r="J37" s="89">
        <v>2.3636363636363651</v>
      </c>
      <c r="K37" s="89">
        <v>2.0909090909090926</v>
      </c>
      <c r="L37" s="89">
        <v>1.8181818181818199</v>
      </c>
      <c r="M37" s="89">
        <v>1.5454545454545472</v>
      </c>
      <c r="N37" s="89">
        <v>1.2727272727272745</v>
      </c>
      <c r="O37" s="89">
        <v>1.0000000000000018</v>
      </c>
    </row>
    <row r="38" spans="3:15" x14ac:dyDescent="0.15">
      <c r="C38" s="36" t="s">
        <v>131</v>
      </c>
      <c r="D38" s="89">
        <v>4</v>
      </c>
      <c r="E38" s="89">
        <v>3.7272727272727275</v>
      </c>
      <c r="F38" s="89">
        <v>3.454545454545455</v>
      </c>
      <c r="G38" s="89">
        <v>3.1818181818181825</v>
      </c>
      <c r="H38" s="89">
        <v>2.9090909090909101</v>
      </c>
      <c r="I38" s="89">
        <v>2.6363636363636376</v>
      </c>
      <c r="J38" s="89">
        <v>2.3636363636363651</v>
      </c>
      <c r="K38" s="89">
        <v>2.0909090909090926</v>
      </c>
      <c r="L38" s="89">
        <v>1.8181818181818199</v>
      </c>
      <c r="M38" s="89">
        <v>1.5454545454545472</v>
      </c>
      <c r="N38" s="89">
        <v>1.2727272727272745</v>
      </c>
      <c r="O38" s="89">
        <v>1.0000000000000018</v>
      </c>
    </row>
    <row r="39" spans="3:15" x14ac:dyDescent="0.15">
      <c r="C39" s="37" t="s">
        <v>132</v>
      </c>
      <c r="D39" s="89">
        <v>4</v>
      </c>
      <c r="E39" s="89">
        <v>3.7272727272727275</v>
      </c>
      <c r="F39" s="89">
        <v>3.454545454545455</v>
      </c>
      <c r="G39" s="89">
        <v>3.1818181818181825</v>
      </c>
      <c r="H39" s="89">
        <v>2.9090909090909101</v>
      </c>
      <c r="I39" s="89">
        <v>2.6363636363636376</v>
      </c>
      <c r="J39" s="89">
        <v>2.3636363636363651</v>
      </c>
      <c r="K39" s="89">
        <v>2.0909090909090926</v>
      </c>
      <c r="L39" s="89">
        <v>1.8181818181818199</v>
      </c>
      <c r="M39" s="89">
        <v>1.5454545454545472</v>
      </c>
      <c r="N39" s="89">
        <v>1.2727272727272745</v>
      </c>
      <c r="O39" s="89">
        <v>1.0000000000000018</v>
      </c>
    </row>
    <row r="40" spans="3:15" x14ac:dyDescent="0.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0qMb5gPsz3I7XRiPTqvCXG7qhojJipBRZoR+VHC3LLikwhYLkXwedVkE/L8O19e9gILLvwgGn9O5wr1ECJqURw==" saltValue="X340rp6QeUP0pcUt1mpg3A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Microsoft Office User</cp:lastModifiedBy>
  <dcterms:created xsi:type="dcterms:W3CDTF">2003-07-09T21:14:27Z</dcterms:created>
  <dcterms:modified xsi:type="dcterms:W3CDTF">2015-11-20T19:29:31Z</dcterms:modified>
</cp:coreProperties>
</file>