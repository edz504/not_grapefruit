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5_16TeamFolders\notgrapefruit\Decisions\"/>
    </mc:Choice>
  </mc:AlternateContent>
  <bookViews>
    <workbookView xWindow="0" yWindow="45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2511"/>
</workbook>
</file>

<file path=xl/calcChain.xml><?xml version="1.0" encoding="utf-8"?>
<calcChain xmlns="http://schemas.openxmlformats.org/spreadsheetml/2006/main">
  <c r="K31" i="7" l="1"/>
  <c r="J31" i="7"/>
  <c r="I31" i="7"/>
  <c r="H31" i="7"/>
  <c r="G31" i="7"/>
  <c r="F31" i="7"/>
  <c r="E31" i="7"/>
  <c r="D31" i="7"/>
  <c r="C31" i="7"/>
  <c r="J19" i="7"/>
  <c r="H19" i="7"/>
  <c r="F19" i="7"/>
  <c r="D19" i="7"/>
  <c r="K11" i="7"/>
  <c r="K10" i="7"/>
  <c r="K9" i="7"/>
  <c r="K8" i="7"/>
  <c r="K7" i="7"/>
  <c r="K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 s="1"/>
  <c r="G38" i="5"/>
  <c r="H38" i="5"/>
  <c r="G39" i="5"/>
  <c r="H39" i="5" s="1"/>
  <c r="G40" i="5"/>
  <c r="H40" i="5"/>
  <c r="G41" i="5"/>
  <c r="H41" i="5" s="1"/>
  <c r="G42" i="5"/>
  <c r="H42" i="5"/>
  <c r="G43" i="5"/>
  <c r="H43" i="5" s="1"/>
  <c r="G44" i="5"/>
  <c r="H44" i="5"/>
  <c r="G45" i="5"/>
  <c r="H45" i="5" s="1"/>
  <c r="G46" i="5"/>
  <c r="H46" i="5"/>
  <c r="G47" i="5"/>
  <c r="H47" i="5" s="1"/>
  <c r="G48" i="5"/>
  <c r="H48" i="5"/>
  <c r="G49" i="5"/>
  <c r="H49" i="5" s="1"/>
  <c r="G50" i="5"/>
  <c r="H50" i="5"/>
  <c r="G51" i="5"/>
  <c r="H51" i="5" s="1"/>
  <c r="G52" i="5"/>
  <c r="H52" i="5"/>
  <c r="G53" i="5"/>
  <c r="H53" i="5" s="1"/>
  <c r="G54" i="5"/>
  <c r="H54" i="5"/>
  <c r="G55" i="5"/>
  <c r="H55" i="5" s="1"/>
  <c r="G56" i="5"/>
  <c r="H56" i="5"/>
  <c r="G57" i="5"/>
  <c r="H57" i="5" s="1"/>
  <c r="G58" i="5"/>
  <c r="H58" i="5"/>
  <c r="G59" i="5"/>
  <c r="H59" i="5" s="1"/>
  <c r="G60" i="5"/>
  <c r="H60" i="5"/>
  <c r="G61" i="5"/>
  <c r="H61" i="5" s="1"/>
  <c r="G62" i="5"/>
  <c r="H62" i="5"/>
  <c r="G63" i="5"/>
  <c r="H63" i="5" s="1"/>
  <c r="G64" i="5"/>
  <c r="H64" i="5"/>
  <c r="G65" i="5"/>
  <c r="H65" i="5" s="1"/>
  <c r="G66" i="5"/>
  <c r="H66" i="5"/>
  <c r="G67" i="5"/>
  <c r="H67" i="5" s="1"/>
  <c r="G68" i="5"/>
  <c r="H68" i="5"/>
  <c r="G69" i="5"/>
  <c r="H69" i="5" s="1"/>
  <c r="G70" i="5"/>
  <c r="H70" i="5"/>
  <c r="G71" i="5"/>
  <c r="H71" i="5" s="1"/>
  <c r="G72" i="5"/>
  <c r="H72" i="5"/>
  <c r="G73" i="5"/>
  <c r="H73" i="5" s="1"/>
  <c r="G74" i="5"/>
  <c r="H74" i="5"/>
  <c r="G75" i="5"/>
  <c r="H75" i="5" s="1"/>
  <c r="G76" i="5"/>
  <c r="H76" i="5"/>
  <c r="G77" i="5"/>
  <c r="H77" i="5" s="1"/>
  <c r="G78" i="5"/>
  <c r="H78" i="5"/>
  <c r="G79" i="5"/>
  <c r="H79" i="5" s="1"/>
  <c r="G80" i="5"/>
  <c r="H80" i="5"/>
  <c r="G81" i="5"/>
  <c r="H81" i="5" s="1"/>
  <c r="G82" i="5"/>
  <c r="H82" i="5"/>
  <c r="G83" i="5"/>
  <c r="H83" i="5" s="1"/>
  <c r="G84" i="5"/>
  <c r="H84" i="5"/>
  <c r="G85" i="5"/>
  <c r="H85" i="5" s="1"/>
  <c r="G86" i="5"/>
  <c r="H86" i="5"/>
  <c r="G87" i="5"/>
  <c r="H87" i="5" s="1"/>
  <c r="G88" i="5"/>
  <c r="H88" i="5"/>
  <c r="G89" i="5"/>
  <c r="H89" i="5" s="1"/>
  <c r="G90" i="5"/>
  <c r="H90" i="5"/>
  <c r="G91" i="5"/>
  <c r="H91" i="5" s="1"/>
  <c r="G92" i="5"/>
  <c r="H92" i="5"/>
  <c r="G93" i="5"/>
  <c r="H93" i="5" s="1"/>
  <c r="G94" i="5"/>
  <c r="H94" i="5"/>
  <c r="G95" i="5"/>
  <c r="H95" i="5" s="1"/>
  <c r="G96" i="5"/>
  <c r="H96" i="5"/>
  <c r="G97" i="5"/>
  <c r="H97" i="5" s="1"/>
  <c r="G98" i="5"/>
  <c r="H98" i="5"/>
  <c r="G99" i="5"/>
  <c r="H99" i="5" s="1"/>
  <c r="G100" i="5"/>
  <c r="H100" i="5"/>
  <c r="G101" i="5"/>
  <c r="H101" i="5" s="1"/>
  <c r="G102" i="5"/>
  <c r="H102" i="5"/>
  <c r="G103" i="5"/>
  <c r="H103" i="5" s="1"/>
  <c r="G104" i="5"/>
  <c r="H104" i="5"/>
  <c r="G105" i="5"/>
  <c r="H105" i="5" s="1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6" i="5"/>
  <c r="G16" i="5"/>
</calcChain>
</file>

<file path=xl/sharedStrings.xml><?xml version="1.0" encoding="utf-8"?>
<sst xmlns="http://schemas.openxmlformats.org/spreadsheetml/2006/main" count="526" uniqueCount="167">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</sst>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tabSelected="1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84" t="s">
        <v>165</v>
      </c>
      <c r="E4" s="85"/>
      <c r="F4" s="86"/>
    </row>
    <row r="5" spans="2:6" x14ac:dyDescent="0.2">
      <c r="B5" s="6"/>
      <c r="C5" s="7" t="s">
        <v>111</v>
      </c>
      <c r="D5" s="87">
        <v>2019</v>
      </c>
      <c r="E5" s="88"/>
      <c r="F5" s="89"/>
    </row>
    <row r="6" spans="2:6" x14ac:dyDescent="0.2">
      <c r="B6" s="3"/>
      <c r="C6" s="3"/>
      <c r="D6" s="3"/>
      <c r="E6" s="3"/>
      <c r="F6" s="3"/>
    </row>
  </sheetData>
  <sheetProtection algorithmName="SHA-512" hashValue="SpTEjPZGXcH6GkqvVmL6Kc492qxjlx5GJtxoSSQLQ0UNk9v7wTCkBLncWOULwtuUuIueypScOPqzMNlJbTiAUg==" saltValue="FFNvb2aAfDGtNcpBD5+Cd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90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90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2">
      <c r="B8" s="14" t="s">
        <v>8</v>
      </c>
      <c r="C8" s="90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2">
      <c r="B9" s="14" t="s">
        <v>9</v>
      </c>
      <c r="C9" s="90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90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2">
      <c r="B11" s="14" t="s">
        <v>11</v>
      </c>
      <c r="C11" s="90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90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2">
      <c r="B13" s="14" t="s">
        <v>13</v>
      </c>
      <c r="C13" s="90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90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2">
      <c r="B15" s="18" t="s">
        <v>15</v>
      </c>
      <c r="C15" s="90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91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91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2">
      <c r="B23" s="14" t="s">
        <v>8</v>
      </c>
      <c r="C23" s="91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2">
      <c r="B24" s="14" t="s">
        <v>9</v>
      </c>
      <c r="C24" s="91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91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2">
      <c r="B26" s="14" t="s">
        <v>11</v>
      </c>
      <c r="C26" s="91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91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91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91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2">
      <c r="B30" s="18" t="s">
        <v>15</v>
      </c>
      <c r="C30" s="91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90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90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90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90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2">
      <c r="B40" s="14" t="s">
        <v>23</v>
      </c>
      <c r="C40" s="90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90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90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90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90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90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90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90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90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90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90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90"/>
      <c r="D51" s="14">
        <v>1500</v>
      </c>
      <c r="E51" s="15" t="s">
        <v>166</v>
      </c>
      <c r="F51" s="15" t="s">
        <v>6</v>
      </c>
      <c r="G51" s="15">
        <f t="shared" si="3"/>
        <v>1500</v>
      </c>
      <c r="H51" s="17" t="str">
        <f t="shared" si="4"/>
        <v/>
      </c>
    </row>
    <row r="52" spans="2:8" x14ac:dyDescent="0.2">
      <c r="B52" s="14" t="s">
        <v>35</v>
      </c>
      <c r="C52" s="90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90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90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90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90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90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90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90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90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91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91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91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91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91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91"/>
      <c r="D66" s="15">
        <v>4000</v>
      </c>
      <c r="E66" s="15" t="s">
        <v>166</v>
      </c>
      <c r="F66" s="15" t="s">
        <v>6</v>
      </c>
      <c r="G66" s="15">
        <f t="shared" si="3"/>
        <v>4000</v>
      </c>
      <c r="H66" s="17" t="str">
        <f t="shared" si="4"/>
        <v/>
      </c>
    </row>
    <row r="67" spans="2:8" x14ac:dyDescent="0.2">
      <c r="B67" s="14" t="s">
        <v>50</v>
      </c>
      <c r="C67" s="91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91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91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91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91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91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91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91"/>
      <c r="D74" s="15">
        <v>1250</v>
      </c>
      <c r="E74" s="15" t="s">
        <v>166</v>
      </c>
      <c r="F74" s="15" t="s">
        <v>6</v>
      </c>
      <c r="G74" s="15">
        <f t="shared" si="5"/>
        <v>1250</v>
      </c>
      <c r="H74" s="17" t="str">
        <f t="shared" si="6"/>
        <v/>
      </c>
    </row>
    <row r="75" spans="2:8" x14ac:dyDescent="0.2">
      <c r="B75" s="14" t="s">
        <v>58</v>
      </c>
      <c r="C75" s="91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91"/>
      <c r="D76" s="15">
        <v>0</v>
      </c>
      <c r="E76" s="15" t="s">
        <v>166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2">
      <c r="B77" s="14" t="s">
        <v>60</v>
      </c>
      <c r="C77" s="91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91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91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91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91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91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91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91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91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91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91"/>
      <c r="D87" s="15">
        <v>2000</v>
      </c>
      <c r="E87" s="15" t="s">
        <v>166</v>
      </c>
      <c r="F87" s="15" t="s">
        <v>6</v>
      </c>
      <c r="G87" s="15">
        <f t="shared" si="5"/>
        <v>2000</v>
      </c>
      <c r="H87" s="17" t="str">
        <f t="shared" si="6"/>
        <v/>
      </c>
    </row>
    <row r="88" spans="2:8" x14ac:dyDescent="0.2">
      <c r="B88" s="14" t="s">
        <v>71</v>
      </c>
      <c r="C88" s="91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91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91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91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91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91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91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91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91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91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91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91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91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91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91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91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91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91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91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bwqXYxMx4WF4WMTim75c2rlgyTkts7bSCG4KTWYGglWQEA9OhT00vsgPPkWVhBOGcN7rjz9ZqDDZ28ZypbVaYQ==" saltValue="Ja3ZKAjppfFn9FWi3P7Q4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92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</row>
    <row r="7" spans="2:14" x14ac:dyDescent="0.2">
      <c r="B7" s="36" t="s">
        <v>105</v>
      </c>
      <c r="C7" s="94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</row>
    <row r="8" spans="2:14" x14ac:dyDescent="0.2">
      <c r="B8" s="36" t="s">
        <v>106</v>
      </c>
      <c r="C8" s="94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</row>
    <row r="9" spans="2:14" x14ac:dyDescent="0.2">
      <c r="B9" s="36" t="s">
        <v>107</v>
      </c>
      <c r="C9" s="94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</row>
    <row r="10" spans="2:14" x14ac:dyDescent="0.2">
      <c r="B10" s="36" t="s">
        <v>108</v>
      </c>
      <c r="C10" s="94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</row>
    <row r="11" spans="2:14" x14ac:dyDescent="0.2">
      <c r="B11" s="37" t="s">
        <v>109</v>
      </c>
      <c r="C11" s="94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6"/>
      <c r="D17" s="96"/>
      <c r="E17" s="96"/>
      <c r="F17" s="96"/>
      <c r="G17" s="96"/>
      <c r="H17" s="96"/>
      <c r="I17" s="29" t="s">
        <v>110</v>
      </c>
    </row>
    <row r="18" spans="2:33" x14ac:dyDescent="0.2">
      <c r="B18" s="36" t="s">
        <v>105</v>
      </c>
      <c r="C18" s="97"/>
      <c r="D18" s="97"/>
      <c r="E18" s="97"/>
      <c r="F18" s="97"/>
      <c r="G18" s="97"/>
      <c r="H18" s="97"/>
      <c r="I18" s="29" t="s">
        <v>110</v>
      </c>
    </row>
    <row r="19" spans="2:33" x14ac:dyDescent="0.2">
      <c r="B19" s="36" t="s">
        <v>106</v>
      </c>
      <c r="C19" s="97"/>
      <c r="D19" s="97"/>
      <c r="E19" s="97"/>
      <c r="F19" s="97"/>
      <c r="G19" s="97"/>
      <c r="H19" s="97"/>
      <c r="I19" s="29" t="s">
        <v>110</v>
      </c>
    </row>
    <row r="20" spans="2:33" x14ac:dyDescent="0.2">
      <c r="B20" s="36" t="s">
        <v>107</v>
      </c>
      <c r="C20" s="97"/>
      <c r="D20" s="97"/>
      <c r="E20" s="97"/>
      <c r="F20" s="97"/>
      <c r="G20" s="97"/>
      <c r="H20" s="97"/>
    </row>
    <row r="21" spans="2:33" x14ac:dyDescent="0.2">
      <c r="B21" s="36" t="s">
        <v>108</v>
      </c>
      <c r="C21" s="97"/>
      <c r="D21" s="97"/>
      <c r="E21" s="97"/>
      <c r="F21" s="97"/>
      <c r="G21" s="97"/>
      <c r="H21" s="97"/>
    </row>
    <row r="22" spans="2:33" x14ac:dyDescent="0.2">
      <c r="B22" s="37" t="s">
        <v>109</v>
      </c>
      <c r="C22" s="97"/>
      <c r="D22" s="97"/>
      <c r="E22" s="97"/>
      <c r="F22" s="97"/>
      <c r="G22" s="97"/>
      <c r="H22" s="97"/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2014</v>
      </c>
      <c r="E28" s="49"/>
      <c r="F28" s="45">
        <f>basic_info!$D$5-4</f>
        <v>2015</v>
      </c>
      <c r="G28" s="49"/>
      <c r="H28" s="45">
        <f>basic_info!$D$5-3</f>
        <v>2016</v>
      </c>
      <c r="I28" s="49"/>
      <c r="J28" s="45">
        <f>basic_info!$D$5-2</f>
        <v>2017</v>
      </c>
      <c r="K28" s="49"/>
      <c r="L28" s="45">
        <f>basic_info!$D$5-1</f>
        <v>2018</v>
      </c>
      <c r="N28" s="45">
        <f>basic_info!$D$5</f>
        <v>2019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2019</v>
      </c>
      <c r="D30" s="44">
        <v>0.65376248745918275</v>
      </c>
      <c r="E30" s="35">
        <v>0</v>
      </c>
      <c r="F30" s="47">
        <v>0.84540928358710421</v>
      </c>
      <c r="G30" s="46">
        <v>0</v>
      </c>
      <c r="H30" s="47">
        <v>0.79341974686465555</v>
      </c>
      <c r="I30" s="46"/>
      <c r="J30" s="47">
        <v>0.87729954875381289</v>
      </c>
      <c r="K30" s="46"/>
      <c r="L30" s="47">
        <v>0.8336267728479646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2020</v>
      </c>
      <c r="D31" s="76"/>
      <c r="E31" s="75"/>
      <c r="F31" s="69">
        <v>0.76962524616122252</v>
      </c>
      <c r="G31" s="79">
        <v>0</v>
      </c>
      <c r="H31" s="61">
        <v>0.75112057603575599</v>
      </c>
      <c r="I31" s="62"/>
      <c r="J31" s="61">
        <v>0.80188642998529402</v>
      </c>
      <c r="K31" s="62"/>
      <c r="L31" s="61">
        <v>0.81985520450982041</v>
      </c>
      <c r="M31" s="62"/>
      <c r="N31" s="63">
        <v>0.73010878392622969</v>
      </c>
      <c r="O31" s="95"/>
      <c r="P31" s="63">
        <f>O31+M31+K31+I31+G31</f>
        <v>0</v>
      </c>
    </row>
    <row r="32" spans="2:33" x14ac:dyDescent="0.2">
      <c r="B32" s="36"/>
      <c r="C32" s="47">
        <f>basic_info!$D$5+2</f>
        <v>2021</v>
      </c>
      <c r="D32" s="76"/>
      <c r="E32" s="75"/>
      <c r="F32" s="75"/>
      <c r="G32" s="75"/>
      <c r="H32" s="69">
        <v>0.73914561780691146</v>
      </c>
      <c r="I32" s="79"/>
      <c r="J32" s="61">
        <v>0.73716643524096881</v>
      </c>
      <c r="K32" s="62"/>
      <c r="L32" s="61">
        <v>0.7922499396770869</v>
      </c>
      <c r="M32" s="62"/>
      <c r="N32" s="63">
        <v>0.72675506107651455</v>
      </c>
      <c r="O32" s="95"/>
      <c r="P32" s="63">
        <f>O32+M32+K32+I32</f>
        <v>0</v>
      </c>
    </row>
    <row r="33" spans="2:17" x14ac:dyDescent="0.2">
      <c r="B33" s="36"/>
      <c r="C33" s="47">
        <f>basic_info!$D$5+3</f>
        <v>2022</v>
      </c>
      <c r="D33" s="76"/>
      <c r="E33" s="75"/>
      <c r="F33" s="75"/>
      <c r="G33" s="75"/>
      <c r="H33" s="75"/>
      <c r="I33" s="75"/>
      <c r="J33" s="69">
        <v>0.67792213259339329</v>
      </c>
      <c r="K33" s="79"/>
      <c r="L33" s="61">
        <v>0.74099510470754837</v>
      </c>
      <c r="M33" s="62"/>
      <c r="N33" s="63">
        <v>0.67865850748702683</v>
      </c>
      <c r="O33" s="95"/>
      <c r="P33" s="63">
        <f>O33+M33+K33</f>
        <v>0</v>
      </c>
    </row>
    <row r="34" spans="2:17" x14ac:dyDescent="0.2">
      <c r="B34" s="36"/>
      <c r="C34" s="47">
        <f>basic_info!$D$5+4</f>
        <v>2023</v>
      </c>
      <c r="D34" s="76"/>
      <c r="E34" s="75"/>
      <c r="F34" s="75"/>
      <c r="G34" s="75"/>
      <c r="H34" s="75"/>
      <c r="I34" s="75"/>
      <c r="J34" s="75"/>
      <c r="K34" s="75"/>
      <c r="L34" s="69">
        <v>0.68592924540042888</v>
      </c>
      <c r="M34" s="79"/>
      <c r="N34" s="63">
        <v>0.68403415987106642</v>
      </c>
      <c r="O34" s="95"/>
      <c r="P34" s="63">
        <f>O34+M34</f>
        <v>0</v>
      </c>
    </row>
    <row r="35" spans="2:17" x14ac:dyDescent="0.2">
      <c r="B35" s="37"/>
      <c r="C35" s="72">
        <f>basic_info!$D$5+5</f>
        <v>2024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0.67421174497008329</v>
      </c>
      <c r="O35" s="95"/>
      <c r="P35" s="65">
        <f>O35</f>
        <v>0</v>
      </c>
    </row>
    <row r="36" spans="2:17" x14ac:dyDescent="0.2">
      <c r="B36" s="41" t="s">
        <v>113</v>
      </c>
      <c r="C36" s="36">
        <f>basic_info!$D$5</f>
        <v>2019</v>
      </c>
      <c r="D36" s="44">
        <v>0.98955166281759732</v>
      </c>
      <c r="E36" s="35">
        <v>0</v>
      </c>
      <c r="F36" s="73">
        <v>0.95103433990902408</v>
      </c>
      <c r="G36" s="74">
        <v>136000</v>
      </c>
      <c r="H36" s="73">
        <v>0.9919351074281193</v>
      </c>
      <c r="I36" s="74"/>
      <c r="J36" s="73">
        <v>0.94692158975803442</v>
      </c>
      <c r="K36" s="74"/>
      <c r="L36" s="66">
        <v>1.3519645777200024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2">
      <c r="B37" s="36"/>
      <c r="C37" s="47">
        <f>basic_info!$D$5+1</f>
        <v>2020</v>
      </c>
      <c r="D37" s="76"/>
      <c r="E37" s="75"/>
      <c r="F37" s="69">
        <v>0.9180320969671012</v>
      </c>
      <c r="G37" s="79">
        <v>136000</v>
      </c>
      <c r="H37" s="61">
        <v>0.95493263137485418</v>
      </c>
      <c r="I37" s="62"/>
      <c r="J37" s="61">
        <v>0.93709078332824058</v>
      </c>
      <c r="K37" s="62"/>
      <c r="L37" s="61">
        <v>1.2538421609133918</v>
      </c>
      <c r="M37" s="62"/>
      <c r="N37" s="61">
        <v>0.96178852671988468</v>
      </c>
      <c r="O37" s="95"/>
      <c r="P37" s="63">
        <f>O37+M37+K37+I37+G37</f>
        <v>136000</v>
      </c>
    </row>
    <row r="38" spans="2:17" x14ac:dyDescent="0.2">
      <c r="B38" s="36"/>
      <c r="C38" s="47">
        <f>basic_info!$D$5+2</f>
        <v>2021</v>
      </c>
      <c r="D38" s="76"/>
      <c r="E38" s="75"/>
      <c r="F38" s="75"/>
      <c r="G38" s="75"/>
      <c r="H38" s="69">
        <v>0.9100411573201419</v>
      </c>
      <c r="I38" s="79">
        <v>89461</v>
      </c>
      <c r="J38" s="61">
        <v>0.92721692835977987</v>
      </c>
      <c r="K38" s="62"/>
      <c r="L38" s="61">
        <v>1.1631721092862846</v>
      </c>
      <c r="M38" s="62"/>
      <c r="N38" s="61">
        <v>0.95044953163343449</v>
      </c>
      <c r="O38" s="95"/>
      <c r="P38" s="63">
        <f>O38+M38+K38+I38</f>
        <v>89461</v>
      </c>
    </row>
    <row r="39" spans="2:17" x14ac:dyDescent="0.2">
      <c r="B39" s="36"/>
      <c r="C39" s="47">
        <f>basic_info!$D$5+3</f>
        <v>2022</v>
      </c>
      <c r="D39" s="76"/>
      <c r="E39" s="75"/>
      <c r="F39" s="75"/>
      <c r="G39" s="75"/>
      <c r="H39" s="75"/>
      <c r="I39" s="75"/>
      <c r="J39" s="69">
        <v>0.89172850017249583</v>
      </c>
      <c r="K39" s="79">
        <v>89461</v>
      </c>
      <c r="L39" s="61">
        <v>1.1067776852666162</v>
      </c>
      <c r="M39" s="62"/>
      <c r="N39" s="61">
        <v>0.94249271697812198</v>
      </c>
      <c r="O39" s="95"/>
      <c r="P39" s="63">
        <f>O39+M39+K39</f>
        <v>89461</v>
      </c>
    </row>
    <row r="40" spans="2:17" x14ac:dyDescent="0.2">
      <c r="B40" s="36"/>
      <c r="C40" s="47">
        <f>basic_info!$D$5+4</f>
        <v>2023</v>
      </c>
      <c r="D40" s="76"/>
      <c r="E40" s="75"/>
      <c r="F40" s="75"/>
      <c r="G40" s="75"/>
      <c r="H40" s="75"/>
      <c r="I40" s="75"/>
      <c r="J40" s="75"/>
      <c r="K40" s="75"/>
      <c r="L40" s="69">
        <v>1.0097698285728693</v>
      </c>
      <c r="M40" s="79">
        <v>107018.3</v>
      </c>
      <c r="N40" s="61">
        <v>0.90364248496767041</v>
      </c>
      <c r="O40" s="95"/>
      <c r="P40" s="63">
        <f>O40+M40</f>
        <v>107018.3</v>
      </c>
    </row>
    <row r="41" spans="2:17" x14ac:dyDescent="0.2">
      <c r="B41" s="37"/>
      <c r="C41" s="72">
        <f>basic_info!$D$5+5</f>
        <v>2024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0.89471930931508548</v>
      </c>
      <c r="O41" s="95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33">
        <f>SUM(C47:N47)</f>
        <v>0</v>
      </c>
    </row>
    <row r="48" spans="2:17" x14ac:dyDescent="0.2">
      <c r="B48" s="37" t="s">
        <v>113</v>
      </c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33">
        <f>SUM(C48:N48)</f>
        <v>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S57bwS6dG51PBU0xdhrz6lL5tX61AMlWUVDZx+8uG0PDUYLiQUEX1sTs3BkvId1Ytv8iIAObrRQhpKSQR0acVg==" saltValue="CxE22oDcYz0xJXZSXBxXL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7"/>
  <sheetViews>
    <sheetView showGridLines="0" workbookViewId="0"/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20" x14ac:dyDescent="0.2">
      <c r="B2" s="28" t="s">
        <v>114</v>
      </c>
    </row>
    <row r="3" spans="2:20" x14ac:dyDescent="0.2">
      <c r="B3" s="30" t="s">
        <v>144</v>
      </c>
    </row>
    <row r="4" spans="2:20" x14ac:dyDescent="0.2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2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2">
      <c r="B6" s="45" t="s">
        <v>163</v>
      </c>
      <c r="C6" s="99"/>
      <c r="D6" s="99"/>
      <c r="E6" s="99"/>
      <c r="F6" s="99"/>
      <c r="G6" s="99"/>
      <c r="H6" s="99"/>
      <c r="I6" s="99"/>
      <c r="J6" s="99"/>
      <c r="K6" s="103">
        <f>SUM($C$6:$J$6)</f>
        <v>0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2">
      <c r="B7" s="45" t="s">
        <v>105</v>
      </c>
      <c r="C7" s="99"/>
      <c r="D7" s="99"/>
      <c r="E7" s="99"/>
      <c r="F7" s="99"/>
      <c r="G7" s="99"/>
      <c r="H7" s="99"/>
      <c r="I7" s="99"/>
      <c r="J7" s="99"/>
      <c r="K7" s="103">
        <f>SUM($C$7:$J$7)</f>
        <v>0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2">
      <c r="B8" s="45" t="s">
        <v>106</v>
      </c>
      <c r="C8" s="99"/>
      <c r="D8" s="99"/>
      <c r="E8" s="99"/>
      <c r="F8" s="99"/>
      <c r="G8" s="99"/>
      <c r="H8" s="99"/>
      <c r="I8" s="99"/>
      <c r="J8" s="99"/>
      <c r="K8" s="103">
        <f>SUM($C$8:$J$8)</f>
        <v>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2">
      <c r="B9" s="45" t="s">
        <v>107</v>
      </c>
      <c r="C9" s="99"/>
      <c r="D9" s="99"/>
      <c r="E9" s="99"/>
      <c r="F9" s="99"/>
      <c r="G9" s="99"/>
      <c r="H9" s="99"/>
      <c r="I9" s="99"/>
      <c r="J9" s="99"/>
      <c r="K9" s="103">
        <f>SUM($C$9:$J$9)</f>
        <v>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2">
      <c r="B10" s="45" t="s">
        <v>108</v>
      </c>
      <c r="C10" s="99"/>
      <c r="D10" s="99"/>
      <c r="E10" s="99"/>
      <c r="F10" s="99"/>
      <c r="G10" s="99"/>
      <c r="H10" s="99"/>
      <c r="I10" s="99"/>
      <c r="J10" s="99"/>
      <c r="K10" s="103">
        <f>SUM($C$10:$J$10)</f>
        <v>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2">
      <c r="B11" s="45" t="s">
        <v>109</v>
      </c>
      <c r="C11" s="100"/>
      <c r="D11" s="100"/>
      <c r="E11" s="100"/>
      <c r="F11" s="100"/>
      <c r="G11" s="100"/>
      <c r="H11" s="100"/>
      <c r="I11" s="100"/>
      <c r="J11" s="100"/>
      <c r="K11" s="102">
        <f>SUM($C$11:$J$11)</f>
        <v>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2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2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2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2">
      <c r="B19" s="45" t="s">
        <v>120</v>
      </c>
      <c r="C19" s="100"/>
      <c r="D19" s="44">
        <f>100-$C$19</f>
        <v>100</v>
      </c>
      <c r="E19" s="100"/>
      <c r="F19" s="44">
        <f>100-$E$19</f>
        <v>100</v>
      </c>
      <c r="G19" s="100"/>
      <c r="H19" s="44">
        <f>100-$G$19</f>
        <v>100</v>
      </c>
      <c r="I19" s="100"/>
      <c r="J19" s="33">
        <f>100-$I$19</f>
        <v>100</v>
      </c>
      <c r="Q19" s="50"/>
      <c r="R19" s="50"/>
      <c r="S19" s="50"/>
    </row>
    <row r="20" spans="2:20" x14ac:dyDescent="0.2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2">
      <c r="I21" s="50"/>
      <c r="J21" s="50"/>
      <c r="K21" s="50"/>
    </row>
    <row r="22" spans="2:20" x14ac:dyDescent="0.2">
      <c r="B22" s="52" t="s">
        <v>114</v>
      </c>
      <c r="I22" s="50"/>
      <c r="J22" s="50"/>
      <c r="K22" s="50"/>
    </row>
    <row r="23" spans="2:20" x14ac:dyDescent="0.2">
      <c r="B23" s="55" t="s">
        <v>145</v>
      </c>
      <c r="I23" s="50"/>
      <c r="J23" s="50"/>
      <c r="K23" s="50"/>
    </row>
    <row r="24" spans="2:20" x14ac:dyDescent="0.2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2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2">
      <c r="B27" s="45" t="s">
        <v>34</v>
      </c>
      <c r="C27" s="99"/>
      <c r="D27" s="99"/>
      <c r="E27" s="99"/>
      <c r="F27" s="99"/>
      <c r="G27" s="99"/>
      <c r="H27" s="99"/>
      <c r="I27" s="99"/>
      <c r="J27" s="99"/>
      <c r="K27" s="101"/>
      <c r="R27" s="50"/>
      <c r="S27" s="50"/>
      <c r="T27" s="50"/>
    </row>
    <row r="28" spans="2:20" x14ac:dyDescent="0.2">
      <c r="B28" s="45" t="s">
        <v>49</v>
      </c>
      <c r="C28" s="99"/>
      <c r="D28" s="99"/>
      <c r="E28" s="99"/>
      <c r="F28" s="99"/>
      <c r="G28" s="99"/>
      <c r="H28" s="99"/>
      <c r="I28" s="99"/>
      <c r="J28" s="99"/>
      <c r="K28" s="101"/>
      <c r="R28" s="50"/>
      <c r="S28" s="50"/>
      <c r="T28" s="50"/>
    </row>
    <row r="29" spans="2:20" x14ac:dyDescent="0.2">
      <c r="B29" s="45" t="s">
        <v>57</v>
      </c>
      <c r="C29" s="99"/>
      <c r="D29" s="99"/>
      <c r="E29" s="99"/>
      <c r="F29" s="99"/>
      <c r="G29" s="99"/>
      <c r="H29" s="99"/>
      <c r="I29" s="99"/>
      <c r="J29" s="99"/>
      <c r="K29" s="101"/>
      <c r="R29" s="50"/>
      <c r="S29" s="50"/>
      <c r="T29" s="50"/>
    </row>
    <row r="30" spans="2:20" x14ac:dyDescent="0.2">
      <c r="B30" s="45" t="s">
        <v>70</v>
      </c>
      <c r="C30" s="99"/>
      <c r="D30" s="99"/>
      <c r="E30" s="99"/>
      <c r="F30" s="99"/>
      <c r="G30" s="99"/>
      <c r="H30" s="99"/>
      <c r="I30" s="99"/>
      <c r="J30" s="99"/>
      <c r="K30" s="101"/>
      <c r="R30" s="50"/>
      <c r="S30" s="50"/>
      <c r="T30" s="50"/>
    </row>
    <row r="31" spans="2:20" x14ac:dyDescent="0.2">
      <c r="B31" s="45" t="s">
        <v>150</v>
      </c>
      <c r="C31" s="104">
        <f>SUM($C$27:$C$30)</f>
        <v>0</v>
      </c>
      <c r="D31" s="104">
        <f>SUM($D$27:$D$30)</f>
        <v>0</v>
      </c>
      <c r="E31" s="104">
        <f>SUM($E$27:$E$30)</f>
        <v>0</v>
      </c>
      <c r="F31" s="104">
        <f>SUM($F$27:$F$30)</f>
        <v>0</v>
      </c>
      <c r="G31" s="104">
        <f>SUM($G$27:$G$30)</f>
        <v>0</v>
      </c>
      <c r="H31" s="104">
        <f>SUM($H$27:$H$30)</f>
        <v>0</v>
      </c>
      <c r="I31" s="104">
        <f>SUM($I$27:$I$30)</f>
        <v>0</v>
      </c>
      <c r="J31" s="104">
        <f>SUM($J$27:$J$30)</f>
        <v>0</v>
      </c>
      <c r="K31" s="102">
        <f>SUM($K$27:$K$30)</f>
        <v>0</v>
      </c>
      <c r="R31" s="50"/>
      <c r="S31" s="50"/>
      <c r="T31" s="50"/>
    </row>
    <row r="32" spans="2:20" x14ac:dyDescent="0.2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2">
      <c r="I33" s="50"/>
      <c r="J33" s="50"/>
      <c r="K33" s="50"/>
    </row>
    <row r="34" spans="2:14" x14ac:dyDescent="0.2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2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2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2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2">
      <c r="B38" s="45" t="s">
        <v>34</v>
      </c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1"/>
    </row>
    <row r="39" spans="2:14" x14ac:dyDescent="0.2">
      <c r="B39" s="45" t="s">
        <v>49</v>
      </c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1"/>
    </row>
    <row r="40" spans="2:14" x14ac:dyDescent="0.2">
      <c r="B40" s="45" t="s">
        <v>57</v>
      </c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1"/>
    </row>
    <row r="41" spans="2:14" x14ac:dyDescent="0.2">
      <c r="B41" s="45" t="s">
        <v>70</v>
      </c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95"/>
    </row>
    <row r="42" spans="2:14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2">
      <c r="I43" s="50"/>
      <c r="J43" s="50"/>
      <c r="K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2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2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2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2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2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2">
      <c r="I65" s="50"/>
      <c r="J65" s="50"/>
    </row>
    <row r="66" spans="9:10" x14ac:dyDescent="0.2">
      <c r="I66" s="50"/>
      <c r="J66" s="50"/>
    </row>
    <row r="67" spans="9:10" x14ac:dyDescent="0.2">
      <c r="I67" s="50"/>
      <c r="J67" s="50"/>
    </row>
  </sheetData>
  <sheetProtection algorithmName="SHA-512" hashValue="hBvWi0XZZBuoztDYeu121wAWmPfpxUeUs6DbP4jernI4cDsnQZPFdCBih1BvxjaWRSGAZN8kAOPdc9R7PgDObA==" saltValue="ff3DEX7ay/uNKDI8mZG41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</row>
    <row r="7" spans="2:15" x14ac:dyDescent="0.2">
      <c r="C7" s="36" t="s">
        <v>127</v>
      </c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</row>
    <row r="8" spans="2:15" x14ac:dyDescent="0.2">
      <c r="C8" s="36" t="s">
        <v>128</v>
      </c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</row>
    <row r="9" spans="2:15" x14ac:dyDescent="0.2">
      <c r="C9" s="36" t="s">
        <v>129</v>
      </c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</row>
    <row r="10" spans="2:15" x14ac:dyDescent="0.2">
      <c r="C10" s="36" t="s">
        <v>130</v>
      </c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</row>
    <row r="11" spans="2:15" x14ac:dyDescent="0.2">
      <c r="C11" s="36" t="s">
        <v>131</v>
      </c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</row>
    <row r="12" spans="2:15" x14ac:dyDescent="0.2">
      <c r="C12" s="37" t="s">
        <v>132</v>
      </c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</row>
    <row r="16" spans="2:15" x14ac:dyDescent="0.2">
      <c r="C16" s="36" t="s">
        <v>127</v>
      </c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</row>
    <row r="17" spans="2:15" x14ac:dyDescent="0.2">
      <c r="C17" s="36" t="s">
        <v>128</v>
      </c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</row>
    <row r="18" spans="2:15" x14ac:dyDescent="0.2">
      <c r="C18" s="36" t="s">
        <v>129</v>
      </c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</row>
    <row r="19" spans="2:15" x14ac:dyDescent="0.2">
      <c r="C19" s="36" t="s">
        <v>130</v>
      </c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</row>
    <row r="20" spans="2:15" x14ac:dyDescent="0.2">
      <c r="C20" s="36" t="s">
        <v>131</v>
      </c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</row>
    <row r="21" spans="2:15" x14ac:dyDescent="0.2">
      <c r="C21" s="37" t="s">
        <v>132</v>
      </c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</row>
    <row r="25" spans="2:15" x14ac:dyDescent="0.2">
      <c r="C25" s="36" t="s">
        <v>127</v>
      </c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</row>
    <row r="26" spans="2:15" x14ac:dyDescent="0.2">
      <c r="C26" s="36" t="s">
        <v>128</v>
      </c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</row>
    <row r="27" spans="2:15" x14ac:dyDescent="0.2">
      <c r="C27" s="36" t="s">
        <v>129</v>
      </c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</row>
    <row r="28" spans="2:15" x14ac:dyDescent="0.2">
      <c r="C28" s="36" t="s">
        <v>130</v>
      </c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</row>
    <row r="29" spans="2:15" x14ac:dyDescent="0.2">
      <c r="C29" s="36" t="s">
        <v>131</v>
      </c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</row>
    <row r="30" spans="2:15" x14ac:dyDescent="0.2">
      <c r="C30" s="37" t="s">
        <v>132</v>
      </c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</row>
    <row r="34" spans="3:15" x14ac:dyDescent="0.2">
      <c r="C34" s="36" t="s">
        <v>127</v>
      </c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</row>
    <row r="35" spans="3:15" x14ac:dyDescent="0.2">
      <c r="C35" s="36" t="s">
        <v>128</v>
      </c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</row>
    <row r="36" spans="3:15" x14ac:dyDescent="0.2">
      <c r="C36" s="36" t="s">
        <v>129</v>
      </c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</row>
    <row r="37" spans="3:15" x14ac:dyDescent="0.2">
      <c r="C37" s="36" t="s">
        <v>130</v>
      </c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</row>
    <row r="38" spans="3:15" x14ac:dyDescent="0.2">
      <c r="C38" s="36" t="s">
        <v>131</v>
      </c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</row>
    <row r="39" spans="3:15" x14ac:dyDescent="0.2">
      <c r="C39" s="37" t="s">
        <v>132</v>
      </c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WbaMGKHv9cThA4fIbPu6ZABFEf5LwhFAE1n2wI3h3EbONat9oQpa91jNQTz9iP6gy92JdlJ9Gw8dOIr0jrzFJQ==" saltValue="RqeaBs/kJTgKpFNW7e6rp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Jeff</cp:lastModifiedBy>
  <dcterms:created xsi:type="dcterms:W3CDTF">2003-07-09T21:14:27Z</dcterms:created>
  <dcterms:modified xsi:type="dcterms:W3CDTF">2015-12-15T22:15:30Z</dcterms:modified>
</cp:coreProperties>
</file>