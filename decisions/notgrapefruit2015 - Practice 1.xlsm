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"/>
    </mc:Choice>
  </mc:AlternateContent>
  <bookViews>
    <workbookView xWindow="0" yWindow="460" windowWidth="38400" windowHeight="210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6" l="1"/>
  <c r="E6" i="6"/>
  <c r="F6" i="6"/>
  <c r="G6" i="6"/>
  <c r="H6" i="6"/>
  <c r="I6" i="6"/>
  <c r="J6" i="6"/>
  <c r="K6" i="6"/>
  <c r="L6" i="6"/>
  <c r="M6" i="6"/>
  <c r="N6" i="6"/>
  <c r="D7" i="6"/>
  <c r="E7" i="6"/>
  <c r="F7" i="6"/>
  <c r="G7" i="6"/>
  <c r="H7" i="6"/>
  <c r="I7" i="6"/>
  <c r="J7" i="6"/>
  <c r="K7" i="6"/>
  <c r="L7" i="6"/>
  <c r="M7" i="6"/>
  <c r="N7" i="6"/>
  <c r="D8" i="6"/>
  <c r="E8" i="6"/>
  <c r="F8" i="6"/>
  <c r="G8" i="6"/>
  <c r="H8" i="6"/>
  <c r="I8" i="6"/>
  <c r="J8" i="6"/>
  <c r="K8" i="6"/>
  <c r="L8" i="6"/>
  <c r="M8" i="6"/>
  <c r="N8" i="6"/>
  <c r="D9" i="6"/>
  <c r="E9" i="6"/>
  <c r="F9" i="6"/>
  <c r="G9" i="6"/>
  <c r="H9" i="6"/>
  <c r="I9" i="6"/>
  <c r="J9" i="6"/>
  <c r="K9" i="6"/>
  <c r="L9" i="6"/>
  <c r="M9" i="6"/>
  <c r="N9" i="6"/>
  <c r="D10" i="6"/>
  <c r="E10" i="6"/>
  <c r="F10" i="6"/>
  <c r="G10" i="6"/>
  <c r="H10" i="6"/>
  <c r="I10" i="6"/>
  <c r="J10" i="6"/>
  <c r="K10" i="6"/>
  <c r="L10" i="6"/>
  <c r="M10" i="6"/>
  <c r="N10" i="6"/>
  <c r="D11" i="6"/>
  <c r="E11" i="6"/>
  <c r="F11" i="6"/>
  <c r="G11" i="6"/>
  <c r="H11" i="6"/>
  <c r="I11" i="6"/>
  <c r="J11" i="6"/>
  <c r="K11" i="6"/>
  <c r="L11" i="6"/>
  <c r="M11" i="6"/>
  <c r="N11" i="6"/>
  <c r="C7" i="6"/>
  <c r="C8" i="6"/>
  <c r="C9" i="6"/>
  <c r="C10" i="6"/>
  <c r="C11" i="6"/>
  <c r="C6" i="6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<sst xmlns="http://schemas.openxmlformats.org/spreadsheetml/2006/main" count="432" uniqueCount="166">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</sst>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6" t="s">
        <v>165</v>
      </c>
      <c r="E4" s="97"/>
      <c r="F4" s="98"/>
    </row>
    <row r="5" spans="2:6" x14ac:dyDescent="0.15">
      <c r="B5" s="6"/>
      <c r="C5" s="7" t="s">
        <v>111</v>
      </c>
      <c r="D5" s="99">
        <v>2015</v>
      </c>
      <c r="E5" s="100"/>
      <c r="F5" s="101"/>
    </row>
    <row r="6" spans="2:6" x14ac:dyDescent="0.15">
      <c r="B6" s="3"/>
      <c r="C6" s="3"/>
      <c r="D6" s="3"/>
      <c r="E6" s="3"/>
      <c r="F6" s="3"/>
    </row>
  </sheetData>
  <sheetProtection algorithmName="SHA-512" hashValue="PDS1x26vcbgB4wkDPP9T6eSvbcXO15y4qUx+8chkWD32fAViZ/u2jiKDtADrUbMFiPg41e+JFroSkDQ62BA5Ow==" saltValue="ADe8S3FtGdBpbRzCsQf8w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zoomScale="170" workbookViewId="0">
      <selection activeCell="D6" sqref="D6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15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15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y+roTTnwWn+U/DKRTUI3DWUH8I5pmVdsgoye2f05+k7okcikMgkw9pCHQjz0NRp9wPMb86Jj5V2H8sUhb2FvCQ==" saltValue="XdW1NFqlR3+P/rnLEkB7J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zoomScale="131" workbookViewId="0">
      <selection activeCell="G14" sqref="G14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f>25250/6</f>
        <v>4208.333333333333</v>
      </c>
      <c r="D6" s="86">
        <f t="shared" ref="D6:N6" si="0">25250/6</f>
        <v>4208.333333333333</v>
      </c>
      <c r="E6" s="86">
        <f t="shared" si="0"/>
        <v>4208.333333333333</v>
      </c>
      <c r="F6" s="86">
        <f t="shared" si="0"/>
        <v>4208.333333333333</v>
      </c>
      <c r="G6" s="86">
        <f t="shared" si="0"/>
        <v>4208.333333333333</v>
      </c>
      <c r="H6" s="86">
        <f t="shared" si="0"/>
        <v>4208.333333333333</v>
      </c>
      <c r="I6" s="86">
        <f t="shared" si="0"/>
        <v>4208.333333333333</v>
      </c>
      <c r="J6" s="86">
        <f t="shared" si="0"/>
        <v>4208.333333333333</v>
      </c>
      <c r="K6" s="86">
        <f t="shared" si="0"/>
        <v>4208.333333333333</v>
      </c>
      <c r="L6" s="86">
        <f t="shared" si="0"/>
        <v>4208.333333333333</v>
      </c>
      <c r="M6" s="86">
        <f t="shared" si="0"/>
        <v>4208.333333333333</v>
      </c>
      <c r="N6" s="86">
        <f t="shared" si="0"/>
        <v>4208.333333333333</v>
      </c>
    </row>
    <row r="7" spans="2:14" x14ac:dyDescent="0.15">
      <c r="B7" s="36" t="s">
        <v>105</v>
      </c>
      <c r="C7" s="86">
        <f t="shared" ref="C7:N11" si="1">25250/6</f>
        <v>4208.333333333333</v>
      </c>
      <c r="D7" s="86">
        <f t="shared" si="1"/>
        <v>4208.333333333333</v>
      </c>
      <c r="E7" s="86">
        <f t="shared" si="1"/>
        <v>4208.333333333333</v>
      </c>
      <c r="F7" s="86">
        <f t="shared" si="1"/>
        <v>4208.333333333333</v>
      </c>
      <c r="G7" s="86">
        <f t="shared" si="1"/>
        <v>4208.333333333333</v>
      </c>
      <c r="H7" s="86">
        <f t="shared" si="1"/>
        <v>4208.333333333333</v>
      </c>
      <c r="I7" s="86">
        <f t="shared" si="1"/>
        <v>4208.333333333333</v>
      </c>
      <c r="J7" s="86">
        <f t="shared" si="1"/>
        <v>4208.333333333333</v>
      </c>
      <c r="K7" s="86">
        <f t="shared" si="1"/>
        <v>4208.333333333333</v>
      </c>
      <c r="L7" s="86">
        <f t="shared" si="1"/>
        <v>4208.333333333333</v>
      </c>
      <c r="M7" s="86">
        <f t="shared" si="1"/>
        <v>4208.333333333333</v>
      </c>
      <c r="N7" s="86">
        <f t="shared" si="1"/>
        <v>4208.333333333333</v>
      </c>
    </row>
    <row r="8" spans="2:14" x14ac:dyDescent="0.15">
      <c r="B8" s="36" t="s">
        <v>106</v>
      </c>
      <c r="C8" s="86">
        <f t="shared" si="1"/>
        <v>4208.333333333333</v>
      </c>
      <c r="D8" s="86">
        <f t="shared" si="1"/>
        <v>4208.333333333333</v>
      </c>
      <c r="E8" s="86">
        <f t="shared" si="1"/>
        <v>4208.333333333333</v>
      </c>
      <c r="F8" s="86">
        <f t="shared" si="1"/>
        <v>4208.333333333333</v>
      </c>
      <c r="G8" s="86">
        <f t="shared" si="1"/>
        <v>4208.333333333333</v>
      </c>
      <c r="H8" s="86">
        <f t="shared" si="1"/>
        <v>4208.333333333333</v>
      </c>
      <c r="I8" s="86">
        <f t="shared" si="1"/>
        <v>4208.333333333333</v>
      </c>
      <c r="J8" s="86">
        <f t="shared" si="1"/>
        <v>4208.333333333333</v>
      </c>
      <c r="K8" s="86">
        <f t="shared" si="1"/>
        <v>4208.333333333333</v>
      </c>
      <c r="L8" s="86">
        <f t="shared" si="1"/>
        <v>4208.333333333333</v>
      </c>
      <c r="M8" s="86">
        <f t="shared" si="1"/>
        <v>4208.333333333333</v>
      </c>
      <c r="N8" s="86">
        <f t="shared" si="1"/>
        <v>4208.333333333333</v>
      </c>
    </row>
    <row r="9" spans="2:14" x14ac:dyDescent="0.15">
      <c r="B9" s="36" t="s">
        <v>107</v>
      </c>
      <c r="C9" s="86">
        <f t="shared" si="1"/>
        <v>4208.333333333333</v>
      </c>
      <c r="D9" s="86">
        <f t="shared" si="1"/>
        <v>4208.333333333333</v>
      </c>
      <c r="E9" s="86">
        <f t="shared" si="1"/>
        <v>4208.333333333333</v>
      </c>
      <c r="F9" s="86">
        <f t="shared" si="1"/>
        <v>4208.333333333333</v>
      </c>
      <c r="G9" s="86">
        <f t="shared" si="1"/>
        <v>4208.333333333333</v>
      </c>
      <c r="H9" s="86">
        <f t="shared" si="1"/>
        <v>4208.333333333333</v>
      </c>
      <c r="I9" s="86">
        <f t="shared" si="1"/>
        <v>4208.333333333333</v>
      </c>
      <c r="J9" s="86">
        <f t="shared" si="1"/>
        <v>4208.333333333333</v>
      </c>
      <c r="K9" s="86">
        <f t="shared" si="1"/>
        <v>4208.333333333333</v>
      </c>
      <c r="L9" s="86">
        <f t="shared" si="1"/>
        <v>4208.333333333333</v>
      </c>
      <c r="M9" s="86">
        <f t="shared" si="1"/>
        <v>4208.333333333333</v>
      </c>
      <c r="N9" s="86">
        <f t="shared" si="1"/>
        <v>4208.333333333333</v>
      </c>
    </row>
    <row r="10" spans="2:14" x14ac:dyDescent="0.15">
      <c r="B10" s="36" t="s">
        <v>108</v>
      </c>
      <c r="C10" s="86">
        <f t="shared" si="1"/>
        <v>4208.333333333333</v>
      </c>
      <c r="D10" s="86">
        <f t="shared" si="1"/>
        <v>4208.333333333333</v>
      </c>
      <c r="E10" s="86">
        <f t="shared" si="1"/>
        <v>4208.333333333333</v>
      </c>
      <c r="F10" s="86">
        <f t="shared" si="1"/>
        <v>4208.333333333333</v>
      </c>
      <c r="G10" s="86">
        <f t="shared" si="1"/>
        <v>4208.333333333333</v>
      </c>
      <c r="H10" s="86">
        <f t="shared" si="1"/>
        <v>4208.333333333333</v>
      </c>
      <c r="I10" s="86">
        <f t="shared" si="1"/>
        <v>4208.333333333333</v>
      </c>
      <c r="J10" s="86">
        <f t="shared" si="1"/>
        <v>4208.333333333333</v>
      </c>
      <c r="K10" s="86">
        <f t="shared" si="1"/>
        <v>4208.333333333333</v>
      </c>
      <c r="L10" s="86">
        <f t="shared" si="1"/>
        <v>4208.333333333333</v>
      </c>
      <c r="M10" s="86">
        <f t="shared" si="1"/>
        <v>4208.333333333333</v>
      </c>
      <c r="N10" s="86">
        <f t="shared" si="1"/>
        <v>4208.333333333333</v>
      </c>
    </row>
    <row r="11" spans="2:14" x14ac:dyDescent="0.15">
      <c r="B11" s="37" t="s">
        <v>109</v>
      </c>
      <c r="C11" s="86">
        <f t="shared" si="1"/>
        <v>4208.333333333333</v>
      </c>
      <c r="D11" s="86">
        <f t="shared" si="1"/>
        <v>4208.333333333333</v>
      </c>
      <c r="E11" s="86">
        <f t="shared" si="1"/>
        <v>4208.333333333333</v>
      </c>
      <c r="F11" s="86">
        <f t="shared" si="1"/>
        <v>4208.333333333333</v>
      </c>
      <c r="G11" s="86">
        <f t="shared" si="1"/>
        <v>4208.333333333333</v>
      </c>
      <c r="H11" s="86">
        <f t="shared" si="1"/>
        <v>4208.333333333333</v>
      </c>
      <c r="I11" s="86">
        <f t="shared" si="1"/>
        <v>4208.333333333333</v>
      </c>
      <c r="J11" s="86">
        <f t="shared" si="1"/>
        <v>4208.333333333333</v>
      </c>
      <c r="K11" s="86">
        <f t="shared" si="1"/>
        <v>4208.333333333333</v>
      </c>
      <c r="L11" s="86">
        <f t="shared" si="1"/>
        <v>4208.333333333333</v>
      </c>
      <c r="M11" s="86">
        <f t="shared" si="1"/>
        <v>4208.333333333333</v>
      </c>
      <c r="N11" s="86">
        <f t="shared" si="1"/>
        <v>4208.333333333333</v>
      </c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8">
        <v>1</v>
      </c>
      <c r="D17" s="88">
        <v>10000000</v>
      </c>
      <c r="E17" s="88">
        <v>1</v>
      </c>
      <c r="F17" s="88">
        <v>10000000</v>
      </c>
      <c r="G17" s="88">
        <v>1</v>
      </c>
      <c r="H17" s="88">
        <v>10000000</v>
      </c>
      <c r="I17" s="29" t="s">
        <v>110</v>
      </c>
    </row>
    <row r="18" spans="2:33" x14ac:dyDescent="0.15">
      <c r="B18" s="36" t="s">
        <v>105</v>
      </c>
      <c r="C18" s="88">
        <v>1</v>
      </c>
      <c r="D18" s="88">
        <v>10000000</v>
      </c>
      <c r="E18" s="88">
        <v>1</v>
      </c>
      <c r="F18" s="88">
        <v>10000000</v>
      </c>
      <c r="G18" s="88">
        <v>1</v>
      </c>
      <c r="H18" s="88">
        <v>10000000</v>
      </c>
      <c r="I18" s="29" t="s">
        <v>110</v>
      </c>
    </row>
    <row r="19" spans="2:33" x14ac:dyDescent="0.15">
      <c r="B19" s="36" t="s">
        <v>106</v>
      </c>
      <c r="C19" s="88">
        <v>1</v>
      </c>
      <c r="D19" s="88">
        <v>10000000</v>
      </c>
      <c r="E19" s="88">
        <v>1</v>
      </c>
      <c r="F19" s="88">
        <v>10000000</v>
      </c>
      <c r="G19" s="88">
        <v>1</v>
      </c>
      <c r="H19" s="88">
        <v>10000000</v>
      </c>
      <c r="I19" s="29" t="s">
        <v>110</v>
      </c>
    </row>
    <row r="20" spans="2:33" x14ac:dyDescent="0.15">
      <c r="B20" s="36" t="s">
        <v>107</v>
      </c>
      <c r="C20" s="88">
        <v>1</v>
      </c>
      <c r="D20" s="88">
        <v>10000000</v>
      </c>
      <c r="E20" s="88">
        <v>1</v>
      </c>
      <c r="F20" s="88">
        <v>10000000</v>
      </c>
      <c r="G20" s="88">
        <v>1</v>
      </c>
      <c r="H20" s="88">
        <v>10000000</v>
      </c>
    </row>
    <row r="21" spans="2:33" x14ac:dyDescent="0.15">
      <c r="B21" s="36" t="s">
        <v>108</v>
      </c>
      <c r="C21" s="88">
        <v>1</v>
      </c>
      <c r="D21" s="88">
        <v>10000000</v>
      </c>
      <c r="E21" s="88">
        <v>1</v>
      </c>
      <c r="F21" s="88">
        <v>10000000</v>
      </c>
      <c r="G21" s="88">
        <v>1</v>
      </c>
      <c r="H21" s="88">
        <v>10000000</v>
      </c>
    </row>
    <row r="22" spans="2:33" x14ac:dyDescent="0.15">
      <c r="B22" s="37" t="s">
        <v>109</v>
      </c>
      <c r="C22" s="88">
        <v>1</v>
      </c>
      <c r="D22" s="88">
        <v>10000000</v>
      </c>
      <c r="E22" s="88">
        <v>1</v>
      </c>
      <c r="F22" s="88">
        <v>10000000</v>
      </c>
      <c r="G22" s="88">
        <v>1</v>
      </c>
      <c r="H22" s="88">
        <v>10000000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7"/>
      <c r="P31" s="63">
        <f>O31+M31+K31+I31+G31</f>
        <v>0</v>
      </c>
    </row>
    <row r="32" spans="2:33" x14ac:dyDescent="0.15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7"/>
      <c r="P32" s="63">
        <f>O32+M32+K32+I32</f>
        <v>0</v>
      </c>
    </row>
    <row r="33" spans="2:17" x14ac:dyDescent="0.15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7"/>
      <c r="P33" s="63">
        <f>O33+M33+K33</f>
        <v>0</v>
      </c>
    </row>
    <row r="34" spans="2:17" x14ac:dyDescent="0.15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7"/>
      <c r="P34" s="63">
        <f>O34+M34</f>
        <v>0</v>
      </c>
    </row>
    <row r="35" spans="2:17" x14ac:dyDescent="0.15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7"/>
      <c r="P35" s="65">
        <f>O35</f>
        <v>0</v>
      </c>
    </row>
    <row r="36" spans="2:17" x14ac:dyDescent="0.15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15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7"/>
      <c r="P37" s="63">
        <f>O37+M37+K37+I37+G37</f>
        <v>0</v>
      </c>
    </row>
    <row r="38" spans="2:17" x14ac:dyDescent="0.15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7"/>
      <c r="P38" s="63">
        <f>O38+M38+K38+I38</f>
        <v>0</v>
      </c>
    </row>
    <row r="39" spans="2:17" x14ac:dyDescent="0.15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7"/>
      <c r="P39" s="63">
        <f>O39+M39+K39</f>
        <v>0</v>
      </c>
    </row>
    <row r="40" spans="2:17" x14ac:dyDescent="0.15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7"/>
      <c r="P40" s="63">
        <f>O40+M40</f>
        <v>0</v>
      </c>
    </row>
    <row r="41" spans="2:17" x14ac:dyDescent="0.15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7"/>
      <c r="P41" s="64">
        <f>O41</f>
        <v>0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89">
        <v>100</v>
      </c>
      <c r="D47" s="89">
        <v>0</v>
      </c>
      <c r="E47" s="89">
        <v>0</v>
      </c>
      <c r="F47" s="89">
        <v>0</v>
      </c>
      <c r="G47" s="89">
        <v>0</v>
      </c>
      <c r="H47" s="89">
        <v>0</v>
      </c>
      <c r="I47" s="89">
        <v>0</v>
      </c>
      <c r="J47" s="89">
        <v>0</v>
      </c>
      <c r="K47" s="89">
        <v>0</v>
      </c>
      <c r="L47" s="89">
        <v>0</v>
      </c>
      <c r="M47" s="89">
        <v>0</v>
      </c>
      <c r="N47" s="89">
        <v>0</v>
      </c>
      <c r="O47" s="33">
        <f>SUM(C47:N47)</f>
        <v>100</v>
      </c>
    </row>
    <row r="48" spans="2:17" x14ac:dyDescent="0.15">
      <c r="B48" s="37" t="s">
        <v>113</v>
      </c>
      <c r="C48" s="89">
        <v>100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89">
        <v>0</v>
      </c>
      <c r="L48" s="89">
        <v>0</v>
      </c>
      <c r="M48" s="89">
        <v>0</v>
      </c>
      <c r="N48" s="89">
        <v>0</v>
      </c>
      <c r="O48" s="33">
        <f>SUM(C48:N48)</f>
        <v>100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JE1FHguEffvU4kBYbNI69ew/BAM3s7N5/+0x8LUlXzH/kcDB/I5y+BqPq5JQFeweUmnzojbZRaDqdFn7QUZwRQ==" saltValue="7fAJ38vwYRFjXbEJvkFhX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zoomScale="168" workbookViewId="0">
      <selection activeCell="J11" sqref="J11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17" x14ac:dyDescent="0.15">
      <c r="B2" s="28" t="s">
        <v>114</v>
      </c>
    </row>
    <row r="3" spans="2:17" x14ac:dyDescent="0.15">
      <c r="B3" s="30" t="s">
        <v>144</v>
      </c>
    </row>
    <row r="4" spans="2:17" x14ac:dyDescent="0.15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15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15">
      <c r="B6" s="45" t="s">
        <v>163</v>
      </c>
      <c r="C6" s="90">
        <v>1.3663379999999998</v>
      </c>
      <c r="D6" s="90">
        <v>1.9801980000000001</v>
      </c>
      <c r="E6" s="90">
        <v>14.213861</v>
      </c>
      <c r="F6" s="90">
        <v>41.714850999999996</v>
      </c>
      <c r="G6" s="90">
        <v>40.724751999999995</v>
      </c>
      <c r="H6" s="94">
        <f>SUM($C$6:$G$6)</f>
        <v>99.999999999999986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15">
      <c r="B7" s="45" t="s">
        <v>105</v>
      </c>
      <c r="C7" s="90">
        <v>1.3663379999999998</v>
      </c>
      <c r="D7" s="90">
        <v>1.9801980000000001</v>
      </c>
      <c r="E7" s="90">
        <v>14.213861</v>
      </c>
      <c r="F7" s="90">
        <v>41.714850999999996</v>
      </c>
      <c r="G7" s="90">
        <v>40.724751999999995</v>
      </c>
      <c r="H7" s="94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15">
      <c r="B8" s="45" t="s">
        <v>106</v>
      </c>
      <c r="C8" s="90">
        <v>1.3663379999999998</v>
      </c>
      <c r="D8" s="90">
        <v>1.9801980000000001</v>
      </c>
      <c r="E8" s="90">
        <v>14.213861</v>
      </c>
      <c r="F8" s="90">
        <v>41.714850999999996</v>
      </c>
      <c r="G8" s="90">
        <v>40.724751999999995</v>
      </c>
      <c r="H8" s="94">
        <f>SUM($C$8:$G$8)</f>
        <v>99.999999999999986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15">
      <c r="B9" s="45" t="s">
        <v>107</v>
      </c>
      <c r="C9" s="90">
        <v>1.3663379999999998</v>
      </c>
      <c r="D9" s="90">
        <v>1.9801980000000001</v>
      </c>
      <c r="E9" s="90">
        <v>14.213861</v>
      </c>
      <c r="F9" s="90">
        <v>41.714850999999996</v>
      </c>
      <c r="G9" s="90">
        <v>40.724751999999995</v>
      </c>
      <c r="H9" s="94">
        <f>SUM($C$9:$G$9)</f>
        <v>99.999999999999986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15">
      <c r="B10" s="45" t="s">
        <v>108</v>
      </c>
      <c r="C10" s="90">
        <v>1.3663379999999998</v>
      </c>
      <c r="D10" s="90">
        <v>1.9801980000000001</v>
      </c>
      <c r="E10" s="90">
        <v>14.213861</v>
      </c>
      <c r="F10" s="90">
        <v>41.714850999999996</v>
      </c>
      <c r="G10" s="90">
        <v>40.724751999999995</v>
      </c>
      <c r="H10" s="94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15">
      <c r="B11" s="45" t="s">
        <v>109</v>
      </c>
      <c r="C11" s="90">
        <v>1.3663379999999998</v>
      </c>
      <c r="D11" s="90">
        <v>1.9801980000000001</v>
      </c>
      <c r="E11" s="90">
        <v>14.213861</v>
      </c>
      <c r="F11" s="90">
        <v>41.714850999999996</v>
      </c>
      <c r="G11" s="90">
        <v>40.724751999999995</v>
      </c>
      <c r="H11" s="93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15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15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15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15">
      <c r="B19" s="45" t="s">
        <v>120</v>
      </c>
      <c r="C19" s="91">
        <v>50</v>
      </c>
      <c r="D19" s="44">
        <f>100-$C$19</f>
        <v>50</v>
      </c>
      <c r="E19" s="91">
        <v>50</v>
      </c>
      <c r="F19" s="44">
        <f>100-$E$19</f>
        <v>50</v>
      </c>
      <c r="G19" s="91">
        <v>50</v>
      </c>
      <c r="H19" s="33">
        <f>100-$G$19</f>
        <v>50</v>
      </c>
      <c r="O19" s="50"/>
      <c r="P19" s="50"/>
      <c r="Q19" s="50"/>
    </row>
    <row r="20" spans="2:18" x14ac:dyDescent="0.15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15">
      <c r="I21" s="50"/>
      <c r="J21" s="50"/>
      <c r="K21" s="50"/>
    </row>
    <row r="22" spans="2:18" x14ac:dyDescent="0.15">
      <c r="B22" s="52" t="s">
        <v>114</v>
      </c>
      <c r="I22" s="50"/>
      <c r="J22" s="50"/>
      <c r="K22" s="50"/>
    </row>
    <row r="23" spans="2:18" x14ac:dyDescent="0.15">
      <c r="B23" s="55" t="s">
        <v>145</v>
      </c>
      <c r="I23" s="50"/>
      <c r="J23" s="50"/>
      <c r="K23" s="50"/>
    </row>
    <row r="24" spans="2:18" x14ac:dyDescent="0.15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15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15">
      <c r="B27" s="45" t="s">
        <v>22</v>
      </c>
      <c r="C27" s="90">
        <v>100</v>
      </c>
      <c r="D27" s="90">
        <v>100</v>
      </c>
      <c r="E27" s="90">
        <v>100</v>
      </c>
      <c r="F27" s="90"/>
      <c r="G27" s="90">
        <v>100</v>
      </c>
      <c r="H27" s="90"/>
      <c r="I27" s="92">
        <v>100</v>
      </c>
      <c r="P27" s="50"/>
      <c r="Q27" s="50"/>
      <c r="R27" s="50"/>
    </row>
    <row r="28" spans="2:18" x14ac:dyDescent="0.15">
      <c r="B28" s="45" t="s">
        <v>59</v>
      </c>
      <c r="C28" s="90">
        <v>0</v>
      </c>
      <c r="D28" s="90"/>
      <c r="E28" s="90"/>
      <c r="F28" s="90">
        <v>100</v>
      </c>
      <c r="G28" s="90"/>
      <c r="H28" s="90">
        <v>100</v>
      </c>
      <c r="I28" s="92"/>
      <c r="P28" s="50"/>
      <c r="Q28" s="50"/>
      <c r="R28" s="50"/>
    </row>
    <row r="29" spans="2:18" x14ac:dyDescent="0.15">
      <c r="B29" s="45" t="s">
        <v>150</v>
      </c>
      <c r="C29" s="95">
        <f>SUM($C$27:$C$28)</f>
        <v>100</v>
      </c>
      <c r="D29" s="95">
        <f>SUM($D$27:$D$28)</f>
        <v>100</v>
      </c>
      <c r="E29" s="95">
        <f>SUM($E$27:$E$28)</f>
        <v>100</v>
      </c>
      <c r="F29" s="95">
        <f>SUM($F$27:$F$28)</f>
        <v>100</v>
      </c>
      <c r="G29" s="95">
        <f>SUM($G$27:$G$28)</f>
        <v>100</v>
      </c>
      <c r="H29" s="95">
        <f>SUM($H$27:$H$28)</f>
        <v>100</v>
      </c>
      <c r="I29" s="93">
        <f>SUM($I$27:$I$28)</f>
        <v>100</v>
      </c>
      <c r="P29" s="50"/>
      <c r="Q29" s="50"/>
      <c r="R29" s="50"/>
    </row>
    <row r="30" spans="2:18" x14ac:dyDescent="0.15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15">
      <c r="I31" s="50"/>
      <c r="J31" s="50"/>
      <c r="K31" s="50"/>
    </row>
    <row r="32" spans="2:18" x14ac:dyDescent="0.15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15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15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15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15">
      <c r="B36" s="45" t="s">
        <v>22</v>
      </c>
      <c r="C36" s="90">
        <v>50</v>
      </c>
      <c r="D36" s="90">
        <v>50</v>
      </c>
      <c r="E36" s="90">
        <v>50</v>
      </c>
      <c r="F36" s="90">
        <v>50</v>
      </c>
      <c r="G36" s="90">
        <v>50</v>
      </c>
      <c r="H36" s="90">
        <v>50</v>
      </c>
      <c r="I36" s="90">
        <v>50</v>
      </c>
      <c r="J36" s="90">
        <v>50</v>
      </c>
      <c r="K36" s="90">
        <v>50</v>
      </c>
      <c r="L36" s="90">
        <v>50</v>
      </c>
      <c r="M36" s="90">
        <v>50</v>
      </c>
      <c r="N36" s="90">
        <v>50</v>
      </c>
    </row>
    <row r="37" spans="2:14" x14ac:dyDescent="0.15">
      <c r="B37" s="45" t="s">
        <v>59</v>
      </c>
      <c r="C37" s="91">
        <v>50</v>
      </c>
      <c r="D37" s="91">
        <v>50</v>
      </c>
      <c r="E37" s="91">
        <v>50</v>
      </c>
      <c r="F37" s="91">
        <v>50</v>
      </c>
      <c r="G37" s="91">
        <v>50</v>
      </c>
      <c r="H37" s="91">
        <v>50</v>
      </c>
      <c r="I37" s="91">
        <v>50</v>
      </c>
      <c r="J37" s="91">
        <v>50</v>
      </c>
      <c r="K37" s="91">
        <v>50</v>
      </c>
      <c r="L37" s="91">
        <v>50</v>
      </c>
      <c r="M37" s="91">
        <v>50</v>
      </c>
      <c r="N37" s="91">
        <v>50</v>
      </c>
    </row>
    <row r="38" spans="2:14" x14ac:dyDescent="0.15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15">
      <c r="I39" s="50"/>
      <c r="J39" s="50"/>
      <c r="K39" s="50"/>
    </row>
    <row r="40" spans="2:14" x14ac:dyDescent="0.15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15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15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15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15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15">
      <c r="I61" s="50"/>
      <c r="J61" s="50"/>
    </row>
    <row r="62" spans="9:24" x14ac:dyDescent="0.15">
      <c r="I62" s="50"/>
      <c r="J62" s="50"/>
    </row>
    <row r="63" spans="9:24" x14ac:dyDescent="0.15">
      <c r="I63" s="50"/>
      <c r="J63" s="50"/>
    </row>
  </sheetData>
  <sheetProtection algorithmName="SHA-512" hashValue="0fYCRW0Kr/NcjHSPhFtEoFQkbkc3PlTcK3zSq8i8zfu/9aJUFGlupWHdkb69gilgVRn6zykJ8Sn6lC9phYpWhQ==" saltValue="b/cqyN5ksoKAbfZBuMlLL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4" zoomScale="144" workbookViewId="0">
      <selection activeCell="Q34" sqref="Q34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7">
        <v>1</v>
      </c>
      <c r="E6" s="87">
        <v>1.2727272727272727</v>
      </c>
      <c r="F6" s="87">
        <v>1.5454545454545454</v>
      </c>
      <c r="G6" s="87">
        <v>1.8181818181818181</v>
      </c>
      <c r="H6" s="87">
        <v>2.0909090909090908</v>
      </c>
      <c r="I6" s="87">
        <v>2.3636363636363633</v>
      </c>
      <c r="J6" s="87">
        <v>2.6363636363636358</v>
      </c>
      <c r="K6" s="87">
        <v>2.9090909090909083</v>
      </c>
      <c r="L6" s="87">
        <v>3.1818181818181808</v>
      </c>
      <c r="M6" s="87">
        <v>3.4545454545454533</v>
      </c>
      <c r="N6" s="87">
        <v>3.7272727272727257</v>
      </c>
      <c r="O6" s="87">
        <v>3.9999999999999982</v>
      </c>
    </row>
    <row r="7" spans="2:15" x14ac:dyDescent="0.15">
      <c r="C7" s="36" t="s">
        <v>127</v>
      </c>
      <c r="D7" s="87">
        <v>1</v>
      </c>
      <c r="E7" s="87">
        <v>1.2727272727272727</v>
      </c>
      <c r="F7" s="87">
        <v>1.5454545454545454</v>
      </c>
      <c r="G7" s="87">
        <v>1.8181818181818181</v>
      </c>
      <c r="H7" s="87">
        <v>2.0909090909090908</v>
      </c>
      <c r="I7" s="87">
        <v>2.3636363636363633</v>
      </c>
      <c r="J7" s="87">
        <v>2.6363636363636358</v>
      </c>
      <c r="K7" s="87">
        <v>2.9090909090909083</v>
      </c>
      <c r="L7" s="87">
        <v>3.1818181818181808</v>
      </c>
      <c r="M7" s="87">
        <v>3.4545454545454533</v>
      </c>
      <c r="N7" s="87">
        <v>3.7272727272727257</v>
      </c>
      <c r="O7" s="87">
        <v>3.9999999999999982</v>
      </c>
    </row>
    <row r="8" spans="2:15" x14ac:dyDescent="0.15">
      <c r="C8" s="36" t="s">
        <v>128</v>
      </c>
      <c r="D8" s="87">
        <v>1</v>
      </c>
      <c r="E8" s="87">
        <v>1.2727272727272727</v>
      </c>
      <c r="F8" s="87">
        <v>1.5454545454545454</v>
      </c>
      <c r="G8" s="87">
        <v>1.8181818181818181</v>
      </c>
      <c r="H8" s="87">
        <v>2.0909090909090908</v>
      </c>
      <c r="I8" s="87">
        <v>2.3636363636363633</v>
      </c>
      <c r="J8" s="87">
        <v>2.6363636363636358</v>
      </c>
      <c r="K8" s="87">
        <v>2.9090909090909083</v>
      </c>
      <c r="L8" s="87">
        <v>3.1818181818181808</v>
      </c>
      <c r="M8" s="87">
        <v>3.4545454545454533</v>
      </c>
      <c r="N8" s="87">
        <v>3.7272727272727257</v>
      </c>
      <c r="O8" s="87">
        <v>3.9999999999999982</v>
      </c>
    </row>
    <row r="9" spans="2:15" x14ac:dyDescent="0.15">
      <c r="C9" s="36" t="s">
        <v>129</v>
      </c>
      <c r="D9" s="87">
        <v>1</v>
      </c>
      <c r="E9" s="87">
        <v>1.2727272727272727</v>
      </c>
      <c r="F9" s="87">
        <v>1.5454545454545454</v>
      </c>
      <c r="G9" s="87">
        <v>1.8181818181818181</v>
      </c>
      <c r="H9" s="87">
        <v>2.0909090909090908</v>
      </c>
      <c r="I9" s="87">
        <v>2.3636363636363633</v>
      </c>
      <c r="J9" s="87">
        <v>2.6363636363636358</v>
      </c>
      <c r="K9" s="87">
        <v>2.9090909090909083</v>
      </c>
      <c r="L9" s="87">
        <v>3.1818181818181808</v>
      </c>
      <c r="M9" s="87">
        <v>3.4545454545454533</v>
      </c>
      <c r="N9" s="87">
        <v>3.7272727272727257</v>
      </c>
      <c r="O9" s="87">
        <v>3.9999999999999982</v>
      </c>
    </row>
    <row r="10" spans="2:15" x14ac:dyDescent="0.15">
      <c r="C10" s="36" t="s">
        <v>130</v>
      </c>
      <c r="D10" s="87">
        <v>1</v>
      </c>
      <c r="E10" s="87">
        <v>1.2727272727272727</v>
      </c>
      <c r="F10" s="87">
        <v>1.5454545454545454</v>
      </c>
      <c r="G10" s="87">
        <v>1.8181818181818181</v>
      </c>
      <c r="H10" s="87">
        <v>2.0909090909090908</v>
      </c>
      <c r="I10" s="87">
        <v>2.3636363636363633</v>
      </c>
      <c r="J10" s="87">
        <v>2.6363636363636358</v>
      </c>
      <c r="K10" s="87">
        <v>2.9090909090909083</v>
      </c>
      <c r="L10" s="87">
        <v>3.1818181818181808</v>
      </c>
      <c r="M10" s="87">
        <v>3.4545454545454533</v>
      </c>
      <c r="N10" s="87">
        <v>3.7272727272727257</v>
      </c>
      <c r="O10" s="87">
        <v>3.9999999999999982</v>
      </c>
    </row>
    <row r="11" spans="2:15" x14ac:dyDescent="0.15">
      <c r="C11" s="36" t="s">
        <v>131</v>
      </c>
      <c r="D11" s="87">
        <v>1</v>
      </c>
      <c r="E11" s="87">
        <v>1.2727272727272727</v>
      </c>
      <c r="F11" s="87">
        <v>1.5454545454545454</v>
      </c>
      <c r="G11" s="87">
        <v>1.8181818181818181</v>
      </c>
      <c r="H11" s="87">
        <v>2.0909090909090908</v>
      </c>
      <c r="I11" s="87">
        <v>2.3636363636363633</v>
      </c>
      <c r="J11" s="87">
        <v>2.6363636363636358</v>
      </c>
      <c r="K11" s="87">
        <v>2.9090909090909083</v>
      </c>
      <c r="L11" s="87">
        <v>3.1818181818181808</v>
      </c>
      <c r="M11" s="87">
        <v>3.4545454545454533</v>
      </c>
      <c r="N11" s="87">
        <v>3.7272727272727257</v>
      </c>
      <c r="O11" s="87">
        <v>3.9999999999999982</v>
      </c>
    </row>
    <row r="12" spans="2:15" x14ac:dyDescent="0.15">
      <c r="C12" s="37" t="s">
        <v>132</v>
      </c>
      <c r="D12" s="87">
        <v>1</v>
      </c>
      <c r="E12" s="87">
        <v>1.2727272727272727</v>
      </c>
      <c r="F12" s="87">
        <v>1.5454545454545454</v>
      </c>
      <c r="G12" s="87">
        <v>1.8181818181818181</v>
      </c>
      <c r="H12" s="87">
        <v>2.0909090909090908</v>
      </c>
      <c r="I12" s="87">
        <v>2.3636363636363633</v>
      </c>
      <c r="J12" s="87">
        <v>2.6363636363636358</v>
      </c>
      <c r="K12" s="87">
        <v>2.9090909090909083</v>
      </c>
      <c r="L12" s="87">
        <v>3.1818181818181808</v>
      </c>
      <c r="M12" s="87">
        <v>3.4545454545454533</v>
      </c>
      <c r="N12" s="87">
        <v>3.7272727272727257</v>
      </c>
      <c r="O12" s="87">
        <v>3.9999999999999982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7">
        <v>1</v>
      </c>
      <c r="E15" s="87">
        <v>1.2727272727272727</v>
      </c>
      <c r="F15" s="87">
        <v>1.5454545454545454</v>
      </c>
      <c r="G15" s="87">
        <v>1.8181818181818181</v>
      </c>
      <c r="H15" s="87">
        <v>2.0909090909090908</v>
      </c>
      <c r="I15" s="87">
        <v>2.3636363636363633</v>
      </c>
      <c r="J15" s="87">
        <v>2.6363636363636358</v>
      </c>
      <c r="K15" s="87">
        <v>2.9090909090909083</v>
      </c>
      <c r="L15" s="87">
        <v>3.1818181818181808</v>
      </c>
      <c r="M15" s="87">
        <v>3.4545454545454533</v>
      </c>
      <c r="N15" s="87">
        <v>3.7272727272727257</v>
      </c>
      <c r="O15" s="87">
        <v>3.9999999999999982</v>
      </c>
    </row>
    <row r="16" spans="2:15" x14ac:dyDescent="0.15">
      <c r="C16" s="36" t="s">
        <v>127</v>
      </c>
      <c r="D16" s="87">
        <v>1</v>
      </c>
      <c r="E16" s="87">
        <v>1.2727272727272727</v>
      </c>
      <c r="F16" s="87">
        <v>1.5454545454545454</v>
      </c>
      <c r="G16" s="87">
        <v>1.8181818181818181</v>
      </c>
      <c r="H16" s="87">
        <v>2.0909090909090908</v>
      </c>
      <c r="I16" s="87">
        <v>2.3636363636363633</v>
      </c>
      <c r="J16" s="87">
        <v>2.6363636363636358</v>
      </c>
      <c r="K16" s="87">
        <v>2.9090909090909083</v>
      </c>
      <c r="L16" s="87">
        <v>3.1818181818181808</v>
      </c>
      <c r="M16" s="87">
        <v>3.4545454545454533</v>
      </c>
      <c r="N16" s="87">
        <v>3.7272727272727257</v>
      </c>
      <c r="O16" s="87">
        <v>3.9999999999999982</v>
      </c>
    </row>
    <row r="17" spans="2:15" x14ac:dyDescent="0.15">
      <c r="C17" s="36" t="s">
        <v>128</v>
      </c>
      <c r="D17" s="87">
        <v>1</v>
      </c>
      <c r="E17" s="87">
        <v>1.2727272727272727</v>
      </c>
      <c r="F17" s="87">
        <v>1.5454545454545454</v>
      </c>
      <c r="G17" s="87">
        <v>1.8181818181818181</v>
      </c>
      <c r="H17" s="87">
        <v>2.0909090909090908</v>
      </c>
      <c r="I17" s="87">
        <v>2.3636363636363633</v>
      </c>
      <c r="J17" s="87">
        <v>2.6363636363636358</v>
      </c>
      <c r="K17" s="87">
        <v>2.9090909090909083</v>
      </c>
      <c r="L17" s="87">
        <v>3.1818181818181808</v>
      </c>
      <c r="M17" s="87">
        <v>3.4545454545454533</v>
      </c>
      <c r="N17" s="87">
        <v>3.7272727272727257</v>
      </c>
      <c r="O17" s="87">
        <v>3.9999999999999982</v>
      </c>
    </row>
    <row r="18" spans="2:15" x14ac:dyDescent="0.15">
      <c r="C18" s="36" t="s">
        <v>129</v>
      </c>
      <c r="D18" s="87">
        <v>1</v>
      </c>
      <c r="E18" s="87">
        <v>1.2727272727272727</v>
      </c>
      <c r="F18" s="87">
        <v>1.5454545454545454</v>
      </c>
      <c r="G18" s="87">
        <v>1.8181818181818181</v>
      </c>
      <c r="H18" s="87">
        <v>2.0909090909090908</v>
      </c>
      <c r="I18" s="87">
        <v>2.3636363636363633</v>
      </c>
      <c r="J18" s="87">
        <v>2.6363636363636358</v>
      </c>
      <c r="K18" s="87">
        <v>2.9090909090909083</v>
      </c>
      <c r="L18" s="87">
        <v>3.1818181818181808</v>
      </c>
      <c r="M18" s="87">
        <v>3.4545454545454533</v>
      </c>
      <c r="N18" s="87">
        <v>3.7272727272727257</v>
      </c>
      <c r="O18" s="87">
        <v>3.9999999999999982</v>
      </c>
    </row>
    <row r="19" spans="2:15" x14ac:dyDescent="0.15">
      <c r="C19" s="36" t="s">
        <v>130</v>
      </c>
      <c r="D19" s="87">
        <v>1</v>
      </c>
      <c r="E19" s="87">
        <v>1.2727272727272727</v>
      </c>
      <c r="F19" s="87">
        <v>1.5454545454545454</v>
      </c>
      <c r="G19" s="87">
        <v>1.8181818181818181</v>
      </c>
      <c r="H19" s="87">
        <v>2.0909090909090908</v>
      </c>
      <c r="I19" s="87">
        <v>2.3636363636363633</v>
      </c>
      <c r="J19" s="87">
        <v>2.6363636363636358</v>
      </c>
      <c r="K19" s="87">
        <v>2.9090909090909083</v>
      </c>
      <c r="L19" s="87">
        <v>3.1818181818181808</v>
      </c>
      <c r="M19" s="87">
        <v>3.4545454545454533</v>
      </c>
      <c r="N19" s="87">
        <v>3.7272727272727257</v>
      </c>
      <c r="O19" s="87">
        <v>3.9999999999999982</v>
      </c>
    </row>
    <row r="20" spans="2:15" x14ac:dyDescent="0.15">
      <c r="C20" s="36" t="s">
        <v>131</v>
      </c>
      <c r="D20" s="87">
        <v>1</v>
      </c>
      <c r="E20" s="87">
        <v>1.2727272727272727</v>
      </c>
      <c r="F20" s="87">
        <v>1.5454545454545454</v>
      </c>
      <c r="G20" s="87">
        <v>1.8181818181818181</v>
      </c>
      <c r="H20" s="87">
        <v>2.0909090909090908</v>
      </c>
      <c r="I20" s="87">
        <v>2.3636363636363633</v>
      </c>
      <c r="J20" s="87">
        <v>2.6363636363636358</v>
      </c>
      <c r="K20" s="87">
        <v>2.9090909090909083</v>
      </c>
      <c r="L20" s="87">
        <v>3.1818181818181808</v>
      </c>
      <c r="M20" s="87">
        <v>3.4545454545454533</v>
      </c>
      <c r="N20" s="87">
        <v>3.7272727272727257</v>
      </c>
      <c r="O20" s="87">
        <v>3.9999999999999982</v>
      </c>
    </row>
    <row r="21" spans="2:15" x14ac:dyDescent="0.15">
      <c r="C21" s="37" t="s">
        <v>132</v>
      </c>
      <c r="D21" s="87">
        <v>1</v>
      </c>
      <c r="E21" s="87">
        <v>1.2727272727272727</v>
      </c>
      <c r="F21" s="87">
        <v>1.5454545454545454</v>
      </c>
      <c r="G21" s="87">
        <v>1.8181818181818181</v>
      </c>
      <c r="H21" s="87">
        <v>2.0909090909090908</v>
      </c>
      <c r="I21" s="87">
        <v>2.3636363636363633</v>
      </c>
      <c r="J21" s="87">
        <v>2.6363636363636358</v>
      </c>
      <c r="K21" s="87">
        <v>2.9090909090909083</v>
      </c>
      <c r="L21" s="87">
        <v>3.1818181818181808</v>
      </c>
      <c r="M21" s="87">
        <v>3.4545454545454533</v>
      </c>
      <c r="N21" s="87">
        <v>3.7272727272727257</v>
      </c>
      <c r="O21" s="87">
        <v>3.9999999999999982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7">
        <v>1</v>
      </c>
      <c r="E24" s="87">
        <v>1.2727272727272727</v>
      </c>
      <c r="F24" s="87">
        <v>1.5454545454545454</v>
      </c>
      <c r="G24" s="87">
        <v>1.8181818181818181</v>
      </c>
      <c r="H24" s="87">
        <v>2.0909090909090908</v>
      </c>
      <c r="I24" s="87">
        <v>2.3636363636363633</v>
      </c>
      <c r="J24" s="87">
        <v>2.6363636363636358</v>
      </c>
      <c r="K24" s="87">
        <v>2.9090909090909083</v>
      </c>
      <c r="L24" s="87">
        <v>3.1818181818181808</v>
      </c>
      <c r="M24" s="87">
        <v>3.4545454545454533</v>
      </c>
      <c r="N24" s="87">
        <v>3.7272727272727257</v>
      </c>
      <c r="O24" s="87">
        <v>3.9999999999999982</v>
      </c>
    </row>
    <row r="25" spans="2:15" x14ac:dyDescent="0.15">
      <c r="C25" s="36" t="s">
        <v>127</v>
      </c>
      <c r="D25" s="87">
        <v>1</v>
      </c>
      <c r="E25" s="87">
        <v>1.2727272727272727</v>
      </c>
      <c r="F25" s="87">
        <v>1.5454545454545454</v>
      </c>
      <c r="G25" s="87">
        <v>1.8181818181818181</v>
      </c>
      <c r="H25" s="87">
        <v>2.0909090909090908</v>
      </c>
      <c r="I25" s="87">
        <v>2.3636363636363633</v>
      </c>
      <c r="J25" s="87">
        <v>2.6363636363636358</v>
      </c>
      <c r="K25" s="87">
        <v>2.9090909090909083</v>
      </c>
      <c r="L25" s="87">
        <v>3.1818181818181808</v>
      </c>
      <c r="M25" s="87">
        <v>3.4545454545454533</v>
      </c>
      <c r="N25" s="87">
        <v>3.7272727272727257</v>
      </c>
      <c r="O25" s="87">
        <v>3.9999999999999982</v>
      </c>
    </row>
    <row r="26" spans="2:15" x14ac:dyDescent="0.15">
      <c r="C26" s="36" t="s">
        <v>128</v>
      </c>
      <c r="D26" s="87">
        <v>1</v>
      </c>
      <c r="E26" s="87">
        <v>1.2727272727272727</v>
      </c>
      <c r="F26" s="87">
        <v>1.5454545454545454</v>
      </c>
      <c r="G26" s="87">
        <v>1.8181818181818181</v>
      </c>
      <c r="H26" s="87">
        <v>2.0909090909090908</v>
      </c>
      <c r="I26" s="87">
        <v>2.3636363636363633</v>
      </c>
      <c r="J26" s="87">
        <v>2.6363636363636358</v>
      </c>
      <c r="K26" s="87">
        <v>2.9090909090909083</v>
      </c>
      <c r="L26" s="87">
        <v>3.1818181818181808</v>
      </c>
      <c r="M26" s="87">
        <v>3.4545454545454533</v>
      </c>
      <c r="N26" s="87">
        <v>3.7272727272727257</v>
      </c>
      <c r="O26" s="87">
        <v>3.9999999999999982</v>
      </c>
    </row>
    <row r="27" spans="2:15" x14ac:dyDescent="0.15">
      <c r="C27" s="36" t="s">
        <v>129</v>
      </c>
      <c r="D27" s="87">
        <v>1</v>
      </c>
      <c r="E27" s="87">
        <v>1.2727272727272727</v>
      </c>
      <c r="F27" s="87">
        <v>1.5454545454545454</v>
      </c>
      <c r="G27" s="87">
        <v>1.8181818181818181</v>
      </c>
      <c r="H27" s="87">
        <v>2.0909090909090908</v>
      </c>
      <c r="I27" s="87">
        <v>2.3636363636363633</v>
      </c>
      <c r="J27" s="87">
        <v>2.6363636363636358</v>
      </c>
      <c r="K27" s="87">
        <v>2.9090909090909083</v>
      </c>
      <c r="L27" s="87">
        <v>3.1818181818181808</v>
      </c>
      <c r="M27" s="87">
        <v>3.4545454545454533</v>
      </c>
      <c r="N27" s="87">
        <v>3.7272727272727257</v>
      </c>
      <c r="O27" s="87">
        <v>3.9999999999999982</v>
      </c>
    </row>
    <row r="28" spans="2:15" x14ac:dyDescent="0.15">
      <c r="C28" s="36" t="s">
        <v>130</v>
      </c>
      <c r="D28" s="87">
        <v>1</v>
      </c>
      <c r="E28" s="87">
        <v>1.2727272727272727</v>
      </c>
      <c r="F28" s="87">
        <v>1.5454545454545454</v>
      </c>
      <c r="G28" s="87">
        <v>1.8181818181818181</v>
      </c>
      <c r="H28" s="87">
        <v>2.0909090909090908</v>
      </c>
      <c r="I28" s="87">
        <v>2.3636363636363633</v>
      </c>
      <c r="J28" s="87">
        <v>2.6363636363636358</v>
      </c>
      <c r="K28" s="87">
        <v>2.9090909090909083</v>
      </c>
      <c r="L28" s="87">
        <v>3.1818181818181808</v>
      </c>
      <c r="M28" s="87">
        <v>3.4545454545454533</v>
      </c>
      <c r="N28" s="87">
        <v>3.7272727272727257</v>
      </c>
      <c r="O28" s="87">
        <v>3.9999999999999982</v>
      </c>
    </row>
    <row r="29" spans="2:15" x14ac:dyDescent="0.15">
      <c r="C29" s="36" t="s">
        <v>131</v>
      </c>
      <c r="D29" s="87">
        <v>1</v>
      </c>
      <c r="E29" s="87">
        <v>1.2727272727272727</v>
      </c>
      <c r="F29" s="87">
        <v>1.5454545454545454</v>
      </c>
      <c r="G29" s="87">
        <v>1.8181818181818181</v>
      </c>
      <c r="H29" s="87">
        <v>2.0909090909090908</v>
      </c>
      <c r="I29" s="87">
        <v>2.3636363636363633</v>
      </c>
      <c r="J29" s="87">
        <v>2.6363636363636358</v>
      </c>
      <c r="K29" s="87">
        <v>2.9090909090909083</v>
      </c>
      <c r="L29" s="87">
        <v>3.1818181818181808</v>
      </c>
      <c r="M29" s="87">
        <v>3.4545454545454533</v>
      </c>
      <c r="N29" s="87">
        <v>3.7272727272727257</v>
      </c>
      <c r="O29" s="87">
        <v>3.9999999999999982</v>
      </c>
    </row>
    <row r="30" spans="2:15" x14ac:dyDescent="0.15">
      <c r="C30" s="37" t="s">
        <v>132</v>
      </c>
      <c r="D30" s="87">
        <v>1</v>
      </c>
      <c r="E30" s="87">
        <v>1.2727272727272727</v>
      </c>
      <c r="F30" s="87">
        <v>1.5454545454545454</v>
      </c>
      <c r="G30" s="87">
        <v>1.8181818181818181</v>
      </c>
      <c r="H30" s="87">
        <v>2.0909090909090908</v>
      </c>
      <c r="I30" s="87">
        <v>2.3636363636363633</v>
      </c>
      <c r="J30" s="87">
        <v>2.6363636363636358</v>
      </c>
      <c r="K30" s="87">
        <v>2.9090909090909083</v>
      </c>
      <c r="L30" s="87">
        <v>3.1818181818181808</v>
      </c>
      <c r="M30" s="87">
        <v>3.4545454545454533</v>
      </c>
      <c r="N30" s="87">
        <v>3.7272727272727257</v>
      </c>
      <c r="O30" s="87">
        <v>3.9999999999999982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7">
        <v>1</v>
      </c>
      <c r="E33" s="87">
        <v>1.2727272727272727</v>
      </c>
      <c r="F33" s="87">
        <v>1.5454545454545454</v>
      </c>
      <c r="G33" s="87">
        <v>1.8181818181818181</v>
      </c>
      <c r="H33" s="87">
        <v>2.0909090909090908</v>
      </c>
      <c r="I33" s="87">
        <v>2.3636363636363633</v>
      </c>
      <c r="J33" s="87">
        <v>2.6363636363636358</v>
      </c>
      <c r="K33" s="87">
        <v>2.9090909090909083</v>
      </c>
      <c r="L33" s="87">
        <v>3.1818181818181808</v>
      </c>
      <c r="M33" s="87">
        <v>3.4545454545454533</v>
      </c>
      <c r="N33" s="87">
        <v>3.7272727272727257</v>
      </c>
      <c r="O33" s="87">
        <v>3.9999999999999982</v>
      </c>
    </row>
    <row r="34" spans="3:15" x14ac:dyDescent="0.15">
      <c r="C34" s="36" t="s">
        <v>127</v>
      </c>
      <c r="D34" s="87">
        <v>1</v>
      </c>
      <c r="E34" s="87">
        <v>1.2727272727272727</v>
      </c>
      <c r="F34" s="87">
        <v>1.5454545454545454</v>
      </c>
      <c r="G34" s="87">
        <v>1.8181818181818181</v>
      </c>
      <c r="H34" s="87">
        <v>2.0909090909090908</v>
      </c>
      <c r="I34" s="87">
        <v>2.3636363636363633</v>
      </c>
      <c r="J34" s="87">
        <v>2.6363636363636358</v>
      </c>
      <c r="K34" s="87">
        <v>2.9090909090909083</v>
      </c>
      <c r="L34" s="87">
        <v>3.1818181818181808</v>
      </c>
      <c r="M34" s="87">
        <v>3.4545454545454533</v>
      </c>
      <c r="N34" s="87">
        <v>3.7272727272727257</v>
      </c>
      <c r="O34" s="87">
        <v>3.9999999999999982</v>
      </c>
    </row>
    <row r="35" spans="3:15" x14ac:dyDescent="0.15">
      <c r="C35" s="36" t="s">
        <v>128</v>
      </c>
      <c r="D35" s="87">
        <v>1</v>
      </c>
      <c r="E35" s="87">
        <v>1.2727272727272727</v>
      </c>
      <c r="F35" s="87">
        <v>1.5454545454545454</v>
      </c>
      <c r="G35" s="87">
        <v>1.8181818181818181</v>
      </c>
      <c r="H35" s="87">
        <v>2.0909090909090908</v>
      </c>
      <c r="I35" s="87">
        <v>2.3636363636363633</v>
      </c>
      <c r="J35" s="87">
        <v>2.6363636363636358</v>
      </c>
      <c r="K35" s="87">
        <v>2.9090909090909083</v>
      </c>
      <c r="L35" s="87">
        <v>3.1818181818181808</v>
      </c>
      <c r="M35" s="87">
        <v>3.4545454545454533</v>
      </c>
      <c r="N35" s="87">
        <v>3.7272727272727257</v>
      </c>
      <c r="O35" s="87">
        <v>3.9999999999999982</v>
      </c>
    </row>
    <row r="36" spans="3:15" x14ac:dyDescent="0.15">
      <c r="C36" s="36" t="s">
        <v>129</v>
      </c>
      <c r="D36" s="87">
        <v>1</v>
      </c>
      <c r="E36" s="87">
        <v>1.2727272727272727</v>
      </c>
      <c r="F36" s="87">
        <v>1.5454545454545454</v>
      </c>
      <c r="G36" s="87">
        <v>1.8181818181818181</v>
      </c>
      <c r="H36" s="87">
        <v>2.0909090909090908</v>
      </c>
      <c r="I36" s="87">
        <v>2.3636363636363633</v>
      </c>
      <c r="J36" s="87">
        <v>2.6363636363636358</v>
      </c>
      <c r="K36" s="87">
        <v>2.9090909090909083</v>
      </c>
      <c r="L36" s="87">
        <v>3.1818181818181808</v>
      </c>
      <c r="M36" s="87">
        <v>3.4545454545454533</v>
      </c>
      <c r="N36" s="87">
        <v>3.7272727272727257</v>
      </c>
      <c r="O36" s="87">
        <v>3.9999999999999982</v>
      </c>
    </row>
    <row r="37" spans="3:15" x14ac:dyDescent="0.15">
      <c r="C37" s="36" t="s">
        <v>130</v>
      </c>
      <c r="D37" s="87">
        <v>1</v>
      </c>
      <c r="E37" s="87">
        <v>1.2727272727272727</v>
      </c>
      <c r="F37" s="87">
        <v>1.5454545454545454</v>
      </c>
      <c r="G37" s="87">
        <v>1.8181818181818181</v>
      </c>
      <c r="H37" s="87">
        <v>2.0909090909090908</v>
      </c>
      <c r="I37" s="87">
        <v>2.3636363636363633</v>
      </c>
      <c r="J37" s="87">
        <v>2.6363636363636358</v>
      </c>
      <c r="K37" s="87">
        <v>2.9090909090909083</v>
      </c>
      <c r="L37" s="87">
        <v>3.1818181818181808</v>
      </c>
      <c r="M37" s="87">
        <v>3.4545454545454533</v>
      </c>
      <c r="N37" s="87">
        <v>3.7272727272727257</v>
      </c>
      <c r="O37" s="87">
        <v>3.9999999999999982</v>
      </c>
    </row>
    <row r="38" spans="3:15" x14ac:dyDescent="0.15">
      <c r="C38" s="36" t="s">
        <v>131</v>
      </c>
      <c r="D38" s="87">
        <v>1</v>
      </c>
      <c r="E38" s="87">
        <v>1.2727272727272727</v>
      </c>
      <c r="F38" s="87">
        <v>1.5454545454545454</v>
      </c>
      <c r="G38" s="87">
        <v>1.8181818181818181</v>
      </c>
      <c r="H38" s="87">
        <v>2.0909090909090908</v>
      </c>
      <c r="I38" s="87">
        <v>2.3636363636363633</v>
      </c>
      <c r="J38" s="87">
        <v>2.6363636363636358</v>
      </c>
      <c r="K38" s="87">
        <v>2.9090909090909083</v>
      </c>
      <c r="L38" s="87">
        <v>3.1818181818181808</v>
      </c>
      <c r="M38" s="87">
        <v>3.4545454545454533</v>
      </c>
      <c r="N38" s="87">
        <v>3.7272727272727257</v>
      </c>
      <c r="O38" s="87">
        <v>3.9999999999999982</v>
      </c>
    </row>
    <row r="39" spans="3:15" x14ac:dyDescent="0.15">
      <c r="C39" s="37" t="s">
        <v>132</v>
      </c>
      <c r="D39" s="87">
        <v>1</v>
      </c>
      <c r="E39" s="87">
        <v>1.2727272727272727</v>
      </c>
      <c r="F39" s="87">
        <v>1.5454545454545454</v>
      </c>
      <c r="G39" s="87">
        <v>1.8181818181818181</v>
      </c>
      <c r="H39" s="87">
        <v>2.0909090909090908</v>
      </c>
      <c r="I39" s="87">
        <v>2.3636363636363633</v>
      </c>
      <c r="J39" s="87">
        <v>2.6363636363636358</v>
      </c>
      <c r="K39" s="87">
        <v>2.9090909090909083</v>
      </c>
      <c r="L39" s="87">
        <v>3.1818181818181808</v>
      </c>
      <c r="M39" s="87">
        <v>3.4545454545454533</v>
      </c>
      <c r="N39" s="87">
        <v>3.7272727272727257</v>
      </c>
      <c r="O39" s="87">
        <v>3.9999999999999982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6Ov/vRn54T7JPvsnGGwr73jcjA0Wz+eIfgiVqVcWdOgEFf3L0SwNxDTIq4kuww5AI5bT0kg2hLaDe1YpmMbjgw==" saltValue="K6oal21dAeO2QQjPHf2nq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2015-11-18T06:18:01Z</dcterms:modified>
</cp:coreProperties>
</file>