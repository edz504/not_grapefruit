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516" codeName="{7A2D7E96-6E34-419A-AE5F-296B3A7E7977}"/>
  <workbookPr codeName="ThisWorkbook" autoCompressPictures="0"/>
  <bookViews>
    <workbookView xWindow="0" yWindow="-120" windowWidth="25600" windowHeight="15520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" i="6" l="1"/>
  <c r="E6" i="6"/>
  <c r="F6" i="6"/>
  <c r="G6" i="6"/>
  <c r="H6" i="6"/>
  <c r="I6" i="6"/>
  <c r="J6" i="6"/>
  <c r="K6" i="6"/>
  <c r="L6" i="6"/>
  <c r="M6" i="6"/>
  <c r="N6" i="6"/>
  <c r="C6" i="6"/>
  <c r="G6" i="7"/>
  <c r="E6" i="7"/>
  <c r="C6" i="7"/>
  <c r="I29" i="7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<sst xmlns="http://schemas.openxmlformats.org/spreadsheetml/2006/main" count="432" uniqueCount="166">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</sst>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0" borderId="1" xfId="0" applyBorder="1" applyProtection="1">
      <protection locked="0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>
      <selection activeCell="P29" sqref="P29"/>
    </sheetView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2015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7kDdQMkzCRsp7R+OvQ5P1WNag5AuHl4hJ1CldK1aqYhhNyh9JUtuyIErAyJ866aj/0cRsJhRub3Tm7zVmfCaOg==" saltValue="KcHD63GT7z0qoe4EFylhu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69" workbookViewId="0">
      <selection activeCell="J26" sqref="J26"/>
    </sheetView>
  </sheetViews>
  <sheetFormatPr baseColWidth="10" defaultColWidth="9.16406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9.16406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-345</v>
      </c>
      <c r="D6" s="15">
        <v>345</v>
      </c>
      <c r="E6" s="15"/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>sold</v>
      </c>
    </row>
    <row r="7" spans="2:8">
      <c r="B7" s="14" t="s">
        <v>7</v>
      </c>
      <c r="C7" s="84">
        <v>1700</v>
      </c>
      <c r="D7" s="15">
        <v>0</v>
      </c>
      <c r="E7" s="15"/>
      <c r="F7" s="15" t="s">
        <v>6</v>
      </c>
      <c r="G7" s="15">
        <f t="shared" si="0"/>
        <v>1700</v>
      </c>
      <c r="H7" s="17" t="str">
        <f t="shared" si="1"/>
        <v>new</v>
      </c>
    </row>
    <row r="8" spans="2:8">
      <c r="B8" s="14" t="s">
        <v>8</v>
      </c>
      <c r="C8" s="84">
        <v>5500</v>
      </c>
      <c r="D8" s="15">
        <v>0</v>
      </c>
      <c r="E8" s="15"/>
      <c r="F8" s="15" t="s">
        <v>6</v>
      </c>
      <c r="G8" s="15">
        <f t="shared" si="0"/>
        <v>5500</v>
      </c>
      <c r="H8" s="17" t="str">
        <f t="shared" si="1"/>
        <v>new</v>
      </c>
    </row>
    <row r="9" spans="2:8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1800</v>
      </c>
      <c r="D10" s="15">
        <v>500</v>
      </c>
      <c r="E10" s="15"/>
      <c r="F10" s="15" t="s">
        <v>6</v>
      </c>
      <c r="G10" s="15">
        <f t="shared" si="0"/>
        <v>2300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-3589</v>
      </c>
      <c r="D12" s="15">
        <v>3589</v>
      </c>
      <c r="E12" s="15"/>
      <c r="F12" s="15" t="s">
        <v>6</v>
      </c>
      <c r="G12" s="15">
        <f t="shared" si="0"/>
        <v>0</v>
      </c>
      <c r="H12" s="17" t="str">
        <f t="shared" si="1"/>
        <v>sold</v>
      </c>
    </row>
    <row r="13" spans="2:8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1300</v>
      </c>
      <c r="D14" s="15">
        <v>0</v>
      </c>
      <c r="E14" s="15"/>
      <c r="F14" s="15" t="s">
        <v>6</v>
      </c>
      <c r="G14" s="15">
        <f t="shared" si="0"/>
        <v>1300</v>
      </c>
      <c r="H14" s="17" t="str">
        <f t="shared" si="1"/>
        <v>new</v>
      </c>
    </row>
    <row r="15" spans="2:8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-11</v>
      </c>
      <c r="D21" s="15">
        <v>11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57</v>
      </c>
      <c r="D22" s="15">
        <v>0</v>
      </c>
      <c r="E22" s="15"/>
      <c r="F22" s="15" t="s">
        <v>6</v>
      </c>
      <c r="G22" s="15">
        <f t="shared" si="2"/>
        <v>57</v>
      </c>
      <c r="H22" s="17"/>
    </row>
    <row r="23" spans="2:8">
      <c r="B23" s="14" t="s">
        <v>8</v>
      </c>
      <c r="C23" s="85">
        <v>182</v>
      </c>
      <c r="D23" s="15">
        <v>0</v>
      </c>
      <c r="E23" s="15"/>
      <c r="F23" s="15" t="s">
        <v>6</v>
      </c>
      <c r="G23" s="15">
        <f t="shared" si="2"/>
        <v>182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37</v>
      </c>
      <c r="D25" s="15">
        <v>22</v>
      </c>
      <c r="E25" s="15"/>
      <c r="F25" s="15" t="s">
        <v>6</v>
      </c>
      <c r="G25" s="15">
        <f t="shared" si="2"/>
        <v>59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-53</v>
      </c>
      <c r="D27" s="15">
        <v>53</v>
      </c>
      <c r="E27" s="15"/>
      <c r="F27" s="15" t="s">
        <v>6</v>
      </c>
      <c r="G27" s="15">
        <f t="shared" si="2"/>
        <v>0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43</v>
      </c>
      <c r="D29" s="15">
        <v>0</v>
      </c>
      <c r="E29" s="15"/>
      <c r="F29" s="15" t="s">
        <v>6</v>
      </c>
      <c r="G29" s="15">
        <f t="shared" si="2"/>
        <v>43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-50000</v>
      </c>
      <c r="D39" s="14">
        <v>50000</v>
      </c>
      <c r="E39" s="15"/>
      <c r="F39" s="15" t="s">
        <v>6</v>
      </c>
      <c r="G39" s="15">
        <f t="shared" si="3"/>
        <v>0</v>
      </c>
      <c r="H39" s="17" t="str">
        <f t="shared" si="4"/>
        <v>sold</v>
      </c>
    </row>
    <row r="40" spans="2:8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3000</v>
      </c>
      <c r="D51" s="14">
        <v>0</v>
      </c>
      <c r="E51" s="15"/>
      <c r="F51" s="15" t="s">
        <v>6</v>
      </c>
      <c r="G51" s="15">
        <f t="shared" si="3"/>
        <v>3000</v>
      </c>
      <c r="H51" s="17" t="str">
        <f t="shared" si="4"/>
        <v>new</v>
      </c>
    </row>
    <row r="52" spans="2:8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12000</v>
      </c>
      <c r="D66" s="15">
        <v>0</v>
      </c>
      <c r="E66" s="15"/>
      <c r="F66" s="15" t="s">
        <v>6</v>
      </c>
      <c r="G66" s="15">
        <f t="shared" si="3"/>
        <v>12000</v>
      </c>
      <c r="H66" s="17" t="str">
        <f t="shared" si="4"/>
        <v>new</v>
      </c>
    </row>
    <row r="67" spans="2:8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4000</v>
      </c>
      <c r="D74" s="15">
        <v>0</v>
      </c>
      <c r="E74" s="15"/>
      <c r="F74" s="15" t="s">
        <v>6</v>
      </c>
      <c r="G74" s="15">
        <f t="shared" si="5"/>
        <v>4000</v>
      </c>
      <c r="H74" s="17" t="str">
        <f t="shared" si="6"/>
        <v>new</v>
      </c>
    </row>
    <row r="75" spans="2:8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-51000</v>
      </c>
      <c r="D76" s="15">
        <v>51000</v>
      </c>
      <c r="E76" s="15"/>
      <c r="F76" s="15" t="s">
        <v>6</v>
      </c>
      <c r="G76" s="15">
        <f t="shared" si="5"/>
        <v>0</v>
      </c>
      <c r="H76" s="17" t="str">
        <f t="shared" si="6"/>
        <v>sold</v>
      </c>
    </row>
    <row r="77" spans="2:8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4000</v>
      </c>
      <c r="D87" s="15">
        <v>0</v>
      </c>
      <c r="E87" s="15"/>
      <c r="F87" s="15" t="s">
        <v>6</v>
      </c>
      <c r="G87" s="15">
        <f t="shared" si="5"/>
        <v>4000</v>
      </c>
      <c r="H87" s="17" t="str">
        <f t="shared" si="6"/>
        <v>new</v>
      </c>
    </row>
    <row r="88" spans="2:8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Ccp/qZVNioz0CDl8xRMgMXaqmAsdxmSMF+yfJO9NkZylWxfuY5GkX6SbmV+w4nL/TwCwxvfvupK5r+1AY22K/w==" saltValue="05WegZELIAH46KEk+7NWu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workbookViewId="0">
      <selection activeCell="C8" sqref="C8"/>
    </sheetView>
  </sheetViews>
  <sheetFormatPr baseColWidth="10" defaultColWidth="9.16406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9.16406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f>3934+3000</f>
        <v>6934</v>
      </c>
      <c r="D6" s="86">
        <f t="shared" ref="D6:N6" si="0">3934+3000</f>
        <v>6934</v>
      </c>
      <c r="E6" s="86">
        <f t="shared" si="0"/>
        <v>6934</v>
      </c>
      <c r="F6" s="86">
        <f t="shared" si="0"/>
        <v>6934</v>
      </c>
      <c r="G6" s="86">
        <f t="shared" si="0"/>
        <v>6934</v>
      </c>
      <c r="H6" s="86">
        <f t="shared" si="0"/>
        <v>6934</v>
      </c>
      <c r="I6" s="86">
        <f t="shared" si="0"/>
        <v>6934</v>
      </c>
      <c r="J6" s="86">
        <f t="shared" si="0"/>
        <v>6934</v>
      </c>
      <c r="K6" s="86">
        <f t="shared" si="0"/>
        <v>6934</v>
      </c>
      <c r="L6" s="86">
        <f t="shared" si="0"/>
        <v>6934</v>
      </c>
      <c r="M6" s="86">
        <f t="shared" si="0"/>
        <v>6934</v>
      </c>
      <c r="N6" s="86">
        <f t="shared" si="0"/>
        <v>6934</v>
      </c>
    </row>
    <row r="7" spans="2:14">
      <c r="B7" s="36" t="s">
        <v>105</v>
      </c>
      <c r="C7" s="87">
        <v>0</v>
      </c>
      <c r="D7" s="87">
        <v>0</v>
      </c>
      <c r="E7" s="87">
        <v>0</v>
      </c>
      <c r="F7" s="87">
        <v>0</v>
      </c>
      <c r="G7" s="87">
        <v>0</v>
      </c>
      <c r="H7" s="87">
        <v>0</v>
      </c>
      <c r="I7" s="87">
        <v>0</v>
      </c>
      <c r="J7" s="87">
        <v>0</v>
      </c>
      <c r="K7" s="87">
        <v>0</v>
      </c>
      <c r="L7" s="87">
        <v>0</v>
      </c>
      <c r="M7" s="87">
        <v>0</v>
      </c>
      <c r="N7" s="87">
        <v>0</v>
      </c>
    </row>
    <row r="8" spans="2:14">
      <c r="B8" s="36" t="s">
        <v>106</v>
      </c>
      <c r="C8" s="87">
        <v>1400</v>
      </c>
      <c r="D8" s="87">
        <v>1400</v>
      </c>
      <c r="E8" s="87">
        <v>1400</v>
      </c>
      <c r="F8" s="87">
        <v>1400</v>
      </c>
      <c r="G8" s="87">
        <v>1400</v>
      </c>
      <c r="H8" s="87">
        <v>1400</v>
      </c>
      <c r="I8" s="87">
        <v>1400</v>
      </c>
      <c r="J8" s="87">
        <v>1400</v>
      </c>
      <c r="K8" s="87">
        <v>1400</v>
      </c>
      <c r="L8" s="87">
        <v>1400</v>
      </c>
      <c r="M8" s="87">
        <v>1400</v>
      </c>
      <c r="N8" s="87">
        <v>1400</v>
      </c>
    </row>
    <row r="9" spans="2:14">
      <c r="B9" s="36" t="s">
        <v>107</v>
      </c>
      <c r="C9" s="87">
        <v>500</v>
      </c>
      <c r="D9" s="87">
        <v>500</v>
      </c>
      <c r="E9" s="87">
        <v>500</v>
      </c>
      <c r="F9" s="87">
        <v>500</v>
      </c>
      <c r="G9" s="87">
        <v>500</v>
      </c>
      <c r="H9" s="87">
        <v>500</v>
      </c>
      <c r="I9" s="87">
        <v>500</v>
      </c>
      <c r="J9" s="87">
        <v>500</v>
      </c>
      <c r="K9" s="87">
        <v>500</v>
      </c>
      <c r="L9" s="87">
        <v>500</v>
      </c>
      <c r="M9" s="87">
        <v>500</v>
      </c>
      <c r="N9" s="87">
        <v>500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10000000</v>
      </c>
      <c r="E17" s="89">
        <v>1</v>
      </c>
      <c r="F17" s="89">
        <v>10000000</v>
      </c>
      <c r="G17" s="89">
        <v>1</v>
      </c>
      <c r="H17" s="89">
        <v>10000000</v>
      </c>
      <c r="I17" s="29" t="s">
        <v>110</v>
      </c>
    </row>
    <row r="18" spans="2:33">
      <c r="B18" s="36" t="s">
        <v>105</v>
      </c>
      <c r="C18" s="90">
        <v>1</v>
      </c>
      <c r="D18" s="89">
        <v>10000000</v>
      </c>
      <c r="E18" s="90">
        <v>1</v>
      </c>
      <c r="F18" s="89">
        <v>10000000</v>
      </c>
      <c r="G18" s="90">
        <v>1</v>
      </c>
      <c r="H18" s="89">
        <v>10000000</v>
      </c>
      <c r="I18" s="29" t="s">
        <v>110</v>
      </c>
    </row>
    <row r="19" spans="2:33">
      <c r="B19" s="36" t="s">
        <v>106</v>
      </c>
      <c r="C19" s="90">
        <v>1</v>
      </c>
      <c r="D19" s="89">
        <v>10000000</v>
      </c>
      <c r="E19" s="90">
        <v>1</v>
      </c>
      <c r="F19" s="89">
        <v>10000000</v>
      </c>
      <c r="G19" s="90">
        <v>1</v>
      </c>
      <c r="H19" s="89">
        <v>10000000</v>
      </c>
      <c r="I19" s="29" t="s">
        <v>110</v>
      </c>
    </row>
    <row r="20" spans="2:33">
      <c r="B20" s="36" t="s">
        <v>107</v>
      </c>
      <c r="C20" s="90">
        <v>1</v>
      </c>
      <c r="D20" s="89">
        <v>10000000</v>
      </c>
      <c r="E20" s="90">
        <v>1</v>
      </c>
      <c r="F20" s="89">
        <v>10000000</v>
      </c>
      <c r="G20" s="90">
        <v>1</v>
      </c>
      <c r="H20" s="89">
        <v>10000000</v>
      </c>
    </row>
    <row r="21" spans="2:33">
      <c r="B21" s="36" t="s">
        <v>108</v>
      </c>
      <c r="C21" s="90">
        <v>1</v>
      </c>
      <c r="D21" s="89">
        <v>10000000</v>
      </c>
      <c r="E21" s="90">
        <v>1</v>
      </c>
      <c r="F21" s="89">
        <v>10000000</v>
      </c>
      <c r="G21" s="90">
        <v>1</v>
      </c>
      <c r="H21" s="89">
        <v>10000000</v>
      </c>
    </row>
    <row r="22" spans="2:33">
      <c r="B22" s="37" t="s">
        <v>109</v>
      </c>
      <c r="C22" s="90">
        <v>1</v>
      </c>
      <c r="D22" s="89">
        <v>10000000</v>
      </c>
      <c r="E22" s="90">
        <v>1</v>
      </c>
      <c r="F22" s="89">
        <v>10000000</v>
      </c>
      <c r="G22" s="90">
        <v>1</v>
      </c>
      <c r="H22" s="89">
        <v>10000000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2015</v>
      </c>
      <c r="D30" s="44">
        <v>0.71606841632270113</v>
      </c>
      <c r="E30" s="35">
        <v>0</v>
      </c>
      <c r="F30" s="47">
        <v>0.72887055332178219</v>
      </c>
      <c r="G30" s="46">
        <v>0</v>
      </c>
      <c r="H30" s="47">
        <v>0.83662811576897178</v>
      </c>
      <c r="I30" s="46">
        <v>0</v>
      </c>
      <c r="J30" s="47">
        <v>0.81866788858339068</v>
      </c>
      <c r="K30" s="46">
        <v>0</v>
      </c>
      <c r="L30" s="47">
        <v>0.66383864317884189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2016</v>
      </c>
      <c r="D31" s="76"/>
      <c r="E31" s="75"/>
      <c r="F31" s="69">
        <v>0.67862145488531522</v>
      </c>
      <c r="G31" s="79">
        <v>0</v>
      </c>
      <c r="H31" s="61">
        <v>0.77144919455166439</v>
      </c>
      <c r="I31" s="62">
        <v>0</v>
      </c>
      <c r="J31" s="61">
        <v>0.74927989201390566</v>
      </c>
      <c r="K31" s="62">
        <v>0</v>
      </c>
      <c r="L31" s="61">
        <v>0.67403456532264949</v>
      </c>
      <c r="M31" s="62">
        <v>0</v>
      </c>
      <c r="N31" s="63">
        <v>0.9094305994382329</v>
      </c>
      <c r="O31" s="88">
        <v>0</v>
      </c>
      <c r="P31" s="63">
        <f>O31+M31+K31+I31+G31</f>
        <v>0</v>
      </c>
    </row>
    <row r="32" spans="2:33">
      <c r="B32" s="36"/>
      <c r="C32" s="47">
        <f>basic_info!$D$5+2</f>
        <v>2017</v>
      </c>
      <c r="D32" s="76"/>
      <c r="E32" s="75"/>
      <c r="F32" s="75"/>
      <c r="G32" s="75"/>
      <c r="H32" s="69">
        <v>0.71662753591933626</v>
      </c>
      <c r="I32" s="79">
        <v>0</v>
      </c>
      <c r="J32" s="61">
        <v>0.7118064307683698</v>
      </c>
      <c r="K32" s="62">
        <v>0</v>
      </c>
      <c r="L32" s="61">
        <v>0.65742258166301204</v>
      </c>
      <c r="M32" s="62">
        <v>0</v>
      </c>
      <c r="N32" s="63">
        <v>0.8608485705892801</v>
      </c>
      <c r="O32" s="88">
        <v>0</v>
      </c>
      <c r="P32" s="63">
        <f>O32+M32+K32+I32</f>
        <v>0</v>
      </c>
    </row>
    <row r="33" spans="2:17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0.68616087553988669</v>
      </c>
      <c r="K33" s="79">
        <v>0</v>
      </c>
      <c r="L33" s="61">
        <v>0.64171751702829749</v>
      </c>
      <c r="M33" s="62">
        <v>0</v>
      </c>
      <c r="N33" s="63">
        <v>0.8295043288750632</v>
      </c>
      <c r="O33" s="88">
        <v>0</v>
      </c>
      <c r="P33" s="63">
        <f>O33+M33+K33</f>
        <v>0</v>
      </c>
    </row>
    <row r="34" spans="2:17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0.65376248745918275</v>
      </c>
      <c r="M34" s="79">
        <v>0</v>
      </c>
      <c r="N34" s="63">
        <v>0.84540928358710421</v>
      </c>
      <c r="O34" s="88">
        <v>0</v>
      </c>
      <c r="P34" s="63">
        <f>O34+M34</f>
        <v>0</v>
      </c>
    </row>
    <row r="35" spans="2:17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0.76962524616122252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2015</v>
      </c>
      <c r="D36" s="44">
        <v>1.1250861635625817</v>
      </c>
      <c r="E36" s="35">
        <v>0</v>
      </c>
      <c r="F36" s="73">
        <v>1.3053357330394562</v>
      </c>
      <c r="G36" s="74">
        <v>0</v>
      </c>
      <c r="H36" s="73">
        <v>1.1125214549937747</v>
      </c>
      <c r="I36" s="74">
        <v>0</v>
      </c>
      <c r="J36" s="73">
        <v>1.2057521205584205</v>
      </c>
      <c r="K36" s="74">
        <v>0</v>
      </c>
      <c r="L36" s="66">
        <v>1.201165752532078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>
      <c r="B37" s="36"/>
      <c r="C37" s="47">
        <f>basic_info!$D$5+1</f>
        <v>2016</v>
      </c>
      <c r="D37" s="76"/>
      <c r="E37" s="75"/>
      <c r="F37" s="69">
        <v>1.2381058075672227</v>
      </c>
      <c r="G37" s="79">
        <v>0</v>
      </c>
      <c r="H37" s="61">
        <v>1.0896456341169221</v>
      </c>
      <c r="I37" s="62">
        <v>0</v>
      </c>
      <c r="J37" s="61">
        <v>1.1880059380028796</v>
      </c>
      <c r="K37" s="62">
        <v>0</v>
      </c>
      <c r="L37" s="61">
        <v>1.1979988746751256</v>
      </c>
      <c r="M37" s="62">
        <v>0</v>
      </c>
      <c r="N37" s="61">
        <v>1.1284743819827652</v>
      </c>
      <c r="O37" s="88">
        <v>136000</v>
      </c>
      <c r="P37" s="63">
        <f>O37+M37+K37+I37+G37</f>
        <v>136000</v>
      </c>
    </row>
    <row r="38" spans="2:17">
      <c r="B38" s="36"/>
      <c r="C38" s="47">
        <f>basic_info!$D$5+2</f>
        <v>2017</v>
      </c>
      <c r="D38" s="76"/>
      <c r="E38" s="75"/>
      <c r="F38" s="75"/>
      <c r="G38" s="75"/>
      <c r="H38" s="69">
        <v>1.0587453955633634</v>
      </c>
      <c r="I38" s="79">
        <v>0</v>
      </c>
      <c r="J38" s="61">
        <v>1.0938135695671274</v>
      </c>
      <c r="K38" s="62">
        <v>0</v>
      </c>
      <c r="L38" s="61">
        <v>1.1014713588815135</v>
      </c>
      <c r="M38" s="62">
        <v>0</v>
      </c>
      <c r="N38" s="61">
        <v>1.042842908637313</v>
      </c>
      <c r="O38" s="88">
        <v>136000</v>
      </c>
      <c r="P38" s="63">
        <f>O38+M38+K38+I38</f>
        <v>136000</v>
      </c>
    </row>
    <row r="39" spans="2:17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1.0288140534879155</v>
      </c>
      <c r="K39" s="79">
        <v>0</v>
      </c>
      <c r="L39" s="61">
        <v>1.0108999284690923</v>
      </c>
      <c r="M39" s="62">
        <v>0</v>
      </c>
      <c r="N39" s="61">
        <v>1.0032828986441651</v>
      </c>
      <c r="O39" s="88">
        <v>136000</v>
      </c>
      <c r="P39" s="63">
        <f>O39+M39+K39</f>
        <v>136000</v>
      </c>
    </row>
    <row r="40" spans="2:17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0.98955166281759732</v>
      </c>
      <c r="M40" s="79">
        <v>0</v>
      </c>
      <c r="N40" s="61">
        <v>0.95103433990902408</v>
      </c>
      <c r="O40" s="88">
        <v>136000</v>
      </c>
      <c r="P40" s="63">
        <f>O40+M40</f>
        <v>136000</v>
      </c>
    </row>
    <row r="41" spans="2:17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0.9180320969671012</v>
      </c>
      <c r="O41" s="88">
        <v>136000</v>
      </c>
      <c r="P41" s="64">
        <f>O41</f>
        <v>136000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9</v>
      </c>
      <c r="D47" s="91">
        <v>9</v>
      </c>
      <c r="E47" s="91">
        <v>9</v>
      </c>
      <c r="F47" s="91">
        <v>9</v>
      </c>
      <c r="G47" s="91">
        <v>8</v>
      </c>
      <c r="H47" s="91">
        <v>8</v>
      </c>
      <c r="I47" s="91">
        <v>8</v>
      </c>
      <c r="J47" s="91">
        <v>8</v>
      </c>
      <c r="K47" s="91">
        <v>8</v>
      </c>
      <c r="L47" s="91">
        <v>8</v>
      </c>
      <c r="M47" s="91">
        <v>8</v>
      </c>
      <c r="N47" s="91">
        <v>8</v>
      </c>
      <c r="O47" s="33">
        <f>SUM(C47:N47)</f>
        <v>100</v>
      </c>
    </row>
    <row r="48" spans="2:17">
      <c r="B48" s="37" t="s">
        <v>113</v>
      </c>
      <c r="C48" s="91">
        <v>9</v>
      </c>
      <c r="D48" s="91">
        <v>9</v>
      </c>
      <c r="E48" s="91">
        <v>9</v>
      </c>
      <c r="F48" s="91">
        <v>9</v>
      </c>
      <c r="G48" s="91">
        <v>8</v>
      </c>
      <c r="H48" s="91">
        <v>8</v>
      </c>
      <c r="I48" s="91">
        <v>8</v>
      </c>
      <c r="J48" s="91">
        <v>8</v>
      </c>
      <c r="K48" s="91">
        <v>8</v>
      </c>
      <c r="L48" s="91">
        <v>8</v>
      </c>
      <c r="M48" s="91">
        <v>8</v>
      </c>
      <c r="N48" s="91">
        <v>8</v>
      </c>
      <c r="O48" s="33">
        <f>SUM(C48:N48)</f>
        <v>100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pheloWYvZh5nPCpIHUIKyP1Em1Lx+pVjsuTg9n4Mr6mlVMUal1cdTL+8pm1jY3AUPCLMoadtQNnypMGbp2Y2PQ==" saltValue="I5cFRu52OUfegt7c6W28+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3"/>
  <sheetViews>
    <sheetView showGridLines="0" workbookViewId="0">
      <selection activeCell="A13" sqref="A13:XFD13"/>
    </sheetView>
  </sheetViews>
  <sheetFormatPr baseColWidth="10" defaultColWidth="9.1640625" defaultRowHeight="12" x14ac:dyDescent="0"/>
  <cols>
    <col min="1" max="1" width="4.6640625" style="29" customWidth="1"/>
    <col min="2" max="2" width="17.33203125" style="29" customWidth="1"/>
    <col min="3" max="16384" width="9.1640625" style="29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2">
        <f>345/(13934) * 100</f>
        <v>2.4759580881297545</v>
      </c>
      <c r="D6" s="92">
        <v>0</v>
      </c>
      <c r="E6" s="92">
        <f>3589/(13934) * 100</f>
        <v>25.757140806659969</v>
      </c>
      <c r="F6" s="92">
        <v>0</v>
      </c>
      <c r="G6" s="92">
        <f>10000/(13934)*100</f>
        <v>71.76690110521028</v>
      </c>
      <c r="H6" s="96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2">
        <v>100</v>
      </c>
      <c r="D7" s="92">
        <v>0</v>
      </c>
      <c r="E7" s="92">
        <v>0</v>
      </c>
      <c r="F7" s="92">
        <v>0</v>
      </c>
      <c r="G7" s="92">
        <v>0</v>
      </c>
      <c r="H7" s="96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2">
        <v>0</v>
      </c>
      <c r="D8" s="92">
        <v>0</v>
      </c>
      <c r="E8" s="92">
        <v>0</v>
      </c>
      <c r="F8" s="92">
        <v>100</v>
      </c>
      <c r="G8" s="92">
        <v>0</v>
      </c>
      <c r="H8" s="96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2">
        <v>0</v>
      </c>
      <c r="D9" s="92">
        <v>100</v>
      </c>
      <c r="E9" s="92">
        <v>0</v>
      </c>
      <c r="F9" s="92">
        <v>0</v>
      </c>
      <c r="G9" s="92">
        <v>0</v>
      </c>
      <c r="H9" s="96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8">
        <v>100</v>
      </c>
      <c r="D10" s="92">
        <v>0</v>
      </c>
      <c r="E10" s="92">
        <v>0</v>
      </c>
      <c r="F10" s="92">
        <v>0</v>
      </c>
      <c r="G10" s="92">
        <v>0</v>
      </c>
      <c r="H10" s="96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8">
        <v>100</v>
      </c>
      <c r="D11" s="92">
        <v>0</v>
      </c>
      <c r="E11" s="92">
        <v>0</v>
      </c>
      <c r="F11" s="92">
        <v>0</v>
      </c>
      <c r="G11" s="93">
        <v>0</v>
      </c>
      <c r="H11" s="95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100</v>
      </c>
      <c r="D19" s="44">
        <f>100-$C$19</f>
        <v>0</v>
      </c>
      <c r="E19" s="93">
        <v>100</v>
      </c>
      <c r="F19" s="44">
        <f>100-$E$19</f>
        <v>0</v>
      </c>
      <c r="G19" s="93">
        <v>100</v>
      </c>
      <c r="H19" s="33">
        <f>100-$G$19</f>
        <v>0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100</v>
      </c>
      <c r="D27" s="92">
        <v>0</v>
      </c>
      <c r="E27" s="92">
        <v>0</v>
      </c>
      <c r="F27" s="92">
        <v>0</v>
      </c>
      <c r="G27" s="92">
        <v>0</v>
      </c>
      <c r="H27" s="92">
        <v>0</v>
      </c>
      <c r="I27" s="92">
        <v>0</v>
      </c>
      <c r="P27" s="50"/>
      <c r="Q27" s="50"/>
      <c r="R27" s="50"/>
    </row>
    <row r="28" spans="2:18">
      <c r="B28" s="45" t="s">
        <v>59</v>
      </c>
      <c r="C28" s="92">
        <v>0</v>
      </c>
      <c r="D28" s="92">
        <v>100</v>
      </c>
      <c r="E28" s="92">
        <v>100</v>
      </c>
      <c r="F28" s="92">
        <v>100</v>
      </c>
      <c r="G28" s="92">
        <v>100</v>
      </c>
      <c r="H28" s="92">
        <v>100</v>
      </c>
      <c r="I28" s="94">
        <v>100</v>
      </c>
      <c r="P28" s="50"/>
      <c r="Q28" s="50"/>
      <c r="R28" s="50"/>
    </row>
    <row r="29" spans="2:18">
      <c r="B29" s="45" t="s">
        <v>150</v>
      </c>
      <c r="C29" s="97">
        <f>SUM($C$27:$C$28)</f>
        <v>100</v>
      </c>
      <c r="D29" s="97">
        <f>SUM($D$27:$D$28)</f>
        <v>100</v>
      </c>
      <c r="E29" s="97">
        <f>SUM($E$27:$E$28)</f>
        <v>100</v>
      </c>
      <c r="F29" s="97">
        <f>SUM($F$27:$F$28)</f>
        <v>100</v>
      </c>
      <c r="G29" s="97">
        <f>SUM($G$27:$G$28)</f>
        <v>100</v>
      </c>
      <c r="H29" s="97">
        <f>SUM($H$27:$H$28)</f>
        <v>100</v>
      </c>
      <c r="I29" s="95">
        <f>SUM($I$27:$I$28)</f>
        <v>100</v>
      </c>
      <c r="P29" s="50"/>
      <c r="Q29" s="50"/>
      <c r="R29" s="50"/>
    </row>
    <row r="30" spans="2:18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>
      <c r="I31" s="50"/>
      <c r="J31" s="50"/>
      <c r="K31" s="50"/>
    </row>
    <row r="32" spans="2:18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>
      <c r="B36" s="45" t="s">
        <v>22</v>
      </c>
      <c r="C36" s="92">
        <v>0</v>
      </c>
      <c r="D36" s="92">
        <v>0</v>
      </c>
      <c r="E36" s="92">
        <v>0</v>
      </c>
      <c r="F36" s="92">
        <v>0</v>
      </c>
      <c r="G36" s="92">
        <v>0</v>
      </c>
      <c r="H36" s="92">
        <v>0</v>
      </c>
      <c r="I36" s="92">
        <v>0</v>
      </c>
      <c r="J36" s="92">
        <v>0</v>
      </c>
      <c r="K36" s="92">
        <v>0</v>
      </c>
      <c r="L36" s="92">
        <v>0</v>
      </c>
      <c r="M36" s="92">
        <v>0</v>
      </c>
      <c r="N36" s="92">
        <v>0</v>
      </c>
    </row>
    <row r="37" spans="2:14">
      <c r="B37" s="45" t="s">
        <v>59</v>
      </c>
      <c r="C37" s="93">
        <v>0</v>
      </c>
      <c r="D37" s="93">
        <v>0</v>
      </c>
      <c r="E37" s="93">
        <v>0</v>
      </c>
      <c r="F37" s="93">
        <v>0</v>
      </c>
      <c r="G37" s="93">
        <v>0</v>
      </c>
      <c r="H37" s="93">
        <v>0</v>
      </c>
      <c r="I37" s="93">
        <v>0</v>
      </c>
      <c r="J37" s="93">
        <v>0</v>
      </c>
      <c r="K37" s="93">
        <v>0</v>
      </c>
      <c r="L37" s="93">
        <v>0</v>
      </c>
      <c r="M37" s="93">
        <v>0</v>
      </c>
      <c r="N37" s="93">
        <v>0</v>
      </c>
    </row>
    <row r="38" spans="2:14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>
      <c r="I39" s="50"/>
      <c r="J39" s="50"/>
      <c r="K39" s="50"/>
    </row>
    <row r="40" spans="2:14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>
      <c r="P49" s="50"/>
      <c r="Q49" s="50"/>
      <c r="R49" s="50"/>
      <c r="S49" s="50"/>
      <c r="T49" s="50"/>
      <c r="U49" s="50"/>
      <c r="V49" s="50"/>
      <c r="W49" s="50"/>
      <c r="X49" s="50"/>
    </row>
    <row r="61" spans="9:24">
      <c r="I61" s="50"/>
      <c r="J61" s="50"/>
    </row>
    <row r="62" spans="9:24">
      <c r="I62" s="50"/>
      <c r="J62" s="50"/>
    </row>
    <row r="63" spans="9:24">
      <c r="I63" s="50"/>
      <c r="J63" s="50"/>
    </row>
  </sheetData>
  <sheetProtection algorithmName="SHA-512" hashValue="etafRZztr3eTOyPUn7qhq+GLhHOwhcdFm/+AwQs28T9LXo7DMJg8kkb1cAWfsjwtSYyUvx7SQs/T+te9/uTIig==" saltValue="zcFDH+Xu+xuvzfD/suR2G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27:I28 C19 E19 G19 D6:G11 C6:C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F37" sqref="F37"/>
    </sheetView>
  </sheetViews>
  <sheetFormatPr baseColWidth="10" defaultColWidth="9.16406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9.16406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</v>
      </c>
      <c r="E6" s="88">
        <v>1</v>
      </c>
      <c r="F6" s="88">
        <v>1</v>
      </c>
      <c r="G6" s="88">
        <v>1</v>
      </c>
      <c r="H6" s="88">
        <v>1</v>
      </c>
      <c r="I6" s="88">
        <v>1</v>
      </c>
      <c r="J6" s="88">
        <v>1</v>
      </c>
      <c r="K6" s="88">
        <v>1</v>
      </c>
      <c r="L6" s="88">
        <v>1</v>
      </c>
      <c r="M6" s="88">
        <v>1.2</v>
      </c>
      <c r="N6" s="88">
        <v>1.2</v>
      </c>
      <c r="O6" s="88">
        <v>1</v>
      </c>
    </row>
    <row r="7" spans="2:15">
      <c r="C7" s="36" t="s">
        <v>127</v>
      </c>
      <c r="D7" s="88">
        <v>1</v>
      </c>
      <c r="E7" s="88">
        <v>1</v>
      </c>
      <c r="F7" s="88">
        <v>1</v>
      </c>
      <c r="G7" s="88">
        <v>1</v>
      </c>
      <c r="H7" s="88">
        <v>1</v>
      </c>
      <c r="I7" s="88">
        <v>1</v>
      </c>
      <c r="J7" s="88">
        <v>1</v>
      </c>
      <c r="K7" s="88">
        <v>1</v>
      </c>
      <c r="L7" s="88">
        <v>1</v>
      </c>
      <c r="M7" s="88">
        <v>1.2</v>
      </c>
      <c r="N7" s="88">
        <v>1.2</v>
      </c>
      <c r="O7" s="88">
        <v>1</v>
      </c>
    </row>
    <row r="8" spans="2:15">
      <c r="C8" s="36" t="s">
        <v>128</v>
      </c>
      <c r="D8" s="88">
        <v>1</v>
      </c>
      <c r="E8" s="88">
        <v>1</v>
      </c>
      <c r="F8" s="88">
        <v>1</v>
      </c>
      <c r="G8" s="88">
        <v>1</v>
      </c>
      <c r="H8" s="88">
        <v>1</v>
      </c>
      <c r="I8" s="88">
        <v>1</v>
      </c>
      <c r="J8" s="88">
        <v>1</v>
      </c>
      <c r="K8" s="88">
        <v>1</v>
      </c>
      <c r="L8" s="88">
        <v>1</v>
      </c>
      <c r="M8" s="88">
        <v>1.2</v>
      </c>
      <c r="N8" s="88">
        <v>1.2</v>
      </c>
      <c r="O8" s="88">
        <v>1</v>
      </c>
    </row>
    <row r="9" spans="2:15">
      <c r="C9" s="36" t="s">
        <v>129</v>
      </c>
      <c r="D9" s="88">
        <v>1.25</v>
      </c>
      <c r="E9" s="88">
        <v>1.25</v>
      </c>
      <c r="F9" s="88">
        <v>1.25</v>
      </c>
      <c r="G9" s="88">
        <v>1.25</v>
      </c>
      <c r="H9" s="88">
        <v>1.25</v>
      </c>
      <c r="I9" s="88">
        <v>1.25</v>
      </c>
      <c r="J9" s="88">
        <v>1.25</v>
      </c>
      <c r="K9" s="88">
        <v>1.25</v>
      </c>
      <c r="L9" s="88">
        <v>1.25</v>
      </c>
      <c r="M9" s="88">
        <v>1.5</v>
      </c>
      <c r="N9" s="88">
        <v>1.5</v>
      </c>
      <c r="O9" s="88">
        <v>1.25</v>
      </c>
    </row>
    <row r="10" spans="2:15">
      <c r="C10" s="36" t="s">
        <v>130</v>
      </c>
      <c r="D10" s="88">
        <v>1</v>
      </c>
      <c r="E10" s="88">
        <v>1</v>
      </c>
      <c r="F10" s="88">
        <v>1</v>
      </c>
      <c r="G10" s="88">
        <v>1</v>
      </c>
      <c r="H10" s="88">
        <v>1</v>
      </c>
      <c r="I10" s="88">
        <v>1</v>
      </c>
      <c r="J10" s="88">
        <v>1</v>
      </c>
      <c r="K10" s="88">
        <v>1</v>
      </c>
      <c r="L10" s="88">
        <v>1</v>
      </c>
      <c r="M10" s="88">
        <v>1.2</v>
      </c>
      <c r="N10" s="88">
        <v>1.2</v>
      </c>
      <c r="O10" s="88">
        <v>1</v>
      </c>
    </row>
    <row r="11" spans="2:15">
      <c r="C11" s="36" t="s">
        <v>131</v>
      </c>
      <c r="D11" s="88">
        <v>1.25</v>
      </c>
      <c r="E11" s="88">
        <v>1.25</v>
      </c>
      <c r="F11" s="88">
        <v>1.25</v>
      </c>
      <c r="G11" s="88">
        <v>1.25</v>
      </c>
      <c r="H11" s="88">
        <v>1.25</v>
      </c>
      <c r="I11" s="88">
        <v>1.25</v>
      </c>
      <c r="J11" s="88">
        <v>1.25</v>
      </c>
      <c r="K11" s="88">
        <v>1.25</v>
      </c>
      <c r="L11" s="88">
        <v>1.25</v>
      </c>
      <c r="M11" s="88">
        <v>1.5</v>
      </c>
      <c r="N11" s="88">
        <v>1.5</v>
      </c>
      <c r="O11" s="88">
        <v>1.25</v>
      </c>
    </row>
    <row r="12" spans="2:15">
      <c r="C12" s="37" t="s">
        <v>132</v>
      </c>
      <c r="D12" s="88">
        <v>1.5</v>
      </c>
      <c r="E12" s="88">
        <v>1.5</v>
      </c>
      <c r="F12" s="88">
        <v>1.5</v>
      </c>
      <c r="G12" s="88">
        <v>1.5</v>
      </c>
      <c r="H12" s="88">
        <v>1.5</v>
      </c>
      <c r="I12" s="88">
        <v>1.5</v>
      </c>
      <c r="J12" s="88">
        <v>1.5</v>
      </c>
      <c r="K12" s="88">
        <v>1.5</v>
      </c>
      <c r="L12" s="88">
        <v>1.5</v>
      </c>
      <c r="M12" s="88">
        <v>1.75</v>
      </c>
      <c r="N12" s="88">
        <v>1.75</v>
      </c>
      <c r="O12" s="88">
        <v>1.5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1.25</v>
      </c>
      <c r="E15" s="88">
        <v>1.25</v>
      </c>
      <c r="F15" s="88">
        <v>1.25</v>
      </c>
      <c r="G15" s="88">
        <v>1.25</v>
      </c>
      <c r="H15" s="88">
        <v>1.25</v>
      </c>
      <c r="I15" s="88">
        <v>1.25</v>
      </c>
      <c r="J15" s="88">
        <v>1.25</v>
      </c>
      <c r="K15" s="88">
        <v>1.25</v>
      </c>
      <c r="L15" s="88">
        <v>1.25</v>
      </c>
      <c r="M15" s="88">
        <v>1.5</v>
      </c>
      <c r="N15" s="88">
        <v>1.5</v>
      </c>
      <c r="O15" s="88">
        <v>1.25</v>
      </c>
    </row>
    <row r="16" spans="2:15">
      <c r="C16" s="36" t="s">
        <v>127</v>
      </c>
      <c r="D16" s="88">
        <v>1.25</v>
      </c>
      <c r="E16" s="88">
        <v>1.25</v>
      </c>
      <c r="F16" s="88">
        <v>1.25</v>
      </c>
      <c r="G16" s="88">
        <v>1.25</v>
      </c>
      <c r="H16" s="88">
        <v>1.25</v>
      </c>
      <c r="I16" s="88">
        <v>1.25</v>
      </c>
      <c r="J16" s="88">
        <v>1.25</v>
      </c>
      <c r="K16" s="88">
        <v>1.25</v>
      </c>
      <c r="L16" s="88">
        <v>1.25</v>
      </c>
      <c r="M16" s="88">
        <v>1.5</v>
      </c>
      <c r="N16" s="88">
        <v>1.5</v>
      </c>
      <c r="O16" s="88">
        <v>1.25</v>
      </c>
    </row>
    <row r="17" spans="2:15">
      <c r="C17" s="36" t="s">
        <v>128</v>
      </c>
      <c r="D17" s="88">
        <v>1.25</v>
      </c>
      <c r="E17" s="88">
        <v>1.25</v>
      </c>
      <c r="F17" s="88">
        <v>1.25</v>
      </c>
      <c r="G17" s="88">
        <v>1.25</v>
      </c>
      <c r="H17" s="88">
        <v>1.25</v>
      </c>
      <c r="I17" s="88">
        <v>1.25</v>
      </c>
      <c r="J17" s="88">
        <v>1.25</v>
      </c>
      <c r="K17" s="88">
        <v>1.25</v>
      </c>
      <c r="L17" s="88">
        <v>1.25</v>
      </c>
      <c r="M17" s="88">
        <v>1.5</v>
      </c>
      <c r="N17" s="88">
        <v>1.5</v>
      </c>
      <c r="O17" s="88">
        <v>1.25</v>
      </c>
    </row>
    <row r="18" spans="2:15">
      <c r="C18" s="36" t="s">
        <v>129</v>
      </c>
      <c r="D18" s="88">
        <v>1.25</v>
      </c>
      <c r="E18" s="88">
        <v>1.25</v>
      </c>
      <c r="F18" s="88">
        <v>1.25</v>
      </c>
      <c r="G18" s="88">
        <v>1.25</v>
      </c>
      <c r="H18" s="88">
        <v>1.25</v>
      </c>
      <c r="I18" s="88">
        <v>1.25</v>
      </c>
      <c r="J18" s="88">
        <v>1.25</v>
      </c>
      <c r="K18" s="88">
        <v>1.25</v>
      </c>
      <c r="L18" s="88">
        <v>1.25</v>
      </c>
      <c r="M18" s="88">
        <v>1.5</v>
      </c>
      <c r="N18" s="88">
        <v>1.5</v>
      </c>
      <c r="O18" s="88">
        <v>1.25</v>
      </c>
    </row>
    <row r="19" spans="2:15">
      <c r="C19" s="36" t="s">
        <v>130</v>
      </c>
      <c r="D19" s="88">
        <v>1.25</v>
      </c>
      <c r="E19" s="88">
        <v>1.25</v>
      </c>
      <c r="F19" s="88">
        <v>1.25</v>
      </c>
      <c r="G19" s="88">
        <v>1.25</v>
      </c>
      <c r="H19" s="88">
        <v>1.25</v>
      </c>
      <c r="I19" s="88">
        <v>1.25</v>
      </c>
      <c r="J19" s="88">
        <v>1.25</v>
      </c>
      <c r="K19" s="88">
        <v>1.25</v>
      </c>
      <c r="L19" s="88">
        <v>1.25</v>
      </c>
      <c r="M19" s="88">
        <v>1.5</v>
      </c>
      <c r="N19" s="88">
        <v>1.5</v>
      </c>
      <c r="O19" s="88">
        <v>1.25</v>
      </c>
    </row>
    <row r="20" spans="2:15">
      <c r="C20" s="36" t="s">
        <v>131</v>
      </c>
      <c r="D20" s="88">
        <v>1.25</v>
      </c>
      <c r="E20" s="88">
        <v>1.25</v>
      </c>
      <c r="F20" s="88">
        <v>1.25</v>
      </c>
      <c r="G20" s="88">
        <v>1.25</v>
      </c>
      <c r="H20" s="88">
        <v>1.25</v>
      </c>
      <c r="I20" s="88">
        <v>1.25</v>
      </c>
      <c r="J20" s="88">
        <v>1.25</v>
      </c>
      <c r="K20" s="88">
        <v>1.25</v>
      </c>
      <c r="L20" s="88">
        <v>1.25</v>
      </c>
      <c r="M20" s="88">
        <v>1.5</v>
      </c>
      <c r="N20" s="88">
        <v>1.5</v>
      </c>
      <c r="O20" s="88">
        <v>1.25</v>
      </c>
    </row>
    <row r="21" spans="2:15">
      <c r="C21" s="37" t="s">
        <v>132</v>
      </c>
      <c r="D21" s="88">
        <v>1.25</v>
      </c>
      <c r="E21" s="88">
        <v>1.25</v>
      </c>
      <c r="F21" s="88">
        <v>1.25</v>
      </c>
      <c r="G21" s="88">
        <v>1.25</v>
      </c>
      <c r="H21" s="88">
        <v>1.25</v>
      </c>
      <c r="I21" s="88">
        <v>1.25</v>
      </c>
      <c r="J21" s="88">
        <v>1.25</v>
      </c>
      <c r="K21" s="88">
        <v>1.25</v>
      </c>
      <c r="L21" s="88">
        <v>1.25</v>
      </c>
      <c r="M21" s="88">
        <v>1.5</v>
      </c>
      <c r="N21" s="88">
        <v>1.5</v>
      </c>
      <c r="O21" s="88">
        <v>1.25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4</v>
      </c>
      <c r="E24" s="88">
        <v>4</v>
      </c>
      <c r="F24" s="88">
        <v>4</v>
      </c>
      <c r="G24" s="88">
        <v>4</v>
      </c>
      <c r="H24" s="88">
        <v>4</v>
      </c>
      <c r="I24" s="88">
        <v>4</v>
      </c>
      <c r="J24" s="88">
        <v>4</v>
      </c>
      <c r="K24" s="88">
        <v>4</v>
      </c>
      <c r="L24" s="88">
        <v>4</v>
      </c>
      <c r="M24" s="88">
        <v>4</v>
      </c>
      <c r="N24" s="88">
        <v>4</v>
      </c>
      <c r="O24" s="88">
        <v>4</v>
      </c>
    </row>
    <row r="25" spans="2:15">
      <c r="C25" s="36" t="s">
        <v>127</v>
      </c>
      <c r="D25" s="88">
        <v>4</v>
      </c>
      <c r="E25" s="88">
        <v>4</v>
      </c>
      <c r="F25" s="88">
        <v>4</v>
      </c>
      <c r="G25" s="88">
        <v>4</v>
      </c>
      <c r="H25" s="88">
        <v>4</v>
      </c>
      <c r="I25" s="88">
        <v>4</v>
      </c>
      <c r="J25" s="88">
        <v>4</v>
      </c>
      <c r="K25" s="88">
        <v>4</v>
      </c>
      <c r="L25" s="88">
        <v>4</v>
      </c>
      <c r="M25" s="88">
        <v>4</v>
      </c>
      <c r="N25" s="88">
        <v>4</v>
      </c>
      <c r="O25" s="88">
        <v>4</v>
      </c>
    </row>
    <row r="26" spans="2:15">
      <c r="C26" s="36" t="s">
        <v>128</v>
      </c>
      <c r="D26" s="88">
        <v>4</v>
      </c>
      <c r="E26" s="88">
        <v>4</v>
      </c>
      <c r="F26" s="88">
        <v>4</v>
      </c>
      <c r="G26" s="88">
        <v>4</v>
      </c>
      <c r="H26" s="88">
        <v>4</v>
      </c>
      <c r="I26" s="88">
        <v>4</v>
      </c>
      <c r="J26" s="88">
        <v>4</v>
      </c>
      <c r="K26" s="88">
        <v>4</v>
      </c>
      <c r="L26" s="88">
        <v>4</v>
      </c>
      <c r="M26" s="88">
        <v>4</v>
      </c>
      <c r="N26" s="88">
        <v>4</v>
      </c>
      <c r="O26" s="88">
        <v>4</v>
      </c>
    </row>
    <row r="27" spans="2:15">
      <c r="C27" s="36" t="s">
        <v>129</v>
      </c>
      <c r="D27" s="88">
        <v>4</v>
      </c>
      <c r="E27" s="88">
        <v>4</v>
      </c>
      <c r="F27" s="88">
        <v>4</v>
      </c>
      <c r="G27" s="88">
        <v>4</v>
      </c>
      <c r="H27" s="88">
        <v>4</v>
      </c>
      <c r="I27" s="88">
        <v>4</v>
      </c>
      <c r="J27" s="88">
        <v>4</v>
      </c>
      <c r="K27" s="88">
        <v>4</v>
      </c>
      <c r="L27" s="88">
        <v>4</v>
      </c>
      <c r="M27" s="88">
        <v>4</v>
      </c>
      <c r="N27" s="88">
        <v>4</v>
      </c>
      <c r="O27" s="88">
        <v>4</v>
      </c>
    </row>
    <row r="28" spans="2:15">
      <c r="C28" s="36" t="s">
        <v>130</v>
      </c>
      <c r="D28" s="88">
        <v>4</v>
      </c>
      <c r="E28" s="88">
        <v>4</v>
      </c>
      <c r="F28" s="88">
        <v>4</v>
      </c>
      <c r="G28" s="88">
        <v>4</v>
      </c>
      <c r="H28" s="88">
        <v>4</v>
      </c>
      <c r="I28" s="88">
        <v>4</v>
      </c>
      <c r="J28" s="88">
        <v>4</v>
      </c>
      <c r="K28" s="88">
        <v>4</v>
      </c>
      <c r="L28" s="88">
        <v>4</v>
      </c>
      <c r="M28" s="88">
        <v>4</v>
      </c>
      <c r="N28" s="88">
        <v>4</v>
      </c>
      <c r="O28" s="88">
        <v>4</v>
      </c>
    </row>
    <row r="29" spans="2:15">
      <c r="C29" s="36" t="s">
        <v>131</v>
      </c>
      <c r="D29" s="88">
        <v>4</v>
      </c>
      <c r="E29" s="88">
        <v>4</v>
      </c>
      <c r="F29" s="88">
        <v>4</v>
      </c>
      <c r="G29" s="88">
        <v>4</v>
      </c>
      <c r="H29" s="88">
        <v>4</v>
      </c>
      <c r="I29" s="88">
        <v>4</v>
      </c>
      <c r="J29" s="88">
        <v>4</v>
      </c>
      <c r="K29" s="88">
        <v>4</v>
      </c>
      <c r="L29" s="88">
        <v>4</v>
      </c>
      <c r="M29" s="88">
        <v>4</v>
      </c>
      <c r="N29" s="88">
        <v>4</v>
      </c>
      <c r="O29" s="88">
        <v>4</v>
      </c>
    </row>
    <row r="30" spans="2:15">
      <c r="C30" s="37" t="s">
        <v>132</v>
      </c>
      <c r="D30" s="88">
        <v>4</v>
      </c>
      <c r="E30" s="88">
        <v>4</v>
      </c>
      <c r="F30" s="88">
        <v>4</v>
      </c>
      <c r="G30" s="88">
        <v>4</v>
      </c>
      <c r="H30" s="88">
        <v>4</v>
      </c>
      <c r="I30" s="88">
        <v>4</v>
      </c>
      <c r="J30" s="88">
        <v>4</v>
      </c>
      <c r="K30" s="88">
        <v>4</v>
      </c>
      <c r="L30" s="88">
        <v>4</v>
      </c>
      <c r="M30" s="88">
        <v>4</v>
      </c>
      <c r="N30" s="88">
        <v>4</v>
      </c>
      <c r="O30" s="88">
        <v>4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4</v>
      </c>
      <c r="E33" s="88">
        <v>4</v>
      </c>
      <c r="F33" s="88">
        <v>4</v>
      </c>
      <c r="G33" s="88">
        <v>4</v>
      </c>
      <c r="H33" s="88">
        <v>4</v>
      </c>
      <c r="I33" s="88">
        <v>4</v>
      </c>
      <c r="J33" s="88">
        <v>4</v>
      </c>
      <c r="K33" s="88">
        <v>4</v>
      </c>
      <c r="L33" s="88">
        <v>4</v>
      </c>
      <c r="M33" s="88">
        <v>4</v>
      </c>
      <c r="N33" s="88">
        <v>4</v>
      </c>
      <c r="O33" s="88">
        <v>4</v>
      </c>
    </row>
    <row r="34" spans="3:15">
      <c r="C34" s="36" t="s">
        <v>127</v>
      </c>
      <c r="D34" s="88">
        <v>4</v>
      </c>
      <c r="E34" s="88">
        <v>4</v>
      </c>
      <c r="F34" s="88">
        <v>4</v>
      </c>
      <c r="G34" s="88">
        <v>4</v>
      </c>
      <c r="H34" s="88">
        <v>4</v>
      </c>
      <c r="I34" s="88">
        <v>4</v>
      </c>
      <c r="J34" s="88">
        <v>4</v>
      </c>
      <c r="K34" s="88">
        <v>4</v>
      </c>
      <c r="L34" s="88">
        <v>4</v>
      </c>
      <c r="M34" s="88">
        <v>4</v>
      </c>
      <c r="N34" s="88">
        <v>4</v>
      </c>
      <c r="O34" s="88">
        <v>4</v>
      </c>
    </row>
    <row r="35" spans="3:15">
      <c r="C35" s="36" t="s">
        <v>128</v>
      </c>
      <c r="D35" s="88">
        <v>4</v>
      </c>
      <c r="E35" s="88">
        <v>4</v>
      </c>
      <c r="F35" s="88">
        <v>4</v>
      </c>
      <c r="G35" s="88">
        <v>4</v>
      </c>
      <c r="H35" s="88">
        <v>4</v>
      </c>
      <c r="I35" s="88">
        <v>4</v>
      </c>
      <c r="J35" s="88">
        <v>4</v>
      </c>
      <c r="K35" s="88">
        <v>4</v>
      </c>
      <c r="L35" s="88">
        <v>4</v>
      </c>
      <c r="M35" s="88">
        <v>4</v>
      </c>
      <c r="N35" s="88">
        <v>4</v>
      </c>
      <c r="O35" s="88">
        <v>4</v>
      </c>
    </row>
    <row r="36" spans="3:15">
      <c r="C36" s="36" t="s">
        <v>129</v>
      </c>
      <c r="D36" s="88">
        <v>4</v>
      </c>
      <c r="E36" s="88">
        <v>4</v>
      </c>
      <c r="F36" s="88">
        <v>4</v>
      </c>
      <c r="G36" s="88">
        <v>4</v>
      </c>
      <c r="H36" s="88">
        <v>4</v>
      </c>
      <c r="I36" s="88">
        <v>4</v>
      </c>
      <c r="J36" s="88">
        <v>4</v>
      </c>
      <c r="K36" s="88">
        <v>4</v>
      </c>
      <c r="L36" s="88">
        <v>4</v>
      </c>
      <c r="M36" s="88">
        <v>4</v>
      </c>
      <c r="N36" s="88">
        <v>4</v>
      </c>
      <c r="O36" s="88">
        <v>4</v>
      </c>
    </row>
    <row r="37" spans="3:15">
      <c r="C37" s="36" t="s">
        <v>130</v>
      </c>
      <c r="D37" s="88">
        <v>4</v>
      </c>
      <c r="E37" s="88">
        <v>4</v>
      </c>
      <c r="F37" s="88">
        <v>4</v>
      </c>
      <c r="G37" s="88">
        <v>4</v>
      </c>
      <c r="H37" s="88">
        <v>4</v>
      </c>
      <c r="I37" s="88">
        <v>4</v>
      </c>
      <c r="J37" s="88">
        <v>4</v>
      </c>
      <c r="K37" s="88">
        <v>4</v>
      </c>
      <c r="L37" s="88">
        <v>4</v>
      </c>
      <c r="M37" s="88">
        <v>4</v>
      </c>
      <c r="N37" s="88">
        <v>4</v>
      </c>
      <c r="O37" s="88">
        <v>4</v>
      </c>
    </row>
    <row r="38" spans="3:15">
      <c r="C38" s="36" t="s">
        <v>131</v>
      </c>
      <c r="D38" s="88">
        <v>4</v>
      </c>
      <c r="E38" s="88">
        <v>4</v>
      </c>
      <c r="F38" s="88">
        <v>4</v>
      </c>
      <c r="G38" s="88">
        <v>4</v>
      </c>
      <c r="H38" s="88">
        <v>4</v>
      </c>
      <c r="I38" s="88">
        <v>4</v>
      </c>
      <c r="J38" s="88">
        <v>4</v>
      </c>
      <c r="K38" s="88">
        <v>4</v>
      </c>
      <c r="L38" s="88">
        <v>4</v>
      </c>
      <c r="M38" s="88">
        <v>4</v>
      </c>
      <c r="N38" s="88">
        <v>4</v>
      </c>
      <c r="O38" s="88">
        <v>4</v>
      </c>
    </row>
    <row r="39" spans="3:15">
      <c r="C39" s="37" t="s">
        <v>132</v>
      </c>
      <c r="D39" s="88">
        <v>4</v>
      </c>
      <c r="E39" s="88">
        <v>4</v>
      </c>
      <c r="F39" s="88">
        <v>4</v>
      </c>
      <c r="G39" s="88">
        <v>4</v>
      </c>
      <c r="H39" s="88">
        <v>4</v>
      </c>
      <c r="I39" s="88">
        <v>4</v>
      </c>
      <c r="J39" s="88">
        <v>4</v>
      </c>
      <c r="K39" s="88">
        <v>4</v>
      </c>
      <c r="L39" s="88">
        <v>4</v>
      </c>
      <c r="M39" s="88">
        <v>4</v>
      </c>
      <c r="N39" s="88">
        <v>4</v>
      </c>
      <c r="O39" s="88">
        <v>4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lGls4jeCjuy16H2DLDJ1OOjJeYhD3dcxDI6AfP0WQlFbMm5M6GGFT0Z4FGga2OiHxrKVBdlu90QjOLmQZM9hVw==" saltValue="yVEP2cnSCeLFEvDuhr+vW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Sean Yun</cp:lastModifiedBy>
  <dcterms:created xsi:type="dcterms:W3CDTF">2003-07-09T21:14:27Z</dcterms:created>
  <dcterms:modified xsi:type="dcterms:W3CDTF">2015-11-24T21:38:12Z</dcterms:modified>
</cp:coreProperties>
</file>