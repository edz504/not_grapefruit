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6423" codeName="{7A2D7E96-6E34-419A-AE5F-296B3A7E7977}"/>
  <workbookPr codeName="ThisWorkbook" autoCompressPictures="0"/>
  <bookViews>
    <workbookView xWindow="0" yWindow="0" windowWidth="25600" windowHeight="141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" i="6" l="1"/>
  <c r="L7" i="6"/>
  <c r="K7" i="6"/>
  <c r="J7" i="6"/>
  <c r="I7" i="6"/>
  <c r="N7" i="6"/>
  <c r="H7" i="6"/>
  <c r="G7" i="6"/>
  <c r="F7" i="6"/>
  <c r="E7" i="6"/>
  <c r="D7" i="6"/>
  <c r="N6" i="6"/>
  <c r="M6" i="6"/>
  <c r="L6" i="6"/>
  <c r="K6" i="6"/>
  <c r="J6" i="6"/>
  <c r="I6" i="6"/>
  <c r="H6" i="6"/>
  <c r="G6" i="6"/>
  <c r="F6" i="6"/>
  <c r="E6" i="6"/>
  <c r="D8" i="6"/>
  <c r="D6" i="6"/>
  <c r="N8" i="6"/>
  <c r="M8" i="6"/>
  <c r="L8" i="6"/>
  <c r="K8" i="6"/>
  <c r="J8" i="6"/>
  <c r="I8" i="6"/>
  <c r="H8" i="6"/>
  <c r="G8" i="6"/>
  <c r="F8" i="6"/>
  <c r="E8" i="6"/>
  <c r="N41" i="7"/>
  <c r="N40" i="7"/>
  <c r="N39" i="7"/>
  <c r="N38" i="7"/>
  <c r="M41" i="7"/>
  <c r="M40" i="7"/>
  <c r="M39" i="7"/>
  <c r="M38" i="7"/>
  <c r="L41" i="7"/>
  <c r="L40" i="7"/>
  <c r="L39" i="7"/>
  <c r="L38" i="7"/>
  <c r="K41" i="7"/>
  <c r="K40" i="7"/>
  <c r="K39" i="7"/>
  <c r="K38" i="7"/>
  <c r="J41" i="7"/>
  <c r="J40" i="7"/>
  <c r="J39" i="7"/>
  <c r="J38" i="7"/>
  <c r="I41" i="7"/>
  <c r="I40" i="7"/>
  <c r="I39" i="7"/>
  <c r="I38" i="7"/>
  <c r="H41" i="7"/>
  <c r="H40" i="7"/>
  <c r="H39" i="7"/>
  <c r="H38" i="7"/>
  <c r="G41" i="7"/>
  <c r="G40" i="7"/>
  <c r="G39" i="7"/>
  <c r="G38" i="7"/>
  <c r="F41" i="7"/>
  <c r="F40" i="7"/>
  <c r="F39" i="7"/>
  <c r="F38" i="7"/>
  <c r="E41" i="7"/>
  <c r="E40" i="7"/>
  <c r="E39" i="7"/>
  <c r="E38" i="7"/>
  <c r="D41" i="7"/>
  <c r="D40" i="7"/>
  <c r="D39" i="7"/>
  <c r="D38" i="7"/>
  <c r="C30" i="7"/>
  <c r="C29" i="7"/>
  <c r="C28" i="7"/>
  <c r="C27" i="7"/>
  <c r="I19" i="7"/>
  <c r="G19" i="7"/>
  <c r="E19" i="7"/>
  <c r="C19" i="7"/>
  <c r="G8" i="7"/>
  <c r="C8" i="7"/>
  <c r="I7" i="7"/>
  <c r="E7" i="7"/>
  <c r="J6" i="7"/>
  <c r="H6" i="7"/>
  <c r="F6" i="7"/>
  <c r="D6" i="7"/>
  <c r="E48" i="6"/>
  <c r="F48" i="6"/>
  <c r="G48" i="6"/>
  <c r="H48" i="6"/>
  <c r="I48" i="6"/>
  <c r="J48" i="6"/>
  <c r="K48" i="6"/>
  <c r="L48" i="6"/>
  <c r="M48" i="6"/>
  <c r="N48" i="6"/>
  <c r="D48" i="6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7" i="5"/>
  <c r="C68" i="5"/>
  <c r="C69" i="5"/>
  <c r="C70" i="5"/>
  <c r="C71" i="5"/>
  <c r="C72" i="5"/>
  <c r="C73" i="5"/>
  <c r="C75" i="5"/>
  <c r="C76" i="5"/>
  <c r="C77" i="5"/>
  <c r="C78" i="5"/>
  <c r="C79" i="5"/>
  <c r="C80" i="5"/>
  <c r="C81" i="5"/>
  <c r="C82" i="5"/>
  <c r="C83" i="5"/>
  <c r="C84" i="5"/>
  <c r="C85" i="5"/>
  <c r="C86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D47" i="6"/>
  <c r="E47" i="6"/>
  <c r="F47" i="6"/>
  <c r="G47" i="6"/>
  <c r="H47" i="6"/>
  <c r="I47" i="6"/>
  <c r="J47" i="6"/>
  <c r="K47" i="6"/>
  <c r="L47" i="6"/>
  <c r="M47" i="6"/>
  <c r="N47" i="6"/>
  <c r="C47" i="6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<sst xmlns="http://schemas.openxmlformats.org/spreadsheetml/2006/main" count="526" uniqueCount="167">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</sst>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2018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1nEZo0M2NJNW8dZTk4VlxzO94a63b7IVFNywE1v4akM8LaNWB4zz4Hcu/UHhGEk0XxCR6mSCEWzBPObz/erWKw==" saltValue="ZBI5/a9FYdrttCzumsCE9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>
      <selection activeCell="C88" sqref="C88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1000</v>
      </c>
      <c r="E51" s="15" t="s">
        <v>166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>
      <c r="B52" s="14" t="s">
        <v>35</v>
      </c>
      <c r="C52" s="84">
        <f t="shared" ref="C52:C106" si="5">+D52*0.2</f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f t="shared" si="5"/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f t="shared" si="5"/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f t="shared" si="5"/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f t="shared" si="5"/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f t="shared" si="5"/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f t="shared" si="5"/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f t="shared" si="5"/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f t="shared" si="5"/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4">
        <f t="shared" si="5"/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4">
        <f t="shared" si="5"/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4">
        <f t="shared" si="5"/>
        <v>0</v>
      </c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>
      <c r="B64" s="14" t="s">
        <v>47</v>
      </c>
      <c r="C64" s="84">
        <f t="shared" si="5"/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4">
        <f t="shared" si="5"/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4">
        <v>1000</v>
      </c>
      <c r="D66" s="15">
        <v>3000</v>
      </c>
      <c r="E66" s="15" t="s">
        <v>166</v>
      </c>
      <c r="F66" s="15" t="s">
        <v>6</v>
      </c>
      <c r="G66" s="15">
        <f t="shared" si="3"/>
        <v>4000</v>
      </c>
      <c r="H66" s="17" t="str">
        <f t="shared" si="4"/>
        <v/>
      </c>
    </row>
    <row r="67" spans="2:8">
      <c r="B67" s="14" t="s">
        <v>50</v>
      </c>
      <c r="C67" s="84">
        <f t="shared" si="5"/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4">
        <f t="shared" si="5"/>
        <v>0</v>
      </c>
      <c r="D68" s="15">
        <v>0</v>
      </c>
      <c r="E68" s="15" t="s">
        <v>166</v>
      </c>
      <c r="F68" s="15" t="s">
        <v>6</v>
      </c>
      <c r="G68" s="15">
        <f t="shared" ref="G68:G99" si="6">$D68+$C68</f>
        <v>0</v>
      </c>
      <c r="H68" s="17" t="str">
        <f t="shared" ref="H68:H99" si="7">IF(AND($D68=0, $G68&gt;0),"new", IF(AND($D68&gt;0, $G68=0),"sold",""))</f>
        <v/>
      </c>
    </row>
    <row r="69" spans="2:8">
      <c r="B69" s="14" t="s">
        <v>52</v>
      </c>
      <c r="C69" s="84">
        <f t="shared" si="5"/>
        <v>0</v>
      </c>
      <c r="D69" s="15">
        <v>0</v>
      </c>
      <c r="E69" s="15" t="s">
        <v>166</v>
      </c>
      <c r="F69" s="15" t="s">
        <v>6</v>
      </c>
      <c r="G69" s="15">
        <f t="shared" si="6"/>
        <v>0</v>
      </c>
      <c r="H69" s="17" t="str">
        <f t="shared" si="7"/>
        <v/>
      </c>
    </row>
    <row r="70" spans="2:8">
      <c r="B70" s="14" t="s">
        <v>53</v>
      </c>
      <c r="C70" s="84">
        <f t="shared" si="5"/>
        <v>0</v>
      </c>
      <c r="D70" s="15">
        <v>0</v>
      </c>
      <c r="E70" s="15" t="s">
        <v>166</v>
      </c>
      <c r="F70" s="15" t="s">
        <v>6</v>
      </c>
      <c r="G70" s="15">
        <f t="shared" si="6"/>
        <v>0</v>
      </c>
      <c r="H70" s="17" t="str">
        <f t="shared" si="7"/>
        <v/>
      </c>
    </row>
    <row r="71" spans="2:8">
      <c r="B71" s="14" t="s">
        <v>54</v>
      </c>
      <c r="C71" s="84">
        <f t="shared" si="5"/>
        <v>0</v>
      </c>
      <c r="D71" s="15">
        <v>0</v>
      </c>
      <c r="E71" s="15" t="s">
        <v>166</v>
      </c>
      <c r="F71" s="15" t="s">
        <v>6</v>
      </c>
      <c r="G71" s="15">
        <f t="shared" si="6"/>
        <v>0</v>
      </c>
      <c r="H71" s="17" t="str">
        <f t="shared" si="7"/>
        <v/>
      </c>
    </row>
    <row r="72" spans="2:8">
      <c r="B72" s="14" t="s">
        <v>55</v>
      </c>
      <c r="C72" s="84">
        <f t="shared" si="5"/>
        <v>0</v>
      </c>
      <c r="D72" s="15">
        <v>0</v>
      </c>
      <c r="E72" s="15" t="s">
        <v>166</v>
      </c>
      <c r="F72" s="15" t="s">
        <v>6</v>
      </c>
      <c r="G72" s="15">
        <f t="shared" si="6"/>
        <v>0</v>
      </c>
      <c r="H72" s="17" t="str">
        <f t="shared" si="7"/>
        <v/>
      </c>
    </row>
    <row r="73" spans="2:8">
      <c r="B73" s="14" t="s">
        <v>56</v>
      </c>
      <c r="C73" s="84">
        <f t="shared" si="5"/>
        <v>0</v>
      </c>
      <c r="D73" s="15">
        <v>0</v>
      </c>
      <c r="E73" s="15" t="s">
        <v>166</v>
      </c>
      <c r="F73" s="15" t="s">
        <v>6</v>
      </c>
      <c r="G73" s="15">
        <f t="shared" si="6"/>
        <v>0</v>
      </c>
      <c r="H73" s="17" t="str">
        <f t="shared" si="7"/>
        <v/>
      </c>
    </row>
    <row r="74" spans="2:8">
      <c r="B74" s="14" t="s">
        <v>57</v>
      </c>
      <c r="C74" s="84">
        <v>100</v>
      </c>
      <c r="D74" s="15">
        <v>750</v>
      </c>
      <c r="E74" s="15" t="s">
        <v>166</v>
      </c>
      <c r="F74" s="15" t="s">
        <v>6</v>
      </c>
      <c r="G74" s="15">
        <f t="shared" si="6"/>
        <v>850</v>
      </c>
      <c r="H74" s="17" t="str">
        <f t="shared" si="7"/>
        <v/>
      </c>
    </row>
    <row r="75" spans="2:8">
      <c r="B75" s="14" t="s">
        <v>58</v>
      </c>
      <c r="C75" s="84">
        <f t="shared" si="5"/>
        <v>0</v>
      </c>
      <c r="D75" s="15">
        <v>0</v>
      </c>
      <c r="E75" s="15" t="s">
        <v>166</v>
      </c>
      <c r="F75" s="15" t="s">
        <v>6</v>
      </c>
      <c r="G75" s="15">
        <f t="shared" si="6"/>
        <v>0</v>
      </c>
      <c r="H75" s="17" t="str">
        <f t="shared" si="7"/>
        <v/>
      </c>
    </row>
    <row r="76" spans="2:8">
      <c r="B76" s="14" t="s">
        <v>59</v>
      </c>
      <c r="C76" s="84">
        <f t="shared" si="5"/>
        <v>0</v>
      </c>
      <c r="D76" s="15">
        <v>0</v>
      </c>
      <c r="E76" s="15" t="s">
        <v>166</v>
      </c>
      <c r="F76" s="15" t="s">
        <v>6</v>
      </c>
      <c r="G76" s="15">
        <f t="shared" si="6"/>
        <v>0</v>
      </c>
      <c r="H76" s="17" t="str">
        <f t="shared" si="7"/>
        <v/>
      </c>
    </row>
    <row r="77" spans="2:8">
      <c r="B77" s="14" t="s">
        <v>60</v>
      </c>
      <c r="C77" s="84">
        <f t="shared" si="5"/>
        <v>0</v>
      </c>
      <c r="D77" s="15">
        <v>0</v>
      </c>
      <c r="E77" s="15" t="s">
        <v>166</v>
      </c>
      <c r="F77" s="15" t="s">
        <v>6</v>
      </c>
      <c r="G77" s="15">
        <f t="shared" si="6"/>
        <v>0</v>
      </c>
      <c r="H77" s="17" t="str">
        <f t="shared" si="7"/>
        <v/>
      </c>
    </row>
    <row r="78" spans="2:8">
      <c r="B78" s="14" t="s">
        <v>61</v>
      </c>
      <c r="C78" s="84">
        <f t="shared" si="5"/>
        <v>0</v>
      </c>
      <c r="D78" s="15">
        <v>0</v>
      </c>
      <c r="E78" s="15" t="s">
        <v>166</v>
      </c>
      <c r="F78" s="15" t="s">
        <v>6</v>
      </c>
      <c r="G78" s="15">
        <f t="shared" si="6"/>
        <v>0</v>
      </c>
      <c r="H78" s="17" t="str">
        <f t="shared" si="7"/>
        <v/>
      </c>
    </row>
    <row r="79" spans="2:8">
      <c r="B79" s="14" t="s">
        <v>62</v>
      </c>
      <c r="C79" s="84">
        <f t="shared" si="5"/>
        <v>0</v>
      </c>
      <c r="D79" s="15">
        <v>0</v>
      </c>
      <c r="E79" s="15" t="s">
        <v>166</v>
      </c>
      <c r="F79" s="15" t="s">
        <v>6</v>
      </c>
      <c r="G79" s="15">
        <f t="shared" si="6"/>
        <v>0</v>
      </c>
      <c r="H79" s="17" t="str">
        <f t="shared" si="7"/>
        <v/>
      </c>
    </row>
    <row r="80" spans="2:8">
      <c r="B80" s="14" t="s">
        <v>63</v>
      </c>
      <c r="C80" s="84">
        <f t="shared" si="5"/>
        <v>0</v>
      </c>
      <c r="D80" s="15">
        <v>0</v>
      </c>
      <c r="E80" s="15" t="s">
        <v>166</v>
      </c>
      <c r="F80" s="15" t="s">
        <v>6</v>
      </c>
      <c r="G80" s="15">
        <f t="shared" si="6"/>
        <v>0</v>
      </c>
      <c r="H80" s="17" t="str">
        <f t="shared" si="7"/>
        <v/>
      </c>
    </row>
    <row r="81" spans="2:8">
      <c r="B81" s="14" t="s">
        <v>64</v>
      </c>
      <c r="C81" s="84">
        <f t="shared" si="5"/>
        <v>0</v>
      </c>
      <c r="D81" s="15">
        <v>0</v>
      </c>
      <c r="E81" s="15" t="s">
        <v>166</v>
      </c>
      <c r="F81" s="15" t="s">
        <v>6</v>
      </c>
      <c r="G81" s="15">
        <f t="shared" si="6"/>
        <v>0</v>
      </c>
      <c r="H81" s="17" t="str">
        <f t="shared" si="7"/>
        <v/>
      </c>
    </row>
    <row r="82" spans="2:8">
      <c r="B82" s="14" t="s">
        <v>65</v>
      </c>
      <c r="C82" s="84">
        <f t="shared" si="5"/>
        <v>0</v>
      </c>
      <c r="D82" s="15">
        <v>0</v>
      </c>
      <c r="E82" s="15" t="s">
        <v>166</v>
      </c>
      <c r="F82" s="15" t="s">
        <v>6</v>
      </c>
      <c r="G82" s="15">
        <f t="shared" si="6"/>
        <v>0</v>
      </c>
      <c r="H82" s="17" t="str">
        <f t="shared" si="7"/>
        <v/>
      </c>
    </row>
    <row r="83" spans="2:8">
      <c r="B83" s="27" t="s">
        <v>66</v>
      </c>
      <c r="C83" s="84">
        <f t="shared" si="5"/>
        <v>0</v>
      </c>
      <c r="D83" s="14">
        <v>0</v>
      </c>
      <c r="E83" s="15" t="s">
        <v>166</v>
      </c>
      <c r="F83" s="15" t="s">
        <v>6</v>
      </c>
      <c r="G83" s="15">
        <f t="shared" si="6"/>
        <v>0</v>
      </c>
      <c r="H83" s="17" t="str">
        <f t="shared" si="7"/>
        <v/>
      </c>
    </row>
    <row r="84" spans="2:8">
      <c r="B84" s="14" t="s">
        <v>67</v>
      </c>
      <c r="C84" s="84">
        <f t="shared" si="5"/>
        <v>0</v>
      </c>
      <c r="D84" s="15">
        <v>0</v>
      </c>
      <c r="E84" s="15" t="s">
        <v>166</v>
      </c>
      <c r="F84" s="15" t="s">
        <v>6</v>
      </c>
      <c r="G84" s="15">
        <f t="shared" si="6"/>
        <v>0</v>
      </c>
      <c r="H84" s="17" t="str">
        <f t="shared" si="7"/>
        <v/>
      </c>
    </row>
    <row r="85" spans="2:8">
      <c r="B85" s="14" t="s">
        <v>68</v>
      </c>
      <c r="C85" s="84">
        <f t="shared" si="5"/>
        <v>0</v>
      </c>
      <c r="D85" s="15">
        <v>0</v>
      </c>
      <c r="E85" s="15" t="s">
        <v>166</v>
      </c>
      <c r="F85" s="15" t="s">
        <v>6</v>
      </c>
      <c r="G85" s="15">
        <f t="shared" si="6"/>
        <v>0</v>
      </c>
      <c r="H85" s="17" t="str">
        <f t="shared" si="7"/>
        <v/>
      </c>
    </row>
    <row r="86" spans="2:8">
      <c r="B86" s="14" t="s">
        <v>69</v>
      </c>
      <c r="C86" s="84">
        <f t="shared" si="5"/>
        <v>0</v>
      </c>
      <c r="D86" s="15">
        <v>0</v>
      </c>
      <c r="E86" s="15" t="s">
        <v>166</v>
      </c>
      <c r="F86" s="15" t="s">
        <v>6</v>
      </c>
      <c r="G86" s="15">
        <f t="shared" si="6"/>
        <v>0</v>
      </c>
      <c r="H86" s="17" t="str">
        <f t="shared" si="7"/>
        <v/>
      </c>
    </row>
    <row r="87" spans="2:8">
      <c r="B87" s="14" t="s">
        <v>70</v>
      </c>
      <c r="C87" s="84">
        <v>0</v>
      </c>
      <c r="D87" s="15">
        <v>1400</v>
      </c>
      <c r="E87" s="15" t="s">
        <v>166</v>
      </c>
      <c r="F87" s="15" t="s">
        <v>6</v>
      </c>
      <c r="G87" s="15">
        <f t="shared" si="6"/>
        <v>1400</v>
      </c>
      <c r="H87" s="17" t="str">
        <f t="shared" si="7"/>
        <v/>
      </c>
    </row>
    <row r="88" spans="2:8">
      <c r="B88" s="14" t="s">
        <v>71</v>
      </c>
      <c r="C88" s="84">
        <f t="shared" si="5"/>
        <v>0</v>
      </c>
      <c r="D88" s="15">
        <v>0</v>
      </c>
      <c r="E88" s="15" t="s">
        <v>166</v>
      </c>
      <c r="F88" s="15" t="s">
        <v>6</v>
      </c>
      <c r="G88" s="15">
        <f t="shared" si="6"/>
        <v>0</v>
      </c>
      <c r="H88" s="17" t="str">
        <f t="shared" si="7"/>
        <v/>
      </c>
    </row>
    <row r="89" spans="2:8">
      <c r="B89" s="14" t="s">
        <v>72</v>
      </c>
      <c r="C89" s="84">
        <f t="shared" si="5"/>
        <v>0</v>
      </c>
      <c r="D89" s="15">
        <v>0</v>
      </c>
      <c r="E89" s="15" t="s">
        <v>166</v>
      </c>
      <c r="F89" s="15" t="s">
        <v>6</v>
      </c>
      <c r="G89" s="15">
        <f t="shared" si="6"/>
        <v>0</v>
      </c>
      <c r="H89" s="17" t="str">
        <f t="shared" si="7"/>
        <v/>
      </c>
    </row>
    <row r="90" spans="2:8">
      <c r="B90" s="14" t="s">
        <v>73</v>
      </c>
      <c r="C90" s="84">
        <f t="shared" si="5"/>
        <v>0</v>
      </c>
      <c r="D90" s="15">
        <v>0</v>
      </c>
      <c r="E90" s="15" t="s">
        <v>166</v>
      </c>
      <c r="F90" s="15" t="s">
        <v>6</v>
      </c>
      <c r="G90" s="15">
        <f t="shared" si="6"/>
        <v>0</v>
      </c>
      <c r="H90" s="17" t="str">
        <f t="shared" si="7"/>
        <v/>
      </c>
    </row>
    <row r="91" spans="2:8">
      <c r="B91" s="14" t="s">
        <v>74</v>
      </c>
      <c r="C91" s="84">
        <f t="shared" si="5"/>
        <v>0</v>
      </c>
      <c r="D91" s="15">
        <v>0</v>
      </c>
      <c r="E91" s="15" t="s">
        <v>166</v>
      </c>
      <c r="F91" s="15" t="s">
        <v>6</v>
      </c>
      <c r="G91" s="15">
        <f t="shared" si="6"/>
        <v>0</v>
      </c>
      <c r="H91" s="17" t="str">
        <f t="shared" si="7"/>
        <v/>
      </c>
    </row>
    <row r="92" spans="2:8">
      <c r="B92" s="14" t="s">
        <v>75</v>
      </c>
      <c r="C92" s="84">
        <f t="shared" si="5"/>
        <v>0</v>
      </c>
      <c r="D92" s="15">
        <v>0</v>
      </c>
      <c r="E92" s="15" t="s">
        <v>166</v>
      </c>
      <c r="F92" s="15" t="s">
        <v>6</v>
      </c>
      <c r="G92" s="15">
        <f t="shared" si="6"/>
        <v>0</v>
      </c>
      <c r="H92" s="17" t="str">
        <f t="shared" si="7"/>
        <v/>
      </c>
    </row>
    <row r="93" spans="2:8">
      <c r="B93" s="14" t="s">
        <v>76</v>
      </c>
      <c r="C93" s="84">
        <f t="shared" si="5"/>
        <v>0</v>
      </c>
      <c r="D93" s="15">
        <v>0</v>
      </c>
      <c r="E93" s="15" t="s">
        <v>166</v>
      </c>
      <c r="F93" s="15" t="s">
        <v>6</v>
      </c>
      <c r="G93" s="15">
        <f t="shared" si="6"/>
        <v>0</v>
      </c>
      <c r="H93" s="17" t="str">
        <f t="shared" si="7"/>
        <v/>
      </c>
    </row>
    <row r="94" spans="2:8">
      <c r="B94" s="14" t="s">
        <v>77</v>
      </c>
      <c r="C94" s="84">
        <f t="shared" si="5"/>
        <v>0</v>
      </c>
      <c r="D94" s="15">
        <v>0</v>
      </c>
      <c r="E94" s="15" t="s">
        <v>166</v>
      </c>
      <c r="F94" s="15" t="s">
        <v>6</v>
      </c>
      <c r="G94" s="15">
        <f t="shared" si="6"/>
        <v>0</v>
      </c>
      <c r="H94" s="17" t="str">
        <f t="shared" si="7"/>
        <v/>
      </c>
    </row>
    <row r="95" spans="2:8">
      <c r="B95" s="14" t="s">
        <v>78</v>
      </c>
      <c r="C95" s="84">
        <f t="shared" si="5"/>
        <v>0</v>
      </c>
      <c r="D95" s="15">
        <v>0</v>
      </c>
      <c r="E95" s="15" t="s">
        <v>166</v>
      </c>
      <c r="F95" s="15" t="s">
        <v>6</v>
      </c>
      <c r="G95" s="15">
        <f t="shared" si="6"/>
        <v>0</v>
      </c>
      <c r="H95" s="17" t="str">
        <f t="shared" si="7"/>
        <v/>
      </c>
    </row>
    <row r="96" spans="2:8">
      <c r="B96" s="14" t="s">
        <v>79</v>
      </c>
      <c r="C96" s="84">
        <f t="shared" si="5"/>
        <v>0</v>
      </c>
      <c r="D96" s="15">
        <v>0</v>
      </c>
      <c r="E96" s="15" t="s">
        <v>166</v>
      </c>
      <c r="F96" s="15" t="s">
        <v>6</v>
      </c>
      <c r="G96" s="15">
        <f t="shared" si="6"/>
        <v>0</v>
      </c>
      <c r="H96" s="17" t="str">
        <f t="shared" si="7"/>
        <v/>
      </c>
    </row>
    <row r="97" spans="2:8">
      <c r="B97" s="14" t="s">
        <v>80</v>
      </c>
      <c r="C97" s="84">
        <f t="shared" si="5"/>
        <v>0</v>
      </c>
      <c r="D97" s="15">
        <v>0</v>
      </c>
      <c r="E97" s="15" t="s">
        <v>166</v>
      </c>
      <c r="F97" s="15" t="s">
        <v>6</v>
      </c>
      <c r="G97" s="15">
        <f t="shared" si="6"/>
        <v>0</v>
      </c>
      <c r="H97" s="17" t="str">
        <f t="shared" si="7"/>
        <v/>
      </c>
    </row>
    <row r="98" spans="2:8">
      <c r="B98" s="14" t="s">
        <v>81</v>
      </c>
      <c r="C98" s="84">
        <f t="shared" si="5"/>
        <v>0</v>
      </c>
      <c r="D98" s="15">
        <v>0</v>
      </c>
      <c r="E98" s="15" t="s">
        <v>166</v>
      </c>
      <c r="F98" s="15" t="s">
        <v>6</v>
      </c>
      <c r="G98" s="15">
        <f t="shared" si="6"/>
        <v>0</v>
      </c>
      <c r="H98" s="17" t="str">
        <f t="shared" si="7"/>
        <v/>
      </c>
    </row>
    <row r="99" spans="2:8">
      <c r="B99" s="14" t="s">
        <v>82</v>
      </c>
      <c r="C99" s="84">
        <f t="shared" si="5"/>
        <v>0</v>
      </c>
      <c r="D99" s="15">
        <v>0</v>
      </c>
      <c r="E99" s="15" t="s">
        <v>166</v>
      </c>
      <c r="F99" s="15" t="s">
        <v>6</v>
      </c>
      <c r="G99" s="15">
        <f t="shared" si="6"/>
        <v>0</v>
      </c>
      <c r="H99" s="17" t="str">
        <f t="shared" si="7"/>
        <v/>
      </c>
    </row>
    <row r="100" spans="2:8">
      <c r="B100" s="14" t="s">
        <v>83</v>
      </c>
      <c r="C100" s="84">
        <f t="shared" si="5"/>
        <v>0</v>
      </c>
      <c r="D100" s="15">
        <v>0</v>
      </c>
      <c r="E100" s="15" t="s">
        <v>166</v>
      </c>
      <c r="F100" s="15" t="s">
        <v>6</v>
      </c>
      <c r="G100" s="15">
        <f t="shared" ref="G100:G106" si="8">$D100+$C100</f>
        <v>0</v>
      </c>
      <c r="H100" s="17" t="str">
        <f t="shared" ref="H100:H106" si="9">IF(AND($D100=0, $G100&gt;0),"new", IF(AND($D100&gt;0, $G100=0),"sold",""))</f>
        <v/>
      </c>
    </row>
    <row r="101" spans="2:8">
      <c r="B101" s="14" t="s">
        <v>84</v>
      </c>
      <c r="C101" s="84">
        <f t="shared" si="5"/>
        <v>0</v>
      </c>
      <c r="D101" s="15">
        <v>0</v>
      </c>
      <c r="E101" s="15" t="s">
        <v>166</v>
      </c>
      <c r="F101" s="15" t="s">
        <v>6</v>
      </c>
      <c r="G101" s="15">
        <f t="shared" si="8"/>
        <v>0</v>
      </c>
      <c r="H101" s="17" t="str">
        <f t="shared" si="9"/>
        <v/>
      </c>
    </row>
    <row r="102" spans="2:8">
      <c r="B102" s="14" t="s">
        <v>85</v>
      </c>
      <c r="C102" s="84">
        <f t="shared" si="5"/>
        <v>0</v>
      </c>
      <c r="D102" s="15">
        <v>0</v>
      </c>
      <c r="E102" s="15" t="s">
        <v>166</v>
      </c>
      <c r="F102" s="15" t="s">
        <v>6</v>
      </c>
      <c r="G102" s="15">
        <f t="shared" si="8"/>
        <v>0</v>
      </c>
      <c r="H102" s="17" t="str">
        <f t="shared" si="9"/>
        <v/>
      </c>
    </row>
    <row r="103" spans="2:8">
      <c r="B103" s="14" t="s">
        <v>86</v>
      </c>
      <c r="C103" s="84">
        <f t="shared" si="5"/>
        <v>0</v>
      </c>
      <c r="D103" s="15">
        <v>0</v>
      </c>
      <c r="E103" s="15" t="s">
        <v>166</v>
      </c>
      <c r="F103" s="15" t="s">
        <v>6</v>
      </c>
      <c r="G103" s="15">
        <f t="shared" si="8"/>
        <v>0</v>
      </c>
      <c r="H103" s="17" t="str">
        <f t="shared" si="9"/>
        <v/>
      </c>
    </row>
    <row r="104" spans="2:8">
      <c r="B104" s="14" t="s">
        <v>87</v>
      </c>
      <c r="C104" s="84">
        <f t="shared" si="5"/>
        <v>0</v>
      </c>
      <c r="D104" s="15">
        <v>0</v>
      </c>
      <c r="E104" s="15" t="s">
        <v>166</v>
      </c>
      <c r="F104" s="15" t="s">
        <v>6</v>
      </c>
      <c r="G104" s="15">
        <f t="shared" si="8"/>
        <v>0</v>
      </c>
      <c r="H104" s="17" t="str">
        <f t="shared" si="9"/>
        <v/>
      </c>
    </row>
    <row r="105" spans="2:8">
      <c r="B105" s="14" t="s">
        <v>88</v>
      </c>
      <c r="C105" s="84">
        <f t="shared" si="5"/>
        <v>0</v>
      </c>
      <c r="D105" s="15">
        <v>0</v>
      </c>
      <c r="E105" s="15" t="s">
        <v>166</v>
      </c>
      <c r="F105" s="15" t="s">
        <v>6</v>
      </c>
      <c r="G105" s="15">
        <f t="shared" si="8"/>
        <v>0</v>
      </c>
      <c r="H105" s="17" t="str">
        <f t="shared" si="9"/>
        <v/>
      </c>
    </row>
    <row r="106" spans="2:8">
      <c r="B106" s="18" t="s">
        <v>89</v>
      </c>
      <c r="C106" s="84">
        <f t="shared" si="5"/>
        <v>0</v>
      </c>
      <c r="D106" s="19">
        <v>0</v>
      </c>
      <c r="E106" s="19" t="s">
        <v>166</v>
      </c>
      <c r="F106" s="19" t="s">
        <v>6</v>
      </c>
      <c r="G106" s="19">
        <f t="shared" si="8"/>
        <v>0</v>
      </c>
      <c r="H106" s="20" t="str">
        <f t="shared" si="9"/>
        <v/>
      </c>
    </row>
    <row r="107" spans="2:8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slZpDOEIkdKdCp60VY4c4fJpdPWKMxad3IPFpTfS2JFKHkScjptGfliqQrfLQ97f4XsnxAynR0gy/0BDnMN5Hw==" saltValue="q6UrLeDUg0noxs2sqaR1WA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" workbookViewId="0">
      <selection activeCell="H11" sqref="H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0</v>
      </c>
      <c r="D6" s="86">
        <f t="shared" ref="D6:N6" si="0">2118.002 * 0.65</f>
        <v>1376.7012999999999</v>
      </c>
      <c r="E6" s="86">
        <f t="shared" si="0"/>
        <v>1376.7012999999999</v>
      </c>
      <c r="F6" s="86">
        <f t="shared" si="0"/>
        <v>1376.7012999999999</v>
      </c>
      <c r="G6" s="86">
        <f t="shared" si="0"/>
        <v>1376.7012999999999</v>
      </c>
      <c r="H6" s="86">
        <f t="shared" si="0"/>
        <v>1376.7012999999999</v>
      </c>
      <c r="I6" s="86">
        <f t="shared" si="0"/>
        <v>1376.7012999999999</v>
      </c>
      <c r="J6" s="86">
        <f t="shared" si="0"/>
        <v>1376.7012999999999</v>
      </c>
      <c r="K6" s="86">
        <f t="shared" si="0"/>
        <v>1376.7012999999999</v>
      </c>
      <c r="L6" s="86">
        <f t="shared" si="0"/>
        <v>1376.7012999999999</v>
      </c>
      <c r="M6" s="86">
        <f t="shared" si="0"/>
        <v>1376.7012999999999</v>
      </c>
      <c r="N6" s="86">
        <f t="shared" si="0"/>
        <v>1376.7012999999999</v>
      </c>
    </row>
    <row r="7" spans="2:14">
      <c r="B7" s="36" t="s">
        <v>105</v>
      </c>
      <c r="C7" s="87">
        <v>0</v>
      </c>
      <c r="D7" s="87">
        <f t="shared" ref="D7:N7" si="1">401.6506*0.95</f>
        <v>381.56806999999998</v>
      </c>
      <c r="E7" s="87">
        <f t="shared" si="1"/>
        <v>381.56806999999998</v>
      </c>
      <c r="F7" s="87">
        <f t="shared" si="1"/>
        <v>381.56806999999998</v>
      </c>
      <c r="G7" s="87">
        <f t="shared" si="1"/>
        <v>381.56806999999998</v>
      </c>
      <c r="H7" s="87">
        <f t="shared" si="1"/>
        <v>381.56806999999998</v>
      </c>
      <c r="I7" s="87">
        <f t="shared" si="1"/>
        <v>381.56806999999998</v>
      </c>
      <c r="J7" s="87">
        <f t="shared" si="1"/>
        <v>381.56806999999998</v>
      </c>
      <c r="K7" s="87">
        <f t="shared" si="1"/>
        <v>381.56806999999998</v>
      </c>
      <c r="L7" s="87">
        <f t="shared" si="1"/>
        <v>381.56806999999998</v>
      </c>
      <c r="M7" s="87">
        <f t="shared" si="1"/>
        <v>381.56806999999998</v>
      </c>
      <c r="N7" s="87">
        <f t="shared" si="1"/>
        <v>381.56806999999998</v>
      </c>
    </row>
    <row r="8" spans="2:14">
      <c r="B8" s="36" t="s">
        <v>106</v>
      </c>
      <c r="C8" s="87">
        <v>0</v>
      </c>
      <c r="D8" s="87">
        <f xml:space="preserve"> 362.2765</f>
        <v>362.2765</v>
      </c>
      <c r="E8" s="87">
        <f t="shared" ref="E8:N8" si="2" xml:space="preserve"> 362.2765 * 0.8</f>
        <v>289.82120000000003</v>
      </c>
      <c r="F8" s="87">
        <f t="shared" si="2"/>
        <v>289.82120000000003</v>
      </c>
      <c r="G8" s="87">
        <f t="shared" si="2"/>
        <v>289.82120000000003</v>
      </c>
      <c r="H8" s="87">
        <f t="shared" si="2"/>
        <v>289.82120000000003</v>
      </c>
      <c r="I8" s="87">
        <f t="shared" si="2"/>
        <v>289.82120000000003</v>
      </c>
      <c r="J8" s="87">
        <f t="shared" si="2"/>
        <v>289.82120000000003</v>
      </c>
      <c r="K8" s="87">
        <f t="shared" si="2"/>
        <v>289.82120000000003</v>
      </c>
      <c r="L8" s="87">
        <f t="shared" si="2"/>
        <v>289.82120000000003</v>
      </c>
      <c r="M8" s="87">
        <f t="shared" si="2"/>
        <v>289.82120000000003</v>
      </c>
      <c r="N8" s="87">
        <f t="shared" si="2"/>
        <v>289.82120000000003</v>
      </c>
    </row>
    <row r="9" spans="2:14">
      <c r="B9" s="36" t="s">
        <v>107</v>
      </c>
      <c r="C9" s="87">
        <v>0</v>
      </c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2:14">
      <c r="B10" s="36" t="s">
        <v>108</v>
      </c>
      <c r="C10" s="87">
        <v>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1" spans="2:14">
      <c r="B11" s="37" t="s">
        <v>109</v>
      </c>
      <c r="C11" s="87">
        <v>0</v>
      </c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</v>
      </c>
      <c r="D17" s="89">
        <v>0.6</v>
      </c>
      <c r="E17" s="89">
        <v>1</v>
      </c>
      <c r="F17" s="89">
        <v>1.5</v>
      </c>
      <c r="G17" s="89">
        <v>0</v>
      </c>
      <c r="H17" s="89">
        <v>1000000</v>
      </c>
      <c r="I17" s="29" t="s">
        <v>110</v>
      </c>
    </row>
    <row r="18" spans="2:33">
      <c r="B18" s="36" t="s">
        <v>105</v>
      </c>
      <c r="C18" s="90">
        <v>1</v>
      </c>
      <c r="D18" s="90">
        <v>0.65</v>
      </c>
      <c r="E18" s="90">
        <v>1</v>
      </c>
      <c r="F18" s="89">
        <v>1.5</v>
      </c>
      <c r="G18" s="90">
        <v>0</v>
      </c>
      <c r="H18" s="90">
        <v>1000000</v>
      </c>
      <c r="I18" s="29" t="s">
        <v>110</v>
      </c>
    </row>
    <row r="19" spans="2:33">
      <c r="B19" s="36" t="s">
        <v>106</v>
      </c>
      <c r="C19" s="90">
        <v>1</v>
      </c>
      <c r="D19" s="90">
        <v>0.72</v>
      </c>
      <c r="E19" s="90">
        <v>1</v>
      </c>
      <c r="F19" s="89">
        <v>1.5</v>
      </c>
      <c r="G19" s="90">
        <v>0</v>
      </c>
      <c r="H19" s="90">
        <v>1000000</v>
      </c>
      <c r="I19" s="29" t="s">
        <v>110</v>
      </c>
    </row>
    <row r="20" spans="2:33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0.68616087553988669</v>
      </c>
      <c r="E30" s="35">
        <v>0</v>
      </c>
      <c r="F30" s="47">
        <v>0.64171751702829749</v>
      </c>
      <c r="G30" s="46">
        <v>0</v>
      </c>
      <c r="H30" s="47">
        <v>0.8295043288750632</v>
      </c>
      <c r="I30" s="46">
        <v>0</v>
      </c>
      <c r="J30" s="47">
        <v>0.85195298768145433</v>
      </c>
      <c r="K30" s="46"/>
      <c r="L30" s="47">
        <v>0.87181858933515421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0.65376248745918275</v>
      </c>
      <c r="G31" s="79">
        <v>0</v>
      </c>
      <c r="H31" s="61">
        <v>0.84540928358710421</v>
      </c>
      <c r="I31" s="62">
        <v>0</v>
      </c>
      <c r="J31" s="61">
        <v>0.79341974686465555</v>
      </c>
      <c r="K31" s="62"/>
      <c r="L31" s="61">
        <v>0.87729954875381289</v>
      </c>
      <c r="M31" s="62"/>
      <c r="N31" s="63">
        <v>0.8336267728479646</v>
      </c>
      <c r="O31" s="88"/>
      <c r="P31" s="63">
        <f>O31+M31+K31+I31+G31</f>
        <v>0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0.76962524616122252</v>
      </c>
      <c r="I32" s="79">
        <v>0</v>
      </c>
      <c r="J32" s="61">
        <v>0.75112057603575599</v>
      </c>
      <c r="K32" s="62"/>
      <c r="L32" s="61">
        <v>0.80188642998529402</v>
      </c>
      <c r="M32" s="62"/>
      <c r="N32" s="63">
        <v>0.81985520450982041</v>
      </c>
      <c r="O32" s="88"/>
      <c r="P32" s="63">
        <f>O32+M32+K32+I32</f>
        <v>0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0.73914561780691146</v>
      </c>
      <c r="K33" s="79"/>
      <c r="L33" s="61">
        <v>0.73716643524096881</v>
      </c>
      <c r="M33" s="62"/>
      <c r="N33" s="63">
        <v>0.7922499396770869</v>
      </c>
      <c r="O33" s="88"/>
      <c r="P33" s="63">
        <f>O33+M33+K33</f>
        <v>0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0.67792213259339329</v>
      </c>
      <c r="M34" s="79"/>
      <c r="N34" s="63">
        <v>0.74099510470754837</v>
      </c>
      <c r="O34" s="88"/>
      <c r="P34" s="63">
        <f>O34+M34</f>
        <v>0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0.68592924540042888</v>
      </c>
      <c r="O35" s="88"/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1.0288140534879155</v>
      </c>
      <c r="E36" s="35">
        <v>0</v>
      </c>
      <c r="F36" s="73">
        <v>1.0108999284690923</v>
      </c>
      <c r="G36" s="74">
        <v>0</v>
      </c>
      <c r="H36" s="73">
        <v>1.0032828986441651</v>
      </c>
      <c r="I36" s="74">
        <v>136000</v>
      </c>
      <c r="J36" s="73">
        <v>1.0357981248188022</v>
      </c>
      <c r="K36" s="74"/>
      <c r="L36" s="66">
        <v>0.97406708065219405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0.98955166281759732</v>
      </c>
      <c r="G37" s="79">
        <v>0</v>
      </c>
      <c r="H37" s="61">
        <v>0.95103433990902408</v>
      </c>
      <c r="I37" s="62">
        <v>136000</v>
      </c>
      <c r="J37" s="61">
        <v>0.9919351074281193</v>
      </c>
      <c r="K37" s="62"/>
      <c r="L37" s="61">
        <v>0.94692158975803442</v>
      </c>
      <c r="M37" s="62"/>
      <c r="N37" s="61">
        <v>1.3519645777200024</v>
      </c>
      <c r="O37" s="88"/>
      <c r="P37" s="63">
        <f>O37+M37+K37+I37+G37</f>
        <v>136000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0.9180320969671012</v>
      </c>
      <c r="I38" s="79">
        <v>136000</v>
      </c>
      <c r="J38" s="61">
        <v>0.95493263137485418</v>
      </c>
      <c r="K38" s="62"/>
      <c r="L38" s="61">
        <v>0.93709078332824058</v>
      </c>
      <c r="M38" s="62"/>
      <c r="N38" s="61">
        <v>1.2538421609133918</v>
      </c>
      <c r="O38" s="88"/>
      <c r="P38" s="63">
        <f>O38+M38+K38+I38</f>
        <v>136000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0.9100411573201419</v>
      </c>
      <c r="K39" s="79">
        <v>89461</v>
      </c>
      <c r="L39" s="61">
        <v>0.92721692835977987</v>
      </c>
      <c r="M39" s="62"/>
      <c r="N39" s="61">
        <v>1.1631721092862846</v>
      </c>
      <c r="O39" s="88"/>
      <c r="P39" s="63">
        <f>O39+M39+K39</f>
        <v>89461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0.89172850017249583</v>
      </c>
      <c r="M40" s="79">
        <v>89461</v>
      </c>
      <c r="N40" s="61">
        <v>1.1067776852666162</v>
      </c>
      <c r="O40" s="88"/>
      <c r="P40" s="63">
        <f>O40+M40</f>
        <v>89461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1.0097698285728693</v>
      </c>
      <c r="O41" s="88">
        <v>107018.3</v>
      </c>
      <c r="P41" s="64">
        <f>O41</f>
        <v>107018.3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f>100/12</f>
        <v>8.3333333333333339</v>
      </c>
      <c r="D47" s="91">
        <f t="shared" ref="D47:N47" si="3">100/12</f>
        <v>8.3333333333333339</v>
      </c>
      <c r="E47" s="91">
        <f t="shared" si="3"/>
        <v>8.3333333333333339</v>
      </c>
      <c r="F47" s="91">
        <f t="shared" si="3"/>
        <v>8.3333333333333339</v>
      </c>
      <c r="G47" s="91">
        <f t="shared" si="3"/>
        <v>8.3333333333333339</v>
      </c>
      <c r="H47" s="91">
        <f t="shared" si="3"/>
        <v>8.3333333333333339</v>
      </c>
      <c r="I47" s="91">
        <f t="shared" si="3"/>
        <v>8.3333333333333339</v>
      </c>
      <c r="J47" s="91">
        <f t="shared" si="3"/>
        <v>8.3333333333333339</v>
      </c>
      <c r="K47" s="91">
        <f t="shared" si="3"/>
        <v>8.3333333333333339</v>
      </c>
      <c r="L47" s="91">
        <f t="shared" si="3"/>
        <v>8.3333333333333339</v>
      </c>
      <c r="M47" s="91">
        <f t="shared" si="3"/>
        <v>8.3333333333333339</v>
      </c>
      <c r="N47" s="91">
        <f t="shared" si="3"/>
        <v>8.3333333333333339</v>
      </c>
      <c r="O47" s="33">
        <f>SUM(C47:N47)</f>
        <v>99.999999999999986</v>
      </c>
    </row>
    <row r="48" spans="2:17">
      <c r="B48" s="37" t="s">
        <v>113</v>
      </c>
      <c r="C48" s="91">
        <v>0</v>
      </c>
      <c r="D48" s="91">
        <f>100/11</f>
        <v>9.0909090909090917</v>
      </c>
      <c r="E48" s="91">
        <f t="shared" ref="E48:N48" si="4">100/11</f>
        <v>9.0909090909090917</v>
      </c>
      <c r="F48" s="91">
        <f t="shared" si="4"/>
        <v>9.0909090909090917</v>
      </c>
      <c r="G48" s="91">
        <f t="shared" si="4"/>
        <v>9.0909090909090917</v>
      </c>
      <c r="H48" s="91">
        <f t="shared" si="4"/>
        <v>9.0909090909090917</v>
      </c>
      <c r="I48" s="91">
        <f t="shared" si="4"/>
        <v>9.0909090909090917</v>
      </c>
      <c r="J48" s="91">
        <f t="shared" si="4"/>
        <v>9.0909090909090917</v>
      </c>
      <c r="K48" s="91">
        <f t="shared" si="4"/>
        <v>9.0909090909090917</v>
      </c>
      <c r="L48" s="91">
        <f t="shared" si="4"/>
        <v>9.0909090909090917</v>
      </c>
      <c r="M48" s="91">
        <f t="shared" si="4"/>
        <v>9.0909090909090917</v>
      </c>
      <c r="N48" s="91">
        <f t="shared" si="4"/>
        <v>9.0909090909090917</v>
      </c>
      <c r="O48" s="33">
        <f>SUM(C48:N48)</f>
        <v>100.00000000000001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KLtSzzdpF/objQy3Weo8J2mJRXQgHVvtOGDqX7ZwEZDPZUULnk0l3BtKpqapA4T+dYZfy30Zn/XGbRT2/fgcew==" saltValue="zSkN5CZ1Ay4Haizl/3i8bg==" spinCount="100000" sheet="1" objects="1" scenarios="1"/>
  <phoneticPr fontId="0" type="noConversion"/>
  <dataValidations xWindow="205" yWindow="357"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workbookViewId="0">
      <selection activeCell="C28" sqref="C28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20">
      <c r="B2" s="28" t="s">
        <v>114</v>
      </c>
    </row>
    <row r="3" spans="2:20">
      <c r="B3" s="30" t="s">
        <v>144</v>
      </c>
    </row>
    <row r="4" spans="2:20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>
      <c r="B6" s="45" t="s">
        <v>163</v>
      </c>
      <c r="C6" s="92"/>
      <c r="D6" s="92">
        <f>0.273797 * 100</f>
        <v>27.3797</v>
      </c>
      <c r="E6" s="92"/>
      <c r="F6" s="92">
        <f>0.08137569 * 100</f>
        <v>8.1375689999999992</v>
      </c>
      <c r="G6" s="92"/>
      <c r="H6" s="92">
        <f xml:space="preserve"> 0.4674289*100</f>
        <v>46.742889999999996</v>
      </c>
      <c r="I6" s="92"/>
      <c r="J6" s="92">
        <f>0.1773984*100</f>
        <v>17.739840000000001</v>
      </c>
      <c r="K6" s="96">
        <f>SUM($C$6:$J$6)</f>
        <v>99.999998999999988</v>
      </c>
      <c r="L6" s="49"/>
      <c r="M6" s="49"/>
      <c r="N6" s="49"/>
      <c r="O6" s="49"/>
      <c r="P6" s="49"/>
      <c r="Q6" s="49"/>
      <c r="R6" s="50"/>
      <c r="S6" s="50"/>
      <c r="T6" s="50"/>
    </row>
    <row r="7" spans="2:20">
      <c r="B7" s="45" t="s">
        <v>105</v>
      </c>
      <c r="C7" s="92"/>
      <c r="D7" s="92"/>
      <c r="E7" s="92">
        <f>0.42008*100</f>
        <v>42.008000000000003</v>
      </c>
      <c r="F7" s="92"/>
      <c r="G7" s="92"/>
      <c r="H7" s="92"/>
      <c r="I7" s="92">
        <f>0.57992*100</f>
        <v>57.991999999999997</v>
      </c>
      <c r="J7" s="92">
        <v>0</v>
      </c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>
      <c r="B8" s="45" t="s">
        <v>106</v>
      </c>
      <c r="C8" s="92">
        <f>0.4678839*100</f>
        <v>46.78839</v>
      </c>
      <c r="D8" s="92"/>
      <c r="E8" s="92"/>
      <c r="F8" s="92"/>
      <c r="G8" s="92">
        <f>0.5321161*100</f>
        <v>53.21161</v>
      </c>
      <c r="H8" s="92"/>
      <c r="I8" s="92"/>
      <c r="J8" s="92">
        <v>0</v>
      </c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>
        <v>0</v>
      </c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>
        <v>0</v>
      </c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2">
        <v>0</v>
      </c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>
      <c r="C13" s="49"/>
      <c r="D13" s="49"/>
      <c r="E13" s="49"/>
      <c r="F13" s="49"/>
      <c r="G13" s="49"/>
      <c r="H13" s="49"/>
      <c r="I13" s="50"/>
      <c r="J13" s="50"/>
      <c r="K13" s="50"/>
    </row>
    <row r="14" spans="2:20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>
      <c r="B19" s="45" t="s">
        <v>120</v>
      </c>
      <c r="C19" s="93">
        <f>0.7273768*100</f>
        <v>72.737680000000012</v>
      </c>
      <c r="D19" s="44">
        <f>100-$C$19</f>
        <v>27.262319999999988</v>
      </c>
      <c r="E19" s="93">
        <f>0.5806958*100</f>
        <v>58.069580000000002</v>
      </c>
      <c r="F19" s="44">
        <f>100-$E$19</f>
        <v>41.930419999999998</v>
      </c>
      <c r="G19" s="93">
        <f>0.5135476*100</f>
        <v>51.354759999999999</v>
      </c>
      <c r="H19" s="44">
        <f>100-$G$19</f>
        <v>48.645240000000001</v>
      </c>
      <c r="I19" s="93">
        <f>0.5466106*100</f>
        <v>54.661059999999992</v>
      </c>
      <c r="J19" s="33">
        <f>100-$I$19</f>
        <v>45.338940000000008</v>
      </c>
      <c r="Q19" s="50"/>
      <c r="R19" s="50"/>
      <c r="S19" s="50"/>
    </row>
    <row r="20" spans="2:20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>
      <c r="I21" s="50"/>
      <c r="J21" s="50"/>
      <c r="K21" s="50"/>
    </row>
    <row r="22" spans="2:20">
      <c r="B22" s="52" t="s">
        <v>114</v>
      </c>
      <c r="I22" s="50"/>
      <c r="J22" s="50"/>
      <c r="K22" s="50"/>
    </row>
    <row r="23" spans="2:20">
      <c r="B23" s="55" t="s">
        <v>145</v>
      </c>
      <c r="I23" s="50"/>
      <c r="J23" s="50"/>
      <c r="K23" s="50"/>
    </row>
    <row r="24" spans="2:20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>
      <c r="B27" s="45" t="s">
        <v>34</v>
      </c>
      <c r="C27" s="92">
        <f>0.1413504*100</f>
        <v>14.135039999999998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>
      <c r="B28" s="45" t="s">
        <v>49</v>
      </c>
      <c r="C28" s="92">
        <f>0.5845724*100</f>
        <v>58.457239999999999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>
      <c r="B29" s="45" t="s">
        <v>57</v>
      </c>
      <c r="C29" s="92">
        <f>0.09320679*100</f>
        <v>9.3206790000000002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>
      <c r="B30" s="45" t="s">
        <v>70</v>
      </c>
      <c r="C30" s="92">
        <f>0.1808704*100</f>
        <v>18.087039999999998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>
      <c r="B31" s="45" t="s">
        <v>150</v>
      </c>
      <c r="C31" s="97">
        <f>SUM($C$27:$C$30)</f>
        <v>99.999999000000003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>
      <c r="I33" s="50"/>
      <c r="J33" s="50"/>
      <c r="K33" s="50"/>
    </row>
    <row r="34" spans="2:14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>
      <c r="B38" s="45" t="s">
        <v>34</v>
      </c>
      <c r="C38" s="92">
        <v>0</v>
      </c>
      <c r="D38" s="92">
        <f t="shared" ref="D38:N38" si="0">0.09663408*100</f>
        <v>9.6634080000000004</v>
      </c>
      <c r="E38" s="92">
        <f t="shared" si="0"/>
        <v>9.6634080000000004</v>
      </c>
      <c r="F38" s="92">
        <f t="shared" si="0"/>
        <v>9.6634080000000004</v>
      </c>
      <c r="G38" s="92">
        <f t="shared" si="0"/>
        <v>9.6634080000000004</v>
      </c>
      <c r="H38" s="92">
        <f t="shared" si="0"/>
        <v>9.6634080000000004</v>
      </c>
      <c r="I38" s="92">
        <f t="shared" si="0"/>
        <v>9.6634080000000004</v>
      </c>
      <c r="J38" s="92">
        <f t="shared" si="0"/>
        <v>9.6634080000000004</v>
      </c>
      <c r="K38" s="92">
        <f t="shared" si="0"/>
        <v>9.6634080000000004</v>
      </c>
      <c r="L38" s="92">
        <f t="shared" si="0"/>
        <v>9.6634080000000004</v>
      </c>
      <c r="M38" s="92">
        <f t="shared" si="0"/>
        <v>9.6634080000000004</v>
      </c>
      <c r="N38" s="92">
        <f t="shared" si="0"/>
        <v>9.6634080000000004</v>
      </c>
    </row>
    <row r="39" spans="2:14">
      <c r="B39" s="45" t="s">
        <v>49</v>
      </c>
      <c r="C39" s="92">
        <v>0</v>
      </c>
      <c r="D39" s="92">
        <f t="shared" ref="D39:N39" si="1">0.1197983*100</f>
        <v>11.97983</v>
      </c>
      <c r="E39" s="92">
        <f t="shared" si="1"/>
        <v>11.97983</v>
      </c>
      <c r="F39" s="92">
        <f t="shared" si="1"/>
        <v>11.97983</v>
      </c>
      <c r="G39" s="92">
        <f t="shared" si="1"/>
        <v>11.97983</v>
      </c>
      <c r="H39" s="92">
        <f t="shared" si="1"/>
        <v>11.97983</v>
      </c>
      <c r="I39" s="92">
        <f t="shared" si="1"/>
        <v>11.97983</v>
      </c>
      <c r="J39" s="92">
        <f t="shared" si="1"/>
        <v>11.97983</v>
      </c>
      <c r="K39" s="92">
        <f t="shared" si="1"/>
        <v>11.97983</v>
      </c>
      <c r="L39" s="92">
        <f t="shared" si="1"/>
        <v>11.97983</v>
      </c>
      <c r="M39" s="92">
        <f t="shared" si="1"/>
        <v>11.97983</v>
      </c>
      <c r="N39" s="92">
        <f t="shared" si="1"/>
        <v>11.97983</v>
      </c>
    </row>
    <row r="40" spans="2:14">
      <c r="B40" s="45" t="s">
        <v>57</v>
      </c>
      <c r="C40" s="92">
        <v>0</v>
      </c>
      <c r="D40" s="92">
        <f t="shared" ref="D40:N40" si="2">0.2236837*100</f>
        <v>22.368370000000002</v>
      </c>
      <c r="E40" s="92">
        <f t="shared" si="2"/>
        <v>22.368370000000002</v>
      </c>
      <c r="F40" s="92">
        <f t="shared" si="2"/>
        <v>22.368370000000002</v>
      </c>
      <c r="G40" s="92">
        <f t="shared" si="2"/>
        <v>22.368370000000002</v>
      </c>
      <c r="H40" s="92">
        <f t="shared" si="2"/>
        <v>22.368370000000002</v>
      </c>
      <c r="I40" s="92">
        <f t="shared" si="2"/>
        <v>22.368370000000002</v>
      </c>
      <c r="J40" s="92">
        <f t="shared" si="2"/>
        <v>22.368370000000002</v>
      </c>
      <c r="K40" s="92">
        <f t="shared" si="2"/>
        <v>22.368370000000002</v>
      </c>
      <c r="L40" s="92">
        <f t="shared" si="2"/>
        <v>22.368370000000002</v>
      </c>
      <c r="M40" s="92">
        <f t="shared" si="2"/>
        <v>22.368370000000002</v>
      </c>
      <c r="N40" s="92">
        <f t="shared" si="2"/>
        <v>22.368370000000002</v>
      </c>
    </row>
    <row r="41" spans="2:14">
      <c r="B41" s="45" t="s">
        <v>70</v>
      </c>
      <c r="C41" s="93">
        <v>0</v>
      </c>
      <c r="D41" s="93">
        <f t="shared" ref="D41:N41" si="3">0.1238574*100</f>
        <v>12.38574</v>
      </c>
      <c r="E41" s="93">
        <f t="shared" si="3"/>
        <v>12.38574</v>
      </c>
      <c r="F41" s="93">
        <f t="shared" si="3"/>
        <v>12.38574</v>
      </c>
      <c r="G41" s="93">
        <f t="shared" si="3"/>
        <v>12.38574</v>
      </c>
      <c r="H41" s="93">
        <f t="shared" si="3"/>
        <v>12.38574</v>
      </c>
      <c r="I41" s="93">
        <f t="shared" si="3"/>
        <v>12.38574</v>
      </c>
      <c r="J41" s="93">
        <f t="shared" si="3"/>
        <v>12.38574</v>
      </c>
      <c r="K41" s="93">
        <f t="shared" si="3"/>
        <v>12.38574</v>
      </c>
      <c r="L41" s="93">
        <f t="shared" si="3"/>
        <v>12.38574</v>
      </c>
      <c r="M41" s="93">
        <f t="shared" si="3"/>
        <v>12.38574</v>
      </c>
      <c r="N41" s="93">
        <f t="shared" si="3"/>
        <v>12.38574</v>
      </c>
    </row>
    <row r="42" spans="2:14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>
      <c r="I43" s="50"/>
      <c r="J43" s="50"/>
      <c r="K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>
      <c r="P53" s="50"/>
      <c r="Q53" s="50"/>
      <c r="R53" s="50"/>
      <c r="S53" s="50"/>
      <c r="T53" s="50"/>
      <c r="U53" s="50"/>
      <c r="V53" s="50"/>
      <c r="W53" s="50"/>
      <c r="X53" s="50"/>
    </row>
    <row r="65" spans="9:10">
      <c r="I65" s="50"/>
      <c r="J65" s="50"/>
    </row>
    <row r="66" spans="9:10">
      <c r="I66" s="50"/>
      <c r="J66" s="50"/>
    </row>
    <row r="67" spans="9:10">
      <c r="I67" s="50"/>
      <c r="J67" s="50"/>
    </row>
  </sheetData>
  <sheetProtection algorithmName="SHA-512" hashValue="eSqoM+oXPDmN+9xE8yyn03hUVc8In/W03pTQF+zsSsePVbWsEcIWZVeywrDfGsE92OtuNtGPd+fZWpoT0dPtsQ==" saltValue="2DsNtL0Vm5x4j1LFwTi2t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Formulas="1" showGridLines="0" tabSelected="1" zoomScale="85" zoomScaleNormal="85" zoomScalePageLayoutView="85" workbookViewId="0">
      <selection activeCell="D11" sqref="D11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3.2</v>
      </c>
      <c r="E6" s="88">
        <v>1.94</v>
      </c>
      <c r="F6" s="88">
        <v>1.94</v>
      </c>
      <c r="G6" s="88">
        <v>1.94</v>
      </c>
      <c r="H6" s="88">
        <v>1.94</v>
      </c>
      <c r="I6" s="88">
        <v>1.94</v>
      </c>
      <c r="J6" s="88">
        <v>1.94</v>
      </c>
      <c r="K6" s="88">
        <v>1.94</v>
      </c>
      <c r="L6" s="88">
        <v>1.94</v>
      </c>
      <c r="M6" s="88">
        <v>1.94</v>
      </c>
      <c r="N6" s="88">
        <v>1.94</v>
      </c>
      <c r="O6" s="88">
        <v>1.94</v>
      </c>
    </row>
    <row r="7" spans="2:15">
      <c r="C7" s="36" t="s">
        <v>127</v>
      </c>
      <c r="D7" s="88">
        <v>2.8</v>
      </c>
      <c r="E7" s="88">
        <v>1.74</v>
      </c>
      <c r="F7" s="88">
        <v>1.74</v>
      </c>
      <c r="G7" s="88">
        <v>1.74</v>
      </c>
      <c r="H7" s="88">
        <v>1.74</v>
      </c>
      <c r="I7" s="88">
        <v>1.74</v>
      </c>
      <c r="J7" s="88">
        <v>1.74</v>
      </c>
      <c r="K7" s="88">
        <v>1.74</v>
      </c>
      <c r="L7" s="88">
        <v>1.74</v>
      </c>
      <c r="M7" s="88">
        <v>1.74</v>
      </c>
      <c r="N7" s="88">
        <v>1.74</v>
      </c>
      <c r="O7" s="88">
        <v>1.74</v>
      </c>
    </row>
    <row r="8" spans="2:15">
      <c r="C8" s="36" t="s">
        <v>128</v>
      </c>
      <c r="D8" s="88">
        <v>2.8</v>
      </c>
      <c r="E8" s="88">
        <v>2.12</v>
      </c>
      <c r="F8" s="88">
        <v>2.12</v>
      </c>
      <c r="G8" s="88">
        <v>2.12</v>
      </c>
      <c r="H8" s="88">
        <v>2.12</v>
      </c>
      <c r="I8" s="88">
        <v>2.12</v>
      </c>
      <c r="J8" s="88">
        <v>2.12</v>
      </c>
      <c r="K8" s="88">
        <v>2.12</v>
      </c>
      <c r="L8" s="88">
        <v>2.12</v>
      </c>
      <c r="M8" s="88">
        <v>2.12</v>
      </c>
      <c r="N8" s="88">
        <v>2.12</v>
      </c>
      <c r="O8" s="88">
        <v>2.12</v>
      </c>
    </row>
    <row r="9" spans="2:15">
      <c r="C9" s="36" t="s">
        <v>129</v>
      </c>
      <c r="D9" s="88">
        <v>3.1</v>
      </c>
      <c r="E9" s="88">
        <v>1.98</v>
      </c>
      <c r="F9" s="88">
        <v>1.98</v>
      </c>
      <c r="G9" s="88">
        <v>1.98</v>
      </c>
      <c r="H9" s="88">
        <v>1.98</v>
      </c>
      <c r="I9" s="88">
        <v>1.98</v>
      </c>
      <c r="J9" s="88">
        <v>1.98</v>
      </c>
      <c r="K9" s="88">
        <v>1.98</v>
      </c>
      <c r="L9" s="88">
        <v>1.98</v>
      </c>
      <c r="M9" s="88">
        <v>1.98</v>
      </c>
      <c r="N9" s="88">
        <v>1.98</v>
      </c>
      <c r="O9" s="88">
        <v>1.98</v>
      </c>
    </row>
    <row r="10" spans="2:15">
      <c r="C10" s="36" t="s">
        <v>130</v>
      </c>
      <c r="D10" s="88">
        <v>3.1</v>
      </c>
      <c r="E10" s="88">
        <v>2.0499999999999998</v>
      </c>
      <c r="F10" s="88">
        <v>2.0499999999999998</v>
      </c>
      <c r="G10" s="88">
        <v>2.0499999999999998</v>
      </c>
      <c r="H10" s="88">
        <v>2.0499999999999998</v>
      </c>
      <c r="I10" s="88">
        <v>2.0499999999999998</v>
      </c>
      <c r="J10" s="88">
        <v>2.0499999999999998</v>
      </c>
      <c r="K10" s="88">
        <v>2.0499999999999998</v>
      </c>
      <c r="L10" s="88">
        <v>2.0499999999999998</v>
      </c>
      <c r="M10" s="88">
        <v>2.0499999999999998</v>
      </c>
      <c r="N10" s="88">
        <v>2.0499999999999998</v>
      </c>
      <c r="O10" s="88">
        <v>2.0499999999999998</v>
      </c>
    </row>
    <row r="11" spans="2:15">
      <c r="C11" s="36" t="s">
        <v>131</v>
      </c>
      <c r="D11" s="88">
        <v>4</v>
      </c>
      <c r="E11" s="88">
        <v>2.36</v>
      </c>
      <c r="F11" s="88">
        <v>2.36</v>
      </c>
      <c r="G11" s="88">
        <v>2.36</v>
      </c>
      <c r="H11" s="88">
        <v>2.36</v>
      </c>
      <c r="I11" s="88">
        <v>2.36</v>
      </c>
      <c r="J11" s="88">
        <v>2.36</v>
      </c>
      <c r="K11" s="88">
        <v>2.36</v>
      </c>
      <c r="L11" s="88">
        <v>2.36</v>
      </c>
      <c r="M11" s="88">
        <v>2.36</v>
      </c>
      <c r="N11" s="88">
        <v>2.36</v>
      </c>
      <c r="O11" s="88">
        <v>2.36</v>
      </c>
    </row>
    <row r="12" spans="2:15">
      <c r="C12" s="37" t="s">
        <v>132</v>
      </c>
      <c r="D12" s="88">
        <v>4</v>
      </c>
      <c r="E12" s="88">
        <v>2.0699999999999998</v>
      </c>
      <c r="F12" s="88">
        <v>2.0699999999999998</v>
      </c>
      <c r="G12" s="88">
        <v>2.0699999999999998</v>
      </c>
      <c r="H12" s="88">
        <v>2.0699999999999998</v>
      </c>
      <c r="I12" s="88">
        <v>2.0699999999999998</v>
      </c>
      <c r="J12" s="88">
        <v>2.0699999999999998</v>
      </c>
      <c r="K12" s="88">
        <v>2.0699999999999998</v>
      </c>
      <c r="L12" s="88">
        <v>2.0699999999999998</v>
      </c>
      <c r="M12" s="88">
        <v>2.0699999999999998</v>
      </c>
      <c r="N12" s="88">
        <v>2.0699999999999998</v>
      </c>
      <c r="O12" s="88">
        <v>2.0699999999999998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4</v>
      </c>
      <c r="E15" s="88">
        <v>3.36</v>
      </c>
      <c r="F15" s="88">
        <v>3.36</v>
      </c>
      <c r="G15" s="88">
        <v>3.36</v>
      </c>
      <c r="H15" s="88">
        <v>3.36</v>
      </c>
      <c r="I15" s="88">
        <v>3.36</v>
      </c>
      <c r="J15" s="88">
        <v>3.36</v>
      </c>
      <c r="K15" s="88">
        <v>3.36</v>
      </c>
      <c r="L15" s="88">
        <v>3.36</v>
      </c>
      <c r="M15" s="88">
        <v>3.36</v>
      </c>
      <c r="N15" s="88">
        <v>3.36</v>
      </c>
      <c r="O15" s="88">
        <v>3.36</v>
      </c>
    </row>
    <row r="16" spans="2:15">
      <c r="C16" s="36" t="s">
        <v>127</v>
      </c>
      <c r="D16" s="88">
        <v>4</v>
      </c>
      <c r="E16" s="88">
        <v>3.64</v>
      </c>
      <c r="F16" s="88">
        <v>3.64</v>
      </c>
      <c r="G16" s="88">
        <v>3.64</v>
      </c>
      <c r="H16" s="88">
        <v>3.64</v>
      </c>
      <c r="I16" s="88">
        <v>3.64</v>
      </c>
      <c r="J16" s="88">
        <v>3.64</v>
      </c>
      <c r="K16" s="88">
        <v>3.64</v>
      </c>
      <c r="L16" s="88">
        <v>3.64</v>
      </c>
      <c r="M16" s="88">
        <v>3.64</v>
      </c>
      <c r="N16" s="88">
        <v>3.64</v>
      </c>
      <c r="O16" s="88">
        <v>3.64</v>
      </c>
    </row>
    <row r="17" spans="2:15">
      <c r="C17" s="36" t="s">
        <v>128</v>
      </c>
      <c r="D17" s="88">
        <v>4</v>
      </c>
      <c r="E17" s="88">
        <v>3.38</v>
      </c>
      <c r="F17" s="88">
        <v>3.38</v>
      </c>
      <c r="G17" s="88">
        <v>3.38</v>
      </c>
      <c r="H17" s="88">
        <v>3.38</v>
      </c>
      <c r="I17" s="88">
        <v>3.38</v>
      </c>
      <c r="J17" s="88">
        <v>3.38</v>
      </c>
      <c r="K17" s="88">
        <v>3.38</v>
      </c>
      <c r="L17" s="88">
        <v>3.38</v>
      </c>
      <c r="M17" s="88">
        <v>3.38</v>
      </c>
      <c r="N17" s="88">
        <v>3.38</v>
      </c>
      <c r="O17" s="88">
        <v>3.38</v>
      </c>
    </row>
    <row r="18" spans="2:15">
      <c r="C18" s="36" t="s">
        <v>129</v>
      </c>
      <c r="D18" s="88">
        <v>4</v>
      </c>
      <c r="E18" s="88">
        <v>3.73</v>
      </c>
      <c r="F18" s="88">
        <v>3.73</v>
      </c>
      <c r="G18" s="88">
        <v>3.73</v>
      </c>
      <c r="H18" s="88">
        <v>3.73</v>
      </c>
      <c r="I18" s="88">
        <v>3.73</v>
      </c>
      <c r="J18" s="88">
        <v>3.73</v>
      </c>
      <c r="K18" s="88">
        <v>3.73</v>
      </c>
      <c r="L18" s="88">
        <v>3.73</v>
      </c>
      <c r="M18" s="88">
        <v>3.73</v>
      </c>
      <c r="N18" s="88">
        <v>3.73</v>
      </c>
      <c r="O18" s="88">
        <v>3.73</v>
      </c>
    </row>
    <row r="19" spans="2:15">
      <c r="C19" s="36" t="s">
        <v>130</v>
      </c>
      <c r="D19" s="88">
        <v>4</v>
      </c>
      <c r="E19" s="88">
        <v>3.24</v>
      </c>
      <c r="F19" s="88">
        <v>3.24</v>
      </c>
      <c r="G19" s="88">
        <v>3.24</v>
      </c>
      <c r="H19" s="88">
        <v>3.24</v>
      </c>
      <c r="I19" s="88">
        <v>3.24</v>
      </c>
      <c r="J19" s="88">
        <v>3.24</v>
      </c>
      <c r="K19" s="88">
        <v>3.24</v>
      </c>
      <c r="L19" s="88">
        <v>3.24</v>
      </c>
      <c r="M19" s="88">
        <v>3.24</v>
      </c>
      <c r="N19" s="88">
        <v>3.24</v>
      </c>
      <c r="O19" s="88">
        <v>3.24</v>
      </c>
    </row>
    <row r="20" spans="2:15">
      <c r="C20" s="36" t="s">
        <v>131</v>
      </c>
      <c r="D20" s="88">
        <v>4</v>
      </c>
      <c r="E20" s="88">
        <v>4</v>
      </c>
      <c r="F20" s="88">
        <v>4</v>
      </c>
      <c r="G20" s="88">
        <v>4</v>
      </c>
      <c r="H20" s="88">
        <v>4</v>
      </c>
      <c r="I20" s="88">
        <v>4</v>
      </c>
      <c r="J20" s="88">
        <v>4</v>
      </c>
      <c r="K20" s="88">
        <v>4</v>
      </c>
      <c r="L20" s="88">
        <v>4</v>
      </c>
      <c r="M20" s="88">
        <v>4</v>
      </c>
      <c r="N20" s="88">
        <v>4</v>
      </c>
      <c r="O20" s="88">
        <v>4</v>
      </c>
    </row>
    <row r="21" spans="2:15">
      <c r="C21" s="37" t="s">
        <v>132</v>
      </c>
      <c r="D21" s="88">
        <v>4</v>
      </c>
      <c r="E21" s="88">
        <v>4</v>
      </c>
      <c r="F21" s="88">
        <v>4</v>
      </c>
      <c r="G21" s="88">
        <v>4</v>
      </c>
      <c r="H21" s="88">
        <v>4</v>
      </c>
      <c r="I21" s="88">
        <v>4</v>
      </c>
      <c r="J21" s="88">
        <v>4</v>
      </c>
      <c r="K21" s="88">
        <v>4</v>
      </c>
      <c r="L21" s="88">
        <v>4</v>
      </c>
      <c r="M21" s="88">
        <v>4</v>
      </c>
      <c r="N21" s="88">
        <v>4</v>
      </c>
      <c r="O21" s="88">
        <v>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4</v>
      </c>
      <c r="E24" s="88">
        <v>3.86</v>
      </c>
      <c r="F24" s="88">
        <v>3.86</v>
      </c>
      <c r="G24" s="88">
        <v>3.86</v>
      </c>
      <c r="H24" s="88">
        <v>3.86</v>
      </c>
      <c r="I24" s="88">
        <v>3.86</v>
      </c>
      <c r="J24" s="88">
        <v>3.86</v>
      </c>
      <c r="K24" s="88">
        <v>3.86</v>
      </c>
      <c r="L24" s="88">
        <v>3.86</v>
      </c>
      <c r="M24" s="88">
        <v>3.86</v>
      </c>
      <c r="N24" s="88">
        <v>3.86</v>
      </c>
      <c r="O24" s="88">
        <v>3.86</v>
      </c>
    </row>
    <row r="25" spans="2:15">
      <c r="C25" s="36" t="s">
        <v>127</v>
      </c>
      <c r="D25" s="88">
        <v>4</v>
      </c>
      <c r="E25" s="88">
        <v>3.58</v>
      </c>
      <c r="F25" s="88">
        <v>3.58</v>
      </c>
      <c r="G25" s="88">
        <v>3.58</v>
      </c>
      <c r="H25" s="88">
        <v>3.58</v>
      </c>
      <c r="I25" s="88">
        <v>3.58</v>
      </c>
      <c r="J25" s="88">
        <v>3.58</v>
      </c>
      <c r="K25" s="88">
        <v>3.58</v>
      </c>
      <c r="L25" s="88">
        <v>3.58</v>
      </c>
      <c r="M25" s="88">
        <v>3.58</v>
      </c>
      <c r="N25" s="88">
        <v>3.58</v>
      </c>
      <c r="O25" s="88">
        <v>3.58</v>
      </c>
    </row>
    <row r="26" spans="2:15">
      <c r="C26" s="36" t="s">
        <v>128</v>
      </c>
      <c r="D26" s="88">
        <v>4</v>
      </c>
      <c r="E26" s="88">
        <v>4</v>
      </c>
      <c r="F26" s="88">
        <v>4</v>
      </c>
      <c r="G26" s="88">
        <v>4</v>
      </c>
      <c r="H26" s="88">
        <v>4</v>
      </c>
      <c r="I26" s="88">
        <v>4</v>
      </c>
      <c r="J26" s="88">
        <v>4</v>
      </c>
      <c r="K26" s="88">
        <v>4</v>
      </c>
      <c r="L26" s="88">
        <v>4</v>
      </c>
      <c r="M26" s="88">
        <v>4</v>
      </c>
      <c r="N26" s="88">
        <v>4</v>
      </c>
      <c r="O26" s="88">
        <v>4</v>
      </c>
    </row>
    <row r="27" spans="2:15">
      <c r="C27" s="36" t="s">
        <v>129</v>
      </c>
      <c r="D27" s="88">
        <v>4</v>
      </c>
      <c r="E27" s="88">
        <v>3.53</v>
      </c>
      <c r="F27" s="88">
        <v>3.53</v>
      </c>
      <c r="G27" s="88">
        <v>3.53</v>
      </c>
      <c r="H27" s="88">
        <v>3.53</v>
      </c>
      <c r="I27" s="88">
        <v>3.53</v>
      </c>
      <c r="J27" s="88">
        <v>3.53</v>
      </c>
      <c r="K27" s="88">
        <v>3.53</v>
      </c>
      <c r="L27" s="88">
        <v>3.53</v>
      </c>
      <c r="M27" s="88">
        <v>3.53</v>
      </c>
      <c r="N27" s="88">
        <v>3.53</v>
      </c>
      <c r="O27" s="88">
        <v>3.53</v>
      </c>
    </row>
    <row r="28" spans="2:15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>
      <c r="C29" s="36" t="s">
        <v>131</v>
      </c>
      <c r="D29" s="88">
        <v>4</v>
      </c>
      <c r="E29" s="88">
        <v>4</v>
      </c>
      <c r="F29" s="88">
        <v>4</v>
      </c>
      <c r="G29" s="88">
        <v>4</v>
      </c>
      <c r="H29" s="88">
        <v>4</v>
      </c>
      <c r="I29" s="88">
        <v>4</v>
      </c>
      <c r="J29" s="88">
        <v>4</v>
      </c>
      <c r="K29" s="88">
        <v>4</v>
      </c>
      <c r="L29" s="88">
        <v>4</v>
      </c>
      <c r="M29" s="88">
        <v>4</v>
      </c>
      <c r="N29" s="88">
        <v>4</v>
      </c>
      <c r="O29" s="88">
        <v>4</v>
      </c>
    </row>
    <row r="30" spans="2:15">
      <c r="C30" s="37" t="s">
        <v>132</v>
      </c>
      <c r="D30" s="88">
        <v>3.6</v>
      </c>
      <c r="E30" s="88">
        <v>4</v>
      </c>
      <c r="F30" s="88">
        <v>4</v>
      </c>
      <c r="G30" s="88">
        <v>4</v>
      </c>
      <c r="H30" s="88">
        <v>4</v>
      </c>
      <c r="I30" s="88">
        <v>4</v>
      </c>
      <c r="J30" s="88">
        <v>4</v>
      </c>
      <c r="K30" s="88">
        <v>4</v>
      </c>
      <c r="L30" s="88">
        <v>4</v>
      </c>
      <c r="M30" s="88">
        <v>4</v>
      </c>
      <c r="N30" s="88">
        <v>4</v>
      </c>
      <c r="O30" s="88">
        <v>4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2.8</v>
      </c>
      <c r="E33" s="88">
        <v>1.39</v>
      </c>
      <c r="F33" s="88">
        <v>1.39</v>
      </c>
      <c r="G33" s="88">
        <v>1.39</v>
      </c>
      <c r="H33" s="88">
        <v>1.39</v>
      </c>
      <c r="I33" s="88">
        <v>1.39</v>
      </c>
      <c r="J33" s="88">
        <v>1.39</v>
      </c>
      <c r="K33" s="88">
        <v>1.39</v>
      </c>
      <c r="L33" s="88">
        <v>1.39</v>
      </c>
      <c r="M33" s="88">
        <v>1.39</v>
      </c>
      <c r="N33" s="88">
        <v>1.39</v>
      </c>
      <c r="O33" s="88">
        <v>1.39</v>
      </c>
    </row>
    <row r="34" spans="3:15">
      <c r="C34" s="36" t="s">
        <v>127</v>
      </c>
      <c r="D34" s="88">
        <v>2.6</v>
      </c>
      <c r="E34" s="88">
        <v>1.33</v>
      </c>
      <c r="F34" s="88">
        <v>1.33</v>
      </c>
      <c r="G34" s="88">
        <v>1.33</v>
      </c>
      <c r="H34" s="88">
        <v>1.33</v>
      </c>
      <c r="I34" s="88">
        <v>1.33</v>
      </c>
      <c r="J34" s="88">
        <v>1.33</v>
      </c>
      <c r="K34" s="88">
        <v>1.33</v>
      </c>
      <c r="L34" s="88">
        <v>1.33</v>
      </c>
      <c r="M34" s="88">
        <v>1.33</v>
      </c>
      <c r="N34" s="88">
        <v>1.33</v>
      </c>
      <c r="O34" s="88">
        <v>1.33</v>
      </c>
    </row>
    <row r="35" spans="3:15">
      <c r="C35" s="36" t="s">
        <v>128</v>
      </c>
      <c r="D35" s="88">
        <v>2.5</v>
      </c>
      <c r="E35" s="88">
        <v>1.61</v>
      </c>
      <c r="F35" s="88">
        <v>1.61</v>
      </c>
      <c r="G35" s="88">
        <v>1.61</v>
      </c>
      <c r="H35" s="88">
        <v>1.61</v>
      </c>
      <c r="I35" s="88">
        <v>1.61</v>
      </c>
      <c r="J35" s="88">
        <v>1.61</v>
      </c>
      <c r="K35" s="88">
        <v>1.61</v>
      </c>
      <c r="L35" s="88">
        <v>1.61</v>
      </c>
      <c r="M35" s="88">
        <v>1.61</v>
      </c>
      <c r="N35" s="88">
        <v>1.61</v>
      </c>
      <c r="O35" s="88">
        <v>1.61</v>
      </c>
    </row>
    <row r="36" spans="3:15">
      <c r="C36" s="36" t="s">
        <v>129</v>
      </c>
      <c r="D36" s="88">
        <v>4</v>
      </c>
      <c r="E36" s="88">
        <v>1.69</v>
      </c>
      <c r="F36" s="88">
        <v>1.69</v>
      </c>
      <c r="G36" s="88">
        <v>1.69</v>
      </c>
      <c r="H36" s="88">
        <v>1.69</v>
      </c>
      <c r="I36" s="88">
        <v>1.69</v>
      </c>
      <c r="J36" s="88">
        <v>1.69</v>
      </c>
      <c r="K36" s="88">
        <v>1.69</v>
      </c>
      <c r="L36" s="88">
        <v>1.69</v>
      </c>
      <c r="M36" s="88">
        <v>1.69</v>
      </c>
      <c r="N36" s="88">
        <v>1.69</v>
      </c>
      <c r="O36" s="88">
        <v>1.69</v>
      </c>
    </row>
    <row r="37" spans="3:15">
      <c r="C37" s="36" t="s">
        <v>130</v>
      </c>
      <c r="D37" s="88">
        <v>2.4</v>
      </c>
      <c r="E37" s="88">
        <v>1.59</v>
      </c>
      <c r="F37" s="88">
        <v>1.59</v>
      </c>
      <c r="G37" s="88">
        <v>1.59</v>
      </c>
      <c r="H37" s="88">
        <v>1.59</v>
      </c>
      <c r="I37" s="88">
        <v>1.59</v>
      </c>
      <c r="J37" s="88">
        <v>1.59</v>
      </c>
      <c r="K37" s="88">
        <v>1.59</v>
      </c>
      <c r="L37" s="88">
        <v>1.59</v>
      </c>
      <c r="M37" s="88">
        <v>1.59</v>
      </c>
      <c r="N37" s="88">
        <v>1.59</v>
      </c>
      <c r="O37" s="88">
        <v>1.59</v>
      </c>
    </row>
    <row r="38" spans="3:15">
      <c r="C38" s="36" t="s">
        <v>131</v>
      </c>
      <c r="D38" s="88">
        <v>4</v>
      </c>
      <c r="E38" s="88">
        <v>1.58</v>
      </c>
      <c r="F38" s="88">
        <v>1.58</v>
      </c>
      <c r="G38" s="88">
        <v>1.58</v>
      </c>
      <c r="H38" s="88">
        <v>1.58</v>
      </c>
      <c r="I38" s="88">
        <v>1.58</v>
      </c>
      <c r="J38" s="88">
        <v>1.58</v>
      </c>
      <c r="K38" s="88">
        <v>1.58</v>
      </c>
      <c r="L38" s="88">
        <v>1.58</v>
      </c>
      <c r="M38" s="88">
        <v>1.58</v>
      </c>
      <c r="N38" s="88">
        <v>1.58</v>
      </c>
      <c r="O38" s="88">
        <v>1.58</v>
      </c>
    </row>
    <row r="39" spans="3:15">
      <c r="C39" s="37" t="s">
        <v>132</v>
      </c>
      <c r="D39" s="88">
        <v>4</v>
      </c>
      <c r="E39" s="88">
        <v>3.19</v>
      </c>
      <c r="F39" s="88">
        <v>3.19</v>
      </c>
      <c r="G39" s="88">
        <v>3.19</v>
      </c>
      <c r="H39" s="88">
        <v>3.19</v>
      </c>
      <c r="I39" s="88">
        <v>3.19</v>
      </c>
      <c r="J39" s="88">
        <v>3.19</v>
      </c>
      <c r="K39" s="88">
        <v>3.19</v>
      </c>
      <c r="L39" s="88">
        <v>3.19</v>
      </c>
      <c r="M39" s="88">
        <v>3.19</v>
      </c>
      <c r="N39" s="88">
        <v>3.19</v>
      </c>
      <c r="O39" s="88">
        <v>3.19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ctEf9brpwdBdYHKIuQiurUKJ+Pn6QWhsprL2rCbn4tc9EcvwsuE8yQd4fdivVj929hTIeruIxlAKfuqBvkLCXA==" saltValue="QSx5czV3FC77V3g3l3yP1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Jessica Zou</cp:lastModifiedBy>
  <dcterms:created xsi:type="dcterms:W3CDTF">2003-07-09T21:14:27Z</dcterms:created>
  <dcterms:modified xsi:type="dcterms:W3CDTF">2015-12-13T22:43:26Z</dcterms:modified>
</cp:coreProperties>
</file>