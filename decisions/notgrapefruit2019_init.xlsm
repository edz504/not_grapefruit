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z/Documents/Princeton/Senior/ORF411/OJ/not_grapefruit/decisions/"/>
    </mc:Choice>
  </mc:AlternateContent>
  <bookViews>
    <workbookView xWindow="0" yWindow="460" windowWidth="28800" windowHeight="17460" activeTab="2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1" i="7" l="1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<sst xmlns="http://schemas.openxmlformats.org/spreadsheetml/2006/main" count="526" uniqueCount="167">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</sst>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9" t="s">
        <v>165</v>
      </c>
      <c r="E4" s="100"/>
      <c r="F4" s="101"/>
    </row>
    <row r="5" spans="2:6" x14ac:dyDescent="0.15">
      <c r="B5" s="6"/>
      <c r="C5" s="7" t="s">
        <v>111</v>
      </c>
      <c r="D5" s="102">
        <v>2019</v>
      </c>
      <c r="E5" s="103"/>
      <c r="F5" s="104"/>
    </row>
    <row r="6" spans="2:6" x14ac:dyDescent="0.15">
      <c r="B6" s="3"/>
      <c r="C6" s="3"/>
      <c r="D6" s="3"/>
      <c r="E6" s="3"/>
      <c r="F6" s="3"/>
    </row>
  </sheetData>
  <sheetProtection algorithmName="SHA-512" hashValue="SpTEjPZGXcH6GkqvVmL6Kc492qxjlx5GJtxoSSQLQ0UNk9v7wTCkBLncWOULwtuUuIueypScOPqzMNlJbTiAUg==" saltValue="FFNvb2aAfDGtNcpBD5+Cd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61" workbookViewId="0">
      <selection activeCell="C87" sqref="C87"/>
    </sheetView>
  </sheetViews>
  <sheetFormatPr baseColWidth="10" defaultColWidth="8.832031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1500</v>
      </c>
      <c r="E51" s="15" t="s">
        <v>166</v>
      </c>
      <c r="F51" s="15" t="s">
        <v>6</v>
      </c>
      <c r="G51" s="15">
        <f t="shared" si="3"/>
        <v>1500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4000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1250</v>
      </c>
      <c r="E74" s="15" t="s">
        <v>166</v>
      </c>
      <c r="F74" s="15" t="s">
        <v>6</v>
      </c>
      <c r="G74" s="15">
        <f t="shared" si="5"/>
        <v>1250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2000</v>
      </c>
      <c r="E87" s="15" t="s">
        <v>166</v>
      </c>
      <c r="F87" s="15" t="s">
        <v>6</v>
      </c>
      <c r="G87" s="15">
        <f t="shared" si="5"/>
        <v>2000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bwqXYxMx4WF4WMTim75c2rlgyTkts7bSCG4KTWYGglWQEA9OhT00vsgPPkWVhBOGcN7rjz9ZqDDZ28ZypbVaYQ==" saltValue="Ja3ZKAjppfFn9FWi3P7Q4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abSelected="1" topLeftCell="A10" workbookViewId="0">
      <selection activeCell="F36" sqref="F36:G36"/>
    </sheetView>
  </sheetViews>
  <sheetFormatPr baseColWidth="10" defaultColWidth="8.832031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1852.8606477090536</v>
      </c>
      <c r="D6" s="87">
        <v>1852.8606477090536</v>
      </c>
      <c r="E6" s="87">
        <v>1852.8606477090536</v>
      </c>
      <c r="F6" s="87">
        <v>1852.8606477090536</v>
      </c>
      <c r="G6" s="87">
        <v>1852.8606477090536</v>
      </c>
      <c r="H6" s="87">
        <v>1852.8606477090536</v>
      </c>
      <c r="I6" s="87">
        <v>1852.8606477090536</v>
      </c>
      <c r="J6" s="87">
        <v>1852.8606477090536</v>
      </c>
      <c r="K6" s="87">
        <v>1852.8606477090536</v>
      </c>
      <c r="L6" s="87">
        <v>1852.8606477090536</v>
      </c>
      <c r="M6" s="87">
        <v>1852.8606477090536</v>
      </c>
      <c r="N6" s="87">
        <v>1852.8606477090536</v>
      </c>
    </row>
    <row r="7" spans="2:14" x14ac:dyDescent="0.15">
      <c r="B7" s="36" t="s">
        <v>105</v>
      </c>
      <c r="C7" s="88">
        <v>321.85856808316544</v>
      </c>
      <c r="D7" s="89">
        <v>321.85856808316544</v>
      </c>
      <c r="E7" s="89">
        <v>321.85856808316544</v>
      </c>
      <c r="F7" s="89">
        <v>321.85856808316544</v>
      </c>
      <c r="G7" s="89">
        <v>321.85856808316544</v>
      </c>
      <c r="H7" s="89">
        <v>321.85856808316544</v>
      </c>
      <c r="I7" s="89">
        <v>321.85856808316544</v>
      </c>
      <c r="J7" s="89">
        <v>321.85856808316544</v>
      </c>
      <c r="K7" s="89">
        <v>321.85856808316544</v>
      </c>
      <c r="L7" s="89">
        <v>321.85856808316544</v>
      </c>
      <c r="M7" s="89">
        <v>321.85856808316544</v>
      </c>
      <c r="N7" s="89">
        <v>321.85856808316544</v>
      </c>
    </row>
    <row r="8" spans="2:14" x14ac:dyDescent="0.15">
      <c r="B8" s="36" t="s">
        <v>106</v>
      </c>
      <c r="C8" s="88">
        <v>330.28057767653399</v>
      </c>
      <c r="D8" s="89">
        <v>330.28057767653399</v>
      </c>
      <c r="E8" s="89">
        <v>330.28057767653399</v>
      </c>
      <c r="F8" s="89">
        <v>330.28057767653399</v>
      </c>
      <c r="G8" s="89">
        <v>330.28057767653399</v>
      </c>
      <c r="H8" s="89">
        <v>330.28057767653399</v>
      </c>
      <c r="I8" s="89">
        <v>330.28057767653399</v>
      </c>
      <c r="J8" s="89">
        <v>330.28057767653399</v>
      </c>
      <c r="K8" s="89">
        <v>330.28057767653399</v>
      </c>
      <c r="L8" s="89">
        <v>330.28057767653399</v>
      </c>
      <c r="M8" s="89">
        <v>330.28057767653399</v>
      </c>
      <c r="N8" s="89">
        <v>330.28057767653399</v>
      </c>
    </row>
    <row r="9" spans="2:14" x14ac:dyDescent="0.15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x14ac:dyDescent="0.15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x14ac:dyDescent="0.15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90">
        <v>1</v>
      </c>
      <c r="D17" s="90">
        <v>0.6</v>
      </c>
      <c r="E17" s="90">
        <v>1</v>
      </c>
      <c r="F17" s="90">
        <v>1.5</v>
      </c>
      <c r="G17" s="90">
        <v>0</v>
      </c>
      <c r="H17" s="90">
        <v>1000000</v>
      </c>
      <c r="I17" s="29" t="s">
        <v>110</v>
      </c>
    </row>
    <row r="18" spans="2:33" x14ac:dyDescent="0.15">
      <c r="B18" s="36" t="s">
        <v>105</v>
      </c>
      <c r="C18" s="91">
        <v>1</v>
      </c>
      <c r="D18" s="91">
        <v>0.65</v>
      </c>
      <c r="E18" s="91">
        <v>1</v>
      </c>
      <c r="F18" s="91">
        <v>1.5</v>
      </c>
      <c r="G18" s="91">
        <v>0</v>
      </c>
      <c r="H18" s="91">
        <v>1000000</v>
      </c>
      <c r="I18" s="29" t="s">
        <v>110</v>
      </c>
    </row>
    <row r="19" spans="2:33" x14ac:dyDescent="0.15">
      <c r="B19" s="36" t="s">
        <v>106</v>
      </c>
      <c r="C19" s="91">
        <v>1</v>
      </c>
      <c r="D19" s="91">
        <v>0.72</v>
      </c>
      <c r="E19" s="91">
        <v>1</v>
      </c>
      <c r="F19" s="91">
        <v>1.5</v>
      </c>
      <c r="G19" s="91">
        <v>0</v>
      </c>
      <c r="H19" s="91">
        <v>1000000</v>
      </c>
      <c r="I19" s="29" t="s">
        <v>110</v>
      </c>
    </row>
    <row r="20" spans="2:33" x14ac:dyDescent="0.15">
      <c r="B20" s="36" t="s">
        <v>107</v>
      </c>
      <c r="C20" s="91">
        <v>1</v>
      </c>
      <c r="D20" s="91">
        <v>1000000</v>
      </c>
      <c r="E20" s="91">
        <v>1</v>
      </c>
      <c r="F20" s="91">
        <v>1000000</v>
      </c>
      <c r="G20" s="91">
        <v>1</v>
      </c>
      <c r="H20" s="91">
        <v>1000000</v>
      </c>
    </row>
    <row r="21" spans="2:33" x14ac:dyDescent="0.15">
      <c r="B21" s="36" t="s">
        <v>108</v>
      </c>
      <c r="C21" s="91">
        <v>1</v>
      </c>
      <c r="D21" s="91">
        <v>1000000</v>
      </c>
      <c r="E21" s="91">
        <v>1</v>
      </c>
      <c r="F21" s="91">
        <v>1000000</v>
      </c>
      <c r="G21" s="91">
        <v>1</v>
      </c>
      <c r="H21" s="91">
        <v>1000000</v>
      </c>
    </row>
    <row r="22" spans="2:33" x14ac:dyDescent="0.15">
      <c r="B22" s="37" t="s">
        <v>109</v>
      </c>
      <c r="C22" s="91">
        <v>1</v>
      </c>
      <c r="D22" s="91">
        <v>1000000</v>
      </c>
      <c r="E22" s="91">
        <v>1</v>
      </c>
      <c r="F22" s="91">
        <v>1000000</v>
      </c>
      <c r="G22" s="91">
        <v>1</v>
      </c>
      <c r="H22" s="91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2014</v>
      </c>
      <c r="E28" s="49"/>
      <c r="F28" s="45">
        <f>basic_info!$D$5-4</f>
        <v>2015</v>
      </c>
      <c r="G28" s="49"/>
      <c r="H28" s="45">
        <f>basic_info!$D$5-3</f>
        <v>2016</v>
      </c>
      <c r="I28" s="49"/>
      <c r="J28" s="45">
        <f>basic_info!$D$5-2</f>
        <v>2017</v>
      </c>
      <c r="K28" s="49"/>
      <c r="L28" s="45">
        <f>basic_info!$D$5-1</f>
        <v>2018</v>
      </c>
      <c r="N28" s="45">
        <f>basic_info!$D$5</f>
        <v>2019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2019</v>
      </c>
      <c r="D30" s="44">
        <v>0.65376248745918275</v>
      </c>
      <c r="E30" s="35">
        <v>0</v>
      </c>
      <c r="F30" s="47">
        <v>0.84540928358710421</v>
      </c>
      <c r="G30" s="46">
        <v>0</v>
      </c>
      <c r="H30" s="47">
        <v>0.79341974686465555</v>
      </c>
      <c r="I30" s="46"/>
      <c r="J30" s="47">
        <v>0.87729954875381289</v>
      </c>
      <c r="K30" s="46"/>
      <c r="L30" s="47">
        <v>0.8336267728479646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2020</v>
      </c>
      <c r="D31" s="76"/>
      <c r="E31" s="75"/>
      <c r="F31" s="69">
        <v>0.76962524616122252</v>
      </c>
      <c r="G31" s="79">
        <v>0</v>
      </c>
      <c r="H31" s="61">
        <v>0.75112057603575599</v>
      </c>
      <c r="I31" s="62"/>
      <c r="J31" s="61">
        <v>0.80188642998529402</v>
      </c>
      <c r="K31" s="62"/>
      <c r="L31" s="61">
        <v>0.81985520450982041</v>
      </c>
      <c r="M31" s="62"/>
      <c r="N31" s="63">
        <v>0.73010878392622969</v>
      </c>
      <c r="O31" s="89"/>
      <c r="P31" s="63">
        <f>O31+M31+K31+I31+G31</f>
        <v>0</v>
      </c>
    </row>
    <row r="32" spans="2:33" x14ac:dyDescent="0.15">
      <c r="B32" s="36"/>
      <c r="C32" s="47">
        <f>basic_info!$D$5+2</f>
        <v>2021</v>
      </c>
      <c r="D32" s="76"/>
      <c r="E32" s="75"/>
      <c r="F32" s="75"/>
      <c r="G32" s="75"/>
      <c r="H32" s="69">
        <v>0.73914561780691146</v>
      </c>
      <c r="I32" s="79"/>
      <c r="J32" s="61">
        <v>0.73716643524096881</v>
      </c>
      <c r="K32" s="62"/>
      <c r="L32" s="61">
        <v>0.7922499396770869</v>
      </c>
      <c r="M32" s="62"/>
      <c r="N32" s="63">
        <v>0.72675506107651455</v>
      </c>
      <c r="O32" s="89"/>
      <c r="P32" s="63">
        <f>O32+M32+K32+I32</f>
        <v>0</v>
      </c>
    </row>
    <row r="33" spans="2:17" x14ac:dyDescent="0.15">
      <c r="B33" s="36"/>
      <c r="C33" s="47">
        <f>basic_info!$D$5+3</f>
        <v>2022</v>
      </c>
      <c r="D33" s="76"/>
      <c r="E33" s="75"/>
      <c r="F33" s="75"/>
      <c r="G33" s="75"/>
      <c r="H33" s="75"/>
      <c r="I33" s="75"/>
      <c r="J33" s="69">
        <v>0.67792213259339329</v>
      </c>
      <c r="K33" s="79"/>
      <c r="L33" s="61">
        <v>0.74099510470754837</v>
      </c>
      <c r="M33" s="62"/>
      <c r="N33" s="63">
        <v>0.67865850748702683</v>
      </c>
      <c r="O33" s="89"/>
      <c r="P33" s="63">
        <f>O33+M33+K33</f>
        <v>0</v>
      </c>
    </row>
    <row r="34" spans="2:17" x14ac:dyDescent="0.15">
      <c r="B34" s="36"/>
      <c r="C34" s="47">
        <f>basic_info!$D$5+4</f>
        <v>2023</v>
      </c>
      <c r="D34" s="76"/>
      <c r="E34" s="75"/>
      <c r="F34" s="75"/>
      <c r="G34" s="75"/>
      <c r="H34" s="75"/>
      <c r="I34" s="75"/>
      <c r="J34" s="75"/>
      <c r="K34" s="75"/>
      <c r="L34" s="69">
        <v>0.68592924540042888</v>
      </c>
      <c r="M34" s="79"/>
      <c r="N34" s="63">
        <v>0.68403415987106642</v>
      </c>
      <c r="O34" s="89"/>
      <c r="P34" s="63">
        <f>O34+M34</f>
        <v>0</v>
      </c>
    </row>
    <row r="35" spans="2:17" x14ac:dyDescent="0.15">
      <c r="B35" s="37"/>
      <c r="C35" s="72">
        <f>basic_info!$D$5+5</f>
        <v>2024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0.67421174497008329</v>
      </c>
      <c r="O35" s="89"/>
      <c r="P35" s="65">
        <f>O35</f>
        <v>0</v>
      </c>
    </row>
    <row r="36" spans="2:17" x14ac:dyDescent="0.15">
      <c r="B36" s="41" t="s">
        <v>113</v>
      </c>
      <c r="C36" s="36">
        <f>basic_info!$D$5</f>
        <v>2019</v>
      </c>
      <c r="D36" s="44">
        <v>0.98955166281759732</v>
      </c>
      <c r="E36" s="35">
        <v>0</v>
      </c>
      <c r="F36" s="73">
        <v>0.95103433990902408</v>
      </c>
      <c r="G36" s="74">
        <v>136000</v>
      </c>
      <c r="H36" s="73">
        <v>0.9919351074281193</v>
      </c>
      <c r="I36" s="74"/>
      <c r="J36" s="73">
        <v>0.94692158975803442</v>
      </c>
      <c r="K36" s="74"/>
      <c r="L36" s="66">
        <v>1.3519645777200024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2020</v>
      </c>
      <c r="D37" s="76"/>
      <c r="E37" s="75"/>
      <c r="F37" s="69">
        <v>0.9180320969671012</v>
      </c>
      <c r="G37" s="79">
        <v>136000</v>
      </c>
      <c r="H37" s="61">
        <v>0.95493263137485418</v>
      </c>
      <c r="I37" s="62"/>
      <c r="J37" s="61">
        <v>0.93709078332824058</v>
      </c>
      <c r="K37" s="62"/>
      <c r="L37" s="61">
        <v>1.2538421609133918</v>
      </c>
      <c r="M37" s="62"/>
      <c r="N37" s="61">
        <v>0.96178852671988468</v>
      </c>
      <c r="O37" s="89"/>
      <c r="P37" s="63">
        <f>O37+M37+K37+I37+G37</f>
        <v>136000</v>
      </c>
    </row>
    <row r="38" spans="2:17" x14ac:dyDescent="0.15">
      <c r="B38" s="36"/>
      <c r="C38" s="47">
        <f>basic_info!$D$5+2</f>
        <v>2021</v>
      </c>
      <c r="D38" s="76"/>
      <c r="E38" s="75"/>
      <c r="F38" s="75"/>
      <c r="G38" s="75"/>
      <c r="H38" s="69">
        <v>0.9100411573201419</v>
      </c>
      <c r="I38" s="79">
        <v>89461</v>
      </c>
      <c r="J38" s="61">
        <v>0.92721692835977987</v>
      </c>
      <c r="K38" s="62"/>
      <c r="L38" s="61">
        <v>1.1631721092862846</v>
      </c>
      <c r="M38" s="62"/>
      <c r="N38" s="61">
        <v>0.95044953163343449</v>
      </c>
      <c r="O38" s="89"/>
      <c r="P38" s="63">
        <f>O38+M38+K38+I38</f>
        <v>89461</v>
      </c>
    </row>
    <row r="39" spans="2:17" x14ac:dyDescent="0.15">
      <c r="B39" s="36"/>
      <c r="C39" s="47">
        <f>basic_info!$D$5+3</f>
        <v>2022</v>
      </c>
      <c r="D39" s="76"/>
      <c r="E39" s="75"/>
      <c r="F39" s="75"/>
      <c r="G39" s="75"/>
      <c r="H39" s="75"/>
      <c r="I39" s="75"/>
      <c r="J39" s="69">
        <v>0.89172850017249583</v>
      </c>
      <c r="K39" s="79">
        <v>89461</v>
      </c>
      <c r="L39" s="61">
        <v>1.1067776852666162</v>
      </c>
      <c r="M39" s="62"/>
      <c r="N39" s="61">
        <v>0.94249271697812198</v>
      </c>
      <c r="O39" s="89"/>
      <c r="P39" s="63">
        <f>O39+M39+K39</f>
        <v>89461</v>
      </c>
    </row>
    <row r="40" spans="2:17" x14ac:dyDescent="0.15">
      <c r="B40" s="36"/>
      <c r="C40" s="47">
        <f>basic_info!$D$5+4</f>
        <v>2023</v>
      </c>
      <c r="D40" s="76"/>
      <c r="E40" s="75"/>
      <c r="F40" s="75"/>
      <c r="G40" s="75"/>
      <c r="H40" s="75"/>
      <c r="I40" s="75"/>
      <c r="J40" s="75"/>
      <c r="K40" s="75"/>
      <c r="L40" s="69">
        <v>1.0097698285728693</v>
      </c>
      <c r="M40" s="79">
        <v>107018.3</v>
      </c>
      <c r="N40" s="61">
        <v>0.90364248496767041</v>
      </c>
      <c r="O40" s="89"/>
      <c r="P40" s="63">
        <f>O40+M40</f>
        <v>107018.3</v>
      </c>
    </row>
    <row r="41" spans="2:17" x14ac:dyDescent="0.15">
      <c r="B41" s="37"/>
      <c r="C41" s="72">
        <f>basic_info!$D$5+5</f>
        <v>2024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0.89471930931508548</v>
      </c>
      <c r="O41" s="89">
        <v>110917.55719736524</v>
      </c>
      <c r="P41" s="64">
        <f>O41</f>
        <v>110917.55719736524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 x14ac:dyDescent="0.15">
      <c r="B48" s="37" t="s">
        <v>113</v>
      </c>
      <c r="C48" s="92">
        <v>8.3333333333333339</v>
      </c>
      <c r="D48" s="92">
        <v>8.3333333333333339</v>
      </c>
      <c r="E48" s="92">
        <v>8.3333333333333339</v>
      </c>
      <c r="F48" s="92">
        <v>8.3333333333333339</v>
      </c>
      <c r="G48" s="92">
        <v>8.3333333333333339</v>
      </c>
      <c r="H48" s="92">
        <v>8.3333333333333339</v>
      </c>
      <c r="I48" s="92">
        <v>8.3333333333333339</v>
      </c>
      <c r="J48" s="92">
        <v>8.3333333333333339</v>
      </c>
      <c r="K48" s="92">
        <v>8.3333333333333339</v>
      </c>
      <c r="L48" s="92">
        <v>8.3333333333333339</v>
      </c>
      <c r="M48" s="92">
        <v>8.3333333333333339</v>
      </c>
      <c r="N48" s="92">
        <v>8.3333333333333339</v>
      </c>
      <c r="O48" s="33">
        <f>SUM(C48:N48)</f>
        <v>99.999999999999986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S57bwS6dG51PBU0xdhrz6lL5tX61AMlWUVDZx+8uG0PDUYLiQUEX1sTs3BkvId1Ytv8iIAObrRQhpKSQR0acVg==" saltValue="CxE22oDcYz0xJXZSXBxXLQ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topLeftCell="A2" workbookViewId="0">
      <selection activeCell="C38" sqref="C38:N41"/>
    </sheetView>
  </sheetViews>
  <sheetFormatPr baseColWidth="10" defaultColWidth="8.83203125" defaultRowHeight="13" x14ac:dyDescent="0.15"/>
  <cols>
    <col min="1" max="1" width="4.6640625" style="29" customWidth="1"/>
    <col min="2" max="2" width="17.33203125" style="29" customWidth="1"/>
    <col min="3" max="16384" width="8.832031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3"/>
      <c r="D6" s="93">
        <v>19.090651229335506</v>
      </c>
      <c r="E6" s="93"/>
      <c r="F6" s="93">
        <v>5.4114645421696848</v>
      </c>
      <c r="G6" s="93"/>
      <c r="H6" s="93">
        <v>54.482929876558003</v>
      </c>
      <c r="I6" s="93"/>
      <c r="J6" s="93">
        <v>21.01495435193679</v>
      </c>
      <c r="K6" s="97">
        <f>SUM($C$6:$J$6)</f>
        <v>99.999999999999986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3"/>
      <c r="D7" s="93"/>
      <c r="E7" s="93">
        <v>26.805107463526095</v>
      </c>
      <c r="F7" s="93"/>
      <c r="G7" s="93"/>
      <c r="H7" s="93"/>
      <c r="I7" s="93">
        <v>73.194892536473915</v>
      </c>
      <c r="J7" s="93"/>
      <c r="K7" s="97">
        <f>SUM($C$7:$J$7)</f>
        <v>100.00000000000001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3">
        <v>38.782302138665443</v>
      </c>
      <c r="D8" s="93"/>
      <c r="E8" s="93"/>
      <c r="F8" s="93"/>
      <c r="G8" s="93">
        <v>61.217697861334564</v>
      </c>
      <c r="H8" s="93"/>
      <c r="I8" s="93"/>
      <c r="J8" s="93"/>
      <c r="K8" s="97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3">
        <v>100</v>
      </c>
      <c r="D9" s="93"/>
      <c r="E9" s="93"/>
      <c r="F9" s="93"/>
      <c r="G9" s="93"/>
      <c r="H9" s="93"/>
      <c r="I9" s="93"/>
      <c r="J9" s="93"/>
      <c r="K9" s="97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3">
        <v>100</v>
      </c>
      <c r="D10" s="93"/>
      <c r="E10" s="93"/>
      <c r="F10" s="93"/>
      <c r="G10" s="93"/>
      <c r="H10" s="93"/>
      <c r="I10" s="93"/>
      <c r="J10" s="93"/>
      <c r="K10" s="97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4">
        <v>100</v>
      </c>
      <c r="D11" s="94"/>
      <c r="E11" s="94"/>
      <c r="F11" s="94"/>
      <c r="G11" s="94"/>
      <c r="H11" s="94"/>
      <c r="I11" s="94"/>
      <c r="J11" s="94"/>
      <c r="K11" s="96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44">
        <f>100-$G$19</f>
        <v>0</v>
      </c>
      <c r="I19" s="94">
        <v>100</v>
      </c>
      <c r="J19" s="33">
        <f>100-$I$19</f>
        <v>0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3">
        <v>12.063680751232713</v>
      </c>
      <c r="D27" s="93">
        <v>100</v>
      </c>
      <c r="E27" s="93">
        <v>100</v>
      </c>
      <c r="F27" s="93">
        <v>0</v>
      </c>
      <c r="G27" s="93">
        <v>0</v>
      </c>
      <c r="H27" s="93">
        <v>0</v>
      </c>
      <c r="I27" s="93">
        <v>0</v>
      </c>
      <c r="J27" s="93">
        <v>0</v>
      </c>
      <c r="K27" s="95">
        <v>0</v>
      </c>
      <c r="R27" s="50"/>
      <c r="S27" s="50"/>
      <c r="T27" s="50"/>
    </row>
    <row r="28" spans="2:20" x14ac:dyDescent="0.15">
      <c r="B28" s="45" t="s">
        <v>49</v>
      </c>
      <c r="C28" s="93">
        <v>55.902106863232568</v>
      </c>
      <c r="D28" s="93">
        <v>0</v>
      </c>
      <c r="E28" s="93">
        <v>0</v>
      </c>
      <c r="F28" s="93">
        <v>100</v>
      </c>
      <c r="G28" s="93">
        <v>100</v>
      </c>
      <c r="H28" s="93">
        <v>0</v>
      </c>
      <c r="I28" s="93">
        <v>0</v>
      </c>
      <c r="J28" s="93">
        <v>0</v>
      </c>
      <c r="K28" s="95">
        <v>0</v>
      </c>
      <c r="R28" s="50"/>
      <c r="S28" s="50"/>
      <c r="T28" s="50"/>
    </row>
    <row r="29" spans="2:20" x14ac:dyDescent="0.15">
      <c r="B29" s="45" t="s">
        <v>57</v>
      </c>
      <c r="C29" s="93">
        <v>10.865393041684269</v>
      </c>
      <c r="D29" s="93">
        <v>0</v>
      </c>
      <c r="E29" s="93">
        <v>0</v>
      </c>
      <c r="F29" s="93">
        <v>0</v>
      </c>
      <c r="G29" s="93">
        <v>0</v>
      </c>
      <c r="H29" s="93">
        <v>100</v>
      </c>
      <c r="I29" s="93">
        <v>100</v>
      </c>
      <c r="J29" s="93">
        <v>0</v>
      </c>
      <c r="K29" s="95">
        <v>0</v>
      </c>
      <c r="R29" s="50"/>
      <c r="S29" s="50"/>
      <c r="T29" s="50"/>
    </row>
    <row r="30" spans="2:20" x14ac:dyDescent="0.15">
      <c r="B30" s="45" t="s">
        <v>70</v>
      </c>
      <c r="C30" s="93">
        <v>13.1849690094369</v>
      </c>
      <c r="D30" s="93">
        <v>0</v>
      </c>
      <c r="E30" s="93">
        <v>0</v>
      </c>
      <c r="F30" s="93">
        <v>0</v>
      </c>
      <c r="G30" s="93">
        <v>0</v>
      </c>
      <c r="H30" s="93">
        <v>0</v>
      </c>
      <c r="I30" s="93">
        <v>0</v>
      </c>
      <c r="J30" s="93">
        <v>100</v>
      </c>
      <c r="K30" s="95">
        <v>100</v>
      </c>
      <c r="R30" s="50"/>
      <c r="S30" s="50"/>
      <c r="T30" s="50"/>
    </row>
    <row r="31" spans="2:20" x14ac:dyDescent="0.15">
      <c r="B31" s="45" t="s">
        <v>150</v>
      </c>
      <c r="C31" s="98">
        <f>SUM($C$27:$C$30)</f>
        <v>92.016149665586454</v>
      </c>
      <c r="D31" s="98">
        <f>SUM($D$27:$D$30)</f>
        <v>100</v>
      </c>
      <c r="E31" s="98">
        <f>SUM($E$27:$E$30)</f>
        <v>100</v>
      </c>
      <c r="F31" s="98">
        <f>SUM($F$27:$F$30)</f>
        <v>100</v>
      </c>
      <c r="G31" s="98">
        <f>SUM($G$27:$G$30)</f>
        <v>100</v>
      </c>
      <c r="H31" s="98">
        <f>SUM($H$27:$H$30)</f>
        <v>100</v>
      </c>
      <c r="I31" s="98">
        <f>SUM($I$27:$I$30)</f>
        <v>100</v>
      </c>
      <c r="J31" s="98">
        <f>SUM($J$27:$J$30)</f>
        <v>100</v>
      </c>
      <c r="K31" s="96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3">
        <v>33.019679892220431</v>
      </c>
      <c r="D38" s="93">
        <v>33.019679892220431</v>
      </c>
      <c r="E38" s="93">
        <v>33.019679892220431</v>
      </c>
      <c r="F38" s="93">
        <v>33.019679892220431</v>
      </c>
      <c r="G38" s="93">
        <v>33.019679892220431</v>
      </c>
      <c r="H38" s="93">
        <v>33.019679892220431</v>
      </c>
      <c r="I38" s="93">
        <v>33.019679892220431</v>
      </c>
      <c r="J38" s="93">
        <v>33.019679892220431</v>
      </c>
      <c r="K38" s="93">
        <v>33.019679892220431</v>
      </c>
      <c r="L38" s="93">
        <v>33.019679892220431</v>
      </c>
      <c r="M38" s="93">
        <v>33.019679892220431</v>
      </c>
      <c r="N38" s="95">
        <v>33.019679892220431</v>
      </c>
    </row>
    <row r="39" spans="2:14" x14ac:dyDescent="0.15">
      <c r="B39" s="45" t="s">
        <v>49</v>
      </c>
      <c r="C39" s="93">
        <v>47.86603854644202</v>
      </c>
      <c r="D39" s="93">
        <v>47.86603854644202</v>
      </c>
      <c r="E39" s="93">
        <v>47.86603854644202</v>
      </c>
      <c r="F39" s="93">
        <v>47.86603854644202</v>
      </c>
      <c r="G39" s="93">
        <v>47.86603854644202</v>
      </c>
      <c r="H39" s="93">
        <v>47.86603854644202</v>
      </c>
      <c r="I39" s="93">
        <v>47.86603854644202</v>
      </c>
      <c r="J39" s="93">
        <v>47.86603854644202</v>
      </c>
      <c r="K39" s="93">
        <v>47.86603854644202</v>
      </c>
      <c r="L39" s="93">
        <v>47.86603854644202</v>
      </c>
      <c r="M39" s="93">
        <v>47.86603854644202</v>
      </c>
      <c r="N39" s="95">
        <v>47.86603854644202</v>
      </c>
    </row>
    <row r="40" spans="2:14" x14ac:dyDescent="0.15">
      <c r="B40" s="45" t="s">
        <v>57</v>
      </c>
      <c r="C40" s="93">
        <v>40.255779761009201</v>
      </c>
      <c r="D40" s="93">
        <v>40.255779761009201</v>
      </c>
      <c r="E40" s="93">
        <v>40.255779761009201</v>
      </c>
      <c r="F40" s="93">
        <v>40.255779761009201</v>
      </c>
      <c r="G40" s="93">
        <v>40.255779761009201</v>
      </c>
      <c r="H40" s="93">
        <v>40.255779761009201</v>
      </c>
      <c r="I40" s="93">
        <v>40.255779761009201</v>
      </c>
      <c r="J40" s="93">
        <v>40.255779761009201</v>
      </c>
      <c r="K40" s="93">
        <v>40.255779761009201</v>
      </c>
      <c r="L40" s="93">
        <v>40.255779761009201</v>
      </c>
      <c r="M40" s="93">
        <v>40.255779761009201</v>
      </c>
      <c r="N40" s="95">
        <v>40.255779761009201</v>
      </c>
    </row>
    <row r="41" spans="2:14" x14ac:dyDescent="0.15">
      <c r="B41" s="45" t="s">
        <v>70</v>
      </c>
      <c r="C41" s="94">
        <v>37.715142279452877</v>
      </c>
      <c r="D41" s="94">
        <v>37.715142279452877</v>
      </c>
      <c r="E41" s="94">
        <v>37.715142279452877</v>
      </c>
      <c r="F41" s="94">
        <v>37.715142279452877</v>
      </c>
      <c r="G41" s="94">
        <v>37.715142279452877</v>
      </c>
      <c r="H41" s="94">
        <v>37.715142279452877</v>
      </c>
      <c r="I41" s="94">
        <v>37.715142279452877</v>
      </c>
      <c r="J41" s="94">
        <v>37.715142279452877</v>
      </c>
      <c r="K41" s="94">
        <v>37.715142279452877</v>
      </c>
      <c r="L41" s="94">
        <v>37.715142279452877</v>
      </c>
      <c r="M41" s="94">
        <v>37.715142279452877</v>
      </c>
      <c r="N41" s="89">
        <v>37.715142279452877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hBvWi0XZZBuoztDYeu121wAWmPfpxUeUs6DbP4jernI4cDsnQZPFdCBih1BvxjaWRSGAZN8kAOPdc9R7PgDObA==" saltValue="ff3DEX7ay/uNKDI8mZG41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2" workbookViewId="0">
      <selection activeCell="D33" sqref="D33:O39"/>
    </sheetView>
  </sheetViews>
  <sheetFormatPr baseColWidth="10" defaultColWidth="8.832031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9">
        <v>1.93</v>
      </c>
      <c r="E6" s="89">
        <v>1.93</v>
      </c>
      <c r="F6" s="89">
        <v>1.93</v>
      </c>
      <c r="G6" s="89">
        <v>1.93</v>
      </c>
      <c r="H6" s="89">
        <v>1.93</v>
      </c>
      <c r="I6" s="89">
        <v>1.93</v>
      </c>
      <c r="J6" s="89">
        <v>1.93</v>
      </c>
      <c r="K6" s="89">
        <v>1.93</v>
      </c>
      <c r="L6" s="89">
        <v>1.93</v>
      </c>
      <c r="M6" s="89">
        <v>1.93</v>
      </c>
      <c r="N6" s="89">
        <v>1.93</v>
      </c>
      <c r="O6" s="89">
        <v>1.93</v>
      </c>
    </row>
    <row r="7" spans="2:15" x14ac:dyDescent="0.15">
      <c r="C7" s="36" t="s">
        <v>127</v>
      </c>
      <c r="D7" s="89">
        <v>1.72</v>
      </c>
      <c r="E7" s="89">
        <v>1.72</v>
      </c>
      <c r="F7" s="89">
        <v>1.72</v>
      </c>
      <c r="G7" s="89">
        <v>1.72</v>
      </c>
      <c r="H7" s="89">
        <v>1.72</v>
      </c>
      <c r="I7" s="89">
        <v>1.72</v>
      </c>
      <c r="J7" s="89">
        <v>1.72</v>
      </c>
      <c r="K7" s="89">
        <v>1.72</v>
      </c>
      <c r="L7" s="89">
        <v>1.72</v>
      </c>
      <c r="M7" s="89">
        <v>1.72</v>
      </c>
      <c r="N7" s="89">
        <v>1.72</v>
      </c>
      <c r="O7" s="89">
        <v>1.72</v>
      </c>
    </row>
    <row r="8" spans="2:15" x14ac:dyDescent="0.15">
      <c r="C8" s="36" t="s">
        <v>128</v>
      </c>
      <c r="D8" s="89">
        <v>2.11</v>
      </c>
      <c r="E8" s="89">
        <v>2.11</v>
      </c>
      <c r="F8" s="89">
        <v>2.11</v>
      </c>
      <c r="G8" s="89">
        <v>2.11</v>
      </c>
      <c r="H8" s="89">
        <v>2.11</v>
      </c>
      <c r="I8" s="89">
        <v>2.11</v>
      </c>
      <c r="J8" s="89">
        <v>2.11</v>
      </c>
      <c r="K8" s="89">
        <v>2.11</v>
      </c>
      <c r="L8" s="89">
        <v>2.11</v>
      </c>
      <c r="M8" s="89">
        <v>2.11</v>
      </c>
      <c r="N8" s="89">
        <v>2.11</v>
      </c>
      <c r="O8" s="89">
        <v>2.11</v>
      </c>
    </row>
    <row r="9" spans="2:15" x14ac:dyDescent="0.15">
      <c r="C9" s="36" t="s">
        <v>129</v>
      </c>
      <c r="D9" s="89">
        <v>1.94</v>
      </c>
      <c r="E9" s="89">
        <v>1.94</v>
      </c>
      <c r="F9" s="89">
        <v>1.94</v>
      </c>
      <c r="G9" s="89">
        <v>1.94</v>
      </c>
      <c r="H9" s="89">
        <v>1.94</v>
      </c>
      <c r="I9" s="89">
        <v>1.94</v>
      </c>
      <c r="J9" s="89">
        <v>1.94</v>
      </c>
      <c r="K9" s="89">
        <v>1.94</v>
      </c>
      <c r="L9" s="89">
        <v>1.94</v>
      </c>
      <c r="M9" s="89">
        <v>1.94</v>
      </c>
      <c r="N9" s="89">
        <v>1.94</v>
      </c>
      <c r="O9" s="89">
        <v>1.94</v>
      </c>
    </row>
    <row r="10" spans="2:15" x14ac:dyDescent="0.15">
      <c r="C10" s="36" t="s">
        <v>130</v>
      </c>
      <c r="D10" s="89">
        <v>1.98</v>
      </c>
      <c r="E10" s="89">
        <v>1.98</v>
      </c>
      <c r="F10" s="89">
        <v>1.98</v>
      </c>
      <c r="G10" s="89">
        <v>1.98</v>
      </c>
      <c r="H10" s="89">
        <v>1.98</v>
      </c>
      <c r="I10" s="89">
        <v>1.98</v>
      </c>
      <c r="J10" s="89">
        <v>1.98</v>
      </c>
      <c r="K10" s="89">
        <v>1.98</v>
      </c>
      <c r="L10" s="89">
        <v>1.98</v>
      </c>
      <c r="M10" s="89">
        <v>1.98</v>
      </c>
      <c r="N10" s="89">
        <v>1.98</v>
      </c>
      <c r="O10" s="89">
        <v>1.98</v>
      </c>
    </row>
    <row r="11" spans="2:15" x14ac:dyDescent="0.15">
      <c r="C11" s="36" t="s">
        <v>131</v>
      </c>
      <c r="D11" s="89">
        <v>2.35</v>
      </c>
      <c r="E11" s="89">
        <v>2.35</v>
      </c>
      <c r="F11" s="89">
        <v>2.35</v>
      </c>
      <c r="G11" s="89">
        <v>2.35</v>
      </c>
      <c r="H11" s="89">
        <v>2.35</v>
      </c>
      <c r="I11" s="89">
        <v>2.35</v>
      </c>
      <c r="J11" s="89">
        <v>2.35</v>
      </c>
      <c r="K11" s="89">
        <v>2.35</v>
      </c>
      <c r="L11" s="89">
        <v>2.35</v>
      </c>
      <c r="M11" s="89">
        <v>2.35</v>
      </c>
      <c r="N11" s="89">
        <v>2.35</v>
      </c>
      <c r="O11" s="89">
        <v>2.35</v>
      </c>
    </row>
    <row r="12" spans="2:15" x14ac:dyDescent="0.15">
      <c r="C12" s="37" t="s">
        <v>132</v>
      </c>
      <c r="D12" s="89">
        <v>2.0499999999999998</v>
      </c>
      <c r="E12" s="89">
        <v>2.0499999999999998</v>
      </c>
      <c r="F12" s="89">
        <v>2.0499999999999998</v>
      </c>
      <c r="G12" s="89">
        <v>2.0499999999999998</v>
      </c>
      <c r="H12" s="89">
        <v>2.0499999999999998</v>
      </c>
      <c r="I12" s="89">
        <v>2.0499999999999998</v>
      </c>
      <c r="J12" s="89">
        <v>2.0499999999999998</v>
      </c>
      <c r="K12" s="89">
        <v>2.0499999999999998</v>
      </c>
      <c r="L12" s="89">
        <v>2.0499999999999998</v>
      </c>
      <c r="M12" s="89">
        <v>2.0499999999999998</v>
      </c>
      <c r="N12" s="89">
        <v>2.0499999999999998</v>
      </c>
      <c r="O12" s="89">
        <v>2.0499999999999998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9">
        <v>3.27</v>
      </c>
      <c r="E15" s="89">
        <v>3.27</v>
      </c>
      <c r="F15" s="89">
        <v>3.27</v>
      </c>
      <c r="G15" s="89">
        <v>3.27</v>
      </c>
      <c r="H15" s="89">
        <v>3.27</v>
      </c>
      <c r="I15" s="89">
        <v>3.27</v>
      </c>
      <c r="J15" s="89">
        <v>3.27</v>
      </c>
      <c r="K15" s="89">
        <v>3.27</v>
      </c>
      <c r="L15" s="89">
        <v>3.27</v>
      </c>
      <c r="M15" s="89">
        <v>3.27</v>
      </c>
      <c r="N15" s="89">
        <v>3.27</v>
      </c>
      <c r="O15" s="89">
        <v>3.27</v>
      </c>
    </row>
    <row r="16" spans="2:15" x14ac:dyDescent="0.15">
      <c r="C16" s="36" t="s">
        <v>127</v>
      </c>
      <c r="D16" s="89">
        <v>3.47</v>
      </c>
      <c r="E16" s="89">
        <v>3.47</v>
      </c>
      <c r="F16" s="89">
        <v>3.47</v>
      </c>
      <c r="G16" s="89">
        <v>3.47</v>
      </c>
      <c r="H16" s="89">
        <v>3.47</v>
      </c>
      <c r="I16" s="89">
        <v>3.47</v>
      </c>
      <c r="J16" s="89">
        <v>3.47</v>
      </c>
      <c r="K16" s="89">
        <v>3.47</v>
      </c>
      <c r="L16" s="89">
        <v>3.47</v>
      </c>
      <c r="M16" s="89">
        <v>3.47</v>
      </c>
      <c r="N16" s="89">
        <v>3.47</v>
      </c>
      <c r="O16" s="89">
        <v>3.47</v>
      </c>
    </row>
    <row r="17" spans="2:15" x14ac:dyDescent="0.15">
      <c r="C17" s="36" t="s">
        <v>128</v>
      </c>
      <c r="D17" s="89">
        <v>3.3</v>
      </c>
      <c r="E17" s="89">
        <v>3.3</v>
      </c>
      <c r="F17" s="89">
        <v>3.3</v>
      </c>
      <c r="G17" s="89">
        <v>3.3</v>
      </c>
      <c r="H17" s="89">
        <v>3.3</v>
      </c>
      <c r="I17" s="89">
        <v>3.3</v>
      </c>
      <c r="J17" s="89">
        <v>3.3</v>
      </c>
      <c r="K17" s="89">
        <v>3.3</v>
      </c>
      <c r="L17" s="89">
        <v>3.3</v>
      </c>
      <c r="M17" s="89">
        <v>3.3</v>
      </c>
      <c r="N17" s="89">
        <v>3.3</v>
      </c>
      <c r="O17" s="89">
        <v>3.3</v>
      </c>
    </row>
    <row r="18" spans="2:15" x14ac:dyDescent="0.15">
      <c r="C18" s="36" t="s">
        <v>129</v>
      </c>
      <c r="D18" s="89">
        <v>3.56</v>
      </c>
      <c r="E18" s="89">
        <v>3.56</v>
      </c>
      <c r="F18" s="89">
        <v>3.56</v>
      </c>
      <c r="G18" s="89">
        <v>3.56</v>
      </c>
      <c r="H18" s="89">
        <v>3.56</v>
      </c>
      <c r="I18" s="89">
        <v>3.56</v>
      </c>
      <c r="J18" s="89">
        <v>3.56</v>
      </c>
      <c r="K18" s="89">
        <v>3.56</v>
      </c>
      <c r="L18" s="89">
        <v>3.56</v>
      </c>
      <c r="M18" s="89">
        <v>3.56</v>
      </c>
      <c r="N18" s="89">
        <v>3.56</v>
      </c>
      <c r="O18" s="89">
        <v>3.56</v>
      </c>
    </row>
    <row r="19" spans="2:15" x14ac:dyDescent="0.15">
      <c r="C19" s="36" t="s">
        <v>130</v>
      </c>
      <c r="D19" s="89">
        <v>3.16</v>
      </c>
      <c r="E19" s="89">
        <v>3.16</v>
      </c>
      <c r="F19" s="89">
        <v>3.16</v>
      </c>
      <c r="G19" s="89">
        <v>3.16</v>
      </c>
      <c r="H19" s="89">
        <v>3.16</v>
      </c>
      <c r="I19" s="89">
        <v>3.16</v>
      </c>
      <c r="J19" s="89">
        <v>3.16</v>
      </c>
      <c r="K19" s="89">
        <v>3.16</v>
      </c>
      <c r="L19" s="89">
        <v>3.16</v>
      </c>
      <c r="M19" s="89">
        <v>3.16</v>
      </c>
      <c r="N19" s="89">
        <v>3.16</v>
      </c>
      <c r="O19" s="89">
        <v>3.16</v>
      </c>
    </row>
    <row r="20" spans="2:15" x14ac:dyDescent="0.15">
      <c r="C20" s="36" t="s">
        <v>131</v>
      </c>
      <c r="D20" s="89">
        <v>3.97</v>
      </c>
      <c r="E20" s="89">
        <v>3.97</v>
      </c>
      <c r="F20" s="89">
        <v>3.97</v>
      </c>
      <c r="G20" s="89">
        <v>3.97</v>
      </c>
      <c r="H20" s="89">
        <v>3.97</v>
      </c>
      <c r="I20" s="89">
        <v>3.97</v>
      </c>
      <c r="J20" s="89">
        <v>3.97</v>
      </c>
      <c r="K20" s="89">
        <v>3.97</v>
      </c>
      <c r="L20" s="89">
        <v>3.97</v>
      </c>
      <c r="M20" s="89">
        <v>3.97</v>
      </c>
      <c r="N20" s="89">
        <v>3.97</v>
      </c>
      <c r="O20" s="89">
        <v>3.97</v>
      </c>
    </row>
    <row r="21" spans="2:15" x14ac:dyDescent="0.15">
      <c r="C21" s="37" t="s">
        <v>132</v>
      </c>
      <c r="D21" s="89">
        <v>4</v>
      </c>
      <c r="E21" s="89">
        <v>4</v>
      </c>
      <c r="F21" s="89">
        <v>4</v>
      </c>
      <c r="G21" s="89">
        <v>4</v>
      </c>
      <c r="H21" s="89">
        <v>4</v>
      </c>
      <c r="I21" s="89">
        <v>4</v>
      </c>
      <c r="J21" s="89">
        <v>4</v>
      </c>
      <c r="K21" s="89">
        <v>4</v>
      </c>
      <c r="L21" s="89">
        <v>4</v>
      </c>
      <c r="M21" s="89">
        <v>4</v>
      </c>
      <c r="N21" s="89">
        <v>4</v>
      </c>
      <c r="O21" s="89">
        <v>4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9">
        <v>2.5</v>
      </c>
      <c r="E24" s="89">
        <v>2.5</v>
      </c>
      <c r="F24" s="89">
        <v>2.5</v>
      </c>
      <c r="G24" s="89">
        <v>2.5</v>
      </c>
      <c r="H24" s="89">
        <v>2.5</v>
      </c>
      <c r="I24" s="89">
        <v>2.5</v>
      </c>
      <c r="J24" s="89">
        <v>2.5</v>
      </c>
      <c r="K24" s="89">
        <v>2.5</v>
      </c>
      <c r="L24" s="89">
        <v>2.5</v>
      </c>
      <c r="M24" s="89">
        <v>2.5</v>
      </c>
      <c r="N24" s="89">
        <v>2.5</v>
      </c>
      <c r="O24" s="89">
        <v>2.5</v>
      </c>
    </row>
    <row r="25" spans="2:15" x14ac:dyDescent="0.15">
      <c r="C25" s="36" t="s">
        <v>127</v>
      </c>
      <c r="D25" s="89">
        <v>2.2799999999999998</v>
      </c>
      <c r="E25" s="89">
        <v>2.2799999999999998</v>
      </c>
      <c r="F25" s="89">
        <v>2.2799999999999998</v>
      </c>
      <c r="G25" s="89">
        <v>2.2799999999999998</v>
      </c>
      <c r="H25" s="89">
        <v>2.2799999999999998</v>
      </c>
      <c r="I25" s="89">
        <v>2.2799999999999998</v>
      </c>
      <c r="J25" s="89">
        <v>2.2799999999999998</v>
      </c>
      <c r="K25" s="89">
        <v>2.2799999999999998</v>
      </c>
      <c r="L25" s="89">
        <v>2.2799999999999998</v>
      </c>
      <c r="M25" s="89">
        <v>2.2799999999999998</v>
      </c>
      <c r="N25" s="89">
        <v>2.2799999999999998</v>
      </c>
      <c r="O25" s="89">
        <v>2.2799999999999998</v>
      </c>
    </row>
    <row r="26" spans="2:15" x14ac:dyDescent="0.15">
      <c r="C26" s="36" t="s">
        <v>128</v>
      </c>
      <c r="D26" s="89">
        <v>2.74</v>
      </c>
      <c r="E26" s="89">
        <v>2.74</v>
      </c>
      <c r="F26" s="89">
        <v>2.74</v>
      </c>
      <c r="G26" s="89">
        <v>2.74</v>
      </c>
      <c r="H26" s="89">
        <v>2.74</v>
      </c>
      <c r="I26" s="89">
        <v>2.74</v>
      </c>
      <c r="J26" s="89">
        <v>2.74</v>
      </c>
      <c r="K26" s="89">
        <v>2.74</v>
      </c>
      <c r="L26" s="89">
        <v>2.74</v>
      </c>
      <c r="M26" s="89">
        <v>2.74</v>
      </c>
      <c r="N26" s="89">
        <v>2.74</v>
      </c>
      <c r="O26" s="89">
        <v>2.74</v>
      </c>
    </row>
    <row r="27" spans="2:15" x14ac:dyDescent="0.15">
      <c r="C27" s="36" t="s">
        <v>129</v>
      </c>
      <c r="D27" s="89">
        <v>2.41</v>
      </c>
      <c r="E27" s="89">
        <v>2.41</v>
      </c>
      <c r="F27" s="89">
        <v>2.41</v>
      </c>
      <c r="G27" s="89">
        <v>2.41</v>
      </c>
      <c r="H27" s="89">
        <v>2.41</v>
      </c>
      <c r="I27" s="89">
        <v>2.41</v>
      </c>
      <c r="J27" s="89">
        <v>2.41</v>
      </c>
      <c r="K27" s="89">
        <v>2.41</v>
      </c>
      <c r="L27" s="89">
        <v>2.41</v>
      </c>
      <c r="M27" s="89">
        <v>2.41</v>
      </c>
      <c r="N27" s="89">
        <v>2.41</v>
      </c>
      <c r="O27" s="89">
        <v>2.41</v>
      </c>
    </row>
    <row r="28" spans="2:15" x14ac:dyDescent="0.15">
      <c r="C28" s="36" t="s">
        <v>130</v>
      </c>
      <c r="D28" s="89">
        <v>2.68</v>
      </c>
      <c r="E28" s="89">
        <v>2.68</v>
      </c>
      <c r="F28" s="89">
        <v>2.68</v>
      </c>
      <c r="G28" s="89">
        <v>2.68</v>
      </c>
      <c r="H28" s="89">
        <v>2.68</v>
      </c>
      <c r="I28" s="89">
        <v>2.68</v>
      </c>
      <c r="J28" s="89">
        <v>2.68</v>
      </c>
      <c r="K28" s="89">
        <v>2.68</v>
      </c>
      <c r="L28" s="89">
        <v>2.68</v>
      </c>
      <c r="M28" s="89">
        <v>2.68</v>
      </c>
      <c r="N28" s="89">
        <v>2.68</v>
      </c>
      <c r="O28" s="89">
        <v>2.68</v>
      </c>
    </row>
    <row r="29" spans="2:15" x14ac:dyDescent="0.15">
      <c r="C29" s="36" t="s">
        <v>131</v>
      </c>
      <c r="D29" s="89">
        <v>3.34</v>
      </c>
      <c r="E29" s="89">
        <v>3.34</v>
      </c>
      <c r="F29" s="89">
        <v>3.34</v>
      </c>
      <c r="G29" s="89">
        <v>3.34</v>
      </c>
      <c r="H29" s="89">
        <v>3.34</v>
      </c>
      <c r="I29" s="89">
        <v>3.34</v>
      </c>
      <c r="J29" s="89">
        <v>3.34</v>
      </c>
      <c r="K29" s="89">
        <v>3.34</v>
      </c>
      <c r="L29" s="89">
        <v>3.34</v>
      </c>
      <c r="M29" s="89">
        <v>3.34</v>
      </c>
      <c r="N29" s="89">
        <v>3.34</v>
      </c>
      <c r="O29" s="89">
        <v>3.34</v>
      </c>
    </row>
    <row r="30" spans="2:15" x14ac:dyDescent="0.15">
      <c r="C30" s="37" t="s">
        <v>132</v>
      </c>
      <c r="D30" s="89">
        <v>3.46</v>
      </c>
      <c r="E30" s="89">
        <v>3.46</v>
      </c>
      <c r="F30" s="89">
        <v>3.46</v>
      </c>
      <c r="G30" s="89">
        <v>3.46</v>
      </c>
      <c r="H30" s="89">
        <v>3.46</v>
      </c>
      <c r="I30" s="89">
        <v>3.46</v>
      </c>
      <c r="J30" s="89">
        <v>3.46</v>
      </c>
      <c r="K30" s="89">
        <v>3.46</v>
      </c>
      <c r="L30" s="89">
        <v>3.46</v>
      </c>
      <c r="M30" s="89">
        <v>3.46</v>
      </c>
      <c r="N30" s="89">
        <v>3.46</v>
      </c>
      <c r="O30" s="89">
        <v>3.46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9">
        <v>2.0099999999999998</v>
      </c>
      <c r="E33" s="89">
        <v>2.0099999999999998</v>
      </c>
      <c r="F33" s="89">
        <v>2.0099999999999998</v>
      </c>
      <c r="G33" s="89">
        <v>2.0099999999999998</v>
      </c>
      <c r="H33" s="89">
        <v>2.0099999999999998</v>
      </c>
      <c r="I33" s="89">
        <v>2.0099999999999998</v>
      </c>
      <c r="J33" s="89">
        <v>2.0099999999999998</v>
      </c>
      <c r="K33" s="89">
        <v>2.0099999999999998</v>
      </c>
      <c r="L33" s="89">
        <v>2.0099999999999998</v>
      </c>
      <c r="M33" s="89">
        <v>2.0099999999999998</v>
      </c>
      <c r="N33" s="89">
        <v>2.0099999999999998</v>
      </c>
      <c r="O33" s="89">
        <v>2.0099999999999998</v>
      </c>
    </row>
    <row r="34" spans="3:15" x14ac:dyDescent="0.15">
      <c r="C34" s="36" t="s">
        <v>127</v>
      </c>
      <c r="D34" s="89">
        <v>1.84</v>
      </c>
      <c r="E34" s="89">
        <v>1.84</v>
      </c>
      <c r="F34" s="89">
        <v>1.84</v>
      </c>
      <c r="G34" s="89">
        <v>1.84</v>
      </c>
      <c r="H34" s="89">
        <v>1.84</v>
      </c>
      <c r="I34" s="89">
        <v>1.84</v>
      </c>
      <c r="J34" s="89">
        <v>1.84</v>
      </c>
      <c r="K34" s="89">
        <v>1.84</v>
      </c>
      <c r="L34" s="89">
        <v>1.84</v>
      </c>
      <c r="M34" s="89">
        <v>1.84</v>
      </c>
      <c r="N34" s="89">
        <v>1.84</v>
      </c>
      <c r="O34" s="89">
        <v>1.84</v>
      </c>
    </row>
    <row r="35" spans="3:15" x14ac:dyDescent="0.15">
      <c r="C35" s="36" t="s">
        <v>128</v>
      </c>
      <c r="D35" s="89">
        <v>2.19</v>
      </c>
      <c r="E35" s="89">
        <v>2.19</v>
      </c>
      <c r="F35" s="89">
        <v>2.19</v>
      </c>
      <c r="G35" s="89">
        <v>2.19</v>
      </c>
      <c r="H35" s="89">
        <v>2.19</v>
      </c>
      <c r="I35" s="89">
        <v>2.19</v>
      </c>
      <c r="J35" s="89">
        <v>2.19</v>
      </c>
      <c r="K35" s="89">
        <v>2.19</v>
      </c>
      <c r="L35" s="89">
        <v>2.19</v>
      </c>
      <c r="M35" s="89">
        <v>2.19</v>
      </c>
      <c r="N35" s="89">
        <v>2.19</v>
      </c>
      <c r="O35" s="89">
        <v>2.19</v>
      </c>
    </row>
    <row r="36" spans="3:15" x14ac:dyDescent="0.15">
      <c r="C36" s="36" t="s">
        <v>129</v>
      </c>
      <c r="D36" s="89">
        <v>1.98</v>
      </c>
      <c r="E36" s="89">
        <v>1.98</v>
      </c>
      <c r="F36" s="89">
        <v>1.98</v>
      </c>
      <c r="G36" s="89">
        <v>1.98</v>
      </c>
      <c r="H36" s="89">
        <v>1.98</v>
      </c>
      <c r="I36" s="89">
        <v>1.98</v>
      </c>
      <c r="J36" s="89">
        <v>1.98</v>
      </c>
      <c r="K36" s="89">
        <v>1.98</v>
      </c>
      <c r="L36" s="89">
        <v>1.98</v>
      </c>
      <c r="M36" s="89">
        <v>1.98</v>
      </c>
      <c r="N36" s="89">
        <v>1.98</v>
      </c>
      <c r="O36" s="89">
        <v>1.98</v>
      </c>
    </row>
    <row r="37" spans="3:15" x14ac:dyDescent="0.15">
      <c r="C37" s="36" t="s">
        <v>130</v>
      </c>
      <c r="D37" s="89">
        <v>2.12</v>
      </c>
      <c r="E37" s="89">
        <v>2.12</v>
      </c>
      <c r="F37" s="89">
        <v>2.12</v>
      </c>
      <c r="G37" s="89">
        <v>2.12</v>
      </c>
      <c r="H37" s="89">
        <v>2.12</v>
      </c>
      <c r="I37" s="89">
        <v>2.12</v>
      </c>
      <c r="J37" s="89">
        <v>2.12</v>
      </c>
      <c r="K37" s="89">
        <v>2.12</v>
      </c>
      <c r="L37" s="89">
        <v>2.12</v>
      </c>
      <c r="M37" s="89">
        <v>2.12</v>
      </c>
      <c r="N37" s="89">
        <v>2.12</v>
      </c>
      <c r="O37" s="89">
        <v>2.12</v>
      </c>
    </row>
    <row r="38" spans="3:15" x14ac:dyDescent="0.15">
      <c r="C38" s="36" t="s">
        <v>131</v>
      </c>
      <c r="D38" s="89">
        <v>2.56</v>
      </c>
      <c r="E38" s="89">
        <v>2.56</v>
      </c>
      <c r="F38" s="89">
        <v>2.56</v>
      </c>
      <c r="G38" s="89">
        <v>2.56</v>
      </c>
      <c r="H38" s="89">
        <v>2.56</v>
      </c>
      <c r="I38" s="89">
        <v>2.56</v>
      </c>
      <c r="J38" s="89">
        <v>2.56</v>
      </c>
      <c r="K38" s="89">
        <v>2.56</v>
      </c>
      <c r="L38" s="89">
        <v>2.56</v>
      </c>
      <c r="M38" s="89">
        <v>2.56</v>
      </c>
      <c r="N38" s="89">
        <v>2.56</v>
      </c>
      <c r="O38" s="89">
        <v>2.56</v>
      </c>
    </row>
    <row r="39" spans="3:15" x14ac:dyDescent="0.15">
      <c r="C39" s="37" t="s">
        <v>132</v>
      </c>
      <c r="D39" s="89">
        <v>2.7</v>
      </c>
      <c r="E39" s="89">
        <v>2.7</v>
      </c>
      <c r="F39" s="89">
        <v>2.7</v>
      </c>
      <c r="G39" s="89">
        <v>2.7</v>
      </c>
      <c r="H39" s="89">
        <v>2.7</v>
      </c>
      <c r="I39" s="89">
        <v>2.7</v>
      </c>
      <c r="J39" s="89">
        <v>2.7</v>
      </c>
      <c r="K39" s="89">
        <v>2.7</v>
      </c>
      <c r="L39" s="89">
        <v>2.7</v>
      </c>
      <c r="M39" s="89">
        <v>2.7</v>
      </c>
      <c r="N39" s="89">
        <v>2.7</v>
      </c>
      <c r="O39" s="89">
        <v>2.7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WbaMGKHv9cThA4fIbPu6ZABFEf5LwhFAE1n2wI3h3EbONat9oQpa91jNQTz9iP6gy92JdlJ9Gw8dOIr0jrzFJQ==" saltValue="RqeaBs/kJTgKpFNW7e6rp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2016-01-10T20:27:46Z</dcterms:modified>
</cp:coreProperties>
</file>