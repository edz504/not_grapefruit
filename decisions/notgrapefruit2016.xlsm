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notgrapefruit/"/>
    </mc:Choice>
  </mc:AlternateContent>
  <bookViews>
    <workbookView xWindow="0" yWindow="460" windowWidth="28800" windowHeight="1746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9" i="7" l="1"/>
  <c r="G19" i="7"/>
  <c r="E19" i="7"/>
  <c r="C19" i="7"/>
  <c r="C30" i="7"/>
  <c r="C29" i="7"/>
  <c r="C28" i="7"/>
  <c r="C27" i="7"/>
  <c r="C8" i="7"/>
  <c r="G8" i="7"/>
  <c r="I7" i="7"/>
  <c r="E7" i="7"/>
  <c r="D6" i="7"/>
  <c r="F6" i="7"/>
  <c r="H6" i="7"/>
  <c r="J6" i="7"/>
  <c r="K31" i="7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<sst xmlns="http://schemas.openxmlformats.org/spreadsheetml/2006/main" count="526" uniqueCount="169">
  <si>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</si>
  <si>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</si>
  <si>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</si>
  <si>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</si>
  <si>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</si>
  <si>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</si>
  <si>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</si>
  <si>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</si>
  <si>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</si>
  <si>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</si>
  <si>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</si>
  <si>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</si>
  <si>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</si>
  <si>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</si>
  <si>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</si>
  <si>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</si>
  <si>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</si>
  <si>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</si>
  <si>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</si>
  <si>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</si>
  <si>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</si>
  <si>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</si>
  <si>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</si>
  <si>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</si>
  <si>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</si>
  <si>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</si>
  <si>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</si>
  <si>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</si>
  <si>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</si>
  <si>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</si>
  <si>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</si>
  <si>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</si>
  <si>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</si>
  <si>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</si>
  <si>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</si>
  <si>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</si>
  <si>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</si>
  <si>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</si>
  <si>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</si>
  <si>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</si>
  <si>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</si>
  <si>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</si>
  <si>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</si>
  <si>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</si>
  <si>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</si>
  <si>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</si>
  <si>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</si>
  <si>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</si>
  <si>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</si>
  <si>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</si>
  <si>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</si>
  <si>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</si>
  <si>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</si>
  <si>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</si>
  <si>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</si>
  <si>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</si>
  <si>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</si>
  <si>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</si>
  <si>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</si>
  <si>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</si>
  <si>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</si>
  <si>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</si>
  <si>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</si>
  <si>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</si>
  <si>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</si>
  <si>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</si>
  <si>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</si>
  <si>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</si>
  <si>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</si>
  <si>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</si>
  <si>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</si>
  <si>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</si>
  <si>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</si>
  <si>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</si>
  <si>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</si>
  <si>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</si>
  <si>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</si>
  <si>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</si>
  <si>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</si>
  <si>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</si>
  <si>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</si>
  <si>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</si>
  <si>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</si>
  <si>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</si>
  <si>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</si>
  <si>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</si>
  <si>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</si>
  <si>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</si>
  <si>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</si>
  <si>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</si>
  <si>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</si>
  <si>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</si>
  <si>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</si>
  <si>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</si>
  <si>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</si>
  <si>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</si>
  <si>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</si>
  <si>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</si>
  <si>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</si>
  <si>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</si>
  <si>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</si>
  <si>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</si>
  <si>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</si>
  <si>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</si>
  <si>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</si>
  <si>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</si>
  <si>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</si>
  <si>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</si>
  <si>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</si>
  <si>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</si>
  <si>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</si>
  <si>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</si>
  <si>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</si>
  <si>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</si>
  <si>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</si>
  <si>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</si>
  <si>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</si>
  <si>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</si>
  <si>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</si>
  <si>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</si>
  <si>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</si>
  <si>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</si>
  <si>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</si>
  <si>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</si>
  <si>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</si>
  <si>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</si>
  <si>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</si>
  <si>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</si>
  <si>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</si>
  <si>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</si>
  <si>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</si>
  <si>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</si>
  <si>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</si>
  <si>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</si>
  <si>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</si>
  <si>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</si>
  <si>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</si>
  <si>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</si>
  <si>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</si>
  <si>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</si>
  <si>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</si>
  <si>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</si>
  <si>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</si>
  <si>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</si>
  <si>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</si>
  <si>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</si>
  <si>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</si>
  <si>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</si>
  <si>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</si>
  <si>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</si>
  <si>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</si>
  <si>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</si>
  <si>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</si>
  <si>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</si>
  <si>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</si>
  <si>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</si>
  <si>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</si>
  <si>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</si>
  <si>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</si>
  <si>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</si>
  <si>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</si>
  <si>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</si>
  <si>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</si>
  <si>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</si>
  <si>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</si>
  <si>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</si>
  <si>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>sold</t>
  </si>
  <si>
    <t>new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</si>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</sst>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8" t="s">
        <v>165</v>
      </c>
      <c r="E4" s="99"/>
      <c r="F4" s="100"/>
    </row>
    <row r="5" spans="2:6" x14ac:dyDescent="0.15">
      <c r="B5" s="6"/>
      <c r="C5" s="7" t="s">
        <v>111</v>
      </c>
      <c r="D5" s="101">
        <v>2016</v>
      </c>
      <c r="E5" s="102"/>
      <c r="F5" s="103"/>
    </row>
    <row r="6" spans="2:6" x14ac:dyDescent="0.15">
      <c r="B6" s="3"/>
      <c r="C6" s="3"/>
      <c r="D6" s="3"/>
      <c r="E6" s="3"/>
      <c r="F6" s="3"/>
    </row>
  </sheetData>
  <sheetProtection algorithmName="SHA-512" hashValue="B1M0PwJpO6wRD+Kb6cOUXMktR5MSGw5U5d4C6xp/OMobkFPgQJc1vfq+fXWkNrm3nQzScNW/TK6eiuN2omKukA==" saltValue="7K9ITk4wOyr3WKRUJBoQS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" zoomScale="150" workbookViewId="0">
      <selection activeCell="C30" sqref="C30"/>
    </sheetView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>
        <v>-1450</v>
      </c>
      <c r="D7" s="15">
        <v>1700</v>
      </c>
      <c r="E7" s="15" t="s">
        <v>167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>
        <v>-4750</v>
      </c>
      <c r="D8" s="15">
        <v>5500</v>
      </c>
      <c r="E8" s="15" t="s">
        <v>167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168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>
        <v>-2050</v>
      </c>
      <c r="D10" s="15">
        <v>2300</v>
      </c>
      <c r="E10" s="15" t="s">
        <v>168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168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168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>
        <v>-1050</v>
      </c>
      <c r="D14" s="15">
        <v>1300</v>
      </c>
      <c r="E14" s="15" t="s">
        <v>167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168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>
        <v>-40</v>
      </c>
      <c r="D22" s="15">
        <v>57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>
        <v>-132</v>
      </c>
      <c r="D23" s="15">
        <v>182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>
        <v>-42</v>
      </c>
      <c r="D25" s="15">
        <v>59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>
        <v>-26</v>
      </c>
      <c r="D29" s="15">
        <v>43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341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168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168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168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168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168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168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168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168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168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168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168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168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168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168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>
        <v>-2000</v>
      </c>
      <c r="D51" s="14">
        <v>3000</v>
      </c>
      <c r="E51" s="15" t="s">
        <v>167</v>
      </c>
      <c r="F51" s="15" t="s">
        <v>6</v>
      </c>
      <c r="G51" s="15">
        <f t="shared" si="3"/>
        <v>1000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 t="s">
        <v>168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 t="s">
        <v>168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 t="s">
        <v>168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 t="s">
        <v>168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 t="s">
        <v>168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 t="s">
        <v>168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 t="s">
        <v>168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 t="s">
        <v>168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 t="s">
        <v>168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 t="s">
        <v>168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 t="s">
        <v>168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 t="s">
        <v>168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 t="s">
        <v>168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 t="s">
        <v>168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>
        <v>-9000</v>
      </c>
      <c r="D66" s="15">
        <v>12000</v>
      </c>
      <c r="E66" s="15" t="s">
        <v>167</v>
      </c>
      <c r="F66" s="15" t="s">
        <v>6</v>
      </c>
      <c r="G66" s="15">
        <f t="shared" si="3"/>
        <v>3000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 t="s">
        <v>168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 t="s">
        <v>168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 t="s">
        <v>168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 t="s">
        <v>168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 t="s">
        <v>168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 t="s">
        <v>168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 t="s">
        <v>168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>
        <v>-3250</v>
      </c>
      <c r="D74" s="15">
        <v>4000</v>
      </c>
      <c r="E74" s="15" t="s">
        <v>167</v>
      </c>
      <c r="F74" s="15" t="s">
        <v>6</v>
      </c>
      <c r="G74" s="15">
        <f t="shared" si="5"/>
        <v>750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 t="s">
        <v>168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 t="s">
        <v>168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 t="s">
        <v>168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 t="s">
        <v>168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 t="s">
        <v>168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 t="s">
        <v>168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 t="s">
        <v>168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 t="s">
        <v>168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 t="s">
        <v>168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 t="s">
        <v>168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 t="s">
        <v>168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>
        <v>-2600</v>
      </c>
      <c r="D87" s="15">
        <v>4000</v>
      </c>
      <c r="E87" s="15" t="s">
        <v>167</v>
      </c>
      <c r="F87" s="15" t="s">
        <v>6</v>
      </c>
      <c r="G87" s="15">
        <f t="shared" si="5"/>
        <v>1400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 t="s">
        <v>168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 t="s">
        <v>168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 t="s">
        <v>168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 t="s">
        <v>168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 t="s">
        <v>168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 t="s">
        <v>168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 t="s">
        <v>168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 t="s">
        <v>168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 t="s">
        <v>168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 t="s">
        <v>168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 t="s">
        <v>168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 t="s">
        <v>168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 t="s">
        <v>168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 t="s">
        <v>168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 t="s">
        <v>168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 t="s">
        <v>168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 t="s">
        <v>168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 t="s">
        <v>168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 t="s">
        <v>168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ipxh3c++GrL+s53zcXD4zRqtlBkzc3eWuBSGgUJn/qvE9Wa4i44RTg0zaQqkG7finIPHxV0DXuvFY7oxtu02Vg==" saltValue="0Q+oqCBInuqzJbtBjwDZw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11" zoomScale="125" workbookViewId="0">
      <selection activeCell="I17" sqref="I17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1976</v>
      </c>
      <c r="D6" s="86">
        <v>1976</v>
      </c>
      <c r="E6" s="86">
        <v>1976</v>
      </c>
      <c r="F6" s="86">
        <v>1976</v>
      </c>
      <c r="G6" s="86">
        <v>1976</v>
      </c>
      <c r="H6" s="86">
        <v>1976</v>
      </c>
      <c r="I6" s="86">
        <v>1976</v>
      </c>
      <c r="J6" s="86">
        <v>1976</v>
      </c>
      <c r="K6" s="86">
        <v>1976</v>
      </c>
      <c r="L6" s="86">
        <v>1976</v>
      </c>
      <c r="M6" s="86">
        <v>1976</v>
      </c>
      <c r="N6" s="86">
        <v>1976</v>
      </c>
    </row>
    <row r="7" spans="2:14" x14ac:dyDescent="0.15">
      <c r="B7" s="36" t="s">
        <v>105</v>
      </c>
      <c r="C7" s="87">
        <v>314</v>
      </c>
      <c r="D7" s="87">
        <v>314</v>
      </c>
      <c r="E7" s="87">
        <v>314</v>
      </c>
      <c r="F7" s="87">
        <v>314</v>
      </c>
      <c r="G7" s="87">
        <v>314</v>
      </c>
      <c r="H7" s="87">
        <v>314</v>
      </c>
      <c r="I7" s="87">
        <v>314</v>
      </c>
      <c r="J7" s="87">
        <v>314</v>
      </c>
      <c r="K7" s="87">
        <v>314</v>
      </c>
      <c r="L7" s="87">
        <v>314</v>
      </c>
      <c r="M7" s="87">
        <v>314</v>
      </c>
      <c r="N7" s="87">
        <v>314</v>
      </c>
    </row>
    <row r="8" spans="2:14" x14ac:dyDescent="0.15">
      <c r="B8" s="36" t="s">
        <v>106</v>
      </c>
      <c r="C8" s="87">
        <v>389</v>
      </c>
      <c r="D8" s="87">
        <v>389</v>
      </c>
      <c r="E8" s="87">
        <v>389</v>
      </c>
      <c r="F8" s="87">
        <v>389</v>
      </c>
      <c r="G8" s="87">
        <v>389</v>
      </c>
      <c r="H8" s="87">
        <v>389</v>
      </c>
      <c r="I8" s="87">
        <v>389</v>
      </c>
      <c r="J8" s="87">
        <v>389</v>
      </c>
      <c r="K8" s="87">
        <v>389</v>
      </c>
      <c r="L8" s="87">
        <v>389</v>
      </c>
      <c r="M8" s="87">
        <v>389</v>
      </c>
      <c r="N8" s="87">
        <v>389</v>
      </c>
    </row>
    <row r="9" spans="2:14" x14ac:dyDescent="0.15">
      <c r="B9" s="36" t="s">
        <v>107</v>
      </c>
      <c r="C9" s="87">
        <v>0</v>
      </c>
      <c r="D9" s="87">
        <v>0</v>
      </c>
      <c r="E9" s="87">
        <v>0</v>
      </c>
      <c r="F9" s="87">
        <v>0</v>
      </c>
      <c r="G9" s="87">
        <v>0</v>
      </c>
      <c r="H9" s="87">
        <v>0</v>
      </c>
      <c r="I9" s="87">
        <v>0</v>
      </c>
      <c r="J9" s="87">
        <v>0</v>
      </c>
      <c r="K9" s="87">
        <v>0</v>
      </c>
      <c r="L9" s="87">
        <v>0</v>
      </c>
      <c r="M9" s="87">
        <v>0</v>
      </c>
      <c r="N9" s="87">
        <v>0</v>
      </c>
    </row>
    <row r="10" spans="2:14" x14ac:dyDescent="0.15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 x14ac:dyDescent="0.15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89">
        <v>1.1000000000000001</v>
      </c>
      <c r="D17" s="89">
        <v>0.6</v>
      </c>
      <c r="E17" s="89">
        <v>1</v>
      </c>
      <c r="F17" s="89">
        <v>0.7</v>
      </c>
      <c r="G17" s="89">
        <v>0.9</v>
      </c>
      <c r="H17" s="89">
        <v>1000000</v>
      </c>
      <c r="I17" s="29" t="s">
        <v>110</v>
      </c>
    </row>
    <row r="18" spans="2:33" x14ac:dyDescent="0.15">
      <c r="B18" s="36" t="s">
        <v>105</v>
      </c>
      <c r="C18" s="90">
        <v>1.1000000000000001</v>
      </c>
      <c r="D18" s="90">
        <v>0.65</v>
      </c>
      <c r="E18" s="90">
        <v>1</v>
      </c>
      <c r="F18" s="90">
        <v>0.8</v>
      </c>
      <c r="G18" s="90">
        <v>0.9</v>
      </c>
      <c r="H18" s="90">
        <v>1000000</v>
      </c>
      <c r="I18" s="29" t="s">
        <v>110</v>
      </c>
    </row>
    <row r="19" spans="2:33" x14ac:dyDescent="0.15">
      <c r="B19" s="36" t="s">
        <v>106</v>
      </c>
      <c r="C19" s="90">
        <v>1.1000000000000001</v>
      </c>
      <c r="D19" s="90">
        <v>0.72</v>
      </c>
      <c r="E19" s="90">
        <v>1</v>
      </c>
      <c r="F19" s="90">
        <v>0.82</v>
      </c>
      <c r="G19" s="90">
        <v>0.9</v>
      </c>
      <c r="H19" s="90">
        <v>1000000</v>
      </c>
      <c r="I19" s="29" t="s">
        <v>110</v>
      </c>
    </row>
    <row r="20" spans="2:33" x14ac:dyDescent="0.15">
      <c r="B20" s="36" t="s">
        <v>107</v>
      </c>
      <c r="C20" s="90">
        <v>1</v>
      </c>
      <c r="D20" s="90">
        <v>1000000</v>
      </c>
      <c r="E20" s="90">
        <v>1</v>
      </c>
      <c r="F20" s="90">
        <v>1000000</v>
      </c>
      <c r="G20" s="90">
        <v>1</v>
      </c>
      <c r="H20" s="90">
        <v>1000000</v>
      </c>
    </row>
    <row r="21" spans="2:33" x14ac:dyDescent="0.15">
      <c r="B21" s="36" t="s">
        <v>108</v>
      </c>
      <c r="C21" s="90">
        <v>1</v>
      </c>
      <c r="D21" s="90">
        <v>1000000</v>
      </c>
      <c r="E21" s="90">
        <v>1</v>
      </c>
      <c r="F21" s="90">
        <v>1000000</v>
      </c>
      <c r="G21" s="90">
        <v>1</v>
      </c>
      <c r="H21" s="90">
        <v>1000000</v>
      </c>
    </row>
    <row r="22" spans="2:33" x14ac:dyDescent="0.15">
      <c r="B22" s="37" t="s">
        <v>109</v>
      </c>
      <c r="C22" s="90">
        <v>1</v>
      </c>
      <c r="D22" s="90">
        <v>1000000</v>
      </c>
      <c r="E22" s="90">
        <v>1</v>
      </c>
      <c r="F22" s="90">
        <v>1000000</v>
      </c>
      <c r="G22" s="90">
        <v>1</v>
      </c>
      <c r="H22" s="90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2016</v>
      </c>
      <c r="D30" s="44">
        <v>0.67862145488531522</v>
      </c>
      <c r="E30" s="35">
        <v>0</v>
      </c>
      <c r="F30" s="47">
        <v>0.77144919455166439</v>
      </c>
      <c r="G30" s="46">
        <v>0</v>
      </c>
      <c r="H30" s="47">
        <v>0.74927989201390566</v>
      </c>
      <c r="I30" s="46">
        <v>0</v>
      </c>
      <c r="J30" s="47">
        <v>0.67403456532264949</v>
      </c>
      <c r="K30" s="46">
        <v>0</v>
      </c>
      <c r="L30" s="47">
        <v>0.9094305994382329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2017</v>
      </c>
      <c r="D31" s="76"/>
      <c r="E31" s="75"/>
      <c r="F31" s="69">
        <v>0.71662753591933626</v>
      </c>
      <c r="G31" s="79">
        <v>0</v>
      </c>
      <c r="H31" s="61">
        <v>0.7118064307683698</v>
      </c>
      <c r="I31" s="62">
        <v>0</v>
      </c>
      <c r="J31" s="61">
        <v>0.65742258166301204</v>
      </c>
      <c r="K31" s="62">
        <v>0</v>
      </c>
      <c r="L31" s="61">
        <v>0.8608485705892801</v>
      </c>
      <c r="M31" s="62">
        <v>0</v>
      </c>
      <c r="N31" s="63">
        <v>0.91910454752448723</v>
      </c>
      <c r="O31" s="88"/>
      <c r="P31" s="63">
        <f>O31+M31+K31+I31+G31</f>
        <v>0</v>
      </c>
    </row>
    <row r="32" spans="2:33" x14ac:dyDescent="0.15">
      <c r="B32" s="36"/>
      <c r="C32" s="47">
        <f>basic_info!$D$5+2</f>
        <v>2018</v>
      </c>
      <c r="D32" s="76"/>
      <c r="E32" s="75"/>
      <c r="F32" s="75"/>
      <c r="G32" s="75"/>
      <c r="H32" s="69">
        <v>0.68616087553988669</v>
      </c>
      <c r="I32" s="79">
        <v>0</v>
      </c>
      <c r="J32" s="61">
        <v>0.64171751702829749</v>
      </c>
      <c r="K32" s="62">
        <v>0</v>
      </c>
      <c r="L32" s="61">
        <v>0.8295043288750632</v>
      </c>
      <c r="M32" s="62">
        <v>0</v>
      </c>
      <c r="N32" s="63">
        <v>0.85195298768145433</v>
      </c>
      <c r="O32" s="88"/>
      <c r="P32" s="63">
        <f>O32+M32+K32+I32</f>
        <v>0</v>
      </c>
    </row>
    <row r="33" spans="2:17" x14ac:dyDescent="0.15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0.65376248745918275</v>
      </c>
      <c r="K33" s="79">
        <v>0</v>
      </c>
      <c r="L33" s="61">
        <v>0.84540928358710421</v>
      </c>
      <c r="M33" s="62">
        <v>0</v>
      </c>
      <c r="N33" s="63">
        <v>0.79341974686465555</v>
      </c>
      <c r="O33" s="88"/>
      <c r="P33" s="63">
        <f>O33+M33+K33</f>
        <v>0</v>
      </c>
    </row>
    <row r="34" spans="2:17" x14ac:dyDescent="0.15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0.76962524616122252</v>
      </c>
      <c r="M34" s="79">
        <v>0</v>
      </c>
      <c r="N34" s="63">
        <v>0.75112057603575599</v>
      </c>
      <c r="O34" s="88"/>
      <c r="P34" s="63">
        <f>O34+M34</f>
        <v>0</v>
      </c>
    </row>
    <row r="35" spans="2:17" x14ac:dyDescent="0.15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0.73914561780691146</v>
      </c>
      <c r="O35" s="88"/>
      <c r="P35" s="65">
        <f>O35</f>
        <v>0</v>
      </c>
    </row>
    <row r="36" spans="2:17" x14ac:dyDescent="0.15">
      <c r="B36" s="41" t="s">
        <v>113</v>
      </c>
      <c r="C36" s="36">
        <f>basic_info!$D$5</f>
        <v>2016</v>
      </c>
      <c r="D36" s="44">
        <v>1.2381058075672227</v>
      </c>
      <c r="E36" s="35">
        <v>0</v>
      </c>
      <c r="F36" s="73">
        <v>1.0896456341169221</v>
      </c>
      <c r="G36" s="74">
        <v>0</v>
      </c>
      <c r="H36" s="73">
        <v>1.1880059380028796</v>
      </c>
      <c r="I36" s="74">
        <v>0</v>
      </c>
      <c r="J36" s="73">
        <v>1.1979988746751256</v>
      </c>
      <c r="K36" s="74">
        <v>0</v>
      </c>
      <c r="L36" s="66">
        <v>1.1284743819827652</v>
      </c>
      <c r="M36" s="67">
        <v>136000</v>
      </c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2017</v>
      </c>
      <c r="D37" s="76"/>
      <c r="E37" s="75"/>
      <c r="F37" s="69">
        <v>1.0587453955633634</v>
      </c>
      <c r="G37" s="79">
        <v>0</v>
      </c>
      <c r="H37" s="61">
        <v>1.0938135695671274</v>
      </c>
      <c r="I37" s="62">
        <v>0</v>
      </c>
      <c r="J37" s="61">
        <v>1.1014713588815135</v>
      </c>
      <c r="K37" s="62">
        <v>0</v>
      </c>
      <c r="L37" s="61">
        <v>1.042842908637313</v>
      </c>
      <c r="M37" s="62">
        <v>136000</v>
      </c>
      <c r="N37" s="61">
        <v>1.1390647533197611</v>
      </c>
      <c r="O37" s="88"/>
      <c r="P37" s="63">
        <f>O37+M37+K37+I37+G37</f>
        <v>136000</v>
      </c>
    </row>
    <row r="38" spans="2:17" x14ac:dyDescent="0.15">
      <c r="B38" s="36"/>
      <c r="C38" s="47">
        <f>basic_info!$D$5+2</f>
        <v>2018</v>
      </c>
      <c r="D38" s="76"/>
      <c r="E38" s="75"/>
      <c r="F38" s="75"/>
      <c r="G38" s="75"/>
      <c r="H38" s="69">
        <v>1.0288140534879155</v>
      </c>
      <c r="I38" s="79">
        <v>0</v>
      </c>
      <c r="J38" s="61">
        <v>1.0108999284690923</v>
      </c>
      <c r="K38" s="62">
        <v>0</v>
      </c>
      <c r="L38" s="61">
        <v>1.0032828986441651</v>
      </c>
      <c r="M38" s="62">
        <v>136000</v>
      </c>
      <c r="N38" s="61">
        <v>1.0357981248188022</v>
      </c>
      <c r="O38" s="88"/>
      <c r="P38" s="63">
        <f>O38+M38+K38+I38</f>
        <v>136000</v>
      </c>
    </row>
    <row r="39" spans="2:17" x14ac:dyDescent="0.15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0.98955166281759732</v>
      </c>
      <c r="K39" s="79">
        <v>0</v>
      </c>
      <c r="L39" s="61">
        <v>0.95103433990902408</v>
      </c>
      <c r="M39" s="62">
        <v>136000</v>
      </c>
      <c r="N39" s="61">
        <v>0.9919351074281193</v>
      </c>
      <c r="O39" s="88"/>
      <c r="P39" s="63">
        <f>O39+M39+K39</f>
        <v>136000</v>
      </c>
    </row>
    <row r="40" spans="2:17" x14ac:dyDescent="0.15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0.9180320969671012</v>
      </c>
      <c r="M40" s="79">
        <v>136000</v>
      </c>
      <c r="N40" s="61">
        <v>0.95493263137485418</v>
      </c>
      <c r="O40" s="88"/>
      <c r="P40" s="63">
        <f>O40+M40</f>
        <v>136000</v>
      </c>
    </row>
    <row r="41" spans="2:17" x14ac:dyDescent="0.15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0.9100411573201419</v>
      </c>
      <c r="O41" s="88">
        <v>89461</v>
      </c>
      <c r="P41" s="64">
        <f>O41</f>
        <v>89461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1">
        <v>8.1999999999999993</v>
      </c>
      <c r="D47" s="91">
        <v>8.1999999999999993</v>
      </c>
      <c r="E47" s="91">
        <v>8.1999999999999993</v>
      </c>
      <c r="F47" s="91">
        <v>8.1999999999999993</v>
      </c>
      <c r="G47" s="91">
        <v>8.1999999999999993</v>
      </c>
      <c r="H47" s="91">
        <v>8.1999999999999993</v>
      </c>
      <c r="I47" s="91">
        <v>8.1999999999999993</v>
      </c>
      <c r="J47" s="91">
        <v>8.1999999999999993</v>
      </c>
      <c r="K47" s="91">
        <v>8.1999999999999993</v>
      </c>
      <c r="L47" s="91">
        <v>9</v>
      </c>
      <c r="M47" s="91">
        <v>9</v>
      </c>
      <c r="N47" s="91">
        <v>8.1999999999999993</v>
      </c>
      <c r="O47" s="33">
        <f>SUM(C47:N47)</f>
        <v>100.00000000000001</v>
      </c>
    </row>
    <row r="48" spans="2:17" x14ac:dyDescent="0.15">
      <c r="B48" s="37" t="s">
        <v>113</v>
      </c>
      <c r="C48" s="91">
        <v>8.1999999999999993</v>
      </c>
      <c r="D48" s="91">
        <v>8.1999999999999993</v>
      </c>
      <c r="E48" s="91">
        <v>8.1999999999999993</v>
      </c>
      <c r="F48" s="91">
        <v>8.1999999999999993</v>
      </c>
      <c r="G48" s="91">
        <v>8.1999999999999993</v>
      </c>
      <c r="H48" s="91">
        <v>8.1999999999999993</v>
      </c>
      <c r="I48" s="91">
        <v>8.1999999999999993</v>
      </c>
      <c r="J48" s="91">
        <v>8.1999999999999993</v>
      </c>
      <c r="K48" s="91">
        <v>8.1999999999999993</v>
      </c>
      <c r="L48" s="91">
        <v>9</v>
      </c>
      <c r="M48" s="91">
        <v>9</v>
      </c>
      <c r="N48" s="91">
        <v>8.1999999999999993</v>
      </c>
      <c r="O48" s="33">
        <f>SUM(C48:N48)</f>
        <v>100.00000000000001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wLirPLlxb1UqDNYTBg/H2NZzGuG/xRhfRiP9LNA0c4dzRwDHNMykNEek0tyM6UFScjPR4R5aTs03uR6/taG9Yw==" saltValue="K7r2mVNsiZUgsqLpG3dLi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topLeftCell="A7" zoomScale="125" workbookViewId="0">
      <selection activeCell="E40" sqref="E40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2"/>
      <c r="D6" s="92">
        <f>639/1979 * 100</f>
        <v>32.289034866093985</v>
      </c>
      <c r="E6" s="92"/>
      <c r="F6" s="92">
        <f>181/1979 * 100</f>
        <v>9.1460333501768574</v>
      </c>
      <c r="G6" s="92"/>
      <c r="H6" s="92">
        <f>100*858/1979</f>
        <v>43.355229914098032</v>
      </c>
      <c r="I6" s="92"/>
      <c r="J6" s="92">
        <f>100*301/1979</f>
        <v>15.209701869631127</v>
      </c>
      <c r="K6" s="96">
        <f>SUM($C$6:$J$6)</f>
        <v>100.00000000000001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2"/>
      <c r="D7" s="92"/>
      <c r="E7" s="92">
        <f>100*183/316</f>
        <v>57.911392405063289</v>
      </c>
      <c r="F7" s="92"/>
      <c r="G7" s="92"/>
      <c r="H7" s="92"/>
      <c r="I7" s="92">
        <f>100*133/316</f>
        <v>42.088607594936711</v>
      </c>
      <c r="J7" s="92"/>
      <c r="K7" s="96">
        <f>SUM($C$7:$J$7)</f>
        <v>100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2">
        <f>100*193/389</f>
        <v>49.614395886889461</v>
      </c>
      <c r="D8" s="92"/>
      <c r="E8" s="92"/>
      <c r="F8" s="92"/>
      <c r="G8" s="92">
        <f>100*196/389</f>
        <v>50.385604113110539</v>
      </c>
      <c r="H8" s="92"/>
      <c r="I8" s="92"/>
      <c r="J8" s="92"/>
      <c r="K8" s="96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2">
        <v>100</v>
      </c>
      <c r="D9" s="92"/>
      <c r="E9" s="92"/>
      <c r="F9" s="92"/>
      <c r="G9" s="92"/>
      <c r="H9" s="92"/>
      <c r="I9" s="92"/>
      <c r="J9" s="92"/>
      <c r="K9" s="96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2">
        <v>100</v>
      </c>
      <c r="D10" s="92"/>
      <c r="E10" s="92"/>
      <c r="F10" s="92"/>
      <c r="G10" s="92"/>
      <c r="H10" s="92"/>
      <c r="I10" s="92"/>
      <c r="J10" s="92"/>
      <c r="K10" s="96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3">
        <v>100</v>
      </c>
      <c r="D11" s="93"/>
      <c r="E11" s="93"/>
      <c r="F11" s="93"/>
      <c r="G11" s="93"/>
      <c r="H11" s="93"/>
      <c r="I11" s="93"/>
      <c r="J11" s="93"/>
      <c r="K11" s="95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3">
        <f>100*(146/(146+47))</f>
        <v>75.647668393782382</v>
      </c>
      <c r="D19" s="44">
        <f>100-$C$19</f>
        <v>24.352331606217618</v>
      </c>
      <c r="E19" s="93">
        <f>100*((91+217+77)/(91+217+77+67+133+54))</f>
        <v>60.250391236306733</v>
      </c>
      <c r="F19" s="44">
        <f>100-$E$19</f>
        <v>39.749608763693267</v>
      </c>
      <c r="G19" s="93">
        <f>100*((34+70)/(34+70+22+57))</f>
        <v>56.830601092896174</v>
      </c>
      <c r="H19" s="44">
        <f>100-$G$19</f>
        <v>43.169398907103826</v>
      </c>
      <c r="I19" s="93">
        <f>100*(109/(109+73))</f>
        <v>59.890109890109891</v>
      </c>
      <c r="J19" s="33">
        <f>100-$I$19</f>
        <v>40.109890109890109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2">
        <f>100*479/2841</f>
        <v>16.860260471664908</v>
      </c>
      <c r="D27" s="92">
        <v>100</v>
      </c>
      <c r="E27" s="92">
        <v>100</v>
      </c>
      <c r="F27" s="92">
        <v>0</v>
      </c>
      <c r="G27" s="92">
        <v>0</v>
      </c>
      <c r="H27" s="92">
        <v>0</v>
      </c>
      <c r="I27" s="92">
        <v>0</v>
      </c>
      <c r="J27" s="92">
        <v>0</v>
      </c>
      <c r="K27" s="94">
        <v>0</v>
      </c>
      <c r="R27" s="50"/>
      <c r="S27" s="50"/>
      <c r="T27" s="50"/>
    </row>
    <row r="28" spans="2:20" x14ac:dyDescent="0.15">
      <c r="B28" s="45" t="s">
        <v>49</v>
      </c>
      <c r="C28" s="92">
        <f>100*(476+400+440)/2841</f>
        <v>46.321717705033436</v>
      </c>
      <c r="D28" s="92">
        <v>0</v>
      </c>
      <c r="E28" s="92">
        <v>0</v>
      </c>
      <c r="F28" s="92">
        <v>100</v>
      </c>
      <c r="G28" s="92">
        <v>100</v>
      </c>
      <c r="H28" s="92">
        <v>0</v>
      </c>
      <c r="I28" s="92">
        <v>0</v>
      </c>
      <c r="J28" s="92">
        <v>0</v>
      </c>
      <c r="K28" s="94">
        <v>0</v>
      </c>
      <c r="R28" s="50"/>
      <c r="S28" s="50"/>
      <c r="T28" s="50"/>
    </row>
    <row r="29" spans="2:20" x14ac:dyDescent="0.15">
      <c r="B29" s="45" t="s">
        <v>57</v>
      </c>
      <c r="C29" s="92">
        <f>100*(100+194)/2841</f>
        <v>10.348468848996832</v>
      </c>
      <c r="D29" s="92">
        <v>0</v>
      </c>
      <c r="E29" s="92">
        <v>0</v>
      </c>
      <c r="F29" s="92">
        <v>0</v>
      </c>
      <c r="G29" s="92">
        <v>0</v>
      </c>
      <c r="H29" s="92">
        <v>100</v>
      </c>
      <c r="I29" s="92">
        <v>100</v>
      </c>
      <c r="J29" s="92">
        <v>0</v>
      </c>
      <c r="K29" s="94">
        <v>0</v>
      </c>
      <c r="R29" s="50"/>
      <c r="S29" s="50"/>
      <c r="T29" s="50"/>
    </row>
    <row r="30" spans="2:20" x14ac:dyDescent="0.15">
      <c r="B30" s="45" t="s">
        <v>70</v>
      </c>
      <c r="C30" s="92">
        <f>100*(752/2841)</f>
        <v>26.469552974304822</v>
      </c>
      <c r="D30" s="92">
        <v>0</v>
      </c>
      <c r="E30" s="92">
        <v>0</v>
      </c>
      <c r="F30" s="92">
        <v>0</v>
      </c>
      <c r="G30" s="92">
        <v>0</v>
      </c>
      <c r="H30" s="92">
        <v>0</v>
      </c>
      <c r="I30" s="92">
        <v>0</v>
      </c>
      <c r="J30" s="92">
        <v>100</v>
      </c>
      <c r="K30" s="94">
        <v>100</v>
      </c>
      <c r="R30" s="50"/>
      <c r="S30" s="50"/>
      <c r="T30" s="50"/>
    </row>
    <row r="31" spans="2:20" x14ac:dyDescent="0.15">
      <c r="B31" s="45" t="s">
        <v>150</v>
      </c>
      <c r="C31" s="97">
        <f>SUM($C$27:$C$30)</f>
        <v>100</v>
      </c>
      <c r="D31" s="97">
        <f>SUM($D$27:$D$30)</f>
        <v>100</v>
      </c>
      <c r="E31" s="97">
        <f>SUM($E$27:$E$30)</f>
        <v>100</v>
      </c>
      <c r="F31" s="97">
        <f>SUM($F$27:$F$30)</f>
        <v>100</v>
      </c>
      <c r="G31" s="97">
        <f>SUM($G$27:$G$30)</f>
        <v>100</v>
      </c>
      <c r="H31" s="97">
        <f>SUM($H$27:$H$30)</f>
        <v>100</v>
      </c>
      <c r="I31" s="97">
        <f>SUM($I$27:$I$30)</f>
        <v>100</v>
      </c>
      <c r="J31" s="97">
        <f>SUM($J$27:$J$30)</f>
        <v>100</v>
      </c>
      <c r="K31" s="95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2">
        <v>10</v>
      </c>
      <c r="D38" s="92">
        <v>10</v>
      </c>
      <c r="E38" s="92">
        <v>10</v>
      </c>
      <c r="F38" s="92">
        <v>10</v>
      </c>
      <c r="G38" s="92">
        <v>10</v>
      </c>
      <c r="H38" s="92">
        <v>10</v>
      </c>
      <c r="I38" s="92">
        <v>10</v>
      </c>
      <c r="J38" s="92">
        <v>10</v>
      </c>
      <c r="K38" s="92">
        <v>10</v>
      </c>
      <c r="L38" s="92">
        <v>10</v>
      </c>
      <c r="M38" s="92">
        <v>10</v>
      </c>
      <c r="N38" s="92">
        <v>10</v>
      </c>
    </row>
    <row r="39" spans="2:14" x14ac:dyDescent="0.15">
      <c r="B39" s="45" t="s">
        <v>49</v>
      </c>
      <c r="C39" s="92">
        <v>18</v>
      </c>
      <c r="D39" s="92">
        <v>18</v>
      </c>
      <c r="E39" s="92">
        <v>18</v>
      </c>
      <c r="F39" s="92">
        <v>18</v>
      </c>
      <c r="G39" s="92">
        <v>18</v>
      </c>
      <c r="H39" s="92">
        <v>18</v>
      </c>
      <c r="I39" s="92">
        <v>18</v>
      </c>
      <c r="J39" s="92">
        <v>18</v>
      </c>
      <c r="K39" s="92">
        <v>18</v>
      </c>
      <c r="L39" s="92">
        <v>18</v>
      </c>
      <c r="M39" s="92">
        <v>18</v>
      </c>
      <c r="N39" s="92">
        <v>18</v>
      </c>
    </row>
    <row r="40" spans="2:14" x14ac:dyDescent="0.15">
      <c r="B40" s="45" t="s">
        <v>57</v>
      </c>
      <c r="C40" s="92">
        <v>23</v>
      </c>
      <c r="D40" s="92">
        <v>23</v>
      </c>
      <c r="E40" s="92">
        <v>23</v>
      </c>
      <c r="F40" s="92">
        <v>23</v>
      </c>
      <c r="G40" s="92">
        <v>23</v>
      </c>
      <c r="H40" s="92">
        <v>23</v>
      </c>
      <c r="I40" s="92">
        <v>23</v>
      </c>
      <c r="J40" s="92">
        <v>23</v>
      </c>
      <c r="K40" s="92">
        <v>23</v>
      </c>
      <c r="L40" s="92">
        <v>23</v>
      </c>
      <c r="M40" s="92">
        <v>23</v>
      </c>
      <c r="N40" s="92">
        <v>23</v>
      </c>
    </row>
    <row r="41" spans="2:14" x14ac:dyDescent="0.15">
      <c r="B41" s="45" t="s">
        <v>70</v>
      </c>
      <c r="C41" s="93">
        <v>10</v>
      </c>
      <c r="D41" s="93">
        <v>10</v>
      </c>
      <c r="E41" s="93">
        <v>10</v>
      </c>
      <c r="F41" s="93">
        <v>10</v>
      </c>
      <c r="G41" s="93">
        <v>10</v>
      </c>
      <c r="H41" s="93">
        <v>10</v>
      </c>
      <c r="I41" s="93">
        <v>10</v>
      </c>
      <c r="J41" s="93">
        <v>10</v>
      </c>
      <c r="K41" s="93">
        <v>10</v>
      </c>
      <c r="L41" s="93">
        <v>10</v>
      </c>
      <c r="M41" s="93">
        <v>10</v>
      </c>
      <c r="N41" s="93">
        <v>10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ARYnzi4tbUzUUGAMQ5rbkkNCQBuR1wdBBmRoxhuTNuPZr/iiaak6NqniJQrWw9AB9H0d5IEAVcq3UMg1QNwAfw==" saltValue="e+OoOKV0uPW/nDjfVZJ9B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topLeftCell="A4" zoomScale="115" workbookViewId="0">
      <selection activeCell="O33" sqref="O33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8">
        <v>2.1</v>
      </c>
      <c r="E6" s="88">
        <v>2.1</v>
      </c>
      <c r="F6" s="88">
        <v>2.1</v>
      </c>
      <c r="G6" s="88">
        <v>2.1</v>
      </c>
      <c r="H6" s="88">
        <v>2.1</v>
      </c>
      <c r="I6" s="88">
        <v>2.1</v>
      </c>
      <c r="J6" s="88">
        <v>2.1</v>
      </c>
      <c r="K6" s="88">
        <v>2.1</v>
      </c>
      <c r="L6" s="88">
        <v>2.1</v>
      </c>
      <c r="M6" s="88">
        <v>2.1</v>
      </c>
      <c r="N6" s="88">
        <v>2.1</v>
      </c>
      <c r="O6" s="88">
        <v>2.1</v>
      </c>
    </row>
    <row r="7" spans="2:15" x14ac:dyDescent="0.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 x14ac:dyDescent="0.15">
      <c r="C8" s="36" t="s">
        <v>128</v>
      </c>
      <c r="D8" s="88">
        <v>2.2999999999999998</v>
      </c>
      <c r="E8" s="88">
        <v>2.2999999999999998</v>
      </c>
      <c r="F8" s="88">
        <v>2.2999999999999998</v>
      </c>
      <c r="G8" s="88">
        <v>2.2999999999999998</v>
      </c>
      <c r="H8" s="88">
        <v>2.2999999999999998</v>
      </c>
      <c r="I8" s="88">
        <v>2.2999999999999998</v>
      </c>
      <c r="J8" s="88">
        <v>2.2999999999999998</v>
      </c>
      <c r="K8" s="88">
        <v>2.2999999999999998</v>
      </c>
      <c r="L8" s="88">
        <v>2.2999999999999998</v>
      </c>
      <c r="M8" s="88">
        <v>2.2999999999999998</v>
      </c>
      <c r="N8" s="88">
        <v>2.2999999999999998</v>
      </c>
      <c r="O8" s="88">
        <v>2.2999999999999998</v>
      </c>
    </row>
    <row r="9" spans="2:15" x14ac:dyDescent="0.15">
      <c r="C9" s="36" t="s">
        <v>129</v>
      </c>
      <c r="D9" s="88">
        <v>2.35</v>
      </c>
      <c r="E9" s="88">
        <v>2.35</v>
      </c>
      <c r="F9" s="88">
        <v>2.35</v>
      </c>
      <c r="G9" s="88">
        <v>2.35</v>
      </c>
      <c r="H9" s="88">
        <v>2.35</v>
      </c>
      <c r="I9" s="88">
        <v>2.35</v>
      </c>
      <c r="J9" s="88">
        <v>2.35</v>
      </c>
      <c r="K9" s="88">
        <v>2.35</v>
      </c>
      <c r="L9" s="88">
        <v>2.35</v>
      </c>
      <c r="M9" s="88">
        <v>2.35</v>
      </c>
      <c r="N9" s="88">
        <v>2.35</v>
      </c>
      <c r="O9" s="88">
        <v>2.35</v>
      </c>
    </row>
    <row r="10" spans="2:15" x14ac:dyDescent="0.15">
      <c r="C10" s="36" t="s">
        <v>130</v>
      </c>
      <c r="D10" s="88">
        <v>2.2000000000000002</v>
      </c>
      <c r="E10" s="88">
        <v>2.2000000000000002</v>
      </c>
      <c r="F10" s="88">
        <v>2.2000000000000002</v>
      </c>
      <c r="G10" s="88">
        <v>2.2000000000000002</v>
      </c>
      <c r="H10" s="88">
        <v>2.2000000000000002</v>
      </c>
      <c r="I10" s="88">
        <v>2.2000000000000002</v>
      </c>
      <c r="J10" s="88">
        <v>2.2000000000000002</v>
      </c>
      <c r="K10" s="88">
        <v>2.2000000000000002</v>
      </c>
      <c r="L10" s="88">
        <v>2.2000000000000002</v>
      </c>
      <c r="M10" s="88">
        <v>2.2000000000000002</v>
      </c>
      <c r="N10" s="88">
        <v>2.2000000000000002</v>
      </c>
      <c r="O10" s="88">
        <v>2.2000000000000002</v>
      </c>
    </row>
    <row r="11" spans="2:15" x14ac:dyDescent="0.15">
      <c r="C11" s="36" t="s">
        <v>131</v>
      </c>
      <c r="D11" s="88">
        <v>4</v>
      </c>
      <c r="E11" s="88">
        <v>4</v>
      </c>
      <c r="F11" s="88">
        <v>4</v>
      </c>
      <c r="G11" s="88">
        <v>4</v>
      </c>
      <c r="H11" s="88">
        <v>4</v>
      </c>
      <c r="I11" s="88">
        <v>4</v>
      </c>
      <c r="J11" s="88">
        <v>4</v>
      </c>
      <c r="K11" s="88">
        <v>4</v>
      </c>
      <c r="L11" s="88">
        <v>4</v>
      </c>
      <c r="M11" s="88">
        <v>4</v>
      </c>
      <c r="N11" s="88">
        <v>4</v>
      </c>
      <c r="O11" s="88">
        <v>4</v>
      </c>
    </row>
    <row r="12" spans="2:15" x14ac:dyDescent="0.15">
      <c r="C12" s="37" t="s">
        <v>132</v>
      </c>
      <c r="D12" s="88">
        <v>2.75</v>
      </c>
      <c r="E12" s="88">
        <v>2.75</v>
      </c>
      <c r="F12" s="88">
        <v>2.75</v>
      </c>
      <c r="G12" s="88">
        <v>2.75</v>
      </c>
      <c r="H12" s="88">
        <v>2.75</v>
      </c>
      <c r="I12" s="88">
        <v>2.75</v>
      </c>
      <c r="J12" s="88">
        <v>2.75</v>
      </c>
      <c r="K12" s="88">
        <v>2.75</v>
      </c>
      <c r="L12" s="88">
        <v>2.75</v>
      </c>
      <c r="M12" s="88">
        <v>2.75</v>
      </c>
      <c r="N12" s="88">
        <v>2.75</v>
      </c>
      <c r="O12" s="88">
        <v>2.75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8">
        <v>3.43</v>
      </c>
      <c r="E15" s="88">
        <v>3.43</v>
      </c>
      <c r="F15" s="88">
        <v>3.43</v>
      </c>
      <c r="G15" s="88">
        <v>3.43</v>
      </c>
      <c r="H15" s="88">
        <v>3.43</v>
      </c>
      <c r="I15" s="88">
        <v>3.43</v>
      </c>
      <c r="J15" s="88">
        <v>3.43</v>
      </c>
      <c r="K15" s="88">
        <v>3.43</v>
      </c>
      <c r="L15" s="88">
        <v>3.43</v>
      </c>
      <c r="M15" s="88">
        <v>3.43</v>
      </c>
      <c r="N15" s="88">
        <v>3.43</v>
      </c>
      <c r="O15" s="88">
        <v>3.43</v>
      </c>
    </row>
    <row r="16" spans="2:15" x14ac:dyDescent="0.15">
      <c r="C16" s="36" t="s">
        <v>127</v>
      </c>
      <c r="D16" s="88">
        <v>3.38</v>
      </c>
      <c r="E16" s="88">
        <v>3.38</v>
      </c>
      <c r="F16" s="88">
        <v>3.38</v>
      </c>
      <c r="G16" s="88">
        <v>3.38</v>
      </c>
      <c r="H16" s="88">
        <v>3.38</v>
      </c>
      <c r="I16" s="88">
        <v>3.38</v>
      </c>
      <c r="J16" s="88">
        <v>3.38</v>
      </c>
      <c r="K16" s="88">
        <v>3.38</v>
      </c>
      <c r="L16" s="88">
        <v>3.38</v>
      </c>
      <c r="M16" s="88">
        <v>3.38</v>
      </c>
      <c r="N16" s="88">
        <v>3.38</v>
      </c>
      <c r="O16" s="88">
        <v>3.38</v>
      </c>
    </row>
    <row r="17" spans="2:15" x14ac:dyDescent="0.15">
      <c r="C17" s="36" t="s">
        <v>128</v>
      </c>
      <c r="D17" s="88">
        <v>4</v>
      </c>
      <c r="E17" s="88">
        <v>4</v>
      </c>
      <c r="F17" s="88">
        <v>4</v>
      </c>
      <c r="G17" s="88">
        <v>4</v>
      </c>
      <c r="H17" s="88">
        <v>4</v>
      </c>
      <c r="I17" s="88">
        <v>4</v>
      </c>
      <c r="J17" s="88">
        <v>4</v>
      </c>
      <c r="K17" s="88">
        <v>4</v>
      </c>
      <c r="L17" s="88">
        <v>4</v>
      </c>
      <c r="M17" s="88">
        <v>4</v>
      </c>
      <c r="N17" s="88">
        <v>4</v>
      </c>
      <c r="O17" s="88">
        <v>4</v>
      </c>
    </row>
    <row r="18" spans="2:15" x14ac:dyDescent="0.15">
      <c r="C18" s="36" t="s">
        <v>129</v>
      </c>
      <c r="D18" s="88">
        <v>4</v>
      </c>
      <c r="E18" s="88">
        <v>4</v>
      </c>
      <c r="F18" s="88">
        <v>4</v>
      </c>
      <c r="G18" s="88">
        <v>4</v>
      </c>
      <c r="H18" s="88">
        <v>4</v>
      </c>
      <c r="I18" s="88">
        <v>4</v>
      </c>
      <c r="J18" s="88">
        <v>4</v>
      </c>
      <c r="K18" s="88">
        <v>4</v>
      </c>
      <c r="L18" s="88">
        <v>4</v>
      </c>
      <c r="M18" s="88">
        <v>4</v>
      </c>
      <c r="N18" s="88">
        <v>4</v>
      </c>
      <c r="O18" s="88">
        <v>4</v>
      </c>
    </row>
    <row r="19" spans="2:15" x14ac:dyDescent="0.15">
      <c r="C19" s="36" t="s">
        <v>130</v>
      </c>
      <c r="D19" s="88">
        <v>3.35</v>
      </c>
      <c r="E19" s="88">
        <v>3.35</v>
      </c>
      <c r="F19" s="88">
        <v>3.35</v>
      </c>
      <c r="G19" s="88">
        <v>3.35</v>
      </c>
      <c r="H19" s="88">
        <v>3.35</v>
      </c>
      <c r="I19" s="88">
        <v>3.35</v>
      </c>
      <c r="J19" s="88">
        <v>3.35</v>
      </c>
      <c r="K19" s="88">
        <v>3.35</v>
      </c>
      <c r="L19" s="88">
        <v>3.35</v>
      </c>
      <c r="M19" s="88">
        <v>3.35</v>
      </c>
      <c r="N19" s="88">
        <v>3.35</v>
      </c>
      <c r="O19" s="88">
        <v>3.35</v>
      </c>
    </row>
    <row r="20" spans="2:15" x14ac:dyDescent="0.15">
      <c r="C20" s="36" t="s">
        <v>131</v>
      </c>
      <c r="D20" s="88">
        <v>4</v>
      </c>
      <c r="E20" s="88">
        <v>4</v>
      </c>
      <c r="F20" s="88">
        <v>4</v>
      </c>
      <c r="G20" s="88">
        <v>4</v>
      </c>
      <c r="H20" s="88">
        <v>4</v>
      </c>
      <c r="I20" s="88">
        <v>4</v>
      </c>
      <c r="J20" s="88">
        <v>4</v>
      </c>
      <c r="K20" s="88">
        <v>4</v>
      </c>
      <c r="L20" s="88">
        <v>4</v>
      </c>
      <c r="M20" s="88">
        <v>4</v>
      </c>
      <c r="N20" s="88">
        <v>4</v>
      </c>
      <c r="O20" s="88">
        <v>4</v>
      </c>
    </row>
    <row r="21" spans="2:15" x14ac:dyDescent="0.15">
      <c r="C21" s="37" t="s">
        <v>132</v>
      </c>
      <c r="D21" s="88">
        <v>4</v>
      </c>
      <c r="E21" s="88">
        <v>4</v>
      </c>
      <c r="F21" s="88">
        <v>4</v>
      </c>
      <c r="G21" s="88">
        <v>4</v>
      </c>
      <c r="H21" s="88">
        <v>4</v>
      </c>
      <c r="I21" s="88">
        <v>4</v>
      </c>
      <c r="J21" s="88">
        <v>4</v>
      </c>
      <c r="K21" s="88">
        <v>4</v>
      </c>
      <c r="L21" s="88">
        <v>4</v>
      </c>
      <c r="M21" s="88">
        <v>4</v>
      </c>
      <c r="N21" s="88">
        <v>4</v>
      </c>
      <c r="O21" s="88">
        <v>4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8">
        <v>3.6</v>
      </c>
      <c r="E24" s="88">
        <v>3.6</v>
      </c>
      <c r="F24" s="88">
        <v>3.6</v>
      </c>
      <c r="G24" s="88">
        <v>3.6</v>
      </c>
      <c r="H24" s="88">
        <v>3.6</v>
      </c>
      <c r="I24" s="88">
        <v>3.6</v>
      </c>
      <c r="J24" s="88">
        <v>3.6</v>
      </c>
      <c r="K24" s="88">
        <v>3.6</v>
      </c>
      <c r="L24" s="88">
        <v>3.6</v>
      </c>
      <c r="M24" s="88">
        <v>3.6</v>
      </c>
      <c r="N24" s="88">
        <v>3.6</v>
      </c>
      <c r="O24" s="88">
        <v>3.6</v>
      </c>
    </row>
    <row r="25" spans="2:15" x14ac:dyDescent="0.15">
      <c r="C25" s="36" t="s">
        <v>127</v>
      </c>
      <c r="D25" s="88">
        <v>3.61</v>
      </c>
      <c r="E25" s="88">
        <v>3.61</v>
      </c>
      <c r="F25" s="88">
        <v>3.61</v>
      </c>
      <c r="G25" s="88">
        <v>3.61</v>
      </c>
      <c r="H25" s="88">
        <v>3.61</v>
      </c>
      <c r="I25" s="88">
        <v>3.61</v>
      </c>
      <c r="J25" s="88">
        <v>3.61</v>
      </c>
      <c r="K25" s="88">
        <v>3.61</v>
      </c>
      <c r="L25" s="88">
        <v>3.61</v>
      </c>
      <c r="M25" s="88">
        <v>3.61</v>
      </c>
      <c r="N25" s="88">
        <v>3.61</v>
      </c>
      <c r="O25" s="88">
        <v>3.61</v>
      </c>
    </row>
    <row r="26" spans="2:15" x14ac:dyDescent="0.15">
      <c r="C26" s="36" t="s">
        <v>128</v>
      </c>
      <c r="D26" s="88">
        <v>3.9</v>
      </c>
      <c r="E26" s="88">
        <v>3.9</v>
      </c>
      <c r="F26" s="88">
        <v>3.9</v>
      </c>
      <c r="G26" s="88">
        <v>3.9</v>
      </c>
      <c r="H26" s="88">
        <v>3.9</v>
      </c>
      <c r="I26" s="88">
        <v>3.9</v>
      </c>
      <c r="J26" s="88">
        <v>3.9</v>
      </c>
      <c r="K26" s="88">
        <v>3.9</v>
      </c>
      <c r="L26" s="88">
        <v>3.9</v>
      </c>
      <c r="M26" s="88">
        <v>3.9</v>
      </c>
      <c r="N26" s="88">
        <v>3.9</v>
      </c>
      <c r="O26" s="88">
        <v>3.9</v>
      </c>
    </row>
    <row r="27" spans="2:15" x14ac:dyDescent="0.15">
      <c r="C27" s="36" t="s">
        <v>129</v>
      </c>
      <c r="D27" s="88">
        <v>3.9</v>
      </c>
      <c r="E27" s="88">
        <v>3.9</v>
      </c>
      <c r="F27" s="88">
        <v>3.9</v>
      </c>
      <c r="G27" s="88">
        <v>3.9</v>
      </c>
      <c r="H27" s="88">
        <v>3.9</v>
      </c>
      <c r="I27" s="88">
        <v>3.9</v>
      </c>
      <c r="J27" s="88">
        <v>3.9</v>
      </c>
      <c r="K27" s="88">
        <v>3.9</v>
      </c>
      <c r="L27" s="88">
        <v>3.9</v>
      </c>
      <c r="M27" s="88">
        <v>3.9</v>
      </c>
      <c r="N27" s="88">
        <v>3.9</v>
      </c>
      <c r="O27" s="88">
        <v>3.9</v>
      </c>
    </row>
    <row r="28" spans="2:15" x14ac:dyDescent="0.15">
      <c r="C28" s="36" t="s">
        <v>130</v>
      </c>
      <c r="D28" s="88">
        <v>3.9</v>
      </c>
      <c r="E28" s="88">
        <v>3.9</v>
      </c>
      <c r="F28" s="88">
        <v>3.9</v>
      </c>
      <c r="G28" s="88">
        <v>3.9</v>
      </c>
      <c r="H28" s="88">
        <v>3.9</v>
      </c>
      <c r="I28" s="88">
        <v>3.9</v>
      </c>
      <c r="J28" s="88">
        <v>3.9</v>
      </c>
      <c r="K28" s="88">
        <v>3.9</v>
      </c>
      <c r="L28" s="88">
        <v>3.9</v>
      </c>
      <c r="M28" s="88">
        <v>3.9</v>
      </c>
      <c r="N28" s="88">
        <v>3.9</v>
      </c>
      <c r="O28" s="88">
        <v>3.9</v>
      </c>
    </row>
    <row r="29" spans="2:15" x14ac:dyDescent="0.15">
      <c r="C29" s="36" t="s">
        <v>131</v>
      </c>
      <c r="D29" s="88">
        <v>3.9</v>
      </c>
      <c r="E29" s="88">
        <v>3.9</v>
      </c>
      <c r="F29" s="88">
        <v>3.9</v>
      </c>
      <c r="G29" s="88">
        <v>3.9</v>
      </c>
      <c r="H29" s="88">
        <v>3.9</v>
      </c>
      <c r="I29" s="88">
        <v>3.9</v>
      </c>
      <c r="J29" s="88">
        <v>3.9</v>
      </c>
      <c r="K29" s="88">
        <v>3.9</v>
      </c>
      <c r="L29" s="88">
        <v>3.9</v>
      </c>
      <c r="M29" s="88">
        <v>3.9</v>
      </c>
      <c r="N29" s="88">
        <v>3.9</v>
      </c>
      <c r="O29" s="88">
        <v>3.9</v>
      </c>
    </row>
    <row r="30" spans="2:15" x14ac:dyDescent="0.15">
      <c r="C30" s="37" t="s">
        <v>132</v>
      </c>
      <c r="D30" s="88">
        <v>3.9</v>
      </c>
      <c r="E30" s="88">
        <v>3.9</v>
      </c>
      <c r="F30" s="88">
        <v>3.9</v>
      </c>
      <c r="G30" s="88">
        <v>3.9</v>
      </c>
      <c r="H30" s="88">
        <v>3.9</v>
      </c>
      <c r="I30" s="88">
        <v>3.9</v>
      </c>
      <c r="J30" s="88">
        <v>3.9</v>
      </c>
      <c r="K30" s="88">
        <v>3.9</v>
      </c>
      <c r="L30" s="88">
        <v>3.9</v>
      </c>
      <c r="M30" s="88">
        <v>3.9</v>
      </c>
      <c r="N30" s="88">
        <v>3.9</v>
      </c>
      <c r="O30" s="88">
        <v>3.9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8">
        <v>1.6</v>
      </c>
      <c r="E33" s="88">
        <v>1.6</v>
      </c>
      <c r="F33" s="88">
        <v>1.6</v>
      </c>
      <c r="G33" s="88">
        <v>1.6</v>
      </c>
      <c r="H33" s="88">
        <v>1.6</v>
      </c>
      <c r="I33" s="88">
        <v>1.6</v>
      </c>
      <c r="J33" s="88">
        <v>1.6</v>
      </c>
      <c r="K33" s="88">
        <v>1.6</v>
      </c>
      <c r="L33" s="88">
        <v>1.6</v>
      </c>
      <c r="M33" s="88">
        <v>1.6</v>
      </c>
      <c r="N33" s="88">
        <v>1.6</v>
      </c>
      <c r="O33" s="88">
        <v>1.6</v>
      </c>
    </row>
    <row r="34" spans="3:15" x14ac:dyDescent="0.15">
      <c r="C34" s="36" t="s">
        <v>127</v>
      </c>
      <c r="D34" s="88">
        <v>1.6</v>
      </c>
      <c r="E34" s="88">
        <v>1.6</v>
      </c>
      <c r="F34" s="88">
        <v>1.6</v>
      </c>
      <c r="G34" s="88">
        <v>1.6</v>
      </c>
      <c r="H34" s="88">
        <v>1.6</v>
      </c>
      <c r="I34" s="88">
        <v>1.6</v>
      </c>
      <c r="J34" s="88">
        <v>1.6</v>
      </c>
      <c r="K34" s="88">
        <v>1.6</v>
      </c>
      <c r="L34" s="88">
        <v>1.6</v>
      </c>
      <c r="M34" s="88">
        <v>1.6</v>
      </c>
      <c r="N34" s="88">
        <v>1.6</v>
      </c>
      <c r="O34" s="88">
        <v>1.6</v>
      </c>
    </row>
    <row r="35" spans="3:15" x14ac:dyDescent="0.15">
      <c r="C35" s="36" t="s">
        <v>128</v>
      </c>
      <c r="D35" s="88">
        <v>1.63</v>
      </c>
      <c r="E35" s="88">
        <v>1.63</v>
      </c>
      <c r="F35" s="88">
        <v>1.63</v>
      </c>
      <c r="G35" s="88">
        <v>1.63</v>
      </c>
      <c r="H35" s="88">
        <v>1.63</v>
      </c>
      <c r="I35" s="88">
        <v>1.63</v>
      </c>
      <c r="J35" s="88">
        <v>1.63</v>
      </c>
      <c r="K35" s="88">
        <v>1.63</v>
      </c>
      <c r="L35" s="88">
        <v>1.63</v>
      </c>
      <c r="M35" s="88">
        <v>1.63</v>
      </c>
      <c r="N35" s="88">
        <v>1.63</v>
      </c>
      <c r="O35" s="88">
        <v>1.63</v>
      </c>
    </row>
    <row r="36" spans="3:15" x14ac:dyDescent="0.15">
      <c r="C36" s="36" t="s">
        <v>129</v>
      </c>
      <c r="D36" s="88">
        <v>1.48</v>
      </c>
      <c r="E36" s="88">
        <v>1.48</v>
      </c>
      <c r="F36" s="88">
        <v>1.48</v>
      </c>
      <c r="G36" s="88">
        <v>1.48</v>
      </c>
      <c r="H36" s="88">
        <v>1.48</v>
      </c>
      <c r="I36" s="88">
        <v>1.48</v>
      </c>
      <c r="J36" s="88">
        <v>1.48</v>
      </c>
      <c r="K36" s="88">
        <v>1.48</v>
      </c>
      <c r="L36" s="88">
        <v>1.48</v>
      </c>
      <c r="M36" s="88">
        <v>1.48</v>
      </c>
      <c r="N36" s="88">
        <v>1.48</v>
      </c>
      <c r="O36" s="88">
        <v>1.48</v>
      </c>
    </row>
    <row r="37" spans="3:15" x14ac:dyDescent="0.15">
      <c r="C37" s="36" t="s">
        <v>130</v>
      </c>
      <c r="D37" s="88">
        <v>1.5</v>
      </c>
      <c r="E37" s="88">
        <v>1.5</v>
      </c>
      <c r="F37" s="88">
        <v>1.5</v>
      </c>
      <c r="G37" s="88">
        <v>1.5</v>
      </c>
      <c r="H37" s="88">
        <v>1.5</v>
      </c>
      <c r="I37" s="88">
        <v>1.5</v>
      </c>
      <c r="J37" s="88">
        <v>1.5</v>
      </c>
      <c r="K37" s="88">
        <v>1.5</v>
      </c>
      <c r="L37" s="88">
        <v>1.5</v>
      </c>
      <c r="M37" s="88">
        <v>1.5</v>
      </c>
      <c r="N37" s="88">
        <v>1.5</v>
      </c>
      <c r="O37" s="88">
        <v>1.5</v>
      </c>
    </row>
    <row r="38" spans="3:15" x14ac:dyDescent="0.15">
      <c r="C38" s="36" t="s">
        <v>131</v>
      </c>
      <c r="D38" s="88">
        <v>2.2000000000000002</v>
      </c>
      <c r="E38" s="88">
        <v>2.2000000000000002</v>
      </c>
      <c r="F38" s="88">
        <v>2.2000000000000002</v>
      </c>
      <c r="G38" s="88">
        <v>2.2000000000000002</v>
      </c>
      <c r="H38" s="88">
        <v>2.2000000000000002</v>
      </c>
      <c r="I38" s="88">
        <v>2.2000000000000002</v>
      </c>
      <c r="J38" s="88">
        <v>2.2000000000000002</v>
      </c>
      <c r="K38" s="88">
        <v>2.2000000000000002</v>
      </c>
      <c r="L38" s="88">
        <v>2.2000000000000002</v>
      </c>
      <c r="M38" s="88">
        <v>2.2000000000000002</v>
      </c>
      <c r="N38" s="88">
        <v>2.2000000000000002</v>
      </c>
      <c r="O38" s="88">
        <v>2.2000000000000002</v>
      </c>
    </row>
    <row r="39" spans="3:15" x14ac:dyDescent="0.15">
      <c r="C39" s="37" t="s">
        <v>132</v>
      </c>
      <c r="D39" s="88">
        <v>2.1</v>
      </c>
      <c r="E39" s="88">
        <v>2.1</v>
      </c>
      <c r="F39" s="88">
        <v>2.1</v>
      </c>
      <c r="G39" s="88">
        <v>2.1</v>
      </c>
      <c r="H39" s="88">
        <v>2.1</v>
      </c>
      <c r="I39" s="88">
        <v>2.1</v>
      </c>
      <c r="J39" s="88">
        <v>2.1</v>
      </c>
      <c r="K39" s="88">
        <v>2.1</v>
      </c>
      <c r="L39" s="88">
        <v>2.1</v>
      </c>
      <c r="M39" s="88">
        <v>2.1</v>
      </c>
      <c r="N39" s="88">
        <v>2.1</v>
      </c>
      <c r="O39" s="88">
        <v>2.1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KB6lSsUDCcCQGmhYv1yvykD5iAI200QjnE/7uwY/25FYTSTL1r1PUYL2AAEqsO+ZpoLiCnIE63wK1PEEDr9Uzw==" saltValue="Rva4Y2zcpiO1F5a5sTD33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2015-12-01T20:25:49Z</dcterms:modified>
</cp:coreProperties>
</file>