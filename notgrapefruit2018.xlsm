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311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Volumes/notgrapefruit/"/>
    </mc:Choice>
  </mc:AlternateContent>
  <bookViews>
    <workbookView xWindow="0" yWindow="460" windowWidth="28800" windowHeight="17460" activeTab="4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shipping_manufacturing!$L$4:$L$12</definedName>
    <definedName name="AddColumn2">shipping_manufacturing!$K$16:$K$20</definedName>
    <definedName name="AddColumn3">shipping_manufacturing!$L$24:$L$32</definedName>
    <definedName name="AddRow3">shipping_manufacturing!$B$32</definedName>
    <definedName name="AddRow4">shipping_manufacturing!$B$42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shipping_manufacturing!$B$36</definedName>
  </definedNames>
  <calcPr calcId="15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7" i="6" l="1"/>
  <c r="L7" i="6"/>
  <c r="K7" i="6"/>
  <c r="J7" i="6"/>
  <c r="I7" i="6"/>
  <c r="N7" i="6"/>
  <c r="H7" i="6"/>
  <c r="G7" i="6"/>
  <c r="F7" i="6"/>
  <c r="E7" i="6"/>
  <c r="D7" i="6"/>
  <c r="N6" i="6"/>
  <c r="M6" i="6"/>
  <c r="L6" i="6"/>
  <c r="K6" i="6"/>
  <c r="J6" i="6"/>
  <c r="I6" i="6"/>
  <c r="H6" i="6"/>
  <c r="G6" i="6"/>
  <c r="F6" i="6"/>
  <c r="E6" i="6"/>
  <c r="D8" i="6"/>
  <c r="D6" i="6"/>
  <c r="N8" i="6"/>
  <c r="M8" i="6"/>
  <c r="L8" i="6"/>
  <c r="K8" i="6"/>
  <c r="J8" i="6"/>
  <c r="I8" i="6"/>
  <c r="H8" i="6"/>
  <c r="G8" i="6"/>
  <c r="F8" i="6"/>
  <c r="E8" i="6"/>
  <c r="N41" i="7"/>
  <c r="N40" i="7"/>
  <c r="N39" i="7"/>
  <c r="N38" i="7"/>
  <c r="M41" i="7"/>
  <c r="M40" i="7"/>
  <c r="M39" i="7"/>
  <c r="M38" i="7"/>
  <c r="L41" i="7"/>
  <c r="L40" i="7"/>
  <c r="L39" i="7"/>
  <c r="L38" i="7"/>
  <c r="K41" i="7"/>
  <c r="K40" i="7"/>
  <c r="K39" i="7"/>
  <c r="K38" i="7"/>
  <c r="J41" i="7"/>
  <c r="J40" i="7"/>
  <c r="J39" i="7"/>
  <c r="J38" i="7"/>
  <c r="I41" i="7"/>
  <c r="I40" i="7"/>
  <c r="I39" i="7"/>
  <c r="I38" i="7"/>
  <c r="H41" i="7"/>
  <c r="H40" i="7"/>
  <c r="H39" i="7"/>
  <c r="H38" i="7"/>
  <c r="G41" i="7"/>
  <c r="G40" i="7"/>
  <c r="G39" i="7"/>
  <c r="G38" i="7"/>
  <c r="F41" i="7"/>
  <c r="F40" i="7"/>
  <c r="F39" i="7"/>
  <c r="F38" i="7"/>
  <c r="E41" i="7"/>
  <c r="E40" i="7"/>
  <c r="E39" i="7"/>
  <c r="E38" i="7"/>
  <c r="D41" i="7"/>
  <c r="D40" i="7"/>
  <c r="D39" i="7"/>
  <c r="D38" i="7"/>
  <c r="C30" i="7"/>
  <c r="C29" i="7"/>
  <c r="C28" i="7"/>
  <c r="C27" i="7"/>
  <c r="I19" i="7"/>
  <c r="G19" i="7"/>
  <c r="E19" i="7"/>
  <c r="C19" i="7"/>
  <c r="G8" i="7"/>
  <c r="C8" i="7"/>
  <c r="I7" i="7"/>
  <c r="E7" i="7"/>
  <c r="J6" i="7"/>
  <c r="H6" i="7"/>
  <c r="F6" i="7"/>
  <c r="D6" i="7"/>
  <c r="E48" i="6"/>
  <c r="F48" i="6"/>
  <c r="G48" i="6"/>
  <c r="H48" i="6"/>
  <c r="I48" i="6"/>
  <c r="J48" i="6"/>
  <c r="K48" i="6"/>
  <c r="L48" i="6"/>
  <c r="M48" i="6"/>
  <c r="N48" i="6"/>
  <c r="D48" i="6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7" i="5"/>
  <c r="C68" i="5"/>
  <c r="C69" i="5"/>
  <c r="C70" i="5"/>
  <c r="C71" i="5"/>
  <c r="C72" i="5"/>
  <c r="C73" i="5"/>
  <c r="C75" i="5"/>
  <c r="C76" i="5"/>
  <c r="C77" i="5"/>
  <c r="C78" i="5"/>
  <c r="C79" i="5"/>
  <c r="C80" i="5"/>
  <c r="C81" i="5"/>
  <c r="C82" i="5"/>
  <c r="C83" i="5"/>
  <c r="C84" i="5"/>
  <c r="C85" i="5"/>
  <c r="C86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D47" i="6"/>
  <c r="E47" i="6"/>
  <c r="F47" i="6"/>
  <c r="G47" i="6"/>
  <c r="H47" i="6"/>
  <c r="I47" i="6"/>
  <c r="J47" i="6"/>
  <c r="K47" i="6"/>
  <c r="L47" i="6"/>
  <c r="M47" i="6"/>
  <c r="N47" i="6"/>
  <c r="C47" i="6"/>
  <c r="K31" i="7"/>
  <c r="J31" i="7"/>
  <c r="I31" i="7"/>
  <c r="H31" i="7"/>
  <c r="G31" i="7"/>
  <c r="F31" i="7"/>
  <c r="E31" i="7"/>
  <c r="D31" i="7"/>
  <c r="C31" i="7"/>
  <c r="J19" i="7"/>
  <c r="H19" i="7"/>
  <c r="F19" i="7"/>
  <c r="D19" i="7"/>
  <c r="K11" i="7"/>
  <c r="K10" i="7"/>
  <c r="K9" i="7"/>
  <c r="K8" i="7"/>
  <c r="K7" i="7"/>
  <c r="K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H36" i="5"/>
  <c r="H6" i="5"/>
  <c r="G16" i="5"/>
</calcChain>
</file>

<file path=xl/sharedStrings.xml><?xml version="1.0" encoding="utf-8"?>
<sst xmlns="http://schemas.openxmlformats.org/spreadsheetml/2006/main" count="526" uniqueCount="167">
  <si>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</si>
  <si>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</si>
  <si>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</si>
  <si>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</si>
  <si>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</si>
  <si>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</si>
  <si>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</si>
  <si>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</si>
  <si>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</si>
  <si>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</si>
  <si>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</si>
  <si>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</si>
  <si>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</si>
  <si>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</si>
  <si>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</si>
  <si>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</si>
  <si>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</si>
  <si>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</si>
  <si>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</si>
  <si>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</si>
  <si>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</si>
  <si>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</si>
  <si>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</si>
  <si>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</si>
  <si>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</si>
  <si>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</si>
  <si>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</si>
  <si>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</si>
  <si>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</si>
  <si>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</si>
  <si>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</si>
  <si>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</si>
  <si>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</si>
  <si>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</si>
  <si>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</si>
  <si>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</si>
  <si>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</si>
  <si>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</si>
  <si>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</si>
  <si>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</si>
  <si>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</si>
  <si>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</si>
  <si>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</si>
  <si>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</si>
  <si>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</si>
  <si>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</si>
  <si>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</si>
  <si>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</si>
  <si>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</si>
  <si>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</si>
  <si>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</si>
  <si>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</si>
  <si>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</si>
  <si>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</si>
  <si>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</si>
  <si>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</si>
  <si>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</si>
  <si>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</si>
  <si>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</si>
  <si>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</si>
  <si>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</si>
  <si>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</si>
  <si>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</si>
  <si>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</si>
  <si>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</si>
  <si>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</si>
  <si>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</si>
  <si>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</si>
  <si>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</si>
  <si>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</si>
  <si>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</si>
  <si>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</si>
  <si>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</si>
  <si>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</si>
  <si>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</si>
  <si>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</si>
  <si>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</si>
  <si>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</si>
  <si>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</si>
  <si>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</si>
  <si>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</si>
  <si>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</si>
  <si>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</si>
  <si>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</si>
  <si>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</si>
  <si>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</si>
  <si>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</si>
  <si>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</si>
  <si>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</si>
  <si>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</si>
  <si>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</si>
  <si>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</si>
  <si>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</si>
  <si>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</si>
  <si>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</si>
  <si>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</si>
  <si>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</si>
  <si>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</si>
  <si>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</si>
  <si>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</si>
  <si>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</si>
  <si>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</si>
  <si>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</si>
  <si>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</si>
  <si>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</si>
  <si>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</si>
  <si>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</si>
  <si>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</si>
  <si>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</si>
  <si>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</si>
  <si>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</si>
  <si>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</si>
  <si>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</si>
  <si>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</si>
  <si>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</si>
  <si>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</si>
  <si>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</si>
  <si>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</si>
  <si>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</si>
  <si>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</si>
  <si>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</si>
  <si>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</si>
  <si>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</si>
  <si>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</si>
  <si>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</si>
  <si>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</si>
  <si>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</si>
  <si>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</si>
  <si>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</si>
  <si>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</si>
  <si>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</si>
  <si>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</si>
  <si>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</si>
  <si>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</si>
  <si>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</si>
  <si>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</si>
  <si>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</si>
  <si>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</si>
  <si>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</si>
  <si>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</si>
  <si>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</si>
  <si>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</si>
  <si>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</si>
  <si>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</si>
  <si>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</si>
  <si>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</si>
  <si>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</si>
  <si>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</si>
  <si>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</si>
  <si>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</si>
  <si>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</si>
  <si>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</si>
  <si>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</si>
  <si>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</si>
  <si>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</si>
  <si>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</si>
  <si>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</si>
  <si>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</si>
  <si>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</si>
  <si>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</si>
  <si>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</si>
  <si>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</si>
  <si>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</si>
  <si>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</si>
  <si>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</si>
  <si>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notgrapefruit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</si>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</sst>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4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6"/>
  <sheetViews>
    <sheetView showGridLines="0" workbookViewId="0"/>
  </sheetViews>
  <sheetFormatPr baseColWidth="10" defaultColWidth="8.83203125" defaultRowHeight="13" x14ac:dyDescent="0.15"/>
  <cols>
    <col min="1" max="1" width="4.6640625" customWidth="1"/>
  </cols>
  <sheetData>
    <row r="2" spans="2:6" x14ac:dyDescent="0.15">
      <c r="B2" s="1" t="s">
        <v>0</v>
      </c>
    </row>
    <row r="3" spans="2:6" x14ac:dyDescent="0.15">
      <c r="B3" s="2"/>
      <c r="C3" s="3"/>
      <c r="D3" s="3"/>
      <c r="E3" s="3"/>
      <c r="F3" s="3"/>
    </row>
    <row r="4" spans="2:6" x14ac:dyDescent="0.15">
      <c r="B4" s="4"/>
      <c r="C4" s="5" t="s">
        <v>1</v>
      </c>
      <c r="D4" s="98" t="s">
        <v>165</v>
      </c>
      <c r="E4" s="99"/>
      <c r="F4" s="100"/>
    </row>
    <row r="5" spans="2:6" x14ac:dyDescent="0.15">
      <c r="B5" s="6"/>
      <c r="C5" s="7" t="s">
        <v>111</v>
      </c>
      <c r="D5" s="101">
        <v>2018</v>
      </c>
      <c r="E5" s="102"/>
      <c r="F5" s="103"/>
    </row>
    <row r="6" spans="2:6" x14ac:dyDescent="0.15">
      <c r="B6" s="3"/>
      <c r="C6" s="3"/>
      <c r="D6" s="3"/>
      <c r="E6" s="3"/>
      <c r="F6" s="3"/>
    </row>
  </sheetData>
  <sheetProtection algorithmName="SHA-512" hashValue="1nEZo0M2NJNW8dZTk4VlxzO94a63b7IVFNywE1v4akM8LaNWB4zz4Hcu/UHhGEk0XxCR6mSCEWzBPObz/erWKw==" saltValue="ZBI5/a9FYdrttCzumsCE9A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workbookViewId="0">
      <selection activeCell="C88" sqref="C88"/>
    </sheetView>
  </sheetViews>
  <sheetFormatPr baseColWidth="10" defaultColWidth="8.83203125" defaultRowHeight="13" x14ac:dyDescent="0.15"/>
  <cols>
    <col min="1" max="1" width="4.6640625" style="9" customWidth="1"/>
    <col min="2" max="2" width="8" style="9" bestFit="1" customWidth="1"/>
    <col min="3" max="3" width="15.6640625" style="9" bestFit="1" customWidth="1"/>
    <col min="4" max="4" width="8.6640625" style="9" customWidth="1"/>
    <col min="5" max="5" width="4.5" style="9" customWidth="1"/>
    <col min="6" max="6" width="3.33203125" style="9" bestFit="1" customWidth="1"/>
    <col min="7" max="7" width="8.6640625" style="9" customWidth="1"/>
    <col min="8" max="8" width="9.5" style="9" customWidth="1"/>
    <col min="9" max="16384" width="8.83203125" style="9"/>
  </cols>
  <sheetData>
    <row r="2" spans="2:8" x14ac:dyDescent="0.15">
      <c r="B2" s="8" t="s">
        <v>2</v>
      </c>
    </row>
    <row r="3" spans="2:8" x14ac:dyDescent="0.15">
      <c r="B3" s="10" t="s">
        <v>155</v>
      </c>
    </row>
    <row r="4" spans="2:8" x14ac:dyDescent="0.15">
      <c r="B4" s="11"/>
      <c r="C4" s="12"/>
      <c r="D4" s="12"/>
      <c r="E4" s="12"/>
      <c r="F4" s="12"/>
      <c r="G4" s="12"/>
      <c r="H4" s="12"/>
    </row>
    <row r="5" spans="2:8" x14ac:dyDescent="0.15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 x14ac:dyDescent="0.15">
      <c r="B6" s="14" t="s">
        <v>5</v>
      </c>
      <c r="C6" s="84"/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 x14ac:dyDescent="0.15">
      <c r="B7" s="14" t="s">
        <v>7</v>
      </c>
      <c r="C7" s="84"/>
      <c r="D7" s="15">
        <v>250</v>
      </c>
      <c r="E7" s="15" t="s">
        <v>166</v>
      </c>
      <c r="F7" s="15" t="s">
        <v>6</v>
      </c>
      <c r="G7" s="15">
        <f t="shared" si="0"/>
        <v>250</v>
      </c>
      <c r="H7" s="17" t="str">
        <f t="shared" si="1"/>
        <v/>
      </c>
    </row>
    <row r="8" spans="2:8" x14ac:dyDescent="0.15">
      <c r="B8" s="14" t="s">
        <v>8</v>
      </c>
      <c r="C8" s="84"/>
      <c r="D8" s="15">
        <v>750</v>
      </c>
      <c r="E8" s="15" t="s">
        <v>166</v>
      </c>
      <c r="F8" s="15" t="s">
        <v>6</v>
      </c>
      <c r="G8" s="15">
        <f t="shared" si="0"/>
        <v>750</v>
      </c>
      <c r="H8" s="17" t="str">
        <f t="shared" si="1"/>
        <v/>
      </c>
    </row>
    <row r="9" spans="2:8" x14ac:dyDescent="0.15">
      <c r="B9" s="14" t="s">
        <v>9</v>
      </c>
      <c r="C9" s="84"/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 x14ac:dyDescent="0.15">
      <c r="B10" s="14" t="s">
        <v>10</v>
      </c>
      <c r="C10" s="84"/>
      <c r="D10" s="15">
        <v>250</v>
      </c>
      <c r="E10" s="15" t="s">
        <v>166</v>
      </c>
      <c r="F10" s="15" t="s">
        <v>6</v>
      </c>
      <c r="G10" s="15">
        <f t="shared" si="0"/>
        <v>250</v>
      </c>
      <c r="H10" s="17" t="str">
        <f t="shared" si="1"/>
        <v/>
      </c>
    </row>
    <row r="11" spans="2:8" x14ac:dyDescent="0.15">
      <c r="B11" s="14" t="s">
        <v>11</v>
      </c>
      <c r="C11" s="84"/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 x14ac:dyDescent="0.15">
      <c r="B12" s="14" t="s">
        <v>12</v>
      </c>
      <c r="C12" s="84"/>
      <c r="D12" s="15">
        <v>0</v>
      </c>
      <c r="E12" s="15" t="s">
        <v>166</v>
      </c>
      <c r="F12" s="15" t="s">
        <v>6</v>
      </c>
      <c r="G12" s="15">
        <f t="shared" si="0"/>
        <v>0</v>
      </c>
      <c r="H12" s="17" t="str">
        <f t="shared" si="1"/>
        <v/>
      </c>
    </row>
    <row r="13" spans="2:8" x14ac:dyDescent="0.15">
      <c r="B13" s="14" t="s">
        <v>13</v>
      </c>
      <c r="C13" s="84"/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 x14ac:dyDescent="0.15">
      <c r="B14" s="14" t="s">
        <v>14</v>
      </c>
      <c r="C14" s="84"/>
      <c r="D14" s="15">
        <v>250</v>
      </c>
      <c r="E14" s="15" t="s">
        <v>166</v>
      </c>
      <c r="F14" s="15" t="s">
        <v>6</v>
      </c>
      <c r="G14" s="15">
        <f t="shared" si="0"/>
        <v>250</v>
      </c>
      <c r="H14" s="17" t="str">
        <f t="shared" si="1"/>
        <v/>
      </c>
    </row>
    <row r="15" spans="2:8" x14ac:dyDescent="0.15">
      <c r="B15" s="18" t="s">
        <v>15</v>
      </c>
      <c r="C15" s="84"/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 x14ac:dyDescent="0.15">
      <c r="B16" s="21"/>
      <c r="C16" s="21"/>
      <c r="D16" s="21">
        <f>COUNTIF($D$6:$D$15,"&gt;0")</f>
        <v>4</v>
      </c>
      <c r="E16" s="21" t="s">
        <v>16</v>
      </c>
      <c r="F16" s="12"/>
      <c r="G16" s="21">
        <f>COUNTIF(G6:G15,"&gt;0")</f>
        <v>4</v>
      </c>
      <c r="H16" s="82" t="s">
        <v>16</v>
      </c>
    </row>
    <row r="18" spans="2:8" x14ac:dyDescent="0.15">
      <c r="B18" s="10" t="s">
        <v>148</v>
      </c>
    </row>
    <row r="19" spans="2:8" x14ac:dyDescent="0.15">
      <c r="B19" s="11"/>
      <c r="C19" s="12"/>
      <c r="D19" s="12"/>
      <c r="E19" s="12"/>
      <c r="F19" s="12"/>
      <c r="G19" s="12"/>
      <c r="H19" s="12"/>
    </row>
    <row r="20" spans="2:8" x14ac:dyDescent="0.15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 x14ac:dyDescent="0.15">
      <c r="B21" s="14" t="s">
        <v>5</v>
      </c>
      <c r="C21" s="85"/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 x14ac:dyDescent="0.15">
      <c r="B22" s="14" t="s">
        <v>7</v>
      </c>
      <c r="C22" s="85"/>
      <c r="D22" s="15">
        <v>17</v>
      </c>
      <c r="E22" s="15"/>
      <c r="F22" s="15" t="s">
        <v>6</v>
      </c>
      <c r="G22" s="15">
        <f t="shared" si="2"/>
        <v>17</v>
      </c>
      <c r="H22" s="17"/>
    </row>
    <row r="23" spans="2:8" x14ac:dyDescent="0.15">
      <c r="B23" s="14" t="s">
        <v>8</v>
      </c>
      <c r="C23" s="85"/>
      <c r="D23" s="15">
        <v>50</v>
      </c>
      <c r="E23" s="15"/>
      <c r="F23" s="15" t="s">
        <v>6</v>
      </c>
      <c r="G23" s="15">
        <f t="shared" si="2"/>
        <v>50</v>
      </c>
      <c r="H23" s="17"/>
    </row>
    <row r="24" spans="2:8" x14ac:dyDescent="0.15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 x14ac:dyDescent="0.15">
      <c r="B25" s="14" t="s">
        <v>10</v>
      </c>
      <c r="C25" s="85"/>
      <c r="D25" s="15">
        <v>17</v>
      </c>
      <c r="E25" s="15"/>
      <c r="F25" s="15" t="s">
        <v>6</v>
      </c>
      <c r="G25" s="15">
        <f t="shared" si="2"/>
        <v>17</v>
      </c>
      <c r="H25" s="17"/>
    </row>
    <row r="26" spans="2:8" x14ac:dyDescent="0.15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 x14ac:dyDescent="0.15">
      <c r="B27" s="14" t="s">
        <v>12</v>
      </c>
      <c r="C27" s="85"/>
      <c r="D27" s="15">
        <v>0</v>
      </c>
      <c r="E27" s="15"/>
      <c r="F27" s="15" t="s">
        <v>6</v>
      </c>
      <c r="G27" s="15">
        <f t="shared" si="2"/>
        <v>0</v>
      </c>
      <c r="H27" s="17"/>
    </row>
    <row r="28" spans="2:8" x14ac:dyDescent="0.15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 x14ac:dyDescent="0.15">
      <c r="B29" s="14" t="s">
        <v>14</v>
      </c>
      <c r="C29" s="85"/>
      <c r="D29" s="15">
        <v>17</v>
      </c>
      <c r="E29" s="15"/>
      <c r="F29" s="15" t="s">
        <v>6</v>
      </c>
      <c r="G29" s="15">
        <f t="shared" si="2"/>
        <v>17</v>
      </c>
      <c r="H29" s="17"/>
    </row>
    <row r="30" spans="2:8" x14ac:dyDescent="0.15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 x14ac:dyDescent="0.15">
      <c r="B31" s="21"/>
      <c r="C31" s="21"/>
      <c r="D31" s="21">
        <f>SUM($D$21:$D$30)</f>
        <v>101</v>
      </c>
      <c r="E31" s="21" t="s">
        <v>18</v>
      </c>
      <c r="F31" s="21"/>
      <c r="G31" s="21"/>
      <c r="H31" s="22"/>
    </row>
    <row r="33" spans="2:8" x14ac:dyDescent="0.15">
      <c r="B33" s="10" t="s">
        <v>156</v>
      </c>
    </row>
    <row r="34" spans="2:8" x14ac:dyDescent="0.15">
      <c r="B34" s="11"/>
      <c r="C34" s="12"/>
      <c r="D34" s="12"/>
      <c r="E34" s="12"/>
      <c r="F34" s="12"/>
      <c r="G34" s="12"/>
      <c r="H34" s="12"/>
    </row>
    <row r="35" spans="2:8" x14ac:dyDescent="0.15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 x14ac:dyDescent="0.15">
      <c r="B36" s="25" t="s">
        <v>19</v>
      </c>
      <c r="C36" s="84"/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 x14ac:dyDescent="0.15">
      <c r="B37" s="14" t="s">
        <v>20</v>
      </c>
      <c r="C37" s="84"/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 x14ac:dyDescent="0.15">
      <c r="B38" s="14" t="s">
        <v>21</v>
      </c>
      <c r="C38" s="84"/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 x14ac:dyDescent="0.15">
      <c r="B39" s="14" t="s">
        <v>22</v>
      </c>
      <c r="C39" s="84"/>
      <c r="D39" s="14">
        <v>0</v>
      </c>
      <c r="E39" s="15" t="s">
        <v>166</v>
      </c>
      <c r="F39" s="15" t="s">
        <v>6</v>
      </c>
      <c r="G39" s="15">
        <f t="shared" si="3"/>
        <v>0</v>
      </c>
      <c r="H39" s="17" t="str">
        <f t="shared" si="4"/>
        <v/>
      </c>
    </row>
    <row r="40" spans="2:8" x14ac:dyDescent="0.15">
      <c r="B40" s="14" t="s">
        <v>23</v>
      </c>
      <c r="C40" s="84"/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 x14ac:dyDescent="0.15">
      <c r="B41" s="14" t="s">
        <v>24</v>
      </c>
      <c r="C41" s="84"/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 x14ac:dyDescent="0.15">
      <c r="B42" s="14" t="s">
        <v>25</v>
      </c>
      <c r="C42" s="84"/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 x14ac:dyDescent="0.15">
      <c r="B43" s="14" t="s">
        <v>26</v>
      </c>
      <c r="C43" s="84"/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 x14ac:dyDescent="0.15">
      <c r="B44" s="14" t="s">
        <v>27</v>
      </c>
      <c r="C44" s="84"/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 x14ac:dyDescent="0.15">
      <c r="B45" s="14" t="s">
        <v>28</v>
      </c>
      <c r="C45" s="84"/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 x14ac:dyDescent="0.15">
      <c r="B46" s="14" t="s">
        <v>29</v>
      </c>
      <c r="C46" s="84"/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 x14ac:dyDescent="0.15">
      <c r="B47" s="14" t="s">
        <v>30</v>
      </c>
      <c r="C47" s="84"/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 x14ac:dyDescent="0.15">
      <c r="B48" s="14" t="s">
        <v>31</v>
      </c>
      <c r="C48" s="84"/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 x14ac:dyDescent="0.15">
      <c r="B49" s="14" t="s">
        <v>32</v>
      </c>
      <c r="C49" s="84"/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 x14ac:dyDescent="0.15">
      <c r="B50" s="14" t="s">
        <v>33</v>
      </c>
      <c r="C50" s="84"/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 x14ac:dyDescent="0.15">
      <c r="B51" s="14" t="s">
        <v>34</v>
      </c>
      <c r="C51" s="84">
        <v>0</v>
      </c>
      <c r="D51" s="14">
        <v>1000</v>
      </c>
      <c r="E51" s="15" t="s">
        <v>166</v>
      </c>
      <c r="F51" s="15" t="s">
        <v>6</v>
      </c>
      <c r="G51" s="15">
        <f t="shared" si="3"/>
        <v>1000</v>
      </c>
      <c r="H51" s="17" t="str">
        <f t="shared" si="4"/>
        <v/>
      </c>
    </row>
    <row r="52" spans="2:8" x14ac:dyDescent="0.15">
      <c r="B52" s="14" t="s">
        <v>35</v>
      </c>
      <c r="C52" s="84">
        <f t="shared" ref="C52:C106" si="5">+D52*0.2</f>
        <v>0</v>
      </c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 x14ac:dyDescent="0.15">
      <c r="B53" s="14" t="s">
        <v>36</v>
      </c>
      <c r="C53" s="84">
        <f t="shared" si="5"/>
        <v>0</v>
      </c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 x14ac:dyDescent="0.15">
      <c r="B54" s="14" t="s">
        <v>37</v>
      </c>
      <c r="C54" s="84">
        <f t="shared" si="5"/>
        <v>0</v>
      </c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 x14ac:dyDescent="0.15">
      <c r="B55" s="14" t="s">
        <v>38</v>
      </c>
      <c r="C55" s="84">
        <f t="shared" si="5"/>
        <v>0</v>
      </c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 x14ac:dyDescent="0.15">
      <c r="B56" s="14" t="s">
        <v>39</v>
      </c>
      <c r="C56" s="84">
        <f t="shared" si="5"/>
        <v>0</v>
      </c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 x14ac:dyDescent="0.15">
      <c r="B57" s="14" t="s">
        <v>40</v>
      </c>
      <c r="C57" s="84">
        <f t="shared" si="5"/>
        <v>0</v>
      </c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 x14ac:dyDescent="0.15">
      <c r="B58" s="14" t="s">
        <v>41</v>
      </c>
      <c r="C58" s="84">
        <f t="shared" si="5"/>
        <v>0</v>
      </c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 x14ac:dyDescent="0.15">
      <c r="B59" s="14" t="s">
        <v>42</v>
      </c>
      <c r="C59" s="84">
        <f t="shared" si="5"/>
        <v>0</v>
      </c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 x14ac:dyDescent="0.15">
      <c r="B60" s="14" t="s">
        <v>43</v>
      </c>
      <c r="C60" s="84">
        <f t="shared" si="5"/>
        <v>0</v>
      </c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 x14ac:dyDescent="0.15">
      <c r="B61" s="14" t="s">
        <v>44</v>
      </c>
      <c r="C61" s="84">
        <f t="shared" si="5"/>
        <v>0</v>
      </c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 x14ac:dyDescent="0.15">
      <c r="B62" s="14" t="s">
        <v>45</v>
      </c>
      <c r="C62" s="84">
        <f t="shared" si="5"/>
        <v>0</v>
      </c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 x14ac:dyDescent="0.15">
      <c r="B63" s="14" t="s">
        <v>46</v>
      </c>
      <c r="C63" s="84">
        <f t="shared" si="5"/>
        <v>0</v>
      </c>
      <c r="D63" s="15">
        <v>0</v>
      </c>
      <c r="E63" s="15" t="s">
        <v>166</v>
      </c>
      <c r="F63" s="15" t="s">
        <v>6</v>
      </c>
      <c r="G63" s="15">
        <f t="shared" si="3"/>
        <v>0</v>
      </c>
      <c r="H63" s="17" t="str">
        <f t="shared" si="4"/>
        <v/>
      </c>
    </row>
    <row r="64" spans="2:8" x14ac:dyDescent="0.15">
      <c r="B64" s="14" t="s">
        <v>47</v>
      </c>
      <c r="C64" s="84">
        <f t="shared" si="5"/>
        <v>0</v>
      </c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 x14ac:dyDescent="0.15">
      <c r="B65" s="14" t="s">
        <v>48</v>
      </c>
      <c r="C65" s="84">
        <f t="shared" si="5"/>
        <v>0</v>
      </c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 x14ac:dyDescent="0.15">
      <c r="B66" s="14" t="s">
        <v>49</v>
      </c>
      <c r="C66" s="84">
        <v>1000</v>
      </c>
      <c r="D66" s="15">
        <v>3000</v>
      </c>
      <c r="E66" s="15" t="s">
        <v>166</v>
      </c>
      <c r="F66" s="15" t="s">
        <v>6</v>
      </c>
      <c r="G66" s="15">
        <f t="shared" si="3"/>
        <v>4000</v>
      </c>
      <c r="H66" s="17" t="str">
        <f t="shared" si="4"/>
        <v/>
      </c>
    </row>
    <row r="67" spans="2:8" x14ac:dyDescent="0.15">
      <c r="B67" s="14" t="s">
        <v>50</v>
      </c>
      <c r="C67" s="84">
        <f t="shared" si="5"/>
        <v>0</v>
      </c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 x14ac:dyDescent="0.15">
      <c r="B68" s="14" t="s">
        <v>51</v>
      </c>
      <c r="C68" s="84">
        <f t="shared" si="5"/>
        <v>0</v>
      </c>
      <c r="D68" s="15">
        <v>0</v>
      </c>
      <c r="E68" s="15" t="s">
        <v>166</v>
      </c>
      <c r="F68" s="15" t="s">
        <v>6</v>
      </c>
      <c r="G68" s="15">
        <f t="shared" ref="G68:G99" si="6">$D68+$C68</f>
        <v>0</v>
      </c>
      <c r="H68" s="17" t="str">
        <f t="shared" ref="H68:H99" si="7">IF(AND($D68=0, $G68&gt;0),"new", IF(AND($D68&gt;0, $G68=0),"sold",""))</f>
        <v/>
      </c>
    </row>
    <row r="69" spans="2:8" x14ac:dyDescent="0.15">
      <c r="B69" s="14" t="s">
        <v>52</v>
      </c>
      <c r="C69" s="84">
        <f t="shared" si="5"/>
        <v>0</v>
      </c>
      <c r="D69" s="15">
        <v>0</v>
      </c>
      <c r="E69" s="15" t="s">
        <v>166</v>
      </c>
      <c r="F69" s="15" t="s">
        <v>6</v>
      </c>
      <c r="G69" s="15">
        <f t="shared" si="6"/>
        <v>0</v>
      </c>
      <c r="H69" s="17" t="str">
        <f t="shared" si="7"/>
        <v/>
      </c>
    </row>
    <row r="70" spans="2:8" x14ac:dyDescent="0.15">
      <c r="B70" s="14" t="s">
        <v>53</v>
      </c>
      <c r="C70" s="84">
        <f t="shared" si="5"/>
        <v>0</v>
      </c>
      <c r="D70" s="15">
        <v>0</v>
      </c>
      <c r="E70" s="15" t="s">
        <v>166</v>
      </c>
      <c r="F70" s="15" t="s">
        <v>6</v>
      </c>
      <c r="G70" s="15">
        <f t="shared" si="6"/>
        <v>0</v>
      </c>
      <c r="H70" s="17" t="str">
        <f t="shared" si="7"/>
        <v/>
      </c>
    </row>
    <row r="71" spans="2:8" x14ac:dyDescent="0.15">
      <c r="B71" s="14" t="s">
        <v>54</v>
      </c>
      <c r="C71" s="84">
        <f t="shared" si="5"/>
        <v>0</v>
      </c>
      <c r="D71" s="15">
        <v>0</v>
      </c>
      <c r="E71" s="15" t="s">
        <v>166</v>
      </c>
      <c r="F71" s="15" t="s">
        <v>6</v>
      </c>
      <c r="G71" s="15">
        <f t="shared" si="6"/>
        <v>0</v>
      </c>
      <c r="H71" s="17" t="str">
        <f t="shared" si="7"/>
        <v/>
      </c>
    </row>
    <row r="72" spans="2:8" x14ac:dyDescent="0.15">
      <c r="B72" s="14" t="s">
        <v>55</v>
      </c>
      <c r="C72" s="84">
        <f t="shared" si="5"/>
        <v>0</v>
      </c>
      <c r="D72" s="15">
        <v>0</v>
      </c>
      <c r="E72" s="15" t="s">
        <v>166</v>
      </c>
      <c r="F72" s="15" t="s">
        <v>6</v>
      </c>
      <c r="G72" s="15">
        <f t="shared" si="6"/>
        <v>0</v>
      </c>
      <c r="H72" s="17" t="str">
        <f t="shared" si="7"/>
        <v/>
      </c>
    </row>
    <row r="73" spans="2:8" x14ac:dyDescent="0.15">
      <c r="B73" s="14" t="s">
        <v>56</v>
      </c>
      <c r="C73" s="84">
        <f t="shared" si="5"/>
        <v>0</v>
      </c>
      <c r="D73" s="15">
        <v>0</v>
      </c>
      <c r="E73" s="15" t="s">
        <v>166</v>
      </c>
      <c r="F73" s="15" t="s">
        <v>6</v>
      </c>
      <c r="G73" s="15">
        <f t="shared" si="6"/>
        <v>0</v>
      </c>
      <c r="H73" s="17" t="str">
        <f t="shared" si="7"/>
        <v/>
      </c>
    </row>
    <row r="74" spans="2:8" x14ac:dyDescent="0.15">
      <c r="B74" s="14" t="s">
        <v>57</v>
      </c>
      <c r="C74" s="84">
        <v>100</v>
      </c>
      <c r="D74" s="15">
        <v>750</v>
      </c>
      <c r="E74" s="15" t="s">
        <v>166</v>
      </c>
      <c r="F74" s="15" t="s">
        <v>6</v>
      </c>
      <c r="G74" s="15">
        <f t="shared" si="6"/>
        <v>850</v>
      </c>
      <c r="H74" s="17" t="str">
        <f t="shared" si="7"/>
        <v/>
      </c>
    </row>
    <row r="75" spans="2:8" x14ac:dyDescent="0.15">
      <c r="B75" s="14" t="s">
        <v>58</v>
      </c>
      <c r="C75" s="84">
        <f t="shared" si="5"/>
        <v>0</v>
      </c>
      <c r="D75" s="15">
        <v>0</v>
      </c>
      <c r="E75" s="15" t="s">
        <v>166</v>
      </c>
      <c r="F75" s="15" t="s">
        <v>6</v>
      </c>
      <c r="G75" s="15">
        <f t="shared" si="6"/>
        <v>0</v>
      </c>
      <c r="H75" s="17" t="str">
        <f t="shared" si="7"/>
        <v/>
      </c>
    </row>
    <row r="76" spans="2:8" x14ac:dyDescent="0.15">
      <c r="B76" s="14" t="s">
        <v>59</v>
      </c>
      <c r="C76" s="84">
        <f t="shared" si="5"/>
        <v>0</v>
      </c>
      <c r="D76" s="15">
        <v>0</v>
      </c>
      <c r="E76" s="15" t="s">
        <v>166</v>
      </c>
      <c r="F76" s="15" t="s">
        <v>6</v>
      </c>
      <c r="G76" s="15">
        <f t="shared" si="6"/>
        <v>0</v>
      </c>
      <c r="H76" s="17" t="str">
        <f t="shared" si="7"/>
        <v/>
      </c>
    </row>
    <row r="77" spans="2:8" x14ac:dyDescent="0.15">
      <c r="B77" s="14" t="s">
        <v>60</v>
      </c>
      <c r="C77" s="84">
        <f t="shared" si="5"/>
        <v>0</v>
      </c>
      <c r="D77" s="15">
        <v>0</v>
      </c>
      <c r="E77" s="15" t="s">
        <v>166</v>
      </c>
      <c r="F77" s="15" t="s">
        <v>6</v>
      </c>
      <c r="G77" s="15">
        <f t="shared" si="6"/>
        <v>0</v>
      </c>
      <c r="H77" s="17" t="str">
        <f t="shared" si="7"/>
        <v/>
      </c>
    </row>
    <row r="78" spans="2:8" x14ac:dyDescent="0.15">
      <c r="B78" s="14" t="s">
        <v>61</v>
      </c>
      <c r="C78" s="84">
        <f t="shared" si="5"/>
        <v>0</v>
      </c>
      <c r="D78" s="15">
        <v>0</v>
      </c>
      <c r="E78" s="15" t="s">
        <v>166</v>
      </c>
      <c r="F78" s="15" t="s">
        <v>6</v>
      </c>
      <c r="G78" s="15">
        <f t="shared" si="6"/>
        <v>0</v>
      </c>
      <c r="H78" s="17" t="str">
        <f t="shared" si="7"/>
        <v/>
      </c>
    </row>
    <row r="79" spans="2:8" x14ac:dyDescent="0.15">
      <c r="B79" s="14" t="s">
        <v>62</v>
      </c>
      <c r="C79" s="84">
        <f t="shared" si="5"/>
        <v>0</v>
      </c>
      <c r="D79" s="15">
        <v>0</v>
      </c>
      <c r="E79" s="15" t="s">
        <v>166</v>
      </c>
      <c r="F79" s="15" t="s">
        <v>6</v>
      </c>
      <c r="G79" s="15">
        <f t="shared" si="6"/>
        <v>0</v>
      </c>
      <c r="H79" s="17" t="str">
        <f t="shared" si="7"/>
        <v/>
      </c>
    </row>
    <row r="80" spans="2:8" x14ac:dyDescent="0.15">
      <c r="B80" s="14" t="s">
        <v>63</v>
      </c>
      <c r="C80" s="84">
        <f t="shared" si="5"/>
        <v>0</v>
      </c>
      <c r="D80" s="15">
        <v>0</v>
      </c>
      <c r="E80" s="15" t="s">
        <v>166</v>
      </c>
      <c r="F80" s="15" t="s">
        <v>6</v>
      </c>
      <c r="G80" s="15">
        <f t="shared" si="6"/>
        <v>0</v>
      </c>
      <c r="H80" s="17" t="str">
        <f t="shared" si="7"/>
        <v/>
      </c>
    </row>
    <row r="81" spans="2:8" x14ac:dyDescent="0.15">
      <c r="B81" s="14" t="s">
        <v>64</v>
      </c>
      <c r="C81" s="84">
        <f t="shared" si="5"/>
        <v>0</v>
      </c>
      <c r="D81" s="15">
        <v>0</v>
      </c>
      <c r="E81" s="15" t="s">
        <v>166</v>
      </c>
      <c r="F81" s="15" t="s">
        <v>6</v>
      </c>
      <c r="G81" s="15">
        <f t="shared" si="6"/>
        <v>0</v>
      </c>
      <c r="H81" s="17" t="str">
        <f t="shared" si="7"/>
        <v/>
      </c>
    </row>
    <row r="82" spans="2:8" x14ac:dyDescent="0.15">
      <c r="B82" s="14" t="s">
        <v>65</v>
      </c>
      <c r="C82" s="84">
        <f t="shared" si="5"/>
        <v>0</v>
      </c>
      <c r="D82" s="15">
        <v>0</v>
      </c>
      <c r="E82" s="15" t="s">
        <v>166</v>
      </c>
      <c r="F82" s="15" t="s">
        <v>6</v>
      </c>
      <c r="G82" s="15">
        <f t="shared" si="6"/>
        <v>0</v>
      </c>
      <c r="H82" s="17" t="str">
        <f t="shared" si="7"/>
        <v/>
      </c>
    </row>
    <row r="83" spans="2:8" x14ac:dyDescent="0.15">
      <c r="B83" s="27" t="s">
        <v>66</v>
      </c>
      <c r="C83" s="84">
        <f t="shared" si="5"/>
        <v>0</v>
      </c>
      <c r="D83" s="14">
        <v>0</v>
      </c>
      <c r="E83" s="15" t="s">
        <v>166</v>
      </c>
      <c r="F83" s="15" t="s">
        <v>6</v>
      </c>
      <c r="G83" s="15">
        <f t="shared" si="6"/>
        <v>0</v>
      </c>
      <c r="H83" s="17" t="str">
        <f t="shared" si="7"/>
        <v/>
      </c>
    </row>
    <row r="84" spans="2:8" x14ac:dyDescent="0.15">
      <c r="B84" s="14" t="s">
        <v>67</v>
      </c>
      <c r="C84" s="84">
        <f t="shared" si="5"/>
        <v>0</v>
      </c>
      <c r="D84" s="15">
        <v>0</v>
      </c>
      <c r="E84" s="15" t="s">
        <v>166</v>
      </c>
      <c r="F84" s="15" t="s">
        <v>6</v>
      </c>
      <c r="G84" s="15">
        <f t="shared" si="6"/>
        <v>0</v>
      </c>
      <c r="H84" s="17" t="str">
        <f t="shared" si="7"/>
        <v/>
      </c>
    </row>
    <row r="85" spans="2:8" x14ac:dyDescent="0.15">
      <c r="B85" s="14" t="s">
        <v>68</v>
      </c>
      <c r="C85" s="84">
        <f t="shared" si="5"/>
        <v>0</v>
      </c>
      <c r="D85" s="15">
        <v>0</v>
      </c>
      <c r="E85" s="15" t="s">
        <v>166</v>
      </c>
      <c r="F85" s="15" t="s">
        <v>6</v>
      </c>
      <c r="G85" s="15">
        <f t="shared" si="6"/>
        <v>0</v>
      </c>
      <c r="H85" s="17" t="str">
        <f t="shared" si="7"/>
        <v/>
      </c>
    </row>
    <row r="86" spans="2:8" x14ac:dyDescent="0.15">
      <c r="B86" s="14" t="s">
        <v>69</v>
      </c>
      <c r="C86" s="84">
        <f t="shared" si="5"/>
        <v>0</v>
      </c>
      <c r="D86" s="15">
        <v>0</v>
      </c>
      <c r="E86" s="15" t="s">
        <v>166</v>
      </c>
      <c r="F86" s="15" t="s">
        <v>6</v>
      </c>
      <c r="G86" s="15">
        <f t="shared" si="6"/>
        <v>0</v>
      </c>
      <c r="H86" s="17" t="str">
        <f t="shared" si="7"/>
        <v/>
      </c>
    </row>
    <row r="87" spans="2:8" x14ac:dyDescent="0.15">
      <c r="B87" s="14" t="s">
        <v>70</v>
      </c>
      <c r="C87" s="84">
        <v>0</v>
      </c>
      <c r="D87" s="15">
        <v>1400</v>
      </c>
      <c r="E87" s="15" t="s">
        <v>166</v>
      </c>
      <c r="F87" s="15" t="s">
        <v>6</v>
      </c>
      <c r="G87" s="15">
        <f t="shared" si="6"/>
        <v>1400</v>
      </c>
      <c r="H87" s="17" t="str">
        <f t="shared" si="7"/>
        <v/>
      </c>
    </row>
    <row r="88" spans="2:8" x14ac:dyDescent="0.15">
      <c r="B88" s="14" t="s">
        <v>71</v>
      </c>
      <c r="C88" s="84">
        <f t="shared" si="5"/>
        <v>0</v>
      </c>
      <c r="D88" s="15">
        <v>0</v>
      </c>
      <c r="E88" s="15" t="s">
        <v>166</v>
      </c>
      <c r="F88" s="15" t="s">
        <v>6</v>
      </c>
      <c r="G88" s="15">
        <f t="shared" si="6"/>
        <v>0</v>
      </c>
      <c r="H88" s="17" t="str">
        <f t="shared" si="7"/>
        <v/>
      </c>
    </row>
    <row r="89" spans="2:8" x14ac:dyDescent="0.15">
      <c r="B89" s="14" t="s">
        <v>72</v>
      </c>
      <c r="C89" s="84">
        <f t="shared" si="5"/>
        <v>0</v>
      </c>
      <c r="D89" s="15">
        <v>0</v>
      </c>
      <c r="E89" s="15" t="s">
        <v>166</v>
      </c>
      <c r="F89" s="15" t="s">
        <v>6</v>
      </c>
      <c r="G89" s="15">
        <f t="shared" si="6"/>
        <v>0</v>
      </c>
      <c r="H89" s="17" t="str">
        <f t="shared" si="7"/>
        <v/>
      </c>
    </row>
    <row r="90" spans="2:8" x14ac:dyDescent="0.15">
      <c r="B90" s="14" t="s">
        <v>73</v>
      </c>
      <c r="C90" s="84">
        <f t="shared" si="5"/>
        <v>0</v>
      </c>
      <c r="D90" s="15">
        <v>0</v>
      </c>
      <c r="E90" s="15" t="s">
        <v>166</v>
      </c>
      <c r="F90" s="15" t="s">
        <v>6</v>
      </c>
      <c r="G90" s="15">
        <f t="shared" si="6"/>
        <v>0</v>
      </c>
      <c r="H90" s="17" t="str">
        <f t="shared" si="7"/>
        <v/>
      </c>
    </row>
    <row r="91" spans="2:8" x14ac:dyDescent="0.15">
      <c r="B91" s="14" t="s">
        <v>74</v>
      </c>
      <c r="C91" s="84">
        <f t="shared" si="5"/>
        <v>0</v>
      </c>
      <c r="D91" s="15">
        <v>0</v>
      </c>
      <c r="E91" s="15" t="s">
        <v>166</v>
      </c>
      <c r="F91" s="15" t="s">
        <v>6</v>
      </c>
      <c r="G91" s="15">
        <f t="shared" si="6"/>
        <v>0</v>
      </c>
      <c r="H91" s="17" t="str">
        <f t="shared" si="7"/>
        <v/>
      </c>
    </row>
    <row r="92" spans="2:8" x14ac:dyDescent="0.15">
      <c r="B92" s="14" t="s">
        <v>75</v>
      </c>
      <c r="C92" s="84">
        <f t="shared" si="5"/>
        <v>0</v>
      </c>
      <c r="D92" s="15">
        <v>0</v>
      </c>
      <c r="E92" s="15" t="s">
        <v>166</v>
      </c>
      <c r="F92" s="15" t="s">
        <v>6</v>
      </c>
      <c r="G92" s="15">
        <f t="shared" si="6"/>
        <v>0</v>
      </c>
      <c r="H92" s="17" t="str">
        <f t="shared" si="7"/>
        <v/>
      </c>
    </row>
    <row r="93" spans="2:8" x14ac:dyDescent="0.15">
      <c r="B93" s="14" t="s">
        <v>76</v>
      </c>
      <c r="C93" s="84">
        <f t="shared" si="5"/>
        <v>0</v>
      </c>
      <c r="D93" s="15">
        <v>0</v>
      </c>
      <c r="E93" s="15" t="s">
        <v>166</v>
      </c>
      <c r="F93" s="15" t="s">
        <v>6</v>
      </c>
      <c r="G93" s="15">
        <f t="shared" si="6"/>
        <v>0</v>
      </c>
      <c r="H93" s="17" t="str">
        <f t="shared" si="7"/>
        <v/>
      </c>
    </row>
    <row r="94" spans="2:8" x14ac:dyDescent="0.15">
      <c r="B94" s="14" t="s">
        <v>77</v>
      </c>
      <c r="C94" s="84">
        <f t="shared" si="5"/>
        <v>0</v>
      </c>
      <c r="D94" s="15">
        <v>0</v>
      </c>
      <c r="E94" s="15" t="s">
        <v>166</v>
      </c>
      <c r="F94" s="15" t="s">
        <v>6</v>
      </c>
      <c r="G94" s="15">
        <f t="shared" si="6"/>
        <v>0</v>
      </c>
      <c r="H94" s="17" t="str">
        <f t="shared" si="7"/>
        <v/>
      </c>
    </row>
    <row r="95" spans="2:8" x14ac:dyDescent="0.15">
      <c r="B95" s="14" t="s">
        <v>78</v>
      </c>
      <c r="C95" s="84">
        <f t="shared" si="5"/>
        <v>0</v>
      </c>
      <c r="D95" s="15">
        <v>0</v>
      </c>
      <c r="E95" s="15" t="s">
        <v>166</v>
      </c>
      <c r="F95" s="15" t="s">
        <v>6</v>
      </c>
      <c r="G95" s="15">
        <f t="shared" si="6"/>
        <v>0</v>
      </c>
      <c r="H95" s="17" t="str">
        <f t="shared" si="7"/>
        <v/>
      </c>
    </row>
    <row r="96" spans="2:8" x14ac:dyDescent="0.15">
      <c r="B96" s="14" t="s">
        <v>79</v>
      </c>
      <c r="C96" s="84">
        <f t="shared" si="5"/>
        <v>0</v>
      </c>
      <c r="D96" s="15">
        <v>0</v>
      </c>
      <c r="E96" s="15" t="s">
        <v>166</v>
      </c>
      <c r="F96" s="15" t="s">
        <v>6</v>
      </c>
      <c r="G96" s="15">
        <f t="shared" si="6"/>
        <v>0</v>
      </c>
      <c r="H96" s="17" t="str">
        <f t="shared" si="7"/>
        <v/>
      </c>
    </row>
    <row r="97" spans="2:8" x14ac:dyDescent="0.15">
      <c r="B97" s="14" t="s">
        <v>80</v>
      </c>
      <c r="C97" s="84">
        <f t="shared" si="5"/>
        <v>0</v>
      </c>
      <c r="D97" s="15">
        <v>0</v>
      </c>
      <c r="E97" s="15" t="s">
        <v>166</v>
      </c>
      <c r="F97" s="15" t="s">
        <v>6</v>
      </c>
      <c r="G97" s="15">
        <f t="shared" si="6"/>
        <v>0</v>
      </c>
      <c r="H97" s="17" t="str">
        <f t="shared" si="7"/>
        <v/>
      </c>
    </row>
    <row r="98" spans="2:8" x14ac:dyDescent="0.15">
      <c r="B98" s="14" t="s">
        <v>81</v>
      </c>
      <c r="C98" s="84">
        <f t="shared" si="5"/>
        <v>0</v>
      </c>
      <c r="D98" s="15">
        <v>0</v>
      </c>
      <c r="E98" s="15" t="s">
        <v>166</v>
      </c>
      <c r="F98" s="15" t="s">
        <v>6</v>
      </c>
      <c r="G98" s="15">
        <f t="shared" si="6"/>
        <v>0</v>
      </c>
      <c r="H98" s="17" t="str">
        <f t="shared" si="7"/>
        <v/>
      </c>
    </row>
    <row r="99" spans="2:8" x14ac:dyDescent="0.15">
      <c r="B99" s="14" t="s">
        <v>82</v>
      </c>
      <c r="C99" s="84">
        <f t="shared" si="5"/>
        <v>0</v>
      </c>
      <c r="D99" s="15">
        <v>0</v>
      </c>
      <c r="E99" s="15" t="s">
        <v>166</v>
      </c>
      <c r="F99" s="15" t="s">
        <v>6</v>
      </c>
      <c r="G99" s="15">
        <f t="shared" si="6"/>
        <v>0</v>
      </c>
      <c r="H99" s="17" t="str">
        <f t="shared" si="7"/>
        <v/>
      </c>
    </row>
    <row r="100" spans="2:8" x14ac:dyDescent="0.15">
      <c r="B100" s="14" t="s">
        <v>83</v>
      </c>
      <c r="C100" s="84">
        <f t="shared" si="5"/>
        <v>0</v>
      </c>
      <c r="D100" s="15">
        <v>0</v>
      </c>
      <c r="E100" s="15" t="s">
        <v>166</v>
      </c>
      <c r="F100" s="15" t="s">
        <v>6</v>
      </c>
      <c r="G100" s="15">
        <f t="shared" ref="G100:G106" si="8">$D100+$C100</f>
        <v>0</v>
      </c>
      <c r="H100" s="17" t="str">
        <f t="shared" ref="H100:H106" si="9">IF(AND($D100=0, $G100&gt;0),"new", IF(AND($D100&gt;0, $G100=0),"sold",""))</f>
        <v/>
      </c>
    </row>
    <row r="101" spans="2:8" x14ac:dyDescent="0.15">
      <c r="B101" s="14" t="s">
        <v>84</v>
      </c>
      <c r="C101" s="84">
        <f t="shared" si="5"/>
        <v>0</v>
      </c>
      <c r="D101" s="15">
        <v>0</v>
      </c>
      <c r="E101" s="15" t="s">
        <v>166</v>
      </c>
      <c r="F101" s="15" t="s">
        <v>6</v>
      </c>
      <c r="G101" s="15">
        <f t="shared" si="8"/>
        <v>0</v>
      </c>
      <c r="H101" s="17" t="str">
        <f t="shared" si="9"/>
        <v/>
      </c>
    </row>
    <row r="102" spans="2:8" x14ac:dyDescent="0.15">
      <c r="B102" s="14" t="s">
        <v>85</v>
      </c>
      <c r="C102" s="84">
        <f t="shared" si="5"/>
        <v>0</v>
      </c>
      <c r="D102" s="15">
        <v>0</v>
      </c>
      <c r="E102" s="15" t="s">
        <v>166</v>
      </c>
      <c r="F102" s="15" t="s">
        <v>6</v>
      </c>
      <c r="G102" s="15">
        <f t="shared" si="8"/>
        <v>0</v>
      </c>
      <c r="H102" s="17" t="str">
        <f t="shared" si="9"/>
        <v/>
      </c>
    </row>
    <row r="103" spans="2:8" x14ac:dyDescent="0.15">
      <c r="B103" s="14" t="s">
        <v>86</v>
      </c>
      <c r="C103" s="84">
        <f t="shared" si="5"/>
        <v>0</v>
      </c>
      <c r="D103" s="15">
        <v>0</v>
      </c>
      <c r="E103" s="15" t="s">
        <v>166</v>
      </c>
      <c r="F103" s="15" t="s">
        <v>6</v>
      </c>
      <c r="G103" s="15">
        <f t="shared" si="8"/>
        <v>0</v>
      </c>
      <c r="H103" s="17" t="str">
        <f t="shared" si="9"/>
        <v/>
      </c>
    </row>
    <row r="104" spans="2:8" x14ac:dyDescent="0.15">
      <c r="B104" s="14" t="s">
        <v>87</v>
      </c>
      <c r="C104" s="84">
        <f t="shared" si="5"/>
        <v>0</v>
      </c>
      <c r="D104" s="15">
        <v>0</v>
      </c>
      <c r="E104" s="15" t="s">
        <v>166</v>
      </c>
      <c r="F104" s="15" t="s">
        <v>6</v>
      </c>
      <c r="G104" s="15">
        <f t="shared" si="8"/>
        <v>0</v>
      </c>
      <c r="H104" s="17" t="str">
        <f t="shared" si="9"/>
        <v/>
      </c>
    </row>
    <row r="105" spans="2:8" x14ac:dyDescent="0.15">
      <c r="B105" s="14" t="s">
        <v>88</v>
      </c>
      <c r="C105" s="84">
        <f t="shared" si="5"/>
        <v>0</v>
      </c>
      <c r="D105" s="15">
        <v>0</v>
      </c>
      <c r="E105" s="15" t="s">
        <v>166</v>
      </c>
      <c r="F105" s="15" t="s">
        <v>6</v>
      </c>
      <c r="G105" s="15">
        <f t="shared" si="8"/>
        <v>0</v>
      </c>
      <c r="H105" s="17" t="str">
        <f t="shared" si="9"/>
        <v/>
      </c>
    </row>
    <row r="106" spans="2:8" x14ac:dyDescent="0.15">
      <c r="B106" s="18" t="s">
        <v>89</v>
      </c>
      <c r="C106" s="84">
        <f t="shared" si="5"/>
        <v>0</v>
      </c>
      <c r="D106" s="19">
        <v>0</v>
      </c>
      <c r="E106" s="19" t="s">
        <v>166</v>
      </c>
      <c r="F106" s="19" t="s">
        <v>6</v>
      </c>
      <c r="G106" s="19">
        <f t="shared" si="8"/>
        <v>0</v>
      </c>
      <c r="H106" s="20" t="str">
        <f t="shared" si="9"/>
        <v/>
      </c>
    </row>
    <row r="107" spans="2:8" x14ac:dyDescent="0.15">
      <c r="B107" s="12"/>
      <c r="C107" s="12"/>
      <c r="D107" s="12">
        <f>COUNTIF($D$36:$D$106,"&gt;0")</f>
        <v>4</v>
      </c>
      <c r="E107" s="12" t="s">
        <v>90</v>
      </c>
      <c r="F107" s="12"/>
      <c r="G107" s="12">
        <f>COUNTIF(G36:G106,"&gt;0")</f>
        <v>4</v>
      </c>
      <c r="H107" s="83" t="s">
        <v>90</v>
      </c>
    </row>
  </sheetData>
  <sheetProtection algorithmName="SHA-512" hashValue="slZpDOEIkdKdCp60VY4c4fJpdPWKMxad3IPFpTfS2JFKHkScjptGfliqQrfLQ97f4XsnxAynR0gy/0BDnMN5Hw==" saltValue="q6UrLeDUg0noxs2sqaR1WA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topLeftCell="A2" workbookViewId="0">
      <selection activeCell="H11" sqref="H11"/>
    </sheetView>
  </sheetViews>
  <sheetFormatPr baseColWidth="10" defaultColWidth="8.83203125" defaultRowHeight="13" x14ac:dyDescent="0.15"/>
  <cols>
    <col min="1" max="1" width="4.6640625" style="29" customWidth="1"/>
    <col min="2" max="2" width="16.6640625" style="29" customWidth="1"/>
    <col min="3" max="14" width="8.6640625" style="29" customWidth="1"/>
    <col min="15" max="16384" width="8.83203125" style="29"/>
  </cols>
  <sheetData>
    <row r="2" spans="2:14" x14ac:dyDescent="0.15">
      <c r="B2" s="28" t="s">
        <v>140</v>
      </c>
    </row>
    <row r="3" spans="2:14" x14ac:dyDescent="0.15">
      <c r="B3" s="30" t="s">
        <v>164</v>
      </c>
    </row>
    <row r="4" spans="2:14" x14ac:dyDescent="0.15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 x14ac:dyDescent="0.15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 x14ac:dyDescent="0.15">
      <c r="B6" s="36" t="s">
        <v>104</v>
      </c>
      <c r="C6" s="86">
        <v>0</v>
      </c>
      <c r="D6" s="86">
        <f t="shared" ref="D6:N6" si="0">2118.002 * 0.65</f>
        <v>1376.7012999999999</v>
      </c>
      <c r="E6" s="86">
        <f t="shared" si="0"/>
        <v>1376.7012999999999</v>
      </c>
      <c r="F6" s="86">
        <f t="shared" si="0"/>
        <v>1376.7012999999999</v>
      </c>
      <c r="G6" s="86">
        <f t="shared" si="0"/>
        <v>1376.7012999999999</v>
      </c>
      <c r="H6" s="86">
        <f t="shared" si="0"/>
        <v>1376.7012999999999</v>
      </c>
      <c r="I6" s="86">
        <f t="shared" si="0"/>
        <v>1376.7012999999999</v>
      </c>
      <c r="J6" s="86">
        <f t="shared" si="0"/>
        <v>1376.7012999999999</v>
      </c>
      <c r="K6" s="86">
        <f t="shared" si="0"/>
        <v>1376.7012999999999</v>
      </c>
      <c r="L6" s="86">
        <f t="shared" si="0"/>
        <v>1376.7012999999999</v>
      </c>
      <c r="M6" s="86">
        <f t="shared" si="0"/>
        <v>1376.7012999999999</v>
      </c>
      <c r="N6" s="86">
        <f t="shared" si="0"/>
        <v>1376.7012999999999</v>
      </c>
    </row>
    <row r="7" spans="2:14" x14ac:dyDescent="0.15">
      <c r="B7" s="36" t="s">
        <v>105</v>
      </c>
      <c r="C7" s="87">
        <v>0</v>
      </c>
      <c r="D7" s="87">
        <f t="shared" ref="D7:N7" si="1">401.6506*0.95</f>
        <v>381.56806999999998</v>
      </c>
      <c r="E7" s="87">
        <f t="shared" si="1"/>
        <v>381.56806999999998</v>
      </c>
      <c r="F7" s="87">
        <f t="shared" si="1"/>
        <v>381.56806999999998</v>
      </c>
      <c r="G7" s="87">
        <f t="shared" si="1"/>
        <v>381.56806999999998</v>
      </c>
      <c r="H7" s="87">
        <f t="shared" si="1"/>
        <v>381.56806999999998</v>
      </c>
      <c r="I7" s="87">
        <f t="shared" si="1"/>
        <v>381.56806999999998</v>
      </c>
      <c r="J7" s="87">
        <f t="shared" si="1"/>
        <v>381.56806999999998</v>
      </c>
      <c r="K7" s="87">
        <f t="shared" si="1"/>
        <v>381.56806999999998</v>
      </c>
      <c r="L7" s="87">
        <f t="shared" si="1"/>
        <v>381.56806999999998</v>
      </c>
      <c r="M7" s="87">
        <f t="shared" si="1"/>
        <v>381.56806999999998</v>
      </c>
      <c r="N7" s="87">
        <f t="shared" si="1"/>
        <v>381.56806999999998</v>
      </c>
    </row>
    <row r="8" spans="2:14" x14ac:dyDescent="0.15">
      <c r="B8" s="36" t="s">
        <v>106</v>
      </c>
      <c r="C8" s="87">
        <v>0</v>
      </c>
      <c r="D8" s="87">
        <f xml:space="preserve"> 362.2765</f>
        <v>362.2765</v>
      </c>
      <c r="E8" s="87">
        <f t="shared" ref="E8:N8" si="2" xml:space="preserve"> 362.2765 * 0.8</f>
        <v>289.82120000000003</v>
      </c>
      <c r="F8" s="87">
        <f t="shared" si="2"/>
        <v>289.82120000000003</v>
      </c>
      <c r="G8" s="87">
        <f t="shared" si="2"/>
        <v>289.82120000000003</v>
      </c>
      <c r="H8" s="87">
        <f t="shared" si="2"/>
        <v>289.82120000000003</v>
      </c>
      <c r="I8" s="87">
        <f t="shared" si="2"/>
        <v>289.82120000000003</v>
      </c>
      <c r="J8" s="87">
        <f t="shared" si="2"/>
        <v>289.82120000000003</v>
      </c>
      <c r="K8" s="87">
        <f t="shared" si="2"/>
        <v>289.82120000000003</v>
      </c>
      <c r="L8" s="87">
        <f t="shared" si="2"/>
        <v>289.82120000000003</v>
      </c>
      <c r="M8" s="87">
        <f t="shared" si="2"/>
        <v>289.82120000000003</v>
      </c>
      <c r="N8" s="87">
        <f t="shared" si="2"/>
        <v>289.82120000000003</v>
      </c>
    </row>
    <row r="9" spans="2:14" x14ac:dyDescent="0.15">
      <c r="B9" s="36" t="s">
        <v>107</v>
      </c>
      <c r="C9" s="87">
        <v>0</v>
      </c>
      <c r="D9" s="87"/>
      <c r="E9" s="87"/>
      <c r="F9" s="87"/>
      <c r="G9" s="87"/>
      <c r="H9" s="87"/>
      <c r="I9" s="87"/>
      <c r="J9" s="87"/>
      <c r="K9" s="87"/>
      <c r="L9" s="87"/>
      <c r="M9" s="87"/>
      <c r="N9" s="87"/>
    </row>
    <row r="10" spans="2:14" x14ac:dyDescent="0.15">
      <c r="B10" s="36" t="s">
        <v>108</v>
      </c>
      <c r="C10" s="87">
        <v>0</v>
      </c>
      <c r="D10" s="87"/>
      <c r="E10" s="87"/>
      <c r="F10" s="87"/>
      <c r="G10" s="87"/>
      <c r="H10" s="87"/>
      <c r="I10" s="87"/>
      <c r="J10" s="87"/>
      <c r="K10" s="87"/>
      <c r="L10" s="87"/>
      <c r="M10" s="87"/>
      <c r="N10" s="87"/>
    </row>
    <row r="11" spans="2:14" x14ac:dyDescent="0.15">
      <c r="B11" s="37" t="s">
        <v>109</v>
      </c>
      <c r="C11" s="87">
        <v>0</v>
      </c>
      <c r="D11" s="87"/>
      <c r="E11" s="87"/>
      <c r="F11" s="87"/>
      <c r="G11" s="87"/>
      <c r="H11" s="87"/>
      <c r="I11" s="87"/>
      <c r="J11" s="87"/>
      <c r="K11" s="87"/>
      <c r="L11" s="87"/>
      <c r="M11" s="87"/>
      <c r="N11" s="87"/>
    </row>
    <row r="12" spans="2:14" x14ac:dyDescent="0.15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 x14ac:dyDescent="0.15">
      <c r="B14" s="30" t="s">
        <v>157</v>
      </c>
    </row>
    <row r="15" spans="2:14" x14ac:dyDescent="0.15">
      <c r="B15" s="31"/>
      <c r="C15" s="32"/>
      <c r="D15" s="32"/>
      <c r="E15" s="51"/>
      <c r="F15" s="32"/>
      <c r="G15" s="32"/>
      <c r="H15" s="32"/>
    </row>
    <row r="16" spans="2:14" x14ac:dyDescent="0.15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 x14ac:dyDescent="0.15">
      <c r="B17" s="41" t="s">
        <v>104</v>
      </c>
      <c r="C17" s="89">
        <v>1</v>
      </c>
      <c r="D17" s="89">
        <v>0.6</v>
      </c>
      <c r="E17" s="89">
        <v>1</v>
      </c>
      <c r="F17" s="89">
        <v>1.5</v>
      </c>
      <c r="G17" s="89">
        <v>0</v>
      </c>
      <c r="H17" s="89">
        <v>1000000</v>
      </c>
      <c r="I17" s="29" t="s">
        <v>110</v>
      </c>
    </row>
    <row r="18" spans="2:33" x14ac:dyDescent="0.15">
      <c r="B18" s="36" t="s">
        <v>105</v>
      </c>
      <c r="C18" s="90">
        <v>1</v>
      </c>
      <c r="D18" s="90">
        <v>0.65</v>
      </c>
      <c r="E18" s="90">
        <v>1</v>
      </c>
      <c r="F18" s="89">
        <v>1.5</v>
      </c>
      <c r="G18" s="90">
        <v>0</v>
      </c>
      <c r="H18" s="90">
        <v>1000000</v>
      </c>
      <c r="I18" s="29" t="s">
        <v>110</v>
      </c>
    </row>
    <row r="19" spans="2:33" x14ac:dyDescent="0.15">
      <c r="B19" s="36" t="s">
        <v>106</v>
      </c>
      <c r="C19" s="90">
        <v>1</v>
      </c>
      <c r="D19" s="90">
        <v>0.72</v>
      </c>
      <c r="E19" s="90">
        <v>1</v>
      </c>
      <c r="F19" s="89">
        <v>1.5</v>
      </c>
      <c r="G19" s="90">
        <v>0</v>
      </c>
      <c r="H19" s="90">
        <v>1000000</v>
      </c>
      <c r="I19" s="29" t="s">
        <v>110</v>
      </c>
    </row>
    <row r="20" spans="2:33" x14ac:dyDescent="0.15">
      <c r="B20" s="36" t="s">
        <v>107</v>
      </c>
      <c r="C20" s="90">
        <v>1</v>
      </c>
      <c r="D20" s="90">
        <v>1000000</v>
      </c>
      <c r="E20" s="90">
        <v>1</v>
      </c>
      <c r="F20" s="90">
        <v>1000000</v>
      </c>
      <c r="G20" s="90">
        <v>1</v>
      </c>
      <c r="H20" s="90">
        <v>1000000</v>
      </c>
    </row>
    <row r="21" spans="2:33" x14ac:dyDescent="0.15">
      <c r="B21" s="36" t="s">
        <v>108</v>
      </c>
      <c r="C21" s="90">
        <v>1</v>
      </c>
      <c r="D21" s="90">
        <v>1000000</v>
      </c>
      <c r="E21" s="90">
        <v>1</v>
      </c>
      <c r="F21" s="90">
        <v>1000000</v>
      </c>
      <c r="G21" s="90">
        <v>1</v>
      </c>
      <c r="H21" s="90">
        <v>1000000</v>
      </c>
    </row>
    <row r="22" spans="2:33" x14ac:dyDescent="0.15">
      <c r="B22" s="37" t="s">
        <v>109</v>
      </c>
      <c r="C22" s="90">
        <v>1</v>
      </c>
      <c r="D22" s="90">
        <v>1000000</v>
      </c>
      <c r="E22" s="90">
        <v>1</v>
      </c>
      <c r="F22" s="90">
        <v>1000000</v>
      </c>
      <c r="G22" s="90">
        <v>1</v>
      </c>
      <c r="H22" s="90">
        <v>1000000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 x14ac:dyDescent="0.15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 x14ac:dyDescent="0.15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 x14ac:dyDescent="0.15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 x14ac:dyDescent="0.15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 x14ac:dyDescent="0.15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 x14ac:dyDescent="0.15">
      <c r="D28" s="45">
        <f>basic_info!$D$5-5</f>
        <v>2013</v>
      </c>
      <c r="E28" s="49"/>
      <c r="F28" s="45">
        <f>basic_info!$D$5-4</f>
        <v>2014</v>
      </c>
      <c r="G28" s="49"/>
      <c r="H28" s="45">
        <f>basic_info!$D$5-3</f>
        <v>2015</v>
      </c>
      <c r="I28" s="49"/>
      <c r="J28" s="45">
        <f>basic_info!$D$5-2</f>
        <v>2016</v>
      </c>
      <c r="K28" s="49"/>
      <c r="L28" s="45">
        <f>basic_info!$D$5-1</f>
        <v>2017</v>
      </c>
      <c r="N28" s="45">
        <f>basic_info!$D$5</f>
        <v>2018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 x14ac:dyDescent="0.15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 x14ac:dyDescent="0.15">
      <c r="B30" s="41" t="s">
        <v>112</v>
      </c>
      <c r="C30" s="36">
        <f>basic_info!$D$5</f>
        <v>2018</v>
      </c>
      <c r="D30" s="44">
        <v>0.68616087553988669</v>
      </c>
      <c r="E30" s="35">
        <v>0</v>
      </c>
      <c r="F30" s="47">
        <v>0.64171751702829749</v>
      </c>
      <c r="G30" s="46">
        <v>0</v>
      </c>
      <c r="H30" s="47">
        <v>0.8295043288750632</v>
      </c>
      <c r="I30" s="46">
        <v>0</v>
      </c>
      <c r="J30" s="47">
        <v>0.85195298768145433</v>
      </c>
      <c r="K30" s="46"/>
      <c r="L30" s="47">
        <v>0.87181858933515421</v>
      </c>
      <c r="M30" s="46"/>
      <c r="N30" s="60"/>
      <c r="O30" s="71" t="s">
        <v>162</v>
      </c>
      <c r="P30" s="41">
        <f>M30+K30+I30+E30+G30</f>
        <v>0</v>
      </c>
      <c r="Q30" s="70"/>
    </row>
    <row r="31" spans="2:33" x14ac:dyDescent="0.15">
      <c r="B31" s="36"/>
      <c r="C31" s="47">
        <f>basic_info!$D$5+1</f>
        <v>2019</v>
      </c>
      <c r="D31" s="76"/>
      <c r="E31" s="75"/>
      <c r="F31" s="69">
        <v>0.65376248745918275</v>
      </c>
      <c r="G31" s="79">
        <v>0</v>
      </c>
      <c r="H31" s="61">
        <v>0.84540928358710421</v>
      </c>
      <c r="I31" s="62">
        <v>0</v>
      </c>
      <c r="J31" s="61">
        <v>0.79341974686465555</v>
      </c>
      <c r="K31" s="62"/>
      <c r="L31" s="61">
        <v>0.87729954875381289</v>
      </c>
      <c r="M31" s="62"/>
      <c r="N31" s="63">
        <v>0.8336267728479646</v>
      </c>
      <c r="O31" s="88"/>
      <c r="P31" s="63">
        <f>O31+M31+K31+I31+G31</f>
        <v>0</v>
      </c>
    </row>
    <row r="32" spans="2:33" x14ac:dyDescent="0.15">
      <c r="B32" s="36"/>
      <c r="C32" s="47">
        <f>basic_info!$D$5+2</f>
        <v>2020</v>
      </c>
      <c r="D32" s="76"/>
      <c r="E32" s="75"/>
      <c r="F32" s="75"/>
      <c r="G32" s="75"/>
      <c r="H32" s="69">
        <v>0.76962524616122252</v>
      </c>
      <c r="I32" s="79">
        <v>0</v>
      </c>
      <c r="J32" s="61">
        <v>0.75112057603575599</v>
      </c>
      <c r="K32" s="62"/>
      <c r="L32" s="61">
        <v>0.80188642998529402</v>
      </c>
      <c r="M32" s="62"/>
      <c r="N32" s="63">
        <v>0.81985520450982041</v>
      </c>
      <c r="O32" s="88"/>
      <c r="P32" s="63">
        <f>O32+M32+K32+I32</f>
        <v>0</v>
      </c>
    </row>
    <row r="33" spans="2:17" x14ac:dyDescent="0.15">
      <c r="B33" s="36"/>
      <c r="C33" s="47">
        <f>basic_info!$D$5+3</f>
        <v>2021</v>
      </c>
      <c r="D33" s="76"/>
      <c r="E33" s="75"/>
      <c r="F33" s="75"/>
      <c r="G33" s="75"/>
      <c r="H33" s="75"/>
      <c r="I33" s="75"/>
      <c r="J33" s="69">
        <v>0.73914561780691146</v>
      </c>
      <c r="K33" s="79"/>
      <c r="L33" s="61">
        <v>0.73716643524096881</v>
      </c>
      <c r="M33" s="62"/>
      <c r="N33" s="63">
        <v>0.7922499396770869</v>
      </c>
      <c r="O33" s="88"/>
      <c r="P33" s="63">
        <f>O33+M33+K33</f>
        <v>0</v>
      </c>
    </row>
    <row r="34" spans="2:17" x14ac:dyDescent="0.15">
      <c r="B34" s="36"/>
      <c r="C34" s="47">
        <f>basic_info!$D$5+4</f>
        <v>2022</v>
      </c>
      <c r="D34" s="76"/>
      <c r="E34" s="75"/>
      <c r="F34" s="75"/>
      <c r="G34" s="75"/>
      <c r="H34" s="75"/>
      <c r="I34" s="75"/>
      <c r="J34" s="75"/>
      <c r="K34" s="75"/>
      <c r="L34" s="69">
        <v>0.67792213259339329</v>
      </c>
      <c r="M34" s="79"/>
      <c r="N34" s="63">
        <v>0.74099510470754837</v>
      </c>
      <c r="O34" s="88"/>
      <c r="P34" s="63">
        <f>O34+M34</f>
        <v>0</v>
      </c>
    </row>
    <row r="35" spans="2:17" x14ac:dyDescent="0.15">
      <c r="B35" s="37"/>
      <c r="C35" s="72">
        <f>basic_info!$D$5+5</f>
        <v>2023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0.68592924540042888</v>
      </c>
      <c r="O35" s="88"/>
      <c r="P35" s="65">
        <f>O35</f>
        <v>0</v>
      </c>
    </row>
    <row r="36" spans="2:17" x14ac:dyDescent="0.15">
      <c r="B36" s="41" t="s">
        <v>113</v>
      </c>
      <c r="C36" s="36">
        <f>basic_info!$D$5</f>
        <v>2018</v>
      </c>
      <c r="D36" s="44">
        <v>1.0288140534879155</v>
      </c>
      <c r="E36" s="35">
        <v>0</v>
      </c>
      <c r="F36" s="73">
        <v>1.0108999284690923</v>
      </c>
      <c r="G36" s="74">
        <v>0</v>
      </c>
      <c r="H36" s="73">
        <v>1.0032828986441651</v>
      </c>
      <c r="I36" s="74">
        <v>136000</v>
      </c>
      <c r="J36" s="73">
        <v>1.0357981248188022</v>
      </c>
      <c r="K36" s="74"/>
      <c r="L36" s="66">
        <v>0.97406708065219405</v>
      </c>
      <c r="M36" s="67"/>
      <c r="N36" s="68"/>
      <c r="O36" s="71" t="s">
        <v>162</v>
      </c>
      <c r="P36" s="41">
        <f>M36+K36+I36+E36+G36</f>
        <v>136000</v>
      </c>
      <c r="Q36" s="70"/>
    </row>
    <row r="37" spans="2:17" x14ac:dyDescent="0.15">
      <c r="B37" s="36"/>
      <c r="C37" s="47">
        <f>basic_info!$D$5+1</f>
        <v>2019</v>
      </c>
      <c r="D37" s="76"/>
      <c r="E37" s="75"/>
      <c r="F37" s="69">
        <v>0.98955166281759732</v>
      </c>
      <c r="G37" s="79">
        <v>0</v>
      </c>
      <c r="H37" s="61">
        <v>0.95103433990902408</v>
      </c>
      <c r="I37" s="62">
        <v>136000</v>
      </c>
      <c r="J37" s="61">
        <v>0.9919351074281193</v>
      </c>
      <c r="K37" s="62"/>
      <c r="L37" s="61">
        <v>0.94692158975803442</v>
      </c>
      <c r="M37" s="62"/>
      <c r="N37" s="61">
        <v>1.3519645777200024</v>
      </c>
      <c r="O37" s="88"/>
      <c r="P37" s="63">
        <f>O37+M37+K37+I37+G37</f>
        <v>136000</v>
      </c>
    </row>
    <row r="38" spans="2:17" x14ac:dyDescent="0.15">
      <c r="B38" s="36"/>
      <c r="C38" s="47">
        <f>basic_info!$D$5+2</f>
        <v>2020</v>
      </c>
      <c r="D38" s="76"/>
      <c r="E38" s="75"/>
      <c r="F38" s="75"/>
      <c r="G38" s="75"/>
      <c r="H38" s="69">
        <v>0.9180320969671012</v>
      </c>
      <c r="I38" s="79">
        <v>136000</v>
      </c>
      <c r="J38" s="61">
        <v>0.95493263137485418</v>
      </c>
      <c r="K38" s="62"/>
      <c r="L38" s="61">
        <v>0.93709078332824058</v>
      </c>
      <c r="M38" s="62"/>
      <c r="N38" s="61">
        <v>1.2538421609133918</v>
      </c>
      <c r="O38" s="88"/>
      <c r="P38" s="63">
        <f>O38+M38+K38+I38</f>
        <v>136000</v>
      </c>
    </row>
    <row r="39" spans="2:17" x14ac:dyDescent="0.15">
      <c r="B39" s="36"/>
      <c r="C39" s="47">
        <f>basic_info!$D$5+3</f>
        <v>2021</v>
      </c>
      <c r="D39" s="76"/>
      <c r="E39" s="75"/>
      <c r="F39" s="75"/>
      <c r="G39" s="75"/>
      <c r="H39" s="75"/>
      <c r="I39" s="75"/>
      <c r="J39" s="69">
        <v>0.9100411573201419</v>
      </c>
      <c r="K39" s="79">
        <v>89461</v>
      </c>
      <c r="L39" s="61">
        <v>0.92721692835977987</v>
      </c>
      <c r="M39" s="62"/>
      <c r="N39" s="61">
        <v>1.1631721092862846</v>
      </c>
      <c r="O39" s="88"/>
      <c r="P39" s="63">
        <f>O39+M39+K39</f>
        <v>89461</v>
      </c>
    </row>
    <row r="40" spans="2:17" x14ac:dyDescent="0.15">
      <c r="B40" s="36"/>
      <c r="C40" s="47">
        <f>basic_info!$D$5+4</f>
        <v>2022</v>
      </c>
      <c r="D40" s="76"/>
      <c r="E40" s="75"/>
      <c r="F40" s="75"/>
      <c r="G40" s="75"/>
      <c r="H40" s="75"/>
      <c r="I40" s="75"/>
      <c r="J40" s="75"/>
      <c r="K40" s="75"/>
      <c r="L40" s="69">
        <v>0.89172850017249583</v>
      </c>
      <c r="M40" s="79">
        <v>89461</v>
      </c>
      <c r="N40" s="61">
        <v>1.1067776852666162</v>
      </c>
      <c r="O40" s="88"/>
      <c r="P40" s="63">
        <f>O40+M40</f>
        <v>89461</v>
      </c>
    </row>
    <row r="41" spans="2:17" x14ac:dyDescent="0.15">
      <c r="B41" s="37"/>
      <c r="C41" s="72">
        <f>basic_info!$D$5+5</f>
        <v>2023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1.0097698285728693</v>
      </c>
      <c r="O41" s="88">
        <v>107018.3</v>
      </c>
      <c r="P41" s="64">
        <f>O41</f>
        <v>107018.3</v>
      </c>
    </row>
    <row r="42" spans="2:17" x14ac:dyDescent="0.15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 x14ac:dyDescent="0.15">
      <c r="B44" s="30" t="s">
        <v>153</v>
      </c>
    </row>
    <row r="45" spans="2:17" x14ac:dyDescent="0.15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 x14ac:dyDescent="0.15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 x14ac:dyDescent="0.15">
      <c r="B47" s="41" t="s">
        <v>112</v>
      </c>
      <c r="C47" s="91">
        <f>100/12</f>
        <v>8.3333333333333339</v>
      </c>
      <c r="D47" s="91">
        <f t="shared" ref="D47:N47" si="3">100/12</f>
        <v>8.3333333333333339</v>
      </c>
      <c r="E47" s="91">
        <f t="shared" si="3"/>
        <v>8.3333333333333339</v>
      </c>
      <c r="F47" s="91">
        <f t="shared" si="3"/>
        <v>8.3333333333333339</v>
      </c>
      <c r="G47" s="91">
        <f t="shared" si="3"/>
        <v>8.3333333333333339</v>
      </c>
      <c r="H47" s="91">
        <f t="shared" si="3"/>
        <v>8.3333333333333339</v>
      </c>
      <c r="I47" s="91">
        <f t="shared" si="3"/>
        <v>8.3333333333333339</v>
      </c>
      <c r="J47" s="91">
        <f t="shared" si="3"/>
        <v>8.3333333333333339</v>
      </c>
      <c r="K47" s="91">
        <f t="shared" si="3"/>
        <v>8.3333333333333339</v>
      </c>
      <c r="L47" s="91">
        <f t="shared" si="3"/>
        <v>8.3333333333333339</v>
      </c>
      <c r="M47" s="91">
        <f t="shared" si="3"/>
        <v>8.3333333333333339</v>
      </c>
      <c r="N47" s="91">
        <f t="shared" si="3"/>
        <v>8.3333333333333339</v>
      </c>
      <c r="O47" s="33">
        <f>SUM(C47:N47)</f>
        <v>99.999999999999986</v>
      </c>
    </row>
    <row r="48" spans="2:17" x14ac:dyDescent="0.15">
      <c r="B48" s="37" t="s">
        <v>113</v>
      </c>
      <c r="C48" s="91">
        <v>0</v>
      </c>
      <c r="D48" s="91">
        <f>100/11</f>
        <v>9.0909090909090917</v>
      </c>
      <c r="E48" s="91">
        <f t="shared" ref="E48:N48" si="4">100/11</f>
        <v>9.0909090909090917</v>
      </c>
      <c r="F48" s="91">
        <f t="shared" si="4"/>
        <v>9.0909090909090917</v>
      </c>
      <c r="G48" s="91">
        <f t="shared" si="4"/>
        <v>9.0909090909090917</v>
      </c>
      <c r="H48" s="91">
        <f t="shared" si="4"/>
        <v>9.0909090909090917</v>
      </c>
      <c r="I48" s="91">
        <f t="shared" si="4"/>
        <v>9.0909090909090917</v>
      </c>
      <c r="J48" s="91">
        <f t="shared" si="4"/>
        <v>9.0909090909090917</v>
      </c>
      <c r="K48" s="91">
        <f t="shared" si="4"/>
        <v>9.0909090909090917</v>
      </c>
      <c r="L48" s="91">
        <f t="shared" si="4"/>
        <v>9.0909090909090917</v>
      </c>
      <c r="M48" s="91">
        <f t="shared" si="4"/>
        <v>9.0909090909090917</v>
      </c>
      <c r="N48" s="91">
        <f t="shared" si="4"/>
        <v>9.0909090909090917</v>
      </c>
      <c r="O48" s="33">
        <f>SUM(C48:N48)</f>
        <v>100.00000000000001</v>
      </c>
    </row>
    <row r="49" spans="2:15" x14ac:dyDescent="0.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KLtSzzdpF/objQy3Weo8J2mJRXQgHVvtOGDqX7ZwEZDPZUULnk0l3BtKpqapA4T+dYZfy30Zn/XGbRT2/fgcew==" saltValue="zSkN5CZ1Ay4Haizl/3i8bg==" spinCount="100000" sheet="1" objects="1" scenarios="1"/>
  <phoneticPr fontId="0" type="noConversion"/>
  <dataValidations xWindow="205" yWindow="357"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7"/>
  <sheetViews>
    <sheetView showGridLines="0" workbookViewId="0">
      <selection activeCell="C28" sqref="C28"/>
    </sheetView>
  </sheetViews>
  <sheetFormatPr baseColWidth="10" defaultColWidth="8.83203125" defaultRowHeight="13" x14ac:dyDescent="0.15"/>
  <cols>
    <col min="1" max="1" width="4.6640625" style="29" customWidth="1"/>
    <col min="2" max="2" width="17.33203125" style="29" customWidth="1"/>
    <col min="3" max="16384" width="8.83203125" style="29"/>
  </cols>
  <sheetData>
    <row r="2" spans="2:20" x14ac:dyDescent="0.15">
      <c r="B2" s="28" t="s">
        <v>114</v>
      </c>
    </row>
    <row r="3" spans="2:20" x14ac:dyDescent="0.15">
      <c r="B3" s="30" t="s">
        <v>144</v>
      </c>
    </row>
    <row r="4" spans="2:20" x14ac:dyDescent="0.15">
      <c r="B4" s="48"/>
      <c r="C4" s="48"/>
      <c r="D4" s="48"/>
      <c r="E4" s="48"/>
      <c r="F4" s="48"/>
      <c r="G4" s="48"/>
      <c r="H4" s="48"/>
      <c r="I4" s="48"/>
      <c r="J4" s="48"/>
      <c r="K4" s="48"/>
      <c r="L4" s="49"/>
      <c r="M4" s="49"/>
      <c r="N4" s="49"/>
      <c r="O4" s="49"/>
      <c r="P4" s="49"/>
      <c r="Q4" s="49"/>
    </row>
    <row r="5" spans="2:20" x14ac:dyDescent="0.15">
      <c r="B5" s="45" t="s">
        <v>115</v>
      </c>
      <c r="C5" s="45" t="s">
        <v>7</v>
      </c>
      <c r="D5" s="45" t="s">
        <v>8</v>
      </c>
      <c r="E5" s="45" t="s">
        <v>10</v>
      </c>
      <c r="F5" s="45" t="s">
        <v>14</v>
      </c>
      <c r="G5" s="45" t="s">
        <v>34</v>
      </c>
      <c r="H5" s="45" t="s">
        <v>49</v>
      </c>
      <c r="I5" s="45" t="s">
        <v>57</v>
      </c>
      <c r="J5" s="45" t="s">
        <v>70</v>
      </c>
      <c r="K5" s="45" t="s">
        <v>150</v>
      </c>
      <c r="L5" s="50"/>
      <c r="M5" s="50"/>
      <c r="N5" s="50"/>
      <c r="O5" s="50"/>
      <c r="P5" s="50"/>
      <c r="Q5" s="50"/>
      <c r="R5" s="50"/>
      <c r="S5" s="50"/>
      <c r="T5" s="50"/>
    </row>
    <row r="6" spans="2:20" x14ac:dyDescent="0.15">
      <c r="B6" s="45" t="s">
        <v>163</v>
      </c>
      <c r="C6" s="92"/>
      <c r="D6" s="92">
        <f>0.273797 * 100</f>
        <v>27.3797</v>
      </c>
      <c r="E6" s="92"/>
      <c r="F6" s="92">
        <f>0.08137569 * 100</f>
        <v>8.1375689999999992</v>
      </c>
      <c r="G6" s="92"/>
      <c r="H6" s="92">
        <f xml:space="preserve"> 0.4674289*100</f>
        <v>46.742889999999996</v>
      </c>
      <c r="I6" s="92"/>
      <c r="J6" s="92">
        <f>0.1773984*100</f>
        <v>17.739840000000001</v>
      </c>
      <c r="K6" s="96">
        <f>SUM($C$6:$J$6)</f>
        <v>99.999998999999988</v>
      </c>
      <c r="L6" s="49"/>
      <c r="M6" s="49"/>
      <c r="N6" s="49"/>
      <c r="O6" s="49"/>
      <c r="P6" s="49"/>
      <c r="Q6" s="49"/>
      <c r="R6" s="50"/>
      <c r="S6" s="50"/>
      <c r="T6" s="50"/>
    </row>
    <row r="7" spans="2:20" x14ac:dyDescent="0.15">
      <c r="B7" s="45" t="s">
        <v>105</v>
      </c>
      <c r="C7" s="92"/>
      <c r="D7" s="92"/>
      <c r="E7" s="92">
        <f>0.42008*100</f>
        <v>42.008000000000003</v>
      </c>
      <c r="F7" s="92"/>
      <c r="G7" s="92"/>
      <c r="H7" s="92"/>
      <c r="I7" s="92">
        <f>0.57992*100</f>
        <v>57.991999999999997</v>
      </c>
      <c r="J7" s="92">
        <v>0</v>
      </c>
      <c r="K7" s="96">
        <f>SUM($C$7:$J$7)</f>
        <v>100</v>
      </c>
      <c r="L7" s="49"/>
      <c r="M7" s="49"/>
      <c r="N7" s="49"/>
      <c r="O7" s="49"/>
      <c r="P7" s="49"/>
      <c r="Q7" s="49"/>
      <c r="R7" s="50"/>
      <c r="S7" s="50"/>
      <c r="T7" s="50"/>
    </row>
    <row r="8" spans="2:20" x14ac:dyDescent="0.15">
      <c r="B8" s="45" t="s">
        <v>106</v>
      </c>
      <c r="C8" s="92">
        <f>0.4678839*100</f>
        <v>46.78839</v>
      </c>
      <c r="D8" s="92"/>
      <c r="E8" s="92"/>
      <c r="F8" s="92"/>
      <c r="G8" s="92">
        <f>0.5321161*100</f>
        <v>53.21161</v>
      </c>
      <c r="H8" s="92"/>
      <c r="I8" s="92"/>
      <c r="J8" s="92">
        <v>0</v>
      </c>
      <c r="K8" s="96">
        <f>SUM($C$8:$J$8)</f>
        <v>100</v>
      </c>
      <c r="L8" s="49"/>
      <c r="M8" s="49"/>
      <c r="N8" s="49"/>
      <c r="O8" s="49"/>
      <c r="P8" s="49"/>
      <c r="Q8" s="49"/>
      <c r="R8" s="50"/>
      <c r="S8" s="50"/>
      <c r="T8" s="50"/>
    </row>
    <row r="9" spans="2:20" x14ac:dyDescent="0.15">
      <c r="B9" s="45" t="s">
        <v>107</v>
      </c>
      <c r="C9" s="92">
        <v>100</v>
      </c>
      <c r="D9" s="92"/>
      <c r="E9" s="92"/>
      <c r="F9" s="92"/>
      <c r="G9" s="92"/>
      <c r="H9" s="92"/>
      <c r="I9" s="92"/>
      <c r="J9" s="92">
        <v>0</v>
      </c>
      <c r="K9" s="96">
        <f>SUM($C$9:$J$9)</f>
        <v>100</v>
      </c>
      <c r="L9" s="49"/>
      <c r="M9" s="49"/>
      <c r="N9" s="49"/>
      <c r="O9" s="49"/>
      <c r="P9" s="49"/>
      <c r="Q9" s="49"/>
      <c r="R9" s="50"/>
      <c r="S9" s="50"/>
      <c r="T9" s="50"/>
    </row>
    <row r="10" spans="2:20" x14ac:dyDescent="0.15">
      <c r="B10" s="45" t="s">
        <v>108</v>
      </c>
      <c r="C10" s="92">
        <v>100</v>
      </c>
      <c r="D10" s="92"/>
      <c r="E10" s="92"/>
      <c r="F10" s="92"/>
      <c r="G10" s="92"/>
      <c r="H10" s="92"/>
      <c r="I10" s="92"/>
      <c r="J10" s="92">
        <v>0</v>
      </c>
      <c r="K10" s="96">
        <f>SUM($C$10:$J$10)</f>
        <v>100</v>
      </c>
      <c r="L10" s="49"/>
      <c r="M10" s="49"/>
      <c r="N10" s="49"/>
      <c r="O10" s="49"/>
      <c r="P10" s="49"/>
      <c r="Q10" s="49"/>
      <c r="R10" s="50"/>
      <c r="S10" s="50"/>
      <c r="T10" s="50"/>
    </row>
    <row r="11" spans="2:20" x14ac:dyDescent="0.15">
      <c r="B11" s="45" t="s">
        <v>109</v>
      </c>
      <c r="C11" s="93">
        <v>100</v>
      </c>
      <c r="D11" s="93"/>
      <c r="E11" s="93"/>
      <c r="F11" s="93"/>
      <c r="G11" s="93"/>
      <c r="H11" s="93"/>
      <c r="I11" s="93"/>
      <c r="J11" s="92">
        <v>0</v>
      </c>
      <c r="K11" s="95">
        <f>SUM($C$11:$J$11)</f>
        <v>100</v>
      </c>
      <c r="L11" s="49"/>
      <c r="M11" s="49"/>
      <c r="N11" s="49"/>
      <c r="O11" s="49"/>
      <c r="P11" s="49"/>
      <c r="Q11" s="49"/>
      <c r="R11" s="50"/>
      <c r="S11" s="50"/>
      <c r="T11" s="50"/>
    </row>
    <row r="12" spans="2:20" x14ac:dyDescent="0.15">
      <c r="B12" s="51"/>
      <c r="C12" s="51"/>
      <c r="D12" s="51"/>
      <c r="E12" s="51"/>
      <c r="F12" s="51"/>
      <c r="G12" s="51"/>
      <c r="H12" s="51"/>
      <c r="I12" s="51"/>
      <c r="J12" s="51"/>
      <c r="K12" s="51"/>
      <c r="L12" s="49"/>
      <c r="M12" s="49"/>
      <c r="N12" s="49"/>
      <c r="O12" s="49"/>
      <c r="P12" s="49"/>
      <c r="Q12" s="49"/>
      <c r="R12" s="50"/>
      <c r="S12" s="50"/>
      <c r="T12" s="50"/>
    </row>
    <row r="13" spans="2:20" x14ac:dyDescent="0.15">
      <c r="C13" s="49"/>
      <c r="D13" s="49"/>
      <c r="E13" s="49"/>
      <c r="F13" s="49"/>
      <c r="G13" s="49"/>
      <c r="H13" s="49"/>
      <c r="I13" s="50"/>
      <c r="J13" s="50"/>
      <c r="K13" s="50"/>
    </row>
    <row r="14" spans="2:20" x14ac:dyDescent="0.15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20" x14ac:dyDescent="0.15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20" x14ac:dyDescent="0.15">
      <c r="B16" s="31"/>
      <c r="C16" s="31"/>
      <c r="D16" s="31"/>
      <c r="E16" s="31"/>
      <c r="F16" s="31"/>
      <c r="G16" s="31"/>
      <c r="H16" s="31"/>
      <c r="I16" s="31"/>
      <c r="J16" s="31"/>
      <c r="K16" s="50"/>
      <c r="L16" s="50"/>
      <c r="M16" s="50"/>
      <c r="N16" s="50"/>
      <c r="Q16" s="50"/>
      <c r="R16" s="50"/>
      <c r="S16" s="50"/>
    </row>
    <row r="17" spans="2:20" x14ac:dyDescent="0.15">
      <c r="B17" s="45" t="s">
        <v>118</v>
      </c>
      <c r="C17" s="45" t="s">
        <v>7</v>
      </c>
      <c r="D17" s="45"/>
      <c r="E17" s="45" t="s">
        <v>8</v>
      </c>
      <c r="F17" s="45"/>
      <c r="G17" s="45" t="s">
        <v>10</v>
      </c>
      <c r="H17" s="45"/>
      <c r="I17" s="45" t="s">
        <v>14</v>
      </c>
      <c r="J17" s="45"/>
      <c r="K17" s="50"/>
      <c r="L17" s="50"/>
      <c r="M17" s="50"/>
      <c r="N17" s="50"/>
      <c r="Q17" s="50"/>
      <c r="R17" s="50"/>
      <c r="S17" s="50"/>
    </row>
    <row r="18" spans="2:20" x14ac:dyDescent="0.15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45" t="s">
        <v>133</v>
      </c>
      <c r="J18" s="45" t="s">
        <v>123</v>
      </c>
      <c r="K18" s="50"/>
      <c r="L18" s="50"/>
      <c r="M18" s="50"/>
      <c r="N18" s="50"/>
      <c r="O18" s="50"/>
      <c r="Q18" s="50"/>
      <c r="R18" s="50"/>
      <c r="S18" s="50"/>
    </row>
    <row r="19" spans="2:20" x14ac:dyDescent="0.15">
      <c r="B19" s="45" t="s">
        <v>120</v>
      </c>
      <c r="C19" s="93">
        <f>0.7273768*100</f>
        <v>72.737680000000012</v>
      </c>
      <c r="D19" s="44">
        <f>100-$C$19</f>
        <v>27.262319999999988</v>
      </c>
      <c r="E19" s="93">
        <f>0.5806958*100</f>
        <v>58.069580000000002</v>
      </c>
      <c r="F19" s="44">
        <f>100-$E$19</f>
        <v>41.930419999999998</v>
      </c>
      <c r="G19" s="93">
        <f>0.5135476*100</f>
        <v>51.354759999999999</v>
      </c>
      <c r="H19" s="44">
        <f>100-$G$19</f>
        <v>48.645240000000001</v>
      </c>
      <c r="I19" s="93">
        <f>0.5466106*100</f>
        <v>54.661059999999992</v>
      </c>
      <c r="J19" s="33">
        <f>100-$I$19</f>
        <v>45.338940000000008</v>
      </c>
      <c r="Q19" s="50"/>
      <c r="R19" s="50"/>
      <c r="S19" s="50"/>
    </row>
    <row r="20" spans="2:20" x14ac:dyDescent="0.15">
      <c r="B20" s="54"/>
      <c r="C20" s="54"/>
      <c r="D20" s="54"/>
      <c r="E20" s="54"/>
      <c r="F20" s="54"/>
      <c r="G20" s="54"/>
      <c r="H20" s="54"/>
      <c r="I20" s="54"/>
      <c r="J20" s="54"/>
      <c r="K20" s="50"/>
      <c r="L20" s="50"/>
      <c r="M20" s="50"/>
      <c r="N20" s="50"/>
      <c r="Q20" s="50"/>
      <c r="R20" s="50"/>
      <c r="S20" s="50"/>
    </row>
    <row r="21" spans="2:20" x14ac:dyDescent="0.15">
      <c r="I21" s="50"/>
      <c r="J21" s="50"/>
      <c r="K21" s="50"/>
    </row>
    <row r="22" spans="2:20" x14ac:dyDescent="0.15">
      <c r="B22" s="52" t="s">
        <v>114</v>
      </c>
      <c r="I22" s="50"/>
      <c r="J22" s="50"/>
      <c r="K22" s="50"/>
    </row>
    <row r="23" spans="2:20" x14ac:dyDescent="0.15">
      <c r="B23" s="55" t="s">
        <v>145</v>
      </c>
      <c r="I23" s="50"/>
      <c r="J23" s="50"/>
      <c r="K23" s="50"/>
    </row>
    <row r="24" spans="2:20" x14ac:dyDescent="0.15">
      <c r="B24" s="31"/>
      <c r="C24" s="31"/>
      <c r="D24" s="31"/>
      <c r="E24" s="31"/>
      <c r="F24" s="31"/>
      <c r="G24" s="31"/>
      <c r="H24" s="31"/>
      <c r="I24" s="31"/>
      <c r="J24" s="31"/>
      <c r="K24" s="31"/>
      <c r="R24" s="50"/>
      <c r="S24" s="50"/>
      <c r="T24" s="50"/>
    </row>
    <row r="25" spans="2:20" x14ac:dyDescent="0.15">
      <c r="B25" s="45" t="s">
        <v>121</v>
      </c>
      <c r="C25" s="45" t="s">
        <v>122</v>
      </c>
      <c r="D25" s="45" t="s">
        <v>7</v>
      </c>
      <c r="E25" s="45"/>
      <c r="F25" s="45" t="s">
        <v>8</v>
      </c>
      <c r="G25" s="45"/>
      <c r="H25" s="45" t="s">
        <v>10</v>
      </c>
      <c r="I25" s="45"/>
      <c r="J25" s="45" t="s">
        <v>14</v>
      </c>
      <c r="K25" s="45"/>
      <c r="R25" s="50"/>
      <c r="S25" s="50"/>
      <c r="T25" s="50"/>
    </row>
    <row r="26" spans="2:20" x14ac:dyDescent="0.15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J26" s="45" t="s">
        <v>133</v>
      </c>
      <c r="K26" s="45" t="s">
        <v>123</v>
      </c>
      <c r="R26" s="50"/>
      <c r="S26" s="50"/>
      <c r="T26" s="50"/>
    </row>
    <row r="27" spans="2:20" x14ac:dyDescent="0.15">
      <c r="B27" s="45" t="s">
        <v>34</v>
      </c>
      <c r="C27" s="92">
        <f>0.1413504*100</f>
        <v>14.135039999999998</v>
      </c>
      <c r="D27" s="92">
        <v>100</v>
      </c>
      <c r="E27" s="92">
        <v>100</v>
      </c>
      <c r="F27" s="92">
        <v>0</v>
      </c>
      <c r="G27" s="92">
        <v>0</v>
      </c>
      <c r="H27" s="92">
        <v>0</v>
      </c>
      <c r="I27" s="92">
        <v>0</v>
      </c>
      <c r="J27" s="92">
        <v>0</v>
      </c>
      <c r="K27" s="94">
        <v>0</v>
      </c>
      <c r="R27" s="50"/>
      <c r="S27" s="50"/>
      <c r="T27" s="50"/>
    </row>
    <row r="28" spans="2:20" x14ac:dyDescent="0.15">
      <c r="B28" s="45" t="s">
        <v>49</v>
      </c>
      <c r="C28" s="92">
        <f>0.5845724*100</f>
        <v>58.457239999999999</v>
      </c>
      <c r="D28" s="92">
        <v>0</v>
      </c>
      <c r="E28" s="92">
        <v>0</v>
      </c>
      <c r="F28" s="92">
        <v>100</v>
      </c>
      <c r="G28" s="92">
        <v>100</v>
      </c>
      <c r="H28" s="92">
        <v>0</v>
      </c>
      <c r="I28" s="92">
        <v>0</v>
      </c>
      <c r="J28" s="92">
        <v>0</v>
      </c>
      <c r="K28" s="94">
        <v>0</v>
      </c>
      <c r="R28" s="50"/>
      <c r="S28" s="50"/>
      <c r="T28" s="50"/>
    </row>
    <row r="29" spans="2:20" x14ac:dyDescent="0.15">
      <c r="B29" s="45" t="s">
        <v>57</v>
      </c>
      <c r="C29" s="92">
        <f>0.09320679*100</f>
        <v>9.3206790000000002</v>
      </c>
      <c r="D29" s="92">
        <v>0</v>
      </c>
      <c r="E29" s="92">
        <v>0</v>
      </c>
      <c r="F29" s="92">
        <v>0</v>
      </c>
      <c r="G29" s="92">
        <v>0</v>
      </c>
      <c r="H29" s="92">
        <v>100</v>
      </c>
      <c r="I29" s="92">
        <v>100</v>
      </c>
      <c r="J29" s="92">
        <v>0</v>
      </c>
      <c r="K29" s="94">
        <v>0</v>
      </c>
      <c r="R29" s="50"/>
      <c r="S29" s="50"/>
      <c r="T29" s="50"/>
    </row>
    <row r="30" spans="2:20" x14ac:dyDescent="0.15">
      <c r="B30" s="45" t="s">
        <v>70</v>
      </c>
      <c r="C30" s="92">
        <f>0.1808704*100</f>
        <v>18.087039999999998</v>
      </c>
      <c r="D30" s="92">
        <v>0</v>
      </c>
      <c r="E30" s="92">
        <v>0</v>
      </c>
      <c r="F30" s="92">
        <v>0</v>
      </c>
      <c r="G30" s="92">
        <v>0</v>
      </c>
      <c r="H30" s="92">
        <v>0</v>
      </c>
      <c r="I30" s="92">
        <v>0</v>
      </c>
      <c r="J30" s="92">
        <v>100</v>
      </c>
      <c r="K30" s="94">
        <v>100</v>
      </c>
      <c r="R30" s="50"/>
      <c r="S30" s="50"/>
      <c r="T30" s="50"/>
    </row>
    <row r="31" spans="2:20" x14ac:dyDescent="0.15">
      <c r="B31" s="45" t="s">
        <v>150</v>
      </c>
      <c r="C31" s="97">
        <f>SUM($C$27:$C$30)</f>
        <v>99.999999000000003</v>
      </c>
      <c r="D31" s="97">
        <f>SUM($D$27:$D$30)</f>
        <v>100</v>
      </c>
      <c r="E31" s="97">
        <f>SUM($E$27:$E$30)</f>
        <v>100</v>
      </c>
      <c r="F31" s="97">
        <f>SUM($F$27:$F$30)</f>
        <v>100</v>
      </c>
      <c r="G31" s="97">
        <f>SUM($G$27:$G$30)</f>
        <v>100</v>
      </c>
      <c r="H31" s="97">
        <f>SUM($H$27:$H$30)</f>
        <v>100</v>
      </c>
      <c r="I31" s="97">
        <f>SUM($I$27:$I$30)</f>
        <v>100</v>
      </c>
      <c r="J31" s="97">
        <f>SUM($J$27:$J$30)</f>
        <v>100</v>
      </c>
      <c r="K31" s="95">
        <f>SUM($K$27:$K$30)</f>
        <v>100</v>
      </c>
      <c r="R31" s="50"/>
      <c r="S31" s="50"/>
      <c r="T31" s="50"/>
    </row>
    <row r="32" spans="2:20" x14ac:dyDescent="0.15">
      <c r="B32" s="54"/>
      <c r="C32" s="54"/>
      <c r="D32" s="54"/>
      <c r="E32" s="54"/>
      <c r="F32" s="54"/>
      <c r="G32" s="54"/>
      <c r="H32" s="54"/>
      <c r="I32" s="54"/>
      <c r="J32" s="54"/>
      <c r="K32" s="54"/>
      <c r="R32" s="50"/>
      <c r="S32" s="50"/>
      <c r="T32" s="50"/>
    </row>
    <row r="33" spans="2:14" x14ac:dyDescent="0.15">
      <c r="I33" s="50"/>
      <c r="J33" s="50"/>
      <c r="K33" s="50"/>
    </row>
    <row r="34" spans="2:14" x14ac:dyDescent="0.15">
      <c r="B34" s="52" t="s">
        <v>124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 x14ac:dyDescent="0.15">
      <c r="B35" s="53" t="s">
        <v>143</v>
      </c>
      <c r="C35" s="50"/>
      <c r="D35" s="50"/>
      <c r="E35" s="50"/>
      <c r="F35" s="50"/>
      <c r="G35" s="50"/>
      <c r="H35" s="50"/>
      <c r="I35" s="50"/>
      <c r="J35" s="50"/>
      <c r="K35" s="50"/>
    </row>
    <row r="36" spans="2:14" x14ac:dyDescent="0.15"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</row>
    <row r="37" spans="2:14" x14ac:dyDescent="0.15">
      <c r="B37" s="45" t="s">
        <v>147</v>
      </c>
      <c r="C37" s="45" t="s">
        <v>92</v>
      </c>
      <c r="D37" s="45" t="s">
        <v>93</v>
      </c>
      <c r="E37" s="45" t="s">
        <v>94</v>
      </c>
      <c r="F37" s="45" t="s">
        <v>95</v>
      </c>
      <c r="G37" s="45" t="s">
        <v>96</v>
      </c>
      <c r="H37" s="45" t="s">
        <v>97</v>
      </c>
      <c r="I37" s="45" t="s">
        <v>98</v>
      </c>
      <c r="J37" s="45" t="s">
        <v>99</v>
      </c>
      <c r="K37" s="45" t="s">
        <v>100</v>
      </c>
      <c r="L37" s="45" t="s">
        <v>101</v>
      </c>
      <c r="M37" s="45" t="s">
        <v>102</v>
      </c>
      <c r="N37" s="45" t="s">
        <v>103</v>
      </c>
    </row>
    <row r="38" spans="2:14" x14ac:dyDescent="0.15">
      <c r="B38" s="45" t="s">
        <v>34</v>
      </c>
      <c r="C38" s="92">
        <v>0</v>
      </c>
      <c r="D38" s="92">
        <f t="shared" ref="D38:N38" si="0">0.09663408*100</f>
        <v>9.6634080000000004</v>
      </c>
      <c r="E38" s="92">
        <f t="shared" si="0"/>
        <v>9.6634080000000004</v>
      </c>
      <c r="F38" s="92">
        <f t="shared" si="0"/>
        <v>9.6634080000000004</v>
      </c>
      <c r="G38" s="92">
        <f t="shared" si="0"/>
        <v>9.6634080000000004</v>
      </c>
      <c r="H38" s="92">
        <f t="shared" si="0"/>
        <v>9.6634080000000004</v>
      </c>
      <c r="I38" s="92">
        <f t="shared" si="0"/>
        <v>9.6634080000000004</v>
      </c>
      <c r="J38" s="92">
        <f t="shared" si="0"/>
        <v>9.6634080000000004</v>
      </c>
      <c r="K38" s="92">
        <f t="shared" si="0"/>
        <v>9.6634080000000004</v>
      </c>
      <c r="L38" s="92">
        <f t="shared" si="0"/>
        <v>9.6634080000000004</v>
      </c>
      <c r="M38" s="92">
        <f t="shared" si="0"/>
        <v>9.6634080000000004</v>
      </c>
      <c r="N38" s="92">
        <f t="shared" si="0"/>
        <v>9.6634080000000004</v>
      </c>
    </row>
    <row r="39" spans="2:14" x14ac:dyDescent="0.15">
      <c r="B39" s="45" t="s">
        <v>49</v>
      </c>
      <c r="C39" s="92">
        <v>0</v>
      </c>
      <c r="D39" s="92">
        <f t="shared" ref="D39:N39" si="1">0.1197983*100</f>
        <v>11.97983</v>
      </c>
      <c r="E39" s="92">
        <f t="shared" si="1"/>
        <v>11.97983</v>
      </c>
      <c r="F39" s="92">
        <f t="shared" si="1"/>
        <v>11.97983</v>
      </c>
      <c r="G39" s="92">
        <f t="shared" si="1"/>
        <v>11.97983</v>
      </c>
      <c r="H39" s="92">
        <f t="shared" si="1"/>
        <v>11.97983</v>
      </c>
      <c r="I39" s="92">
        <f t="shared" si="1"/>
        <v>11.97983</v>
      </c>
      <c r="J39" s="92">
        <f t="shared" si="1"/>
        <v>11.97983</v>
      </c>
      <c r="K39" s="92">
        <f t="shared" si="1"/>
        <v>11.97983</v>
      </c>
      <c r="L39" s="92">
        <f t="shared" si="1"/>
        <v>11.97983</v>
      </c>
      <c r="M39" s="92">
        <f t="shared" si="1"/>
        <v>11.97983</v>
      </c>
      <c r="N39" s="92">
        <f t="shared" si="1"/>
        <v>11.97983</v>
      </c>
    </row>
    <row r="40" spans="2:14" x14ac:dyDescent="0.15">
      <c r="B40" s="45" t="s">
        <v>57</v>
      </c>
      <c r="C40" s="92">
        <v>0</v>
      </c>
      <c r="D40" s="92">
        <f t="shared" ref="D40:N40" si="2">0.2236837*100</f>
        <v>22.368370000000002</v>
      </c>
      <c r="E40" s="92">
        <f t="shared" si="2"/>
        <v>22.368370000000002</v>
      </c>
      <c r="F40" s="92">
        <f t="shared" si="2"/>
        <v>22.368370000000002</v>
      </c>
      <c r="G40" s="92">
        <f t="shared" si="2"/>
        <v>22.368370000000002</v>
      </c>
      <c r="H40" s="92">
        <f t="shared" si="2"/>
        <v>22.368370000000002</v>
      </c>
      <c r="I40" s="92">
        <f t="shared" si="2"/>
        <v>22.368370000000002</v>
      </c>
      <c r="J40" s="92">
        <f t="shared" si="2"/>
        <v>22.368370000000002</v>
      </c>
      <c r="K40" s="92">
        <f t="shared" si="2"/>
        <v>22.368370000000002</v>
      </c>
      <c r="L40" s="92">
        <f t="shared" si="2"/>
        <v>22.368370000000002</v>
      </c>
      <c r="M40" s="92">
        <f t="shared" si="2"/>
        <v>22.368370000000002</v>
      </c>
      <c r="N40" s="92">
        <f t="shared" si="2"/>
        <v>22.368370000000002</v>
      </c>
    </row>
    <row r="41" spans="2:14" x14ac:dyDescent="0.15">
      <c r="B41" s="45" t="s">
        <v>70</v>
      </c>
      <c r="C41" s="93">
        <v>0</v>
      </c>
      <c r="D41" s="93">
        <f t="shared" ref="D41:N41" si="3">0.1238574*100</f>
        <v>12.38574</v>
      </c>
      <c r="E41" s="93">
        <f t="shared" si="3"/>
        <v>12.38574</v>
      </c>
      <c r="F41" s="93">
        <f t="shared" si="3"/>
        <v>12.38574</v>
      </c>
      <c r="G41" s="93">
        <f t="shared" si="3"/>
        <v>12.38574</v>
      </c>
      <c r="H41" s="93">
        <f t="shared" si="3"/>
        <v>12.38574</v>
      </c>
      <c r="I41" s="93">
        <f t="shared" si="3"/>
        <v>12.38574</v>
      </c>
      <c r="J41" s="93">
        <f t="shared" si="3"/>
        <v>12.38574</v>
      </c>
      <c r="K41" s="93">
        <f t="shared" si="3"/>
        <v>12.38574</v>
      </c>
      <c r="L41" s="93">
        <f t="shared" si="3"/>
        <v>12.38574</v>
      </c>
      <c r="M41" s="93">
        <f t="shared" si="3"/>
        <v>12.38574</v>
      </c>
      <c r="N41" s="93">
        <f t="shared" si="3"/>
        <v>12.38574</v>
      </c>
    </row>
    <row r="42" spans="2:14" x14ac:dyDescent="0.15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</row>
    <row r="43" spans="2:14" x14ac:dyDescent="0.15">
      <c r="I43" s="50"/>
      <c r="J43" s="50"/>
      <c r="K43" s="50"/>
    </row>
    <row r="44" spans="2:14" x14ac:dyDescent="0.15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 x14ac:dyDescent="0.15"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 x14ac:dyDescent="0.15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 x14ac:dyDescent="0.15">
      <c r="B47" s="56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 x14ac:dyDescent="0.15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 x14ac:dyDescent="0.15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0" spans="2:24" x14ac:dyDescent="0.15">
      <c r="B50" s="50"/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</row>
    <row r="51" spans="2:24" x14ac:dyDescent="0.15"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</row>
    <row r="53" spans="2:24" x14ac:dyDescent="0.15">
      <c r="P53" s="50"/>
      <c r="Q53" s="50"/>
      <c r="R53" s="50"/>
      <c r="S53" s="50"/>
      <c r="T53" s="50"/>
      <c r="U53" s="50"/>
      <c r="V53" s="50"/>
      <c r="W53" s="50"/>
      <c r="X53" s="50"/>
    </row>
    <row r="65" spans="9:10" x14ac:dyDescent="0.15">
      <c r="I65" s="50"/>
      <c r="J65" s="50"/>
    </row>
    <row r="66" spans="9:10" x14ac:dyDescent="0.15">
      <c r="I66" s="50"/>
      <c r="J66" s="50"/>
    </row>
    <row r="67" spans="9:10" x14ac:dyDescent="0.15">
      <c r="I67" s="50"/>
      <c r="J67" s="50"/>
    </row>
  </sheetData>
  <sheetProtection algorithmName="SHA-512" hashValue="eSqoM+oXPDmN+9xE8yyn03hUVc8In/W03pTQF+zsSsePVbWsEcIWZVeywrDfGsE92OtuNtGPd+fZWpoT0dPtsQ==" saltValue="2DsNtL0Vm5x4j1LFwTi2tA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J11 C19 E19 G19 I19 C27:K30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8:N41">
      <formula1>0</formula1>
      <formula2>100</formula2>
    </dataValidation>
  </dataValidations>
  <pageMargins left="0.75" right="0.75" top="1" bottom="1" header="0.5" footer="0.5"/>
  <pageSetup orientation="portrait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Formulas="1" showGridLines="0" tabSelected="1" zoomScale="125" zoomScaleNormal="85" zoomScalePageLayoutView="85" workbookViewId="0">
      <selection activeCell="D38" sqref="D38"/>
    </sheetView>
  </sheetViews>
  <sheetFormatPr baseColWidth="10" defaultColWidth="8.83203125" defaultRowHeight="13" x14ac:dyDescent="0.15"/>
  <cols>
    <col min="1" max="2" width="4.6640625" style="29" customWidth="1"/>
    <col min="3" max="3" width="12.6640625" style="29" customWidth="1"/>
    <col min="4" max="15" width="8.6640625" style="29" customWidth="1"/>
    <col min="16" max="16384" width="8.83203125" style="29"/>
  </cols>
  <sheetData>
    <row r="2" spans="2:15" x14ac:dyDescent="0.15">
      <c r="C2" s="28" t="s">
        <v>158</v>
      </c>
    </row>
    <row r="3" spans="2:15" x14ac:dyDescent="0.15">
      <c r="C3" s="30" t="s">
        <v>138</v>
      </c>
    </row>
    <row r="4" spans="2:15" x14ac:dyDescent="0.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 x14ac:dyDescent="0.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 x14ac:dyDescent="0.15">
      <c r="C6" s="41" t="s">
        <v>126</v>
      </c>
      <c r="D6" s="88">
        <v>3.2</v>
      </c>
      <c r="E6" s="88">
        <v>1.94</v>
      </c>
      <c r="F6" s="88">
        <v>1.94</v>
      </c>
      <c r="G6" s="88">
        <v>1.94</v>
      </c>
      <c r="H6" s="88">
        <v>1.94</v>
      </c>
      <c r="I6" s="88">
        <v>1.94</v>
      </c>
      <c r="J6" s="88">
        <v>1.94</v>
      </c>
      <c r="K6" s="88">
        <v>1.94</v>
      </c>
      <c r="L6" s="88">
        <v>1.94</v>
      </c>
      <c r="M6" s="88">
        <v>1.94</v>
      </c>
      <c r="N6" s="88">
        <v>1.94</v>
      </c>
      <c r="O6" s="88">
        <v>1.94</v>
      </c>
    </row>
    <row r="7" spans="2:15" x14ac:dyDescent="0.15">
      <c r="C7" s="36" t="s">
        <v>127</v>
      </c>
      <c r="D7" s="88">
        <v>2.8</v>
      </c>
      <c r="E7" s="88">
        <v>1.74</v>
      </c>
      <c r="F7" s="88">
        <v>1.74</v>
      </c>
      <c r="G7" s="88">
        <v>1.74</v>
      </c>
      <c r="H7" s="88">
        <v>1.74</v>
      </c>
      <c r="I7" s="88">
        <v>1.74</v>
      </c>
      <c r="J7" s="88">
        <v>1.74</v>
      </c>
      <c r="K7" s="88">
        <v>1.74</v>
      </c>
      <c r="L7" s="88">
        <v>1.74</v>
      </c>
      <c r="M7" s="88">
        <v>1.74</v>
      </c>
      <c r="N7" s="88">
        <v>1.74</v>
      </c>
      <c r="O7" s="88">
        <v>1.74</v>
      </c>
    </row>
    <row r="8" spans="2:15" x14ac:dyDescent="0.15">
      <c r="C8" s="36" t="s">
        <v>128</v>
      </c>
      <c r="D8" s="88">
        <v>2.8</v>
      </c>
      <c r="E8" s="88">
        <v>2.12</v>
      </c>
      <c r="F8" s="88">
        <v>2.12</v>
      </c>
      <c r="G8" s="88">
        <v>2.12</v>
      </c>
      <c r="H8" s="88">
        <v>2.12</v>
      </c>
      <c r="I8" s="88">
        <v>2.12</v>
      </c>
      <c r="J8" s="88">
        <v>2.12</v>
      </c>
      <c r="K8" s="88">
        <v>2.12</v>
      </c>
      <c r="L8" s="88">
        <v>2.12</v>
      </c>
      <c r="M8" s="88">
        <v>2.12</v>
      </c>
      <c r="N8" s="88">
        <v>2.12</v>
      </c>
      <c r="O8" s="88">
        <v>2.12</v>
      </c>
    </row>
    <row r="9" spans="2:15" x14ac:dyDescent="0.15">
      <c r="C9" s="36" t="s">
        <v>129</v>
      </c>
      <c r="D9" s="88">
        <v>4</v>
      </c>
      <c r="E9" s="88">
        <v>1.98</v>
      </c>
      <c r="F9" s="88">
        <v>1.98</v>
      </c>
      <c r="G9" s="88">
        <v>1.98</v>
      </c>
      <c r="H9" s="88">
        <v>1.98</v>
      </c>
      <c r="I9" s="88">
        <v>1.98</v>
      </c>
      <c r="J9" s="88">
        <v>1.98</v>
      </c>
      <c r="K9" s="88">
        <v>1.98</v>
      </c>
      <c r="L9" s="88">
        <v>1.98</v>
      </c>
      <c r="M9" s="88">
        <v>1.98</v>
      </c>
      <c r="N9" s="88">
        <v>1.98</v>
      </c>
      <c r="O9" s="88">
        <v>1.98</v>
      </c>
    </row>
    <row r="10" spans="2:15" x14ac:dyDescent="0.15">
      <c r="C10" s="36" t="s">
        <v>130</v>
      </c>
      <c r="D10" s="88">
        <v>3.1</v>
      </c>
      <c r="E10" s="88">
        <v>2.0499999999999998</v>
      </c>
      <c r="F10" s="88">
        <v>2.0499999999999998</v>
      </c>
      <c r="G10" s="88">
        <v>2.0499999999999998</v>
      </c>
      <c r="H10" s="88">
        <v>2.0499999999999998</v>
      </c>
      <c r="I10" s="88">
        <v>2.0499999999999998</v>
      </c>
      <c r="J10" s="88">
        <v>2.0499999999999998</v>
      </c>
      <c r="K10" s="88">
        <v>2.0499999999999998</v>
      </c>
      <c r="L10" s="88">
        <v>2.0499999999999998</v>
      </c>
      <c r="M10" s="88">
        <v>2.0499999999999998</v>
      </c>
      <c r="N10" s="88">
        <v>2.0499999999999998</v>
      </c>
      <c r="O10" s="88">
        <v>2.0499999999999998</v>
      </c>
    </row>
    <row r="11" spans="2:15" x14ac:dyDescent="0.15">
      <c r="C11" s="36" t="s">
        <v>131</v>
      </c>
      <c r="D11" s="88">
        <v>4</v>
      </c>
      <c r="E11" s="88">
        <v>2.36</v>
      </c>
      <c r="F11" s="88">
        <v>2.36</v>
      </c>
      <c r="G11" s="88">
        <v>2.36</v>
      </c>
      <c r="H11" s="88">
        <v>2.36</v>
      </c>
      <c r="I11" s="88">
        <v>2.36</v>
      </c>
      <c r="J11" s="88">
        <v>2.36</v>
      </c>
      <c r="K11" s="88">
        <v>2.36</v>
      </c>
      <c r="L11" s="88">
        <v>2.36</v>
      </c>
      <c r="M11" s="88">
        <v>2.36</v>
      </c>
      <c r="N11" s="88">
        <v>2.36</v>
      </c>
      <c r="O11" s="88">
        <v>2.36</v>
      </c>
    </row>
    <row r="12" spans="2:15" x14ac:dyDescent="0.15">
      <c r="C12" s="37" t="s">
        <v>132</v>
      </c>
      <c r="D12" s="88">
        <v>4</v>
      </c>
      <c r="E12" s="88">
        <v>2.0699999999999998</v>
      </c>
      <c r="F12" s="88">
        <v>2.0699999999999998</v>
      </c>
      <c r="G12" s="88">
        <v>2.0699999999999998</v>
      </c>
      <c r="H12" s="88">
        <v>2.0699999999999998</v>
      </c>
      <c r="I12" s="88">
        <v>2.0699999999999998</v>
      </c>
      <c r="J12" s="88">
        <v>2.0699999999999998</v>
      </c>
      <c r="K12" s="88">
        <v>2.0699999999999998</v>
      </c>
      <c r="L12" s="88">
        <v>2.0699999999999998</v>
      </c>
      <c r="M12" s="88">
        <v>2.0699999999999998</v>
      </c>
      <c r="N12" s="88">
        <v>2.0699999999999998</v>
      </c>
      <c r="O12" s="88">
        <v>2.0699999999999998</v>
      </c>
    </row>
    <row r="13" spans="2:15" x14ac:dyDescent="0.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 x14ac:dyDescent="0.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 x14ac:dyDescent="0.15">
      <c r="C15" s="41" t="s">
        <v>126</v>
      </c>
      <c r="D15" s="88">
        <v>4</v>
      </c>
      <c r="E15" s="88">
        <v>3.36</v>
      </c>
      <c r="F15" s="88">
        <v>3.36</v>
      </c>
      <c r="G15" s="88">
        <v>3.36</v>
      </c>
      <c r="H15" s="88">
        <v>3.36</v>
      </c>
      <c r="I15" s="88">
        <v>3.36</v>
      </c>
      <c r="J15" s="88">
        <v>3.36</v>
      </c>
      <c r="K15" s="88">
        <v>3.36</v>
      </c>
      <c r="L15" s="88">
        <v>3.36</v>
      </c>
      <c r="M15" s="88">
        <v>3.36</v>
      </c>
      <c r="N15" s="88">
        <v>3.36</v>
      </c>
      <c r="O15" s="88">
        <v>3.36</v>
      </c>
    </row>
    <row r="16" spans="2:15" x14ac:dyDescent="0.15">
      <c r="C16" s="36" t="s">
        <v>127</v>
      </c>
      <c r="D16" s="88">
        <v>4</v>
      </c>
      <c r="E16" s="88">
        <v>3.64</v>
      </c>
      <c r="F16" s="88">
        <v>3.64</v>
      </c>
      <c r="G16" s="88">
        <v>3.64</v>
      </c>
      <c r="H16" s="88">
        <v>3.64</v>
      </c>
      <c r="I16" s="88">
        <v>3.64</v>
      </c>
      <c r="J16" s="88">
        <v>3.64</v>
      </c>
      <c r="K16" s="88">
        <v>3.64</v>
      </c>
      <c r="L16" s="88">
        <v>3.64</v>
      </c>
      <c r="M16" s="88">
        <v>3.64</v>
      </c>
      <c r="N16" s="88">
        <v>3.64</v>
      </c>
      <c r="O16" s="88">
        <v>3.64</v>
      </c>
    </row>
    <row r="17" spans="2:15" x14ac:dyDescent="0.15">
      <c r="C17" s="36" t="s">
        <v>128</v>
      </c>
      <c r="D17" s="88">
        <v>4</v>
      </c>
      <c r="E17" s="88">
        <v>3.38</v>
      </c>
      <c r="F17" s="88">
        <v>3.38</v>
      </c>
      <c r="G17" s="88">
        <v>3.38</v>
      </c>
      <c r="H17" s="88">
        <v>3.38</v>
      </c>
      <c r="I17" s="88">
        <v>3.38</v>
      </c>
      <c r="J17" s="88">
        <v>3.38</v>
      </c>
      <c r="K17" s="88">
        <v>3.38</v>
      </c>
      <c r="L17" s="88">
        <v>3.38</v>
      </c>
      <c r="M17" s="88">
        <v>3.38</v>
      </c>
      <c r="N17" s="88">
        <v>3.38</v>
      </c>
      <c r="O17" s="88">
        <v>3.38</v>
      </c>
    </row>
    <row r="18" spans="2:15" x14ac:dyDescent="0.15">
      <c r="C18" s="36" t="s">
        <v>129</v>
      </c>
      <c r="D18" s="88">
        <v>4</v>
      </c>
      <c r="E18" s="88">
        <v>3.73</v>
      </c>
      <c r="F18" s="88">
        <v>3.73</v>
      </c>
      <c r="G18" s="88">
        <v>3.73</v>
      </c>
      <c r="H18" s="88">
        <v>3.73</v>
      </c>
      <c r="I18" s="88">
        <v>3.73</v>
      </c>
      <c r="J18" s="88">
        <v>3.73</v>
      </c>
      <c r="K18" s="88">
        <v>3.73</v>
      </c>
      <c r="L18" s="88">
        <v>3.73</v>
      </c>
      <c r="M18" s="88">
        <v>3.73</v>
      </c>
      <c r="N18" s="88">
        <v>3.73</v>
      </c>
      <c r="O18" s="88">
        <v>3.73</v>
      </c>
    </row>
    <row r="19" spans="2:15" x14ac:dyDescent="0.15">
      <c r="C19" s="36" t="s">
        <v>130</v>
      </c>
      <c r="D19" s="88">
        <v>4</v>
      </c>
      <c r="E19" s="88">
        <v>3.24</v>
      </c>
      <c r="F19" s="88">
        <v>3.24</v>
      </c>
      <c r="G19" s="88">
        <v>3.24</v>
      </c>
      <c r="H19" s="88">
        <v>3.24</v>
      </c>
      <c r="I19" s="88">
        <v>3.24</v>
      </c>
      <c r="J19" s="88">
        <v>3.24</v>
      </c>
      <c r="K19" s="88">
        <v>3.24</v>
      </c>
      <c r="L19" s="88">
        <v>3.24</v>
      </c>
      <c r="M19" s="88">
        <v>3.24</v>
      </c>
      <c r="N19" s="88">
        <v>3.24</v>
      </c>
      <c r="O19" s="88">
        <v>3.24</v>
      </c>
    </row>
    <row r="20" spans="2:15" x14ac:dyDescent="0.15">
      <c r="C20" s="36" t="s">
        <v>131</v>
      </c>
      <c r="D20" s="88">
        <v>4</v>
      </c>
      <c r="E20" s="88">
        <v>4</v>
      </c>
      <c r="F20" s="88">
        <v>4</v>
      </c>
      <c r="G20" s="88">
        <v>4</v>
      </c>
      <c r="H20" s="88">
        <v>4</v>
      </c>
      <c r="I20" s="88">
        <v>4</v>
      </c>
      <c r="J20" s="88">
        <v>4</v>
      </c>
      <c r="K20" s="88">
        <v>4</v>
      </c>
      <c r="L20" s="88">
        <v>4</v>
      </c>
      <c r="M20" s="88">
        <v>4</v>
      </c>
      <c r="N20" s="88">
        <v>4</v>
      </c>
      <c r="O20" s="88">
        <v>4</v>
      </c>
    </row>
    <row r="21" spans="2:15" x14ac:dyDescent="0.15">
      <c r="C21" s="37" t="s">
        <v>132</v>
      </c>
      <c r="D21" s="88">
        <v>4</v>
      </c>
      <c r="E21" s="88">
        <v>4</v>
      </c>
      <c r="F21" s="88">
        <v>4</v>
      </c>
      <c r="G21" s="88">
        <v>4</v>
      </c>
      <c r="H21" s="88">
        <v>4</v>
      </c>
      <c r="I21" s="88">
        <v>4</v>
      </c>
      <c r="J21" s="88">
        <v>4</v>
      </c>
      <c r="K21" s="88">
        <v>4</v>
      </c>
      <c r="L21" s="88">
        <v>4</v>
      </c>
      <c r="M21" s="88">
        <v>4</v>
      </c>
      <c r="N21" s="88">
        <v>4</v>
      </c>
      <c r="O21" s="88">
        <v>4</v>
      </c>
    </row>
    <row r="22" spans="2:15" x14ac:dyDescent="0.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 x14ac:dyDescent="0.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 x14ac:dyDescent="0.15">
      <c r="C24" s="41" t="s">
        <v>126</v>
      </c>
      <c r="D24" s="88">
        <v>4</v>
      </c>
      <c r="E24" s="88">
        <v>3.86</v>
      </c>
      <c r="F24" s="88">
        <v>3.86</v>
      </c>
      <c r="G24" s="88">
        <v>3.86</v>
      </c>
      <c r="H24" s="88">
        <v>3.86</v>
      </c>
      <c r="I24" s="88">
        <v>3.86</v>
      </c>
      <c r="J24" s="88">
        <v>3.86</v>
      </c>
      <c r="K24" s="88">
        <v>3.86</v>
      </c>
      <c r="L24" s="88">
        <v>3.86</v>
      </c>
      <c r="M24" s="88">
        <v>3.86</v>
      </c>
      <c r="N24" s="88">
        <v>3.86</v>
      </c>
      <c r="O24" s="88">
        <v>3.86</v>
      </c>
    </row>
    <row r="25" spans="2:15" x14ac:dyDescent="0.15">
      <c r="C25" s="36" t="s">
        <v>127</v>
      </c>
      <c r="D25" s="88">
        <v>4</v>
      </c>
      <c r="E25" s="88">
        <v>3.58</v>
      </c>
      <c r="F25" s="88">
        <v>3.58</v>
      </c>
      <c r="G25" s="88">
        <v>3.58</v>
      </c>
      <c r="H25" s="88">
        <v>3.58</v>
      </c>
      <c r="I25" s="88">
        <v>3.58</v>
      </c>
      <c r="J25" s="88">
        <v>3.58</v>
      </c>
      <c r="K25" s="88">
        <v>3.58</v>
      </c>
      <c r="L25" s="88">
        <v>3.58</v>
      </c>
      <c r="M25" s="88">
        <v>3.58</v>
      </c>
      <c r="N25" s="88">
        <v>3.58</v>
      </c>
      <c r="O25" s="88">
        <v>3.58</v>
      </c>
    </row>
    <row r="26" spans="2:15" x14ac:dyDescent="0.15">
      <c r="C26" s="36" t="s">
        <v>128</v>
      </c>
      <c r="D26" s="88">
        <v>4</v>
      </c>
      <c r="E26" s="88">
        <v>4</v>
      </c>
      <c r="F26" s="88">
        <v>4</v>
      </c>
      <c r="G26" s="88">
        <v>4</v>
      </c>
      <c r="H26" s="88">
        <v>4</v>
      </c>
      <c r="I26" s="88">
        <v>4</v>
      </c>
      <c r="J26" s="88">
        <v>4</v>
      </c>
      <c r="K26" s="88">
        <v>4</v>
      </c>
      <c r="L26" s="88">
        <v>4</v>
      </c>
      <c r="M26" s="88">
        <v>4</v>
      </c>
      <c r="N26" s="88">
        <v>4</v>
      </c>
      <c r="O26" s="88">
        <v>4</v>
      </c>
    </row>
    <row r="27" spans="2:15" x14ac:dyDescent="0.15">
      <c r="C27" s="36" t="s">
        <v>129</v>
      </c>
      <c r="D27" s="88">
        <v>4</v>
      </c>
      <c r="E27" s="88">
        <v>3.53</v>
      </c>
      <c r="F27" s="88">
        <v>3.53</v>
      </c>
      <c r="G27" s="88">
        <v>3.53</v>
      </c>
      <c r="H27" s="88">
        <v>3.53</v>
      </c>
      <c r="I27" s="88">
        <v>3.53</v>
      </c>
      <c r="J27" s="88">
        <v>3.53</v>
      </c>
      <c r="K27" s="88">
        <v>3.53</v>
      </c>
      <c r="L27" s="88">
        <v>3.53</v>
      </c>
      <c r="M27" s="88">
        <v>3.53</v>
      </c>
      <c r="N27" s="88">
        <v>3.53</v>
      </c>
      <c r="O27" s="88">
        <v>3.53</v>
      </c>
    </row>
    <row r="28" spans="2:15" x14ac:dyDescent="0.15">
      <c r="C28" s="36" t="s">
        <v>130</v>
      </c>
      <c r="D28" s="88">
        <v>4</v>
      </c>
      <c r="E28" s="88">
        <v>4</v>
      </c>
      <c r="F28" s="88">
        <v>4</v>
      </c>
      <c r="G28" s="88">
        <v>4</v>
      </c>
      <c r="H28" s="88">
        <v>4</v>
      </c>
      <c r="I28" s="88">
        <v>4</v>
      </c>
      <c r="J28" s="88">
        <v>4</v>
      </c>
      <c r="K28" s="88">
        <v>4</v>
      </c>
      <c r="L28" s="88">
        <v>4</v>
      </c>
      <c r="M28" s="88">
        <v>4</v>
      </c>
      <c r="N28" s="88">
        <v>4</v>
      </c>
      <c r="O28" s="88">
        <v>4</v>
      </c>
    </row>
    <row r="29" spans="2:15" x14ac:dyDescent="0.15">
      <c r="C29" s="36" t="s">
        <v>131</v>
      </c>
      <c r="D29" s="88">
        <v>4</v>
      </c>
      <c r="E29" s="88">
        <v>4</v>
      </c>
      <c r="F29" s="88">
        <v>4</v>
      </c>
      <c r="G29" s="88">
        <v>4</v>
      </c>
      <c r="H29" s="88">
        <v>4</v>
      </c>
      <c r="I29" s="88">
        <v>4</v>
      </c>
      <c r="J29" s="88">
        <v>4</v>
      </c>
      <c r="K29" s="88">
        <v>4</v>
      </c>
      <c r="L29" s="88">
        <v>4</v>
      </c>
      <c r="M29" s="88">
        <v>4</v>
      </c>
      <c r="N29" s="88">
        <v>4</v>
      </c>
      <c r="O29" s="88">
        <v>4</v>
      </c>
    </row>
    <row r="30" spans="2:15" x14ac:dyDescent="0.15">
      <c r="C30" s="37" t="s">
        <v>132</v>
      </c>
      <c r="D30" s="88">
        <v>3.6</v>
      </c>
      <c r="E30" s="88">
        <v>4</v>
      </c>
      <c r="F30" s="88">
        <v>4</v>
      </c>
      <c r="G30" s="88">
        <v>4</v>
      </c>
      <c r="H30" s="88">
        <v>4</v>
      </c>
      <c r="I30" s="88">
        <v>4</v>
      </c>
      <c r="J30" s="88">
        <v>4</v>
      </c>
      <c r="K30" s="88">
        <v>4</v>
      </c>
      <c r="L30" s="88">
        <v>4</v>
      </c>
      <c r="M30" s="88">
        <v>4</v>
      </c>
      <c r="N30" s="88">
        <v>4</v>
      </c>
      <c r="O30" s="88">
        <v>4</v>
      </c>
    </row>
    <row r="31" spans="2:15" x14ac:dyDescent="0.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 x14ac:dyDescent="0.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 x14ac:dyDescent="0.15">
      <c r="C33" s="41" t="s">
        <v>126</v>
      </c>
      <c r="D33" s="88">
        <v>4</v>
      </c>
      <c r="E33" s="88">
        <v>1.39</v>
      </c>
      <c r="F33" s="88">
        <v>1.39</v>
      </c>
      <c r="G33" s="88">
        <v>1.39</v>
      </c>
      <c r="H33" s="88">
        <v>1.39</v>
      </c>
      <c r="I33" s="88">
        <v>1.39</v>
      </c>
      <c r="J33" s="88">
        <v>1.39</v>
      </c>
      <c r="K33" s="88">
        <v>1.39</v>
      </c>
      <c r="L33" s="88">
        <v>1.39</v>
      </c>
      <c r="M33" s="88">
        <v>1.39</v>
      </c>
      <c r="N33" s="88">
        <v>1.39</v>
      </c>
      <c r="O33" s="88">
        <v>1.39</v>
      </c>
    </row>
    <row r="34" spans="3:15" x14ac:dyDescent="0.15">
      <c r="C34" s="36" t="s">
        <v>127</v>
      </c>
      <c r="D34" s="88">
        <v>4</v>
      </c>
      <c r="E34" s="88">
        <v>1.33</v>
      </c>
      <c r="F34" s="88">
        <v>1.33</v>
      </c>
      <c r="G34" s="88">
        <v>1.33</v>
      </c>
      <c r="H34" s="88">
        <v>1.33</v>
      </c>
      <c r="I34" s="88">
        <v>1.33</v>
      </c>
      <c r="J34" s="88">
        <v>1.33</v>
      </c>
      <c r="K34" s="88">
        <v>1.33</v>
      </c>
      <c r="L34" s="88">
        <v>1.33</v>
      </c>
      <c r="M34" s="88">
        <v>1.33</v>
      </c>
      <c r="N34" s="88">
        <v>1.33</v>
      </c>
      <c r="O34" s="88">
        <v>1.33</v>
      </c>
    </row>
    <row r="35" spans="3:15" x14ac:dyDescent="0.15">
      <c r="C35" s="36" t="s">
        <v>128</v>
      </c>
      <c r="D35" s="88">
        <v>4</v>
      </c>
      <c r="E35" s="88">
        <v>1.61</v>
      </c>
      <c r="F35" s="88">
        <v>1.61</v>
      </c>
      <c r="G35" s="88">
        <v>1.61</v>
      </c>
      <c r="H35" s="88">
        <v>1.61</v>
      </c>
      <c r="I35" s="88">
        <v>1.61</v>
      </c>
      <c r="J35" s="88">
        <v>1.61</v>
      </c>
      <c r="K35" s="88">
        <v>1.61</v>
      </c>
      <c r="L35" s="88">
        <v>1.61</v>
      </c>
      <c r="M35" s="88">
        <v>1.61</v>
      </c>
      <c r="N35" s="88">
        <v>1.61</v>
      </c>
      <c r="O35" s="88">
        <v>1.61</v>
      </c>
    </row>
    <row r="36" spans="3:15" x14ac:dyDescent="0.15">
      <c r="C36" s="36" t="s">
        <v>129</v>
      </c>
      <c r="D36" s="88">
        <v>4</v>
      </c>
      <c r="E36" s="88">
        <v>1.69</v>
      </c>
      <c r="F36" s="88">
        <v>1.69</v>
      </c>
      <c r="G36" s="88">
        <v>1.69</v>
      </c>
      <c r="H36" s="88">
        <v>1.69</v>
      </c>
      <c r="I36" s="88">
        <v>1.69</v>
      </c>
      <c r="J36" s="88">
        <v>1.69</v>
      </c>
      <c r="K36" s="88">
        <v>1.69</v>
      </c>
      <c r="L36" s="88">
        <v>1.69</v>
      </c>
      <c r="M36" s="88">
        <v>1.69</v>
      </c>
      <c r="N36" s="88">
        <v>1.69</v>
      </c>
      <c r="O36" s="88">
        <v>1.69</v>
      </c>
    </row>
    <row r="37" spans="3:15" x14ac:dyDescent="0.15">
      <c r="C37" s="36" t="s">
        <v>130</v>
      </c>
      <c r="D37" s="88">
        <v>4</v>
      </c>
      <c r="E37" s="88">
        <v>1.59</v>
      </c>
      <c r="F37" s="88">
        <v>1.59</v>
      </c>
      <c r="G37" s="88">
        <v>1.59</v>
      </c>
      <c r="H37" s="88">
        <v>1.59</v>
      </c>
      <c r="I37" s="88">
        <v>1.59</v>
      </c>
      <c r="J37" s="88">
        <v>1.59</v>
      </c>
      <c r="K37" s="88">
        <v>1.59</v>
      </c>
      <c r="L37" s="88">
        <v>1.59</v>
      </c>
      <c r="M37" s="88">
        <v>1.59</v>
      </c>
      <c r="N37" s="88">
        <v>1.59</v>
      </c>
      <c r="O37" s="88">
        <v>1.59</v>
      </c>
    </row>
    <row r="38" spans="3:15" x14ac:dyDescent="0.15">
      <c r="C38" s="36" t="s">
        <v>131</v>
      </c>
      <c r="D38" s="88">
        <v>4</v>
      </c>
      <c r="E38" s="88">
        <v>1.58</v>
      </c>
      <c r="F38" s="88">
        <v>1.58</v>
      </c>
      <c r="G38" s="88">
        <v>1.58</v>
      </c>
      <c r="H38" s="88">
        <v>1.58</v>
      </c>
      <c r="I38" s="88">
        <v>1.58</v>
      </c>
      <c r="J38" s="88">
        <v>1.58</v>
      </c>
      <c r="K38" s="88">
        <v>1.58</v>
      </c>
      <c r="L38" s="88">
        <v>1.58</v>
      </c>
      <c r="M38" s="88">
        <v>1.58</v>
      </c>
      <c r="N38" s="88">
        <v>1.58</v>
      </c>
      <c r="O38" s="88">
        <v>1.58</v>
      </c>
    </row>
    <row r="39" spans="3:15" x14ac:dyDescent="0.15">
      <c r="C39" s="37" t="s">
        <v>132</v>
      </c>
      <c r="D39" s="88">
        <v>4</v>
      </c>
      <c r="E39" s="88">
        <v>3.19</v>
      </c>
      <c r="F39" s="88">
        <v>3.19</v>
      </c>
      <c r="G39" s="88">
        <v>3.19</v>
      </c>
      <c r="H39" s="88">
        <v>3.19</v>
      </c>
      <c r="I39" s="88">
        <v>3.19</v>
      </c>
      <c r="J39" s="88">
        <v>3.19</v>
      </c>
      <c r="K39" s="88">
        <v>3.19</v>
      </c>
      <c r="L39" s="88">
        <v>3.19</v>
      </c>
      <c r="M39" s="88">
        <v>3.19</v>
      </c>
      <c r="N39" s="88">
        <v>3.19</v>
      </c>
      <c r="O39" s="88">
        <v>3.19</v>
      </c>
    </row>
    <row r="40" spans="3:15" x14ac:dyDescent="0.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 x14ac:dyDescent="0.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ctEf9brpwdBdYHKIuQiurUKJ+Pn6QWhsprL2rCbn4tc9EcvwsuE8yQd4fdivVj929hTIeruIxlAKfuqBvkLCXA==" saltValue="QSx5czV3FC77V3g3l3yP1Q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basic_info</vt:lpstr>
      <vt:lpstr>facilities</vt:lpstr>
      <vt:lpstr>raw_materials</vt:lpstr>
      <vt:lpstr>shipping_manufacturing</vt:lpstr>
      <vt:lpstr>pricing</vt:lpstr>
    </vt:vector>
  </TitlesOfParts>
  <Company>Princeton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Microsoft Office User</cp:lastModifiedBy>
  <dcterms:created xsi:type="dcterms:W3CDTF">2003-07-09T21:14:27Z</dcterms:created>
  <dcterms:modified xsi:type="dcterms:W3CDTF">2015-12-14T06:35:42Z</dcterms:modified>
</cp:coreProperties>
</file>